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3"/>
  <workbookPr/>
  <mc:AlternateContent xmlns:mc="http://schemas.openxmlformats.org/markup-compatibility/2006">
    <mc:Choice Requires="x15">
      <x15ac:absPath xmlns:x15ac="http://schemas.microsoft.com/office/spreadsheetml/2010/11/ac" url="/Users/alexandramorgan/Documents/GitHub/mapping-erasure/"/>
    </mc:Choice>
  </mc:AlternateContent>
  <xr:revisionPtr revIDLastSave="0" documentId="13_ncr:1_{D22012FA-E3D6-3B46-A07F-9F09F431B02C}" xr6:coauthVersionLast="47" xr6:coauthVersionMax="47" xr10:uidLastSave="{00000000-0000-0000-0000-000000000000}"/>
  <bookViews>
    <workbookView xWindow="1240" yWindow="660" windowWidth="27780" windowHeight="17860" tabRatio="500" activeTab="3" xr2:uid="{00000000-000D-0000-FFFF-FFFF00000000}"/>
  </bookViews>
  <sheets>
    <sheet name="Coordinates" sheetId="2" r:id="rId1"/>
    <sheet name="places" sheetId="3" r:id="rId2"/>
    <sheet name="sources" sheetId="4" r:id="rId3"/>
    <sheet name="attestations" sheetId="5" r:id="rId4"/>
    <sheet name="Selection Matrix" sheetId="6" r:id="rId5"/>
    <sheet name="Uncertainty Profile" sheetId="8" state="hidden" r:id="rId6"/>
    <sheet name="Corpus" sheetId="10" r:id="rId7"/>
    <sheet name="relations" sheetId="12" r:id="rId8"/>
    <sheet name="Lists" sheetId="13"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3" i="2" l="1"/>
  <c r="B223" i="2"/>
  <c r="C223" i="2"/>
  <c r="A224" i="2"/>
  <c r="B224" i="2"/>
  <c r="C224" i="2"/>
  <c r="A225" i="2"/>
  <c r="B225" i="2"/>
  <c r="C225" i="2"/>
  <c r="A226" i="2"/>
  <c r="B226" i="2"/>
  <c r="C226" i="2"/>
  <c r="A227" i="2"/>
  <c r="B227" i="2"/>
  <c r="C227" i="2"/>
  <c r="A228" i="2"/>
  <c r="B228" i="2"/>
  <c r="C228" i="2"/>
  <c r="A229" i="2"/>
  <c r="B229" i="2"/>
  <c r="C229" i="2"/>
  <c r="A230" i="2"/>
  <c r="B230" i="2"/>
  <c r="C230" i="2"/>
  <c r="A231" i="2"/>
  <c r="B231" i="2"/>
  <c r="C231" i="2"/>
  <c r="A232" i="2"/>
  <c r="B232" i="2"/>
  <c r="C232" i="2"/>
  <c r="B5" i="6"/>
  <c r="C5" i="6"/>
  <c r="D5" i="6"/>
  <c r="E5" i="6"/>
  <c r="B6" i="6"/>
  <c r="C6" i="6"/>
  <c r="D6" i="6"/>
  <c r="E6" i="6"/>
  <c r="B7" i="6"/>
  <c r="C7" i="6"/>
  <c r="D7" i="6"/>
  <c r="E7" i="6"/>
  <c r="B8" i="6"/>
  <c r="C8" i="6"/>
  <c r="D8" i="6"/>
  <c r="E8" i="6"/>
  <c r="B9" i="6"/>
  <c r="C9" i="6"/>
  <c r="D9" i="6"/>
  <c r="E9" i="6"/>
  <c r="C4" i="6"/>
  <c r="D4" i="6"/>
  <c r="E4" i="6"/>
  <c r="B4" i="6"/>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U218" i="3"/>
  <c r="U219" i="3"/>
  <c r="U220" i="3"/>
  <c r="U221" i="3"/>
  <c r="U222" i="3"/>
  <c r="U223" i="3"/>
  <c r="U224" i="3"/>
  <c r="U225" i="3"/>
  <c r="U226" i="3"/>
  <c r="U227" i="3"/>
  <c r="U228" i="3"/>
  <c r="U229" i="3"/>
  <c r="U230" i="3"/>
  <c r="U231" i="3"/>
  <c r="U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 i="3"/>
  <c r="U3029" i="5"/>
  <c r="U3" i="5"/>
  <c r="U4" i="5"/>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1" i="5"/>
  <c r="U42" i="5"/>
  <c r="U43" i="5"/>
  <c r="U44" i="5"/>
  <c r="U45" i="5"/>
  <c r="U46" i="5"/>
  <c r="U47" i="5"/>
  <c r="U48" i="5"/>
  <c r="U49" i="5"/>
  <c r="U50" i="5"/>
  <c r="U51" i="5"/>
  <c r="U52" i="5"/>
  <c r="U53" i="5"/>
  <c r="U54" i="5"/>
  <c r="U55" i="5"/>
  <c r="U56" i="5"/>
  <c r="U57" i="5"/>
  <c r="U58" i="5"/>
  <c r="U59" i="5"/>
  <c r="U60" i="5"/>
  <c r="U61" i="5"/>
  <c r="U62" i="5"/>
  <c r="U63" i="5"/>
  <c r="U64" i="5"/>
  <c r="U65" i="5"/>
  <c r="U66" i="5"/>
  <c r="U67" i="5"/>
  <c r="U68" i="5"/>
  <c r="U69" i="5"/>
  <c r="U70"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U563" i="5"/>
  <c r="U564" i="5"/>
  <c r="U565" i="5"/>
  <c r="U566" i="5"/>
  <c r="U567" i="5"/>
  <c r="U568" i="5"/>
  <c r="U569" i="5"/>
  <c r="U570" i="5"/>
  <c r="U571" i="5"/>
  <c r="U572" i="5"/>
  <c r="U573" i="5"/>
  <c r="U574" i="5"/>
  <c r="U575" i="5"/>
  <c r="U576" i="5"/>
  <c r="U577" i="5"/>
  <c r="U578" i="5"/>
  <c r="U579" i="5"/>
  <c r="U580" i="5"/>
  <c r="U581" i="5"/>
  <c r="U582" i="5"/>
  <c r="U583" i="5"/>
  <c r="U584" i="5"/>
  <c r="U585" i="5"/>
  <c r="U586" i="5"/>
  <c r="U587" i="5"/>
  <c r="U588" i="5"/>
  <c r="U589" i="5"/>
  <c r="U590" i="5"/>
  <c r="U591" i="5"/>
  <c r="U592" i="5"/>
  <c r="U593" i="5"/>
  <c r="U594" i="5"/>
  <c r="U595" i="5"/>
  <c r="U596" i="5"/>
  <c r="U597" i="5"/>
  <c r="U598" i="5"/>
  <c r="U599" i="5"/>
  <c r="U600" i="5"/>
  <c r="U601" i="5"/>
  <c r="U602" i="5"/>
  <c r="U603" i="5"/>
  <c r="U604" i="5"/>
  <c r="U605" i="5"/>
  <c r="U606" i="5"/>
  <c r="U607" i="5"/>
  <c r="U608" i="5"/>
  <c r="U609" i="5"/>
  <c r="U610" i="5"/>
  <c r="U611" i="5"/>
  <c r="U612" i="5"/>
  <c r="U613" i="5"/>
  <c r="U614" i="5"/>
  <c r="U615" i="5"/>
  <c r="U616" i="5"/>
  <c r="U617" i="5"/>
  <c r="U618" i="5"/>
  <c r="U619" i="5"/>
  <c r="U620" i="5"/>
  <c r="U621" i="5"/>
  <c r="U622" i="5"/>
  <c r="U623" i="5"/>
  <c r="U624" i="5"/>
  <c r="U625" i="5"/>
  <c r="U626" i="5"/>
  <c r="U627" i="5"/>
  <c r="U628" i="5"/>
  <c r="U629" i="5"/>
  <c r="U630" i="5"/>
  <c r="U631" i="5"/>
  <c r="U632" i="5"/>
  <c r="U633" i="5"/>
  <c r="U634" i="5"/>
  <c r="U635" i="5"/>
  <c r="U636" i="5"/>
  <c r="U637" i="5"/>
  <c r="U638" i="5"/>
  <c r="U639" i="5"/>
  <c r="U640" i="5"/>
  <c r="U641" i="5"/>
  <c r="U642" i="5"/>
  <c r="U643" i="5"/>
  <c r="U644" i="5"/>
  <c r="U645" i="5"/>
  <c r="U646" i="5"/>
  <c r="U647" i="5"/>
  <c r="U648" i="5"/>
  <c r="U649" i="5"/>
  <c r="U650" i="5"/>
  <c r="U651" i="5"/>
  <c r="U652" i="5"/>
  <c r="U653" i="5"/>
  <c r="U654" i="5"/>
  <c r="U655" i="5"/>
  <c r="U656" i="5"/>
  <c r="U657" i="5"/>
  <c r="U658" i="5"/>
  <c r="U659" i="5"/>
  <c r="U660" i="5"/>
  <c r="U661" i="5"/>
  <c r="U662" i="5"/>
  <c r="U663" i="5"/>
  <c r="U664" i="5"/>
  <c r="U665" i="5"/>
  <c r="U666" i="5"/>
  <c r="U667" i="5"/>
  <c r="U668" i="5"/>
  <c r="U669" i="5"/>
  <c r="U670" i="5"/>
  <c r="U671" i="5"/>
  <c r="U672" i="5"/>
  <c r="U673" i="5"/>
  <c r="U674" i="5"/>
  <c r="U675" i="5"/>
  <c r="U676" i="5"/>
  <c r="U677" i="5"/>
  <c r="U678" i="5"/>
  <c r="U679" i="5"/>
  <c r="U680" i="5"/>
  <c r="U681" i="5"/>
  <c r="U682" i="5"/>
  <c r="U683" i="5"/>
  <c r="U684" i="5"/>
  <c r="U685" i="5"/>
  <c r="U686" i="5"/>
  <c r="U687" i="5"/>
  <c r="U688" i="5"/>
  <c r="U689" i="5"/>
  <c r="U690" i="5"/>
  <c r="U691" i="5"/>
  <c r="U692" i="5"/>
  <c r="U693" i="5"/>
  <c r="U694" i="5"/>
  <c r="U695" i="5"/>
  <c r="U696" i="5"/>
  <c r="U697" i="5"/>
  <c r="U698" i="5"/>
  <c r="U699" i="5"/>
  <c r="U700" i="5"/>
  <c r="U701" i="5"/>
  <c r="U702" i="5"/>
  <c r="U703" i="5"/>
  <c r="U704" i="5"/>
  <c r="U705" i="5"/>
  <c r="U706" i="5"/>
  <c r="U707" i="5"/>
  <c r="U708" i="5"/>
  <c r="U709" i="5"/>
  <c r="U710" i="5"/>
  <c r="U711" i="5"/>
  <c r="U712" i="5"/>
  <c r="U713" i="5"/>
  <c r="U714" i="5"/>
  <c r="U715" i="5"/>
  <c r="U716" i="5"/>
  <c r="U717" i="5"/>
  <c r="U718" i="5"/>
  <c r="U719" i="5"/>
  <c r="U720" i="5"/>
  <c r="U721" i="5"/>
  <c r="U722" i="5"/>
  <c r="U723" i="5"/>
  <c r="U724" i="5"/>
  <c r="U725" i="5"/>
  <c r="U726" i="5"/>
  <c r="U727" i="5"/>
  <c r="U728" i="5"/>
  <c r="U729" i="5"/>
  <c r="U730" i="5"/>
  <c r="U731" i="5"/>
  <c r="U732" i="5"/>
  <c r="U733" i="5"/>
  <c r="U734" i="5"/>
  <c r="U735" i="5"/>
  <c r="U736" i="5"/>
  <c r="U737" i="5"/>
  <c r="U738" i="5"/>
  <c r="U739" i="5"/>
  <c r="U740" i="5"/>
  <c r="U741" i="5"/>
  <c r="U742" i="5"/>
  <c r="U743" i="5"/>
  <c r="U744" i="5"/>
  <c r="U745" i="5"/>
  <c r="U746" i="5"/>
  <c r="U747" i="5"/>
  <c r="U748" i="5"/>
  <c r="U749" i="5"/>
  <c r="U750" i="5"/>
  <c r="U751" i="5"/>
  <c r="U752" i="5"/>
  <c r="U753" i="5"/>
  <c r="U754" i="5"/>
  <c r="U755" i="5"/>
  <c r="U756" i="5"/>
  <c r="U757" i="5"/>
  <c r="U758" i="5"/>
  <c r="U759" i="5"/>
  <c r="U760" i="5"/>
  <c r="U761" i="5"/>
  <c r="U762" i="5"/>
  <c r="U763" i="5"/>
  <c r="U764" i="5"/>
  <c r="U765" i="5"/>
  <c r="U766" i="5"/>
  <c r="U767" i="5"/>
  <c r="U768" i="5"/>
  <c r="U769" i="5"/>
  <c r="U770" i="5"/>
  <c r="U771" i="5"/>
  <c r="U772" i="5"/>
  <c r="U773" i="5"/>
  <c r="U774" i="5"/>
  <c r="U775" i="5"/>
  <c r="U776" i="5"/>
  <c r="U777" i="5"/>
  <c r="U778" i="5"/>
  <c r="U779" i="5"/>
  <c r="U780" i="5"/>
  <c r="U781" i="5"/>
  <c r="U782" i="5"/>
  <c r="U783" i="5"/>
  <c r="U784" i="5"/>
  <c r="U785" i="5"/>
  <c r="U786" i="5"/>
  <c r="U787" i="5"/>
  <c r="U788" i="5"/>
  <c r="U789" i="5"/>
  <c r="U790" i="5"/>
  <c r="U791" i="5"/>
  <c r="U792" i="5"/>
  <c r="U793" i="5"/>
  <c r="U794" i="5"/>
  <c r="U795" i="5"/>
  <c r="U796" i="5"/>
  <c r="U797" i="5"/>
  <c r="U798" i="5"/>
  <c r="U799" i="5"/>
  <c r="U800" i="5"/>
  <c r="U801" i="5"/>
  <c r="U802" i="5"/>
  <c r="U803" i="5"/>
  <c r="U804" i="5"/>
  <c r="U805" i="5"/>
  <c r="U806" i="5"/>
  <c r="U807" i="5"/>
  <c r="U808" i="5"/>
  <c r="U809" i="5"/>
  <c r="U810" i="5"/>
  <c r="U811" i="5"/>
  <c r="U812" i="5"/>
  <c r="U813" i="5"/>
  <c r="U814" i="5"/>
  <c r="U815" i="5"/>
  <c r="U816" i="5"/>
  <c r="U817" i="5"/>
  <c r="U818" i="5"/>
  <c r="U819" i="5"/>
  <c r="U820" i="5"/>
  <c r="U821" i="5"/>
  <c r="U822" i="5"/>
  <c r="U823" i="5"/>
  <c r="U824" i="5"/>
  <c r="U825" i="5"/>
  <c r="U826" i="5"/>
  <c r="U827" i="5"/>
  <c r="U828" i="5"/>
  <c r="U829" i="5"/>
  <c r="U830" i="5"/>
  <c r="U831" i="5"/>
  <c r="U832" i="5"/>
  <c r="U833" i="5"/>
  <c r="U834" i="5"/>
  <c r="U835" i="5"/>
  <c r="U836" i="5"/>
  <c r="U837" i="5"/>
  <c r="U838" i="5"/>
  <c r="U839" i="5"/>
  <c r="U840" i="5"/>
  <c r="U841" i="5"/>
  <c r="U842" i="5"/>
  <c r="U843" i="5"/>
  <c r="U844" i="5"/>
  <c r="U845" i="5"/>
  <c r="U846" i="5"/>
  <c r="U847" i="5"/>
  <c r="U848" i="5"/>
  <c r="U849" i="5"/>
  <c r="U850" i="5"/>
  <c r="U851" i="5"/>
  <c r="U852" i="5"/>
  <c r="U853" i="5"/>
  <c r="U854" i="5"/>
  <c r="U855" i="5"/>
  <c r="U856" i="5"/>
  <c r="U857" i="5"/>
  <c r="U858" i="5"/>
  <c r="U859" i="5"/>
  <c r="U860" i="5"/>
  <c r="U861" i="5"/>
  <c r="U862" i="5"/>
  <c r="U863" i="5"/>
  <c r="U864" i="5"/>
  <c r="U865" i="5"/>
  <c r="U866" i="5"/>
  <c r="U867" i="5"/>
  <c r="U868" i="5"/>
  <c r="U869" i="5"/>
  <c r="U870" i="5"/>
  <c r="U871" i="5"/>
  <c r="U872" i="5"/>
  <c r="U873" i="5"/>
  <c r="U874" i="5"/>
  <c r="U875" i="5"/>
  <c r="U876" i="5"/>
  <c r="U877" i="5"/>
  <c r="U878" i="5"/>
  <c r="U879" i="5"/>
  <c r="U880" i="5"/>
  <c r="U881" i="5"/>
  <c r="U882" i="5"/>
  <c r="U883" i="5"/>
  <c r="U884" i="5"/>
  <c r="U885" i="5"/>
  <c r="U886" i="5"/>
  <c r="U887" i="5"/>
  <c r="U888" i="5"/>
  <c r="U889" i="5"/>
  <c r="U890" i="5"/>
  <c r="U891" i="5"/>
  <c r="U892" i="5"/>
  <c r="U893" i="5"/>
  <c r="U894" i="5"/>
  <c r="U895" i="5"/>
  <c r="U896" i="5"/>
  <c r="U897" i="5"/>
  <c r="U898" i="5"/>
  <c r="U899" i="5"/>
  <c r="U900" i="5"/>
  <c r="U901" i="5"/>
  <c r="U902" i="5"/>
  <c r="U903" i="5"/>
  <c r="U904" i="5"/>
  <c r="U905" i="5"/>
  <c r="U906" i="5"/>
  <c r="U907" i="5"/>
  <c r="U908" i="5"/>
  <c r="U909" i="5"/>
  <c r="U910" i="5"/>
  <c r="U911" i="5"/>
  <c r="U912" i="5"/>
  <c r="U913" i="5"/>
  <c r="U914" i="5"/>
  <c r="U915" i="5"/>
  <c r="U916" i="5"/>
  <c r="U917" i="5"/>
  <c r="U918" i="5"/>
  <c r="U919" i="5"/>
  <c r="U920" i="5"/>
  <c r="U921" i="5"/>
  <c r="U922" i="5"/>
  <c r="U923" i="5"/>
  <c r="U924" i="5"/>
  <c r="U925" i="5"/>
  <c r="U926" i="5"/>
  <c r="U927" i="5"/>
  <c r="U928" i="5"/>
  <c r="U929" i="5"/>
  <c r="U930" i="5"/>
  <c r="U931" i="5"/>
  <c r="U932" i="5"/>
  <c r="U933" i="5"/>
  <c r="U934" i="5"/>
  <c r="U935" i="5"/>
  <c r="U936" i="5"/>
  <c r="U937" i="5"/>
  <c r="U938" i="5"/>
  <c r="U939" i="5"/>
  <c r="U940" i="5"/>
  <c r="U941" i="5"/>
  <c r="U942" i="5"/>
  <c r="U943" i="5"/>
  <c r="U944" i="5"/>
  <c r="U945" i="5"/>
  <c r="U946" i="5"/>
  <c r="U947" i="5"/>
  <c r="U948" i="5"/>
  <c r="U949" i="5"/>
  <c r="U950" i="5"/>
  <c r="U951" i="5"/>
  <c r="U952" i="5"/>
  <c r="U953" i="5"/>
  <c r="U954" i="5"/>
  <c r="U955" i="5"/>
  <c r="U956" i="5"/>
  <c r="U957" i="5"/>
  <c r="U958" i="5"/>
  <c r="U959" i="5"/>
  <c r="U960" i="5"/>
  <c r="U961" i="5"/>
  <c r="U962" i="5"/>
  <c r="U963" i="5"/>
  <c r="U964" i="5"/>
  <c r="U965" i="5"/>
  <c r="U966" i="5"/>
  <c r="U967" i="5"/>
  <c r="U968" i="5"/>
  <c r="U969" i="5"/>
  <c r="U970" i="5"/>
  <c r="U971" i="5"/>
  <c r="U972" i="5"/>
  <c r="U973" i="5"/>
  <c r="U974" i="5"/>
  <c r="U975" i="5"/>
  <c r="U976" i="5"/>
  <c r="U977" i="5"/>
  <c r="U978" i="5"/>
  <c r="U979" i="5"/>
  <c r="U980" i="5"/>
  <c r="U981" i="5"/>
  <c r="U982" i="5"/>
  <c r="U983" i="5"/>
  <c r="U984" i="5"/>
  <c r="U985" i="5"/>
  <c r="U986" i="5"/>
  <c r="U987" i="5"/>
  <c r="U988" i="5"/>
  <c r="U989" i="5"/>
  <c r="U990" i="5"/>
  <c r="U991" i="5"/>
  <c r="U992" i="5"/>
  <c r="U993" i="5"/>
  <c r="U994" i="5"/>
  <c r="U995" i="5"/>
  <c r="U996" i="5"/>
  <c r="U997" i="5"/>
  <c r="U998" i="5"/>
  <c r="U999" i="5"/>
  <c r="U1000" i="5"/>
  <c r="U1001" i="5"/>
  <c r="U1002" i="5"/>
  <c r="U1003" i="5"/>
  <c r="U1004" i="5"/>
  <c r="U1005" i="5"/>
  <c r="U1006" i="5"/>
  <c r="U1007" i="5"/>
  <c r="U1008" i="5"/>
  <c r="U1009" i="5"/>
  <c r="U1010" i="5"/>
  <c r="U1011" i="5"/>
  <c r="U1012" i="5"/>
  <c r="U1013" i="5"/>
  <c r="U1014" i="5"/>
  <c r="U1015" i="5"/>
  <c r="U1016" i="5"/>
  <c r="U1017" i="5"/>
  <c r="U1018" i="5"/>
  <c r="U1019" i="5"/>
  <c r="U1020" i="5"/>
  <c r="U1021" i="5"/>
  <c r="U1022" i="5"/>
  <c r="U1023" i="5"/>
  <c r="U1024" i="5"/>
  <c r="U1025" i="5"/>
  <c r="U1026" i="5"/>
  <c r="U1027" i="5"/>
  <c r="U1028" i="5"/>
  <c r="U1029" i="5"/>
  <c r="U1030" i="5"/>
  <c r="U1031" i="5"/>
  <c r="U1032" i="5"/>
  <c r="U1033" i="5"/>
  <c r="U1034" i="5"/>
  <c r="U1035" i="5"/>
  <c r="U1036" i="5"/>
  <c r="U1037" i="5"/>
  <c r="U1038" i="5"/>
  <c r="U1039" i="5"/>
  <c r="U1040" i="5"/>
  <c r="U1041" i="5"/>
  <c r="U1042" i="5"/>
  <c r="U1043" i="5"/>
  <c r="U1044" i="5"/>
  <c r="U1045" i="5"/>
  <c r="U1046" i="5"/>
  <c r="U1047" i="5"/>
  <c r="U1048" i="5"/>
  <c r="U1049" i="5"/>
  <c r="U1050" i="5"/>
  <c r="U1051" i="5"/>
  <c r="U1052" i="5"/>
  <c r="U1053" i="5"/>
  <c r="U1054" i="5"/>
  <c r="U1055" i="5"/>
  <c r="U1056" i="5"/>
  <c r="U1057" i="5"/>
  <c r="U1058" i="5"/>
  <c r="U1059" i="5"/>
  <c r="U1060" i="5"/>
  <c r="U1061" i="5"/>
  <c r="U1062" i="5"/>
  <c r="U1063" i="5"/>
  <c r="U1064" i="5"/>
  <c r="U1065" i="5"/>
  <c r="U1066" i="5"/>
  <c r="U1067" i="5"/>
  <c r="U1068" i="5"/>
  <c r="U1069" i="5"/>
  <c r="U1070" i="5"/>
  <c r="U1071" i="5"/>
  <c r="U1072" i="5"/>
  <c r="U1073" i="5"/>
  <c r="U1074" i="5"/>
  <c r="U1075" i="5"/>
  <c r="U1076" i="5"/>
  <c r="U1077" i="5"/>
  <c r="U1078" i="5"/>
  <c r="U1079" i="5"/>
  <c r="U1080" i="5"/>
  <c r="U1081" i="5"/>
  <c r="U1082" i="5"/>
  <c r="U1083" i="5"/>
  <c r="U1084" i="5"/>
  <c r="U1085" i="5"/>
  <c r="U1086" i="5"/>
  <c r="U1087" i="5"/>
  <c r="U1088" i="5"/>
  <c r="U1089" i="5"/>
  <c r="U1090" i="5"/>
  <c r="U1091" i="5"/>
  <c r="U1092" i="5"/>
  <c r="U1093" i="5"/>
  <c r="U1094" i="5"/>
  <c r="U1095" i="5"/>
  <c r="U1096" i="5"/>
  <c r="U1097" i="5"/>
  <c r="U1098" i="5"/>
  <c r="U1099" i="5"/>
  <c r="U1100" i="5"/>
  <c r="U1101" i="5"/>
  <c r="U1102" i="5"/>
  <c r="U1103" i="5"/>
  <c r="U1104" i="5"/>
  <c r="U1105" i="5"/>
  <c r="U1106" i="5"/>
  <c r="U1107" i="5"/>
  <c r="U1108" i="5"/>
  <c r="U1109" i="5"/>
  <c r="U1110" i="5"/>
  <c r="U1111" i="5"/>
  <c r="U1112" i="5"/>
  <c r="U1113" i="5"/>
  <c r="U1114" i="5"/>
  <c r="U1115" i="5"/>
  <c r="U1116" i="5"/>
  <c r="U1117" i="5"/>
  <c r="U1118" i="5"/>
  <c r="U1119" i="5"/>
  <c r="U1120" i="5"/>
  <c r="U1121" i="5"/>
  <c r="U1122" i="5"/>
  <c r="U1123" i="5"/>
  <c r="U1124" i="5"/>
  <c r="U1125" i="5"/>
  <c r="U1126" i="5"/>
  <c r="U1127" i="5"/>
  <c r="U1128" i="5"/>
  <c r="U1129" i="5"/>
  <c r="U1130" i="5"/>
  <c r="U1131" i="5"/>
  <c r="U1132" i="5"/>
  <c r="U1133" i="5"/>
  <c r="U1134" i="5"/>
  <c r="U1135" i="5"/>
  <c r="U1136" i="5"/>
  <c r="U1137" i="5"/>
  <c r="U1138" i="5"/>
  <c r="U1139" i="5"/>
  <c r="U1140" i="5"/>
  <c r="U1141" i="5"/>
  <c r="U1142" i="5"/>
  <c r="U1143" i="5"/>
  <c r="U1144" i="5"/>
  <c r="U1145" i="5"/>
  <c r="U1146" i="5"/>
  <c r="U1147" i="5"/>
  <c r="U1148" i="5"/>
  <c r="U1149" i="5"/>
  <c r="U1150" i="5"/>
  <c r="U1151" i="5"/>
  <c r="U1152" i="5"/>
  <c r="U1153" i="5"/>
  <c r="U1154" i="5"/>
  <c r="U1155" i="5"/>
  <c r="U1156" i="5"/>
  <c r="U1157" i="5"/>
  <c r="U1158" i="5"/>
  <c r="U1159" i="5"/>
  <c r="U1160" i="5"/>
  <c r="U1161" i="5"/>
  <c r="U1162" i="5"/>
  <c r="U1163" i="5"/>
  <c r="U1164" i="5"/>
  <c r="U1165" i="5"/>
  <c r="U1166" i="5"/>
  <c r="U1167" i="5"/>
  <c r="U1168" i="5"/>
  <c r="U1169" i="5"/>
  <c r="U1170" i="5"/>
  <c r="U1171" i="5"/>
  <c r="U1172" i="5"/>
  <c r="U1173" i="5"/>
  <c r="U1174" i="5"/>
  <c r="U1175" i="5"/>
  <c r="U1176" i="5"/>
  <c r="U1177" i="5"/>
  <c r="U1178" i="5"/>
  <c r="U1179" i="5"/>
  <c r="U1180" i="5"/>
  <c r="U1181" i="5"/>
  <c r="U1182" i="5"/>
  <c r="U1183" i="5"/>
  <c r="U1184" i="5"/>
  <c r="U1185" i="5"/>
  <c r="U1186" i="5"/>
  <c r="U1187" i="5"/>
  <c r="U1188" i="5"/>
  <c r="U1189" i="5"/>
  <c r="U1190" i="5"/>
  <c r="U1191" i="5"/>
  <c r="U1192" i="5"/>
  <c r="U1193" i="5"/>
  <c r="U1194" i="5"/>
  <c r="U1195" i="5"/>
  <c r="U1196" i="5"/>
  <c r="U1197" i="5"/>
  <c r="U1198" i="5"/>
  <c r="U1199" i="5"/>
  <c r="U1200" i="5"/>
  <c r="U1201" i="5"/>
  <c r="U1202" i="5"/>
  <c r="U1203" i="5"/>
  <c r="U1204" i="5"/>
  <c r="U1205" i="5"/>
  <c r="U1206" i="5"/>
  <c r="U1207" i="5"/>
  <c r="U1208" i="5"/>
  <c r="U1209" i="5"/>
  <c r="U1210" i="5"/>
  <c r="U1211" i="5"/>
  <c r="U1212" i="5"/>
  <c r="U1213" i="5"/>
  <c r="U1214" i="5"/>
  <c r="U1215" i="5"/>
  <c r="U1216" i="5"/>
  <c r="U1217" i="5"/>
  <c r="U1218" i="5"/>
  <c r="U1219" i="5"/>
  <c r="U1220" i="5"/>
  <c r="U1221" i="5"/>
  <c r="U1222" i="5"/>
  <c r="U1223" i="5"/>
  <c r="U1224" i="5"/>
  <c r="U1225" i="5"/>
  <c r="U1226" i="5"/>
  <c r="U1227" i="5"/>
  <c r="U1228" i="5"/>
  <c r="U1229" i="5"/>
  <c r="U1230" i="5"/>
  <c r="U1231" i="5"/>
  <c r="U1232" i="5"/>
  <c r="U1233" i="5"/>
  <c r="U1234" i="5"/>
  <c r="U1235" i="5"/>
  <c r="U1236" i="5"/>
  <c r="U1237" i="5"/>
  <c r="U1238" i="5"/>
  <c r="U1239" i="5"/>
  <c r="U1240" i="5"/>
  <c r="U1241" i="5"/>
  <c r="U1242" i="5"/>
  <c r="U1243" i="5"/>
  <c r="U1244" i="5"/>
  <c r="U1245" i="5"/>
  <c r="U1246" i="5"/>
  <c r="U1247" i="5"/>
  <c r="U1248" i="5"/>
  <c r="U1249" i="5"/>
  <c r="U1250" i="5"/>
  <c r="U1251" i="5"/>
  <c r="U1252" i="5"/>
  <c r="U1253" i="5"/>
  <c r="U1254" i="5"/>
  <c r="U1255" i="5"/>
  <c r="U1256" i="5"/>
  <c r="U1257" i="5"/>
  <c r="U1258" i="5"/>
  <c r="U1259" i="5"/>
  <c r="U1260" i="5"/>
  <c r="U1261" i="5"/>
  <c r="U1262" i="5"/>
  <c r="U1263" i="5"/>
  <c r="U1264" i="5"/>
  <c r="U1265" i="5"/>
  <c r="U1266" i="5"/>
  <c r="U1267" i="5"/>
  <c r="U1268" i="5"/>
  <c r="U1269" i="5"/>
  <c r="U1270" i="5"/>
  <c r="U1271" i="5"/>
  <c r="U1272" i="5"/>
  <c r="U1273" i="5"/>
  <c r="U1274" i="5"/>
  <c r="U1275" i="5"/>
  <c r="U1276" i="5"/>
  <c r="U1277" i="5"/>
  <c r="U1278" i="5"/>
  <c r="U1279" i="5"/>
  <c r="U1280" i="5"/>
  <c r="U1281" i="5"/>
  <c r="U1282" i="5"/>
  <c r="U1283" i="5"/>
  <c r="U1284" i="5"/>
  <c r="U1285" i="5"/>
  <c r="U1286" i="5"/>
  <c r="U1287" i="5"/>
  <c r="U1288" i="5"/>
  <c r="U1289" i="5"/>
  <c r="U1290" i="5"/>
  <c r="U1291" i="5"/>
  <c r="U1292" i="5"/>
  <c r="U1293" i="5"/>
  <c r="U1294" i="5"/>
  <c r="U1295" i="5"/>
  <c r="U1296" i="5"/>
  <c r="U1297" i="5"/>
  <c r="U1298" i="5"/>
  <c r="U1299" i="5"/>
  <c r="U1300" i="5"/>
  <c r="U1301" i="5"/>
  <c r="U1302" i="5"/>
  <c r="U1303" i="5"/>
  <c r="U1304" i="5"/>
  <c r="U1305" i="5"/>
  <c r="U1306" i="5"/>
  <c r="U1307" i="5"/>
  <c r="U1308" i="5"/>
  <c r="U1309" i="5"/>
  <c r="U1310" i="5"/>
  <c r="U1311" i="5"/>
  <c r="U1312" i="5"/>
  <c r="U1313" i="5"/>
  <c r="U1314" i="5"/>
  <c r="U1315" i="5"/>
  <c r="U1316" i="5"/>
  <c r="U1317" i="5"/>
  <c r="U1318" i="5"/>
  <c r="U1319" i="5"/>
  <c r="U1320" i="5"/>
  <c r="U1321" i="5"/>
  <c r="U1322" i="5"/>
  <c r="U1323" i="5"/>
  <c r="U1324" i="5"/>
  <c r="U1325" i="5"/>
  <c r="U1326" i="5"/>
  <c r="U1327" i="5"/>
  <c r="U1328" i="5"/>
  <c r="U1329" i="5"/>
  <c r="U1330" i="5"/>
  <c r="U1331" i="5"/>
  <c r="U1332" i="5"/>
  <c r="U1333" i="5"/>
  <c r="U1334" i="5"/>
  <c r="U1335" i="5"/>
  <c r="U1336" i="5"/>
  <c r="U1337" i="5"/>
  <c r="U1338" i="5"/>
  <c r="U1339" i="5"/>
  <c r="U1340" i="5"/>
  <c r="U1341" i="5"/>
  <c r="U1342" i="5"/>
  <c r="U1343" i="5"/>
  <c r="U1344" i="5"/>
  <c r="U1345" i="5"/>
  <c r="U1346" i="5"/>
  <c r="U1347" i="5"/>
  <c r="U1348" i="5"/>
  <c r="U1349" i="5"/>
  <c r="U1350" i="5"/>
  <c r="U1351" i="5"/>
  <c r="U1352" i="5"/>
  <c r="U1353" i="5"/>
  <c r="U1354" i="5"/>
  <c r="U1355" i="5"/>
  <c r="U1356" i="5"/>
  <c r="U1357" i="5"/>
  <c r="U1358" i="5"/>
  <c r="U1359" i="5"/>
  <c r="U1360" i="5"/>
  <c r="U1361" i="5"/>
  <c r="U1362" i="5"/>
  <c r="U1363" i="5"/>
  <c r="U1364" i="5"/>
  <c r="U1365" i="5"/>
  <c r="U1366" i="5"/>
  <c r="U1367" i="5"/>
  <c r="U1368" i="5"/>
  <c r="U1369" i="5"/>
  <c r="U1370" i="5"/>
  <c r="U1371" i="5"/>
  <c r="U1372" i="5"/>
  <c r="U1373" i="5"/>
  <c r="U1374" i="5"/>
  <c r="U1375" i="5"/>
  <c r="U1376" i="5"/>
  <c r="U1377" i="5"/>
  <c r="U1378" i="5"/>
  <c r="U1379" i="5"/>
  <c r="U1380" i="5"/>
  <c r="U1381" i="5"/>
  <c r="U1382" i="5"/>
  <c r="U1383" i="5"/>
  <c r="U1384" i="5"/>
  <c r="U1385" i="5"/>
  <c r="U1386" i="5"/>
  <c r="U1387" i="5"/>
  <c r="U1388" i="5"/>
  <c r="U1389" i="5"/>
  <c r="U1390" i="5"/>
  <c r="U1391" i="5"/>
  <c r="U1392" i="5"/>
  <c r="U1393" i="5"/>
  <c r="U1394" i="5"/>
  <c r="U1395" i="5"/>
  <c r="U1396" i="5"/>
  <c r="U1397" i="5"/>
  <c r="U1398" i="5"/>
  <c r="U1399" i="5"/>
  <c r="U1400" i="5"/>
  <c r="U1401" i="5"/>
  <c r="U1402" i="5"/>
  <c r="U1403" i="5"/>
  <c r="U1404" i="5"/>
  <c r="U1405" i="5"/>
  <c r="U1406" i="5"/>
  <c r="U1407" i="5"/>
  <c r="U1408" i="5"/>
  <c r="U1409" i="5"/>
  <c r="U1410" i="5"/>
  <c r="U1411" i="5"/>
  <c r="U1412" i="5"/>
  <c r="U1413" i="5"/>
  <c r="U1414" i="5"/>
  <c r="U1415" i="5"/>
  <c r="U1416" i="5"/>
  <c r="U1417" i="5"/>
  <c r="U1418" i="5"/>
  <c r="U1419" i="5"/>
  <c r="U1420" i="5"/>
  <c r="U1421" i="5"/>
  <c r="U1422" i="5"/>
  <c r="U1423" i="5"/>
  <c r="U1424" i="5"/>
  <c r="U1425" i="5"/>
  <c r="U1426" i="5"/>
  <c r="U1427" i="5"/>
  <c r="U1428" i="5"/>
  <c r="U1429" i="5"/>
  <c r="U1430" i="5"/>
  <c r="U1431" i="5"/>
  <c r="U1432" i="5"/>
  <c r="U1433" i="5"/>
  <c r="U1434" i="5"/>
  <c r="U1435" i="5"/>
  <c r="U1436" i="5"/>
  <c r="U1437" i="5"/>
  <c r="U1438" i="5"/>
  <c r="U1439" i="5"/>
  <c r="U1440" i="5"/>
  <c r="U1441" i="5"/>
  <c r="U1442" i="5"/>
  <c r="U1443" i="5"/>
  <c r="U1444" i="5"/>
  <c r="U1445" i="5"/>
  <c r="U1446" i="5"/>
  <c r="U1447" i="5"/>
  <c r="U1448" i="5"/>
  <c r="U1449" i="5"/>
  <c r="U1450" i="5"/>
  <c r="U1451" i="5"/>
  <c r="U1452" i="5"/>
  <c r="U1453" i="5"/>
  <c r="U1454" i="5"/>
  <c r="U1455" i="5"/>
  <c r="U1456" i="5"/>
  <c r="U1457" i="5"/>
  <c r="U1458" i="5"/>
  <c r="U1459" i="5"/>
  <c r="U1460" i="5"/>
  <c r="U1461" i="5"/>
  <c r="U1462" i="5"/>
  <c r="U1463" i="5"/>
  <c r="U1464" i="5"/>
  <c r="U1465" i="5"/>
  <c r="U1466" i="5"/>
  <c r="U1467" i="5"/>
  <c r="U1468" i="5"/>
  <c r="U1469" i="5"/>
  <c r="U1470" i="5"/>
  <c r="U1471" i="5"/>
  <c r="U1472" i="5"/>
  <c r="U1473" i="5"/>
  <c r="U1474" i="5"/>
  <c r="U1475" i="5"/>
  <c r="U1476" i="5"/>
  <c r="U1477" i="5"/>
  <c r="U1478" i="5"/>
  <c r="U1479" i="5"/>
  <c r="U1480" i="5"/>
  <c r="U1481" i="5"/>
  <c r="U1482" i="5"/>
  <c r="U1483" i="5"/>
  <c r="U1484" i="5"/>
  <c r="U1485" i="5"/>
  <c r="U1486" i="5"/>
  <c r="U1487" i="5"/>
  <c r="U1488" i="5"/>
  <c r="U1489" i="5"/>
  <c r="U1490" i="5"/>
  <c r="U1491" i="5"/>
  <c r="U1492" i="5"/>
  <c r="U1493" i="5"/>
  <c r="U1494" i="5"/>
  <c r="U1495" i="5"/>
  <c r="U1496" i="5"/>
  <c r="U1497" i="5"/>
  <c r="U1498" i="5"/>
  <c r="U1499" i="5"/>
  <c r="U1500" i="5"/>
  <c r="U1501" i="5"/>
  <c r="U1502" i="5"/>
  <c r="U1503" i="5"/>
  <c r="U1504" i="5"/>
  <c r="U1505" i="5"/>
  <c r="U1506" i="5"/>
  <c r="U1507" i="5"/>
  <c r="U1508" i="5"/>
  <c r="U1509" i="5"/>
  <c r="U1510" i="5"/>
  <c r="U1511" i="5"/>
  <c r="U1512" i="5"/>
  <c r="U1513" i="5"/>
  <c r="U1514" i="5"/>
  <c r="U1515" i="5"/>
  <c r="U1516" i="5"/>
  <c r="U1517" i="5"/>
  <c r="U1518" i="5"/>
  <c r="U1519" i="5"/>
  <c r="U1520" i="5"/>
  <c r="U1521" i="5"/>
  <c r="U1522" i="5"/>
  <c r="U1523" i="5"/>
  <c r="U1524" i="5"/>
  <c r="U1525" i="5"/>
  <c r="U1526" i="5"/>
  <c r="U1527" i="5"/>
  <c r="U1528" i="5"/>
  <c r="U1529" i="5"/>
  <c r="U1530" i="5"/>
  <c r="U1531" i="5"/>
  <c r="U1532" i="5"/>
  <c r="U1533" i="5"/>
  <c r="U1534" i="5"/>
  <c r="U1535" i="5"/>
  <c r="U1536" i="5"/>
  <c r="U1537" i="5"/>
  <c r="U1538" i="5"/>
  <c r="U1539" i="5"/>
  <c r="U1540" i="5"/>
  <c r="U1541" i="5"/>
  <c r="U1542" i="5"/>
  <c r="U1543" i="5"/>
  <c r="U1544" i="5"/>
  <c r="U1545" i="5"/>
  <c r="U1546" i="5"/>
  <c r="U1547" i="5"/>
  <c r="U1548" i="5"/>
  <c r="U1549" i="5"/>
  <c r="U1550" i="5"/>
  <c r="U1551" i="5"/>
  <c r="U1552" i="5"/>
  <c r="U1553" i="5"/>
  <c r="U1554" i="5"/>
  <c r="U1555" i="5"/>
  <c r="U1556" i="5"/>
  <c r="U1557" i="5"/>
  <c r="U1558" i="5"/>
  <c r="U1559" i="5"/>
  <c r="U1560" i="5"/>
  <c r="U1561" i="5"/>
  <c r="U1562" i="5"/>
  <c r="U1563" i="5"/>
  <c r="U1564" i="5"/>
  <c r="U1565" i="5"/>
  <c r="U1566" i="5"/>
  <c r="U1567" i="5"/>
  <c r="U1568" i="5"/>
  <c r="U1569" i="5"/>
  <c r="U1570" i="5"/>
  <c r="U1571" i="5"/>
  <c r="U1572" i="5"/>
  <c r="U1573" i="5"/>
  <c r="U1574" i="5"/>
  <c r="U1575" i="5"/>
  <c r="U1576" i="5"/>
  <c r="U1577" i="5"/>
  <c r="U1578" i="5"/>
  <c r="U1579" i="5"/>
  <c r="U1580" i="5"/>
  <c r="U1581" i="5"/>
  <c r="U1582" i="5"/>
  <c r="U1583" i="5"/>
  <c r="U1584" i="5"/>
  <c r="U1585" i="5"/>
  <c r="U1586" i="5"/>
  <c r="U1587" i="5"/>
  <c r="U1588" i="5"/>
  <c r="U1589" i="5"/>
  <c r="U1590" i="5"/>
  <c r="U1591" i="5"/>
  <c r="U1592" i="5"/>
  <c r="U1593" i="5"/>
  <c r="U1594" i="5"/>
  <c r="U1595" i="5"/>
  <c r="U1596" i="5"/>
  <c r="U1597" i="5"/>
  <c r="U1598" i="5"/>
  <c r="U1599" i="5"/>
  <c r="U1600" i="5"/>
  <c r="U1601" i="5"/>
  <c r="U1602" i="5"/>
  <c r="U1603" i="5"/>
  <c r="U1604" i="5"/>
  <c r="U1605" i="5"/>
  <c r="U1606" i="5"/>
  <c r="U1607" i="5"/>
  <c r="U1608" i="5"/>
  <c r="U1609" i="5"/>
  <c r="U1610" i="5"/>
  <c r="U1611" i="5"/>
  <c r="U1612" i="5"/>
  <c r="U1613" i="5"/>
  <c r="U1614" i="5"/>
  <c r="U1615" i="5"/>
  <c r="U1616" i="5"/>
  <c r="U1617" i="5"/>
  <c r="U1618" i="5"/>
  <c r="U1619" i="5"/>
  <c r="U1620" i="5"/>
  <c r="U1621" i="5"/>
  <c r="U1622" i="5"/>
  <c r="U1623" i="5"/>
  <c r="U1624" i="5"/>
  <c r="U1625" i="5"/>
  <c r="U1626" i="5"/>
  <c r="U1627" i="5"/>
  <c r="U1628" i="5"/>
  <c r="U1629" i="5"/>
  <c r="U1630" i="5"/>
  <c r="U1631" i="5"/>
  <c r="U1632" i="5"/>
  <c r="U1633" i="5"/>
  <c r="U1634" i="5"/>
  <c r="U1635" i="5"/>
  <c r="U1636" i="5"/>
  <c r="U1637" i="5"/>
  <c r="U1638" i="5"/>
  <c r="U1639" i="5"/>
  <c r="U1640" i="5"/>
  <c r="U1641" i="5"/>
  <c r="U1642" i="5"/>
  <c r="U1643" i="5"/>
  <c r="U1644" i="5"/>
  <c r="U1645" i="5"/>
  <c r="U1646" i="5"/>
  <c r="U1647" i="5"/>
  <c r="U1648" i="5"/>
  <c r="U1649" i="5"/>
  <c r="U1650" i="5"/>
  <c r="U1651" i="5"/>
  <c r="U1652" i="5"/>
  <c r="U1653" i="5"/>
  <c r="U1654" i="5"/>
  <c r="U1655" i="5"/>
  <c r="U1656" i="5"/>
  <c r="U1657" i="5"/>
  <c r="U1658" i="5"/>
  <c r="U1659" i="5"/>
  <c r="U1660" i="5"/>
  <c r="U1661" i="5"/>
  <c r="U1662" i="5"/>
  <c r="U1663" i="5"/>
  <c r="U1664" i="5"/>
  <c r="U1665" i="5"/>
  <c r="U1666" i="5"/>
  <c r="U1667" i="5"/>
  <c r="U1668" i="5"/>
  <c r="U1669" i="5"/>
  <c r="U1670" i="5"/>
  <c r="U1671" i="5"/>
  <c r="U1672" i="5"/>
  <c r="U1673" i="5"/>
  <c r="U1674" i="5"/>
  <c r="U1675" i="5"/>
  <c r="U1676" i="5"/>
  <c r="U1677" i="5"/>
  <c r="U1678" i="5"/>
  <c r="U1679" i="5"/>
  <c r="U1680" i="5"/>
  <c r="U1681" i="5"/>
  <c r="U1682" i="5"/>
  <c r="U1683" i="5"/>
  <c r="U1684" i="5"/>
  <c r="U1685" i="5"/>
  <c r="U1686" i="5"/>
  <c r="U1687" i="5"/>
  <c r="U1688" i="5"/>
  <c r="U1689" i="5"/>
  <c r="U1690" i="5"/>
  <c r="U1691" i="5"/>
  <c r="U1692" i="5"/>
  <c r="U1693" i="5"/>
  <c r="U1694" i="5"/>
  <c r="U1695" i="5"/>
  <c r="U1696" i="5"/>
  <c r="U1697" i="5"/>
  <c r="U1698" i="5"/>
  <c r="U1699" i="5"/>
  <c r="U1700" i="5"/>
  <c r="U1701" i="5"/>
  <c r="U1702" i="5"/>
  <c r="U1703" i="5"/>
  <c r="U1704" i="5"/>
  <c r="U1705" i="5"/>
  <c r="U1706" i="5"/>
  <c r="U1707" i="5"/>
  <c r="U1708" i="5"/>
  <c r="U1709" i="5"/>
  <c r="U1710" i="5"/>
  <c r="U1711" i="5"/>
  <c r="U1712" i="5"/>
  <c r="U1713" i="5"/>
  <c r="U1714" i="5"/>
  <c r="U1715" i="5"/>
  <c r="U1716" i="5"/>
  <c r="U1717" i="5"/>
  <c r="U1718" i="5"/>
  <c r="U1719" i="5"/>
  <c r="U1720" i="5"/>
  <c r="U1721" i="5"/>
  <c r="U1722" i="5"/>
  <c r="U1723" i="5"/>
  <c r="U1724" i="5"/>
  <c r="U1725" i="5"/>
  <c r="U1726" i="5"/>
  <c r="U1727" i="5"/>
  <c r="U1728" i="5"/>
  <c r="U1729" i="5"/>
  <c r="U1730" i="5"/>
  <c r="U1731" i="5"/>
  <c r="U1732" i="5"/>
  <c r="U1733" i="5"/>
  <c r="U1734" i="5"/>
  <c r="U1735" i="5"/>
  <c r="U1736" i="5"/>
  <c r="U1737" i="5"/>
  <c r="U1738" i="5"/>
  <c r="U1739" i="5"/>
  <c r="U1740" i="5"/>
  <c r="U1741" i="5"/>
  <c r="U1742" i="5"/>
  <c r="U1743" i="5"/>
  <c r="U1744" i="5"/>
  <c r="U1745" i="5"/>
  <c r="U1746" i="5"/>
  <c r="U1747" i="5"/>
  <c r="U1748" i="5"/>
  <c r="U1749" i="5"/>
  <c r="U1750" i="5"/>
  <c r="U1751" i="5"/>
  <c r="U1752" i="5"/>
  <c r="U1753" i="5"/>
  <c r="U1754" i="5"/>
  <c r="U1755" i="5"/>
  <c r="U1756" i="5"/>
  <c r="U1757" i="5"/>
  <c r="U1758" i="5"/>
  <c r="U1759" i="5"/>
  <c r="U1760" i="5"/>
  <c r="U1761" i="5"/>
  <c r="U1762" i="5"/>
  <c r="U1763" i="5"/>
  <c r="U1764" i="5"/>
  <c r="U1765" i="5"/>
  <c r="U1766" i="5"/>
  <c r="U1767" i="5"/>
  <c r="U1768" i="5"/>
  <c r="U1769" i="5"/>
  <c r="U1770" i="5"/>
  <c r="U1771" i="5"/>
  <c r="U1772" i="5"/>
  <c r="U1773" i="5"/>
  <c r="U1774" i="5"/>
  <c r="U1775" i="5"/>
  <c r="U1776" i="5"/>
  <c r="U1777" i="5"/>
  <c r="U1778" i="5"/>
  <c r="U1779" i="5"/>
  <c r="U1780" i="5"/>
  <c r="U1781" i="5"/>
  <c r="U1782" i="5"/>
  <c r="U1783" i="5"/>
  <c r="U1784" i="5"/>
  <c r="U1785" i="5"/>
  <c r="U1786" i="5"/>
  <c r="U1787" i="5"/>
  <c r="U1788" i="5"/>
  <c r="U1789" i="5"/>
  <c r="U1790" i="5"/>
  <c r="U1791" i="5"/>
  <c r="U1792" i="5"/>
  <c r="U1793" i="5"/>
  <c r="U1794" i="5"/>
  <c r="U1795" i="5"/>
  <c r="U1796" i="5"/>
  <c r="U1797" i="5"/>
  <c r="U1798" i="5"/>
  <c r="U1799" i="5"/>
  <c r="U1800" i="5"/>
  <c r="U1801" i="5"/>
  <c r="U1802" i="5"/>
  <c r="U1803" i="5"/>
  <c r="U1804" i="5"/>
  <c r="U1805" i="5"/>
  <c r="U1806" i="5"/>
  <c r="U1807" i="5"/>
  <c r="U1808" i="5"/>
  <c r="U1809" i="5"/>
  <c r="U1810" i="5"/>
  <c r="U1811" i="5"/>
  <c r="U1812" i="5"/>
  <c r="U1813" i="5"/>
  <c r="U1814" i="5"/>
  <c r="U1815" i="5"/>
  <c r="U1816" i="5"/>
  <c r="U1817" i="5"/>
  <c r="U1818" i="5"/>
  <c r="U1819" i="5"/>
  <c r="U1820" i="5"/>
  <c r="U1821" i="5"/>
  <c r="U1822" i="5"/>
  <c r="U1823" i="5"/>
  <c r="U1824" i="5"/>
  <c r="U1825" i="5"/>
  <c r="U1826" i="5"/>
  <c r="U1827" i="5"/>
  <c r="U1828" i="5"/>
  <c r="U1829" i="5"/>
  <c r="U1830" i="5"/>
  <c r="U1831" i="5"/>
  <c r="U1832" i="5"/>
  <c r="U1833" i="5"/>
  <c r="U1834" i="5"/>
  <c r="U1835" i="5"/>
  <c r="U1836" i="5"/>
  <c r="U1837" i="5"/>
  <c r="U1838" i="5"/>
  <c r="U1839" i="5"/>
  <c r="U1840" i="5"/>
  <c r="U1841" i="5"/>
  <c r="U1842" i="5"/>
  <c r="U1843" i="5"/>
  <c r="U1844" i="5"/>
  <c r="U1845" i="5"/>
  <c r="U1846" i="5"/>
  <c r="U1847" i="5"/>
  <c r="U1848" i="5"/>
  <c r="U1849" i="5"/>
  <c r="U1850" i="5"/>
  <c r="U1851" i="5"/>
  <c r="U1852" i="5"/>
  <c r="U1853" i="5"/>
  <c r="U1854" i="5"/>
  <c r="U1855" i="5"/>
  <c r="U1856" i="5"/>
  <c r="U1857" i="5"/>
  <c r="U1858" i="5"/>
  <c r="U1859" i="5"/>
  <c r="U1860" i="5"/>
  <c r="U1861" i="5"/>
  <c r="U1862" i="5"/>
  <c r="U1863" i="5"/>
  <c r="U1864" i="5"/>
  <c r="U1865" i="5"/>
  <c r="U1866" i="5"/>
  <c r="U1867" i="5"/>
  <c r="U1868" i="5"/>
  <c r="U1869" i="5"/>
  <c r="U1870" i="5"/>
  <c r="U1871" i="5"/>
  <c r="U1872" i="5"/>
  <c r="U1873" i="5"/>
  <c r="U1874" i="5"/>
  <c r="U1875" i="5"/>
  <c r="U1876" i="5"/>
  <c r="U1877" i="5"/>
  <c r="U1878" i="5"/>
  <c r="U1879" i="5"/>
  <c r="U1880" i="5"/>
  <c r="U1881" i="5"/>
  <c r="U1882" i="5"/>
  <c r="U1883" i="5"/>
  <c r="U1884" i="5"/>
  <c r="U1885" i="5"/>
  <c r="U1886" i="5"/>
  <c r="U1887" i="5"/>
  <c r="U1888" i="5"/>
  <c r="U1889" i="5"/>
  <c r="U1890" i="5"/>
  <c r="U1891" i="5"/>
  <c r="U1892" i="5"/>
  <c r="U1893" i="5"/>
  <c r="U1894" i="5"/>
  <c r="U1895" i="5"/>
  <c r="U1896" i="5"/>
  <c r="U1897" i="5"/>
  <c r="U1898" i="5"/>
  <c r="U1899" i="5"/>
  <c r="U1900" i="5"/>
  <c r="U1901" i="5"/>
  <c r="U1902" i="5"/>
  <c r="U1903" i="5"/>
  <c r="U1904" i="5"/>
  <c r="U1905" i="5"/>
  <c r="U1906" i="5"/>
  <c r="U1907" i="5"/>
  <c r="U1908" i="5"/>
  <c r="U1909" i="5"/>
  <c r="U1910" i="5"/>
  <c r="U1911" i="5"/>
  <c r="U1912" i="5"/>
  <c r="U1913" i="5"/>
  <c r="U1914" i="5"/>
  <c r="U1915" i="5"/>
  <c r="U1916" i="5"/>
  <c r="U1917" i="5"/>
  <c r="U1918" i="5"/>
  <c r="U1919" i="5"/>
  <c r="U1920" i="5"/>
  <c r="U1921" i="5"/>
  <c r="U1922" i="5"/>
  <c r="U1923" i="5"/>
  <c r="U1924" i="5"/>
  <c r="U1925" i="5"/>
  <c r="U1926" i="5"/>
  <c r="U1927" i="5"/>
  <c r="U1928" i="5"/>
  <c r="U1929" i="5"/>
  <c r="U1930" i="5"/>
  <c r="U1931" i="5"/>
  <c r="U1932" i="5"/>
  <c r="U1933" i="5"/>
  <c r="U1934" i="5"/>
  <c r="U1935" i="5"/>
  <c r="U1936" i="5"/>
  <c r="U1937" i="5"/>
  <c r="U1938" i="5"/>
  <c r="U1939" i="5"/>
  <c r="U1940" i="5"/>
  <c r="U1941" i="5"/>
  <c r="U1942" i="5"/>
  <c r="U1943" i="5"/>
  <c r="U1944" i="5"/>
  <c r="U1945" i="5"/>
  <c r="U1946" i="5"/>
  <c r="U1947" i="5"/>
  <c r="U1948" i="5"/>
  <c r="U1949" i="5"/>
  <c r="U1950" i="5"/>
  <c r="U1951" i="5"/>
  <c r="U1952" i="5"/>
  <c r="U1953" i="5"/>
  <c r="U1954" i="5"/>
  <c r="U1955" i="5"/>
  <c r="U1956" i="5"/>
  <c r="U1957" i="5"/>
  <c r="U1958" i="5"/>
  <c r="U1959" i="5"/>
  <c r="U1960" i="5"/>
  <c r="U1961" i="5"/>
  <c r="U1962" i="5"/>
  <c r="U1963" i="5"/>
  <c r="U1964" i="5"/>
  <c r="U1965" i="5"/>
  <c r="U1966" i="5"/>
  <c r="U1967" i="5"/>
  <c r="U1968" i="5"/>
  <c r="U1969" i="5"/>
  <c r="U1970" i="5"/>
  <c r="U1971" i="5"/>
  <c r="U1972" i="5"/>
  <c r="U1973" i="5"/>
  <c r="U1974" i="5"/>
  <c r="U1975" i="5"/>
  <c r="U1976" i="5"/>
  <c r="U1977" i="5"/>
  <c r="U1978" i="5"/>
  <c r="U1979" i="5"/>
  <c r="U1980" i="5"/>
  <c r="U1981" i="5"/>
  <c r="U1982" i="5"/>
  <c r="U1983" i="5"/>
  <c r="U1984" i="5"/>
  <c r="U1985" i="5"/>
  <c r="U1986" i="5"/>
  <c r="U1987" i="5"/>
  <c r="U1988" i="5"/>
  <c r="U1989" i="5"/>
  <c r="U1990" i="5"/>
  <c r="U1991" i="5"/>
  <c r="U1992" i="5"/>
  <c r="U1993" i="5"/>
  <c r="U1994" i="5"/>
  <c r="U1995" i="5"/>
  <c r="U1996" i="5"/>
  <c r="U1997" i="5"/>
  <c r="U1998" i="5"/>
  <c r="U1999" i="5"/>
  <c r="U2000" i="5"/>
  <c r="U2001" i="5"/>
  <c r="U2002" i="5"/>
  <c r="U2003" i="5"/>
  <c r="U2004" i="5"/>
  <c r="U2005" i="5"/>
  <c r="U2006" i="5"/>
  <c r="U2007" i="5"/>
  <c r="U2008" i="5"/>
  <c r="U2009" i="5"/>
  <c r="U2010" i="5"/>
  <c r="U2011" i="5"/>
  <c r="U2012" i="5"/>
  <c r="U2013" i="5"/>
  <c r="U2014" i="5"/>
  <c r="U2015" i="5"/>
  <c r="U2016" i="5"/>
  <c r="U2017" i="5"/>
  <c r="U2018" i="5"/>
  <c r="U2019" i="5"/>
  <c r="U2020" i="5"/>
  <c r="U2021" i="5"/>
  <c r="U2022" i="5"/>
  <c r="U2023" i="5"/>
  <c r="U2024" i="5"/>
  <c r="U2025" i="5"/>
  <c r="U2026" i="5"/>
  <c r="U2027" i="5"/>
  <c r="U2028" i="5"/>
  <c r="U2029" i="5"/>
  <c r="U2030" i="5"/>
  <c r="U2031" i="5"/>
  <c r="U2032" i="5"/>
  <c r="U2033" i="5"/>
  <c r="U2034" i="5"/>
  <c r="U2035" i="5"/>
  <c r="U2036" i="5"/>
  <c r="U2037" i="5"/>
  <c r="U2038" i="5"/>
  <c r="U2039" i="5"/>
  <c r="U2040" i="5"/>
  <c r="U2041" i="5"/>
  <c r="U2042" i="5"/>
  <c r="U2043" i="5"/>
  <c r="U2044" i="5"/>
  <c r="U2045" i="5"/>
  <c r="U2046" i="5"/>
  <c r="U2047" i="5"/>
  <c r="U2048" i="5"/>
  <c r="U2049" i="5"/>
  <c r="U2050" i="5"/>
  <c r="U2051" i="5"/>
  <c r="U2052" i="5"/>
  <c r="U2053" i="5"/>
  <c r="U2054" i="5"/>
  <c r="U2055" i="5"/>
  <c r="U2056" i="5"/>
  <c r="U2057" i="5"/>
  <c r="U2058" i="5"/>
  <c r="U2059" i="5"/>
  <c r="U2060" i="5"/>
  <c r="U2061" i="5"/>
  <c r="U2062" i="5"/>
  <c r="U2063" i="5"/>
  <c r="U2064" i="5"/>
  <c r="U2065" i="5"/>
  <c r="U2066" i="5"/>
  <c r="U2067" i="5"/>
  <c r="U2068" i="5"/>
  <c r="U2069" i="5"/>
  <c r="U2070" i="5"/>
  <c r="U2071" i="5"/>
  <c r="U2072" i="5"/>
  <c r="U2073" i="5"/>
  <c r="U2074" i="5"/>
  <c r="U2075" i="5"/>
  <c r="U2076" i="5"/>
  <c r="U2077" i="5"/>
  <c r="U2078" i="5"/>
  <c r="U2079" i="5"/>
  <c r="U2080" i="5"/>
  <c r="U2081" i="5"/>
  <c r="U2082" i="5"/>
  <c r="U2083" i="5"/>
  <c r="U2084" i="5"/>
  <c r="U2085" i="5"/>
  <c r="U2086" i="5"/>
  <c r="U2087" i="5"/>
  <c r="U2088" i="5"/>
  <c r="U2089" i="5"/>
  <c r="U2090" i="5"/>
  <c r="U2091" i="5"/>
  <c r="U2092" i="5"/>
  <c r="U2093" i="5"/>
  <c r="U2094" i="5"/>
  <c r="U2095" i="5"/>
  <c r="U2096" i="5"/>
  <c r="U2097" i="5"/>
  <c r="U2098" i="5"/>
  <c r="U2099" i="5"/>
  <c r="U2100" i="5"/>
  <c r="U2101" i="5"/>
  <c r="U2102" i="5"/>
  <c r="U2103" i="5"/>
  <c r="U2104" i="5"/>
  <c r="U2105" i="5"/>
  <c r="U2106" i="5"/>
  <c r="U2107" i="5"/>
  <c r="U2108" i="5"/>
  <c r="U2109" i="5"/>
  <c r="U2110" i="5"/>
  <c r="U2111" i="5"/>
  <c r="U2112" i="5"/>
  <c r="U2113" i="5"/>
  <c r="U2114" i="5"/>
  <c r="U2115" i="5"/>
  <c r="U2116" i="5"/>
  <c r="U2117" i="5"/>
  <c r="U2118" i="5"/>
  <c r="U2119" i="5"/>
  <c r="U2120" i="5"/>
  <c r="U2121" i="5"/>
  <c r="U2122" i="5"/>
  <c r="U2123" i="5"/>
  <c r="U2124" i="5"/>
  <c r="U2125" i="5"/>
  <c r="U2126" i="5"/>
  <c r="U2127" i="5"/>
  <c r="U2128" i="5"/>
  <c r="U2129" i="5"/>
  <c r="U2130" i="5"/>
  <c r="U2131" i="5"/>
  <c r="U2132" i="5"/>
  <c r="U2133" i="5"/>
  <c r="U2134" i="5"/>
  <c r="U2135" i="5"/>
  <c r="U2136" i="5"/>
  <c r="U2137" i="5"/>
  <c r="U2138" i="5"/>
  <c r="U2139" i="5"/>
  <c r="U2140" i="5"/>
  <c r="U2141" i="5"/>
  <c r="U2142" i="5"/>
  <c r="U2143" i="5"/>
  <c r="U2144" i="5"/>
  <c r="U2145" i="5"/>
  <c r="U2146" i="5"/>
  <c r="U2147" i="5"/>
  <c r="U2148" i="5"/>
  <c r="U2149" i="5"/>
  <c r="U2150" i="5"/>
  <c r="U2151" i="5"/>
  <c r="U2152" i="5"/>
  <c r="U2153" i="5"/>
  <c r="U2154" i="5"/>
  <c r="U2155" i="5"/>
  <c r="U2156" i="5"/>
  <c r="U2157" i="5"/>
  <c r="U2158" i="5"/>
  <c r="U2159" i="5"/>
  <c r="U2160" i="5"/>
  <c r="U2161" i="5"/>
  <c r="U2162" i="5"/>
  <c r="U2163" i="5"/>
  <c r="U2164" i="5"/>
  <c r="U2165" i="5"/>
  <c r="U2166" i="5"/>
  <c r="U2167" i="5"/>
  <c r="U2168" i="5"/>
  <c r="U2169" i="5"/>
  <c r="U2170" i="5"/>
  <c r="U2171" i="5"/>
  <c r="U2172" i="5"/>
  <c r="U2173" i="5"/>
  <c r="U2174" i="5"/>
  <c r="U2175" i="5"/>
  <c r="U2176" i="5"/>
  <c r="U2177" i="5"/>
  <c r="U2178" i="5"/>
  <c r="U2179" i="5"/>
  <c r="U2180" i="5"/>
  <c r="U2181" i="5"/>
  <c r="U2182" i="5"/>
  <c r="U2183" i="5"/>
  <c r="U2184" i="5"/>
  <c r="U2185" i="5"/>
  <c r="U2186" i="5"/>
  <c r="U2187" i="5"/>
  <c r="U2188" i="5"/>
  <c r="U2189" i="5"/>
  <c r="U2190" i="5"/>
  <c r="U2191" i="5"/>
  <c r="U2192" i="5"/>
  <c r="U2193" i="5"/>
  <c r="U2194" i="5"/>
  <c r="U2195" i="5"/>
  <c r="U2196" i="5"/>
  <c r="U2197" i="5"/>
  <c r="U2198" i="5"/>
  <c r="U2199" i="5"/>
  <c r="U2200" i="5"/>
  <c r="U2201" i="5"/>
  <c r="U2202" i="5"/>
  <c r="U2203" i="5"/>
  <c r="U2204" i="5"/>
  <c r="U2205" i="5"/>
  <c r="U2206" i="5"/>
  <c r="U2207" i="5"/>
  <c r="U2208" i="5"/>
  <c r="U2209" i="5"/>
  <c r="U2210" i="5"/>
  <c r="U2211" i="5"/>
  <c r="U2212" i="5"/>
  <c r="U2213" i="5"/>
  <c r="U2214" i="5"/>
  <c r="U2215" i="5"/>
  <c r="U2216" i="5"/>
  <c r="U2217" i="5"/>
  <c r="U2218" i="5"/>
  <c r="U2219" i="5"/>
  <c r="U2220" i="5"/>
  <c r="U2221" i="5"/>
  <c r="U2222" i="5"/>
  <c r="U2223" i="5"/>
  <c r="U2224" i="5"/>
  <c r="U2225" i="5"/>
  <c r="U2226" i="5"/>
  <c r="U2227" i="5"/>
  <c r="U2228" i="5"/>
  <c r="U2229" i="5"/>
  <c r="U2230" i="5"/>
  <c r="U2231" i="5"/>
  <c r="U2232" i="5"/>
  <c r="U2233" i="5"/>
  <c r="U2234" i="5"/>
  <c r="U2235" i="5"/>
  <c r="U2236" i="5"/>
  <c r="U2237" i="5"/>
  <c r="U2238" i="5"/>
  <c r="U2239" i="5"/>
  <c r="U2240" i="5"/>
  <c r="U2241" i="5"/>
  <c r="U2242" i="5"/>
  <c r="U2243" i="5"/>
  <c r="U2244" i="5"/>
  <c r="U2245" i="5"/>
  <c r="U2246" i="5"/>
  <c r="U2247" i="5"/>
  <c r="U2248" i="5"/>
  <c r="U2249" i="5"/>
  <c r="U2250" i="5"/>
  <c r="U2251" i="5"/>
  <c r="U2252" i="5"/>
  <c r="U2253" i="5"/>
  <c r="U2254" i="5"/>
  <c r="U2255" i="5"/>
  <c r="U2256" i="5"/>
  <c r="U2257" i="5"/>
  <c r="U2258" i="5"/>
  <c r="U2259" i="5"/>
  <c r="U2260" i="5"/>
  <c r="U2261" i="5"/>
  <c r="U2262" i="5"/>
  <c r="U2263" i="5"/>
  <c r="U2264" i="5"/>
  <c r="U2265" i="5"/>
  <c r="U2266" i="5"/>
  <c r="U2267" i="5"/>
  <c r="U2268" i="5"/>
  <c r="U2269" i="5"/>
  <c r="U2270" i="5"/>
  <c r="U2271" i="5"/>
  <c r="U2272" i="5"/>
  <c r="U2273" i="5"/>
  <c r="U2274" i="5"/>
  <c r="U2275" i="5"/>
  <c r="U2276" i="5"/>
  <c r="U2277" i="5"/>
  <c r="U2278" i="5"/>
  <c r="U2279" i="5"/>
  <c r="U2280" i="5"/>
  <c r="U2281" i="5"/>
  <c r="U2282" i="5"/>
  <c r="U2283" i="5"/>
  <c r="U2284" i="5"/>
  <c r="U2285" i="5"/>
  <c r="U2286" i="5"/>
  <c r="U2287" i="5"/>
  <c r="U2288" i="5"/>
  <c r="U2289" i="5"/>
  <c r="U2290" i="5"/>
  <c r="U2291" i="5"/>
  <c r="U2292" i="5"/>
  <c r="U2293" i="5"/>
  <c r="U2294" i="5"/>
  <c r="U2295" i="5"/>
  <c r="U2296" i="5"/>
  <c r="U2297" i="5"/>
  <c r="U2298" i="5"/>
  <c r="U2299" i="5"/>
  <c r="U2300" i="5"/>
  <c r="U2301" i="5"/>
  <c r="U2302" i="5"/>
  <c r="U2303" i="5"/>
  <c r="U2304" i="5"/>
  <c r="U2305" i="5"/>
  <c r="U2306" i="5"/>
  <c r="U2307" i="5"/>
  <c r="U2308" i="5"/>
  <c r="U2309" i="5"/>
  <c r="U2310" i="5"/>
  <c r="U2311" i="5"/>
  <c r="U2312" i="5"/>
  <c r="U2313" i="5"/>
  <c r="U2314" i="5"/>
  <c r="U2315" i="5"/>
  <c r="U2316" i="5"/>
  <c r="U2317" i="5"/>
  <c r="U2318" i="5"/>
  <c r="U2319" i="5"/>
  <c r="U2320" i="5"/>
  <c r="U2321" i="5"/>
  <c r="U2322" i="5"/>
  <c r="U2323" i="5"/>
  <c r="U2324" i="5"/>
  <c r="U2325" i="5"/>
  <c r="U2326" i="5"/>
  <c r="U2327" i="5"/>
  <c r="U2328" i="5"/>
  <c r="U2329" i="5"/>
  <c r="U2330" i="5"/>
  <c r="U2331" i="5"/>
  <c r="U2332" i="5"/>
  <c r="U2333" i="5"/>
  <c r="U2334" i="5"/>
  <c r="U2335" i="5"/>
  <c r="U2336" i="5"/>
  <c r="U2337" i="5"/>
  <c r="U2338" i="5"/>
  <c r="U2339" i="5"/>
  <c r="U2340" i="5"/>
  <c r="U2341" i="5"/>
  <c r="U2342" i="5"/>
  <c r="U2343" i="5"/>
  <c r="U2344" i="5"/>
  <c r="U2345" i="5"/>
  <c r="U2346" i="5"/>
  <c r="U2347" i="5"/>
  <c r="U2348" i="5"/>
  <c r="U2349" i="5"/>
  <c r="U2350" i="5"/>
  <c r="U2351" i="5"/>
  <c r="U2352" i="5"/>
  <c r="U2353" i="5"/>
  <c r="U2354" i="5"/>
  <c r="U2355" i="5"/>
  <c r="U2356" i="5"/>
  <c r="U2357" i="5"/>
  <c r="U2358" i="5"/>
  <c r="U2359" i="5"/>
  <c r="U2360" i="5"/>
  <c r="U2361" i="5"/>
  <c r="U2362" i="5"/>
  <c r="U2363" i="5"/>
  <c r="U2364" i="5"/>
  <c r="U2365" i="5"/>
  <c r="U2366" i="5"/>
  <c r="U2367" i="5"/>
  <c r="U2368" i="5"/>
  <c r="U2369" i="5"/>
  <c r="U2370" i="5"/>
  <c r="U2371" i="5"/>
  <c r="U2372" i="5"/>
  <c r="U2373" i="5"/>
  <c r="U2374" i="5"/>
  <c r="U2375" i="5"/>
  <c r="U2376" i="5"/>
  <c r="U2377" i="5"/>
  <c r="U2378" i="5"/>
  <c r="U2379" i="5"/>
  <c r="U2380" i="5"/>
  <c r="U2381" i="5"/>
  <c r="U2382" i="5"/>
  <c r="U2383" i="5"/>
  <c r="U2384" i="5"/>
  <c r="U2385" i="5"/>
  <c r="U2386" i="5"/>
  <c r="U2387" i="5"/>
  <c r="U2388" i="5"/>
  <c r="U2389" i="5"/>
  <c r="U2390" i="5"/>
  <c r="U2391" i="5"/>
  <c r="U2392" i="5"/>
  <c r="U2393" i="5"/>
  <c r="U2394" i="5"/>
  <c r="U2395" i="5"/>
  <c r="U2396" i="5"/>
  <c r="U2397" i="5"/>
  <c r="U2398" i="5"/>
  <c r="U2399" i="5"/>
  <c r="U2400" i="5"/>
  <c r="U2401" i="5"/>
  <c r="U2402" i="5"/>
  <c r="U2403" i="5"/>
  <c r="U2404" i="5"/>
  <c r="U2405" i="5"/>
  <c r="U2406" i="5"/>
  <c r="U2407" i="5"/>
  <c r="U2408" i="5"/>
  <c r="U2409" i="5"/>
  <c r="U2410" i="5"/>
  <c r="U2411" i="5"/>
  <c r="U2412" i="5"/>
  <c r="U2413" i="5"/>
  <c r="U2414" i="5"/>
  <c r="U2415" i="5"/>
  <c r="U2416" i="5"/>
  <c r="U2417" i="5"/>
  <c r="U2418" i="5"/>
  <c r="U2419" i="5"/>
  <c r="U2420" i="5"/>
  <c r="U2421" i="5"/>
  <c r="U2422" i="5"/>
  <c r="U2423" i="5"/>
  <c r="U2424" i="5"/>
  <c r="U2425" i="5"/>
  <c r="U2426" i="5"/>
  <c r="U2427" i="5"/>
  <c r="U2428" i="5"/>
  <c r="U2429" i="5"/>
  <c r="U2430" i="5"/>
  <c r="U2431" i="5"/>
  <c r="U2432" i="5"/>
  <c r="U2433" i="5"/>
  <c r="U2434" i="5"/>
  <c r="U2435" i="5"/>
  <c r="U2436" i="5"/>
  <c r="U2437" i="5"/>
  <c r="U2438" i="5"/>
  <c r="U2439" i="5"/>
  <c r="U2440" i="5"/>
  <c r="U2441" i="5"/>
  <c r="U2442" i="5"/>
  <c r="U2443" i="5"/>
  <c r="U2444" i="5"/>
  <c r="U2445" i="5"/>
  <c r="U2446" i="5"/>
  <c r="U2447" i="5"/>
  <c r="U2448" i="5"/>
  <c r="U2449" i="5"/>
  <c r="U2450" i="5"/>
  <c r="U2451" i="5"/>
  <c r="U2452" i="5"/>
  <c r="U2453" i="5"/>
  <c r="U2454" i="5"/>
  <c r="U2455" i="5"/>
  <c r="U2456" i="5"/>
  <c r="U2457" i="5"/>
  <c r="U2458" i="5"/>
  <c r="U2459" i="5"/>
  <c r="U2460" i="5"/>
  <c r="U2461" i="5"/>
  <c r="U2462" i="5"/>
  <c r="U2463" i="5"/>
  <c r="U2464" i="5"/>
  <c r="U2465" i="5"/>
  <c r="U2466" i="5"/>
  <c r="U2467" i="5"/>
  <c r="U2468" i="5"/>
  <c r="U2469" i="5"/>
  <c r="U2470" i="5"/>
  <c r="U2471" i="5"/>
  <c r="U2472" i="5"/>
  <c r="U2473" i="5"/>
  <c r="U2474" i="5"/>
  <c r="U2475" i="5"/>
  <c r="U2476" i="5"/>
  <c r="U2477" i="5"/>
  <c r="U2478" i="5"/>
  <c r="U2479" i="5"/>
  <c r="U2480" i="5"/>
  <c r="U2481" i="5"/>
  <c r="U2482" i="5"/>
  <c r="U2483" i="5"/>
  <c r="U2484" i="5"/>
  <c r="U2485" i="5"/>
  <c r="U2486" i="5"/>
  <c r="U2487" i="5"/>
  <c r="U2488" i="5"/>
  <c r="U2489" i="5"/>
  <c r="U2490" i="5"/>
  <c r="U2491" i="5"/>
  <c r="U2492" i="5"/>
  <c r="U2493" i="5"/>
  <c r="U2494" i="5"/>
  <c r="U2495" i="5"/>
  <c r="U2496" i="5"/>
  <c r="U2497" i="5"/>
  <c r="U2498" i="5"/>
  <c r="U2499" i="5"/>
  <c r="U2500" i="5"/>
  <c r="U2501" i="5"/>
  <c r="U2502" i="5"/>
  <c r="U2503" i="5"/>
  <c r="U2504" i="5"/>
  <c r="U2505" i="5"/>
  <c r="U2506" i="5"/>
  <c r="U2507" i="5"/>
  <c r="U2508" i="5"/>
  <c r="U2509" i="5"/>
  <c r="U2510" i="5"/>
  <c r="U2511" i="5"/>
  <c r="U2512" i="5"/>
  <c r="U2513" i="5"/>
  <c r="U2514" i="5"/>
  <c r="U2515" i="5"/>
  <c r="U2516" i="5"/>
  <c r="U2517" i="5"/>
  <c r="U2518" i="5"/>
  <c r="U2519" i="5"/>
  <c r="U2520" i="5"/>
  <c r="U2521" i="5"/>
  <c r="U2522" i="5"/>
  <c r="U2523" i="5"/>
  <c r="U2524" i="5"/>
  <c r="U2525" i="5"/>
  <c r="U2526" i="5"/>
  <c r="U2527" i="5"/>
  <c r="U2528" i="5"/>
  <c r="U2529" i="5"/>
  <c r="U2530" i="5"/>
  <c r="U2531" i="5"/>
  <c r="U2532" i="5"/>
  <c r="U2533" i="5"/>
  <c r="U2534" i="5"/>
  <c r="U2535" i="5"/>
  <c r="U2536" i="5"/>
  <c r="U2537" i="5"/>
  <c r="U2538" i="5"/>
  <c r="U2539" i="5"/>
  <c r="U2540" i="5"/>
  <c r="U2541" i="5"/>
  <c r="U2542" i="5"/>
  <c r="U2543" i="5"/>
  <c r="U2544" i="5"/>
  <c r="U2545" i="5"/>
  <c r="U2546" i="5"/>
  <c r="U2547" i="5"/>
  <c r="U2548" i="5"/>
  <c r="U2549" i="5"/>
  <c r="U2550" i="5"/>
  <c r="U2551" i="5"/>
  <c r="U2552" i="5"/>
  <c r="U2553" i="5"/>
  <c r="U2554" i="5"/>
  <c r="U2555" i="5"/>
  <c r="U2556" i="5"/>
  <c r="U2557" i="5"/>
  <c r="U2558" i="5"/>
  <c r="U2559" i="5"/>
  <c r="U2560" i="5"/>
  <c r="U2561" i="5"/>
  <c r="U2562" i="5"/>
  <c r="U2563" i="5"/>
  <c r="U2564" i="5"/>
  <c r="U2565" i="5"/>
  <c r="U2566" i="5"/>
  <c r="U2567" i="5"/>
  <c r="U2568" i="5"/>
  <c r="U2569" i="5"/>
  <c r="U2570" i="5"/>
  <c r="U2571" i="5"/>
  <c r="U2572" i="5"/>
  <c r="U2573" i="5"/>
  <c r="U2574" i="5"/>
  <c r="U2575" i="5"/>
  <c r="U2576" i="5"/>
  <c r="U2577" i="5"/>
  <c r="U2578" i="5"/>
  <c r="U2579" i="5"/>
  <c r="U2580" i="5"/>
  <c r="U2581" i="5"/>
  <c r="U2582" i="5"/>
  <c r="U2583" i="5"/>
  <c r="U2584" i="5"/>
  <c r="U2585" i="5"/>
  <c r="U2586" i="5"/>
  <c r="U2587" i="5"/>
  <c r="U2588" i="5"/>
  <c r="U2589" i="5"/>
  <c r="U2590" i="5"/>
  <c r="U2591" i="5"/>
  <c r="U2592" i="5"/>
  <c r="U2593" i="5"/>
  <c r="U2594" i="5"/>
  <c r="U2595" i="5"/>
  <c r="U2596" i="5"/>
  <c r="U2597" i="5"/>
  <c r="U2598" i="5"/>
  <c r="U2599" i="5"/>
  <c r="U2600" i="5"/>
  <c r="U2601" i="5"/>
  <c r="U2602" i="5"/>
  <c r="U2603" i="5"/>
  <c r="U2604" i="5"/>
  <c r="U2605" i="5"/>
  <c r="U2606" i="5"/>
  <c r="U2607" i="5"/>
  <c r="U2608" i="5"/>
  <c r="U2609" i="5"/>
  <c r="U2610" i="5"/>
  <c r="U2611" i="5"/>
  <c r="U2612" i="5"/>
  <c r="U2613" i="5"/>
  <c r="U2614" i="5"/>
  <c r="U2615" i="5"/>
  <c r="U2616" i="5"/>
  <c r="U2617" i="5"/>
  <c r="U2618" i="5"/>
  <c r="U2619" i="5"/>
  <c r="U2620" i="5"/>
  <c r="U2621" i="5"/>
  <c r="U2622" i="5"/>
  <c r="U2623" i="5"/>
  <c r="U2624" i="5"/>
  <c r="U2625" i="5"/>
  <c r="U2626" i="5"/>
  <c r="U2627" i="5"/>
  <c r="U2628" i="5"/>
  <c r="U2629" i="5"/>
  <c r="U2630" i="5"/>
  <c r="U2631" i="5"/>
  <c r="U2632" i="5"/>
  <c r="U2633" i="5"/>
  <c r="U2634" i="5"/>
  <c r="U2635" i="5"/>
  <c r="U2636" i="5"/>
  <c r="U2637" i="5"/>
  <c r="U2638" i="5"/>
  <c r="U2639" i="5"/>
  <c r="U2640" i="5"/>
  <c r="U2641" i="5"/>
  <c r="U2642" i="5"/>
  <c r="U2643" i="5"/>
  <c r="U2644" i="5"/>
  <c r="U2645" i="5"/>
  <c r="U2646" i="5"/>
  <c r="U2647" i="5"/>
  <c r="U2648" i="5"/>
  <c r="U2649" i="5"/>
  <c r="U2650" i="5"/>
  <c r="U2651" i="5"/>
  <c r="U2652" i="5"/>
  <c r="U2653" i="5"/>
  <c r="U2654" i="5"/>
  <c r="U2655" i="5"/>
  <c r="U2656" i="5"/>
  <c r="U2657" i="5"/>
  <c r="U2658" i="5"/>
  <c r="U2659" i="5"/>
  <c r="U2660" i="5"/>
  <c r="U2661" i="5"/>
  <c r="U2662" i="5"/>
  <c r="U2663" i="5"/>
  <c r="U2664" i="5"/>
  <c r="U2665" i="5"/>
  <c r="U2666" i="5"/>
  <c r="U2667" i="5"/>
  <c r="U2668" i="5"/>
  <c r="U2669" i="5"/>
  <c r="U2670" i="5"/>
  <c r="U2671" i="5"/>
  <c r="U2672" i="5"/>
  <c r="U2673" i="5"/>
  <c r="U2674" i="5"/>
  <c r="U2675" i="5"/>
  <c r="U2676" i="5"/>
  <c r="U2677" i="5"/>
  <c r="U2678" i="5"/>
  <c r="U2679" i="5"/>
  <c r="U2680" i="5"/>
  <c r="U2681" i="5"/>
  <c r="U2682" i="5"/>
  <c r="U2683" i="5"/>
  <c r="U2684" i="5"/>
  <c r="U2685" i="5"/>
  <c r="U2686" i="5"/>
  <c r="U2687" i="5"/>
  <c r="U2688" i="5"/>
  <c r="U2689" i="5"/>
  <c r="U2690" i="5"/>
  <c r="U2691" i="5"/>
  <c r="U2692" i="5"/>
  <c r="U2693" i="5"/>
  <c r="U2694" i="5"/>
  <c r="U2695" i="5"/>
  <c r="U2696" i="5"/>
  <c r="U2697" i="5"/>
  <c r="U2698" i="5"/>
  <c r="U2699" i="5"/>
  <c r="U2700" i="5"/>
  <c r="U2701" i="5"/>
  <c r="U2702" i="5"/>
  <c r="U2703" i="5"/>
  <c r="U2704" i="5"/>
  <c r="U2705" i="5"/>
  <c r="U2706" i="5"/>
  <c r="U2707" i="5"/>
  <c r="U2708" i="5"/>
  <c r="U2709" i="5"/>
  <c r="U2710" i="5"/>
  <c r="U2711" i="5"/>
  <c r="U2712" i="5"/>
  <c r="U2713" i="5"/>
  <c r="U2714" i="5"/>
  <c r="U2715" i="5"/>
  <c r="U2716" i="5"/>
  <c r="U2717" i="5"/>
  <c r="U2718" i="5"/>
  <c r="U2719" i="5"/>
  <c r="U2720" i="5"/>
  <c r="U2721" i="5"/>
  <c r="U2722" i="5"/>
  <c r="U2723" i="5"/>
  <c r="U2724" i="5"/>
  <c r="U2725" i="5"/>
  <c r="U2726" i="5"/>
  <c r="U2727" i="5"/>
  <c r="U2728" i="5"/>
  <c r="U2729" i="5"/>
  <c r="U2730" i="5"/>
  <c r="U2731" i="5"/>
  <c r="U2732" i="5"/>
  <c r="U2733" i="5"/>
  <c r="U2734" i="5"/>
  <c r="U2735" i="5"/>
  <c r="U2736" i="5"/>
  <c r="U2737" i="5"/>
  <c r="U2738" i="5"/>
  <c r="U2739" i="5"/>
  <c r="U2740" i="5"/>
  <c r="U2741" i="5"/>
  <c r="U2742" i="5"/>
  <c r="U2743" i="5"/>
  <c r="U2744" i="5"/>
  <c r="U2745" i="5"/>
  <c r="U2746" i="5"/>
  <c r="U2747" i="5"/>
  <c r="U2748" i="5"/>
  <c r="U2749" i="5"/>
  <c r="U2750" i="5"/>
  <c r="U2751" i="5"/>
  <c r="U2752" i="5"/>
  <c r="U2753" i="5"/>
  <c r="U2754" i="5"/>
  <c r="U2755" i="5"/>
  <c r="U2756" i="5"/>
  <c r="U2757" i="5"/>
  <c r="U2758" i="5"/>
  <c r="U2759" i="5"/>
  <c r="U2760" i="5"/>
  <c r="U2761" i="5"/>
  <c r="U2762" i="5"/>
  <c r="U2763" i="5"/>
  <c r="U2764" i="5"/>
  <c r="U2765" i="5"/>
  <c r="U2766" i="5"/>
  <c r="U2767" i="5"/>
  <c r="U2768" i="5"/>
  <c r="U2769" i="5"/>
  <c r="U2770" i="5"/>
  <c r="U2771" i="5"/>
  <c r="U2772" i="5"/>
  <c r="U2773" i="5"/>
  <c r="U2774" i="5"/>
  <c r="U2775" i="5"/>
  <c r="U2776" i="5"/>
  <c r="U2777" i="5"/>
  <c r="U2778" i="5"/>
  <c r="U2779" i="5"/>
  <c r="U2780" i="5"/>
  <c r="U2781" i="5"/>
  <c r="U2782" i="5"/>
  <c r="U2783" i="5"/>
  <c r="U2784" i="5"/>
  <c r="U2785" i="5"/>
  <c r="U2786" i="5"/>
  <c r="U2787" i="5"/>
  <c r="U2788" i="5"/>
  <c r="U2789" i="5"/>
  <c r="U2790" i="5"/>
  <c r="U2791" i="5"/>
  <c r="U2792" i="5"/>
  <c r="U2793" i="5"/>
  <c r="U2794" i="5"/>
  <c r="U2795" i="5"/>
  <c r="U2796" i="5"/>
  <c r="U2797" i="5"/>
  <c r="U2798" i="5"/>
  <c r="U2799" i="5"/>
  <c r="U2800" i="5"/>
  <c r="U2801" i="5"/>
  <c r="U2802" i="5"/>
  <c r="U2803" i="5"/>
  <c r="U2804" i="5"/>
  <c r="U2805" i="5"/>
  <c r="U2806" i="5"/>
  <c r="U2807" i="5"/>
  <c r="U2808" i="5"/>
  <c r="U2809" i="5"/>
  <c r="U2810" i="5"/>
  <c r="U2811" i="5"/>
  <c r="U2812" i="5"/>
  <c r="U2813" i="5"/>
  <c r="U2814" i="5"/>
  <c r="U2815" i="5"/>
  <c r="U2816" i="5"/>
  <c r="U2817" i="5"/>
  <c r="U2818" i="5"/>
  <c r="U2819" i="5"/>
  <c r="U2820" i="5"/>
  <c r="U2821" i="5"/>
  <c r="U2822" i="5"/>
  <c r="U2823" i="5"/>
  <c r="U2824" i="5"/>
  <c r="U2825" i="5"/>
  <c r="U2826" i="5"/>
  <c r="U2827" i="5"/>
  <c r="U2828" i="5"/>
  <c r="U2829" i="5"/>
  <c r="U2830" i="5"/>
  <c r="U2831" i="5"/>
  <c r="U2832" i="5"/>
  <c r="U2833" i="5"/>
  <c r="U2834" i="5"/>
  <c r="U2835" i="5"/>
  <c r="U2836" i="5"/>
  <c r="U2837" i="5"/>
  <c r="U2838" i="5"/>
  <c r="U2839" i="5"/>
  <c r="U2840" i="5"/>
  <c r="U2841" i="5"/>
  <c r="U2842" i="5"/>
  <c r="U2843" i="5"/>
  <c r="U2844" i="5"/>
  <c r="U2845" i="5"/>
  <c r="U2846" i="5"/>
  <c r="U2847" i="5"/>
  <c r="U2848" i="5"/>
  <c r="U2849" i="5"/>
  <c r="U2850" i="5"/>
  <c r="U2851" i="5"/>
  <c r="U2852" i="5"/>
  <c r="U2853" i="5"/>
  <c r="U2854" i="5"/>
  <c r="U2855" i="5"/>
  <c r="U2856" i="5"/>
  <c r="U2857" i="5"/>
  <c r="U2858" i="5"/>
  <c r="U2859" i="5"/>
  <c r="U2860" i="5"/>
  <c r="U2861" i="5"/>
  <c r="U2862" i="5"/>
  <c r="U2863" i="5"/>
  <c r="U2864" i="5"/>
  <c r="U2865" i="5"/>
  <c r="U2866" i="5"/>
  <c r="U2867" i="5"/>
  <c r="U2868" i="5"/>
  <c r="U2869" i="5"/>
  <c r="U2870" i="5"/>
  <c r="U2871" i="5"/>
  <c r="U2872" i="5"/>
  <c r="U2873" i="5"/>
  <c r="U2874" i="5"/>
  <c r="U2875" i="5"/>
  <c r="U2876" i="5"/>
  <c r="U2877" i="5"/>
  <c r="U2878" i="5"/>
  <c r="U2879" i="5"/>
  <c r="U2880" i="5"/>
  <c r="U2881" i="5"/>
  <c r="U2882" i="5"/>
  <c r="U2883" i="5"/>
  <c r="U2884" i="5"/>
  <c r="U2885" i="5"/>
  <c r="U2886" i="5"/>
  <c r="U2887" i="5"/>
  <c r="U2888" i="5"/>
  <c r="U2889" i="5"/>
  <c r="U2890" i="5"/>
  <c r="U2891" i="5"/>
  <c r="U2892" i="5"/>
  <c r="U2893" i="5"/>
  <c r="U2894" i="5"/>
  <c r="U2895" i="5"/>
  <c r="U2896" i="5"/>
  <c r="U2897" i="5"/>
  <c r="U2898" i="5"/>
  <c r="U2899" i="5"/>
  <c r="U2900" i="5"/>
  <c r="U2901" i="5"/>
  <c r="U2902" i="5"/>
  <c r="U2903" i="5"/>
  <c r="U2904" i="5"/>
  <c r="U2905" i="5"/>
  <c r="U2906" i="5"/>
  <c r="U2907" i="5"/>
  <c r="U2908" i="5"/>
  <c r="U2909" i="5"/>
  <c r="U2910" i="5"/>
  <c r="U2911" i="5"/>
  <c r="U2912" i="5"/>
  <c r="U2913" i="5"/>
  <c r="U2914" i="5"/>
  <c r="U2915" i="5"/>
  <c r="U2916" i="5"/>
  <c r="U2917" i="5"/>
  <c r="U2918" i="5"/>
  <c r="U2919" i="5"/>
  <c r="U2920" i="5"/>
  <c r="U2921" i="5"/>
  <c r="U2922" i="5"/>
  <c r="U2923" i="5"/>
  <c r="U2924" i="5"/>
  <c r="U2925" i="5"/>
  <c r="U2926" i="5"/>
  <c r="U2927" i="5"/>
  <c r="U2928" i="5"/>
  <c r="U2929" i="5"/>
  <c r="U2930" i="5"/>
  <c r="U2931" i="5"/>
  <c r="U2932" i="5"/>
  <c r="U2933" i="5"/>
  <c r="U2934" i="5"/>
  <c r="U2935" i="5"/>
  <c r="U2936" i="5"/>
  <c r="U2937" i="5"/>
  <c r="U2938" i="5"/>
  <c r="U2939" i="5"/>
  <c r="U2940" i="5"/>
  <c r="U2941" i="5"/>
  <c r="U2942" i="5"/>
  <c r="U2943" i="5"/>
  <c r="U2944" i="5"/>
  <c r="U2945" i="5"/>
  <c r="U2946" i="5"/>
  <c r="U2947" i="5"/>
  <c r="U2948" i="5"/>
  <c r="U2949" i="5"/>
  <c r="U2950" i="5"/>
  <c r="U2951" i="5"/>
  <c r="U2952" i="5"/>
  <c r="U2953" i="5"/>
  <c r="U2954" i="5"/>
  <c r="U2955" i="5"/>
  <c r="U2956" i="5"/>
  <c r="U2957" i="5"/>
  <c r="U2958" i="5"/>
  <c r="U2959" i="5"/>
  <c r="U2960" i="5"/>
  <c r="U2961" i="5"/>
  <c r="U2962" i="5"/>
  <c r="U2963" i="5"/>
  <c r="U2964" i="5"/>
  <c r="U2965" i="5"/>
  <c r="U2966" i="5"/>
  <c r="U2967" i="5"/>
  <c r="U2968" i="5"/>
  <c r="U2969" i="5"/>
  <c r="U2970" i="5"/>
  <c r="U2971" i="5"/>
  <c r="U2972" i="5"/>
  <c r="U2973" i="5"/>
  <c r="U2974" i="5"/>
  <c r="U2975" i="5"/>
  <c r="U2976" i="5"/>
  <c r="U2977" i="5"/>
  <c r="U2978" i="5"/>
  <c r="U2979" i="5"/>
  <c r="U2980" i="5"/>
  <c r="U2981" i="5"/>
  <c r="U2982" i="5"/>
  <c r="U2983" i="5"/>
  <c r="U2984" i="5"/>
  <c r="U2985" i="5"/>
  <c r="U2986" i="5"/>
  <c r="U2987" i="5"/>
  <c r="U2988" i="5"/>
  <c r="U2989" i="5"/>
  <c r="U2990" i="5"/>
  <c r="U2991" i="5"/>
  <c r="U2992" i="5"/>
  <c r="U2993" i="5"/>
  <c r="U2994" i="5"/>
  <c r="U2995" i="5"/>
  <c r="U2996" i="5"/>
  <c r="U2997" i="5"/>
  <c r="U2998" i="5"/>
  <c r="U2999" i="5"/>
  <c r="U3000" i="5"/>
  <c r="U3001" i="5"/>
  <c r="U3002" i="5"/>
  <c r="U3003" i="5"/>
  <c r="U3004" i="5"/>
  <c r="U3005" i="5"/>
  <c r="U3006" i="5"/>
  <c r="U3007" i="5"/>
  <c r="U3008" i="5"/>
  <c r="U3009" i="5"/>
  <c r="U3010" i="5"/>
  <c r="U3011" i="5"/>
  <c r="U3012" i="5"/>
  <c r="U3013" i="5"/>
  <c r="U3014" i="5"/>
  <c r="U3015" i="5"/>
  <c r="U3016" i="5"/>
  <c r="U3017" i="5"/>
  <c r="U3018" i="5"/>
  <c r="U3019" i="5"/>
  <c r="U3020" i="5"/>
  <c r="U3021" i="5"/>
  <c r="U3022" i="5"/>
  <c r="U3023" i="5"/>
  <c r="U3024" i="5"/>
  <c r="U3025" i="5"/>
  <c r="U3026" i="5"/>
  <c r="U3027" i="5"/>
  <c r="U3028" i="5"/>
  <c r="U2" i="5"/>
  <c r="S3" i="5"/>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746" i="5"/>
  <c r="S747" i="5"/>
  <c r="S748" i="5"/>
  <c r="S749" i="5"/>
  <c r="S750" i="5"/>
  <c r="S751" i="5"/>
  <c r="S752" i="5"/>
  <c r="S753" i="5"/>
  <c r="S754" i="5"/>
  <c r="S755" i="5"/>
  <c r="S756" i="5"/>
  <c r="S757" i="5"/>
  <c r="S758" i="5"/>
  <c r="S759" i="5"/>
  <c r="S760" i="5"/>
  <c r="S761" i="5"/>
  <c r="S762" i="5"/>
  <c r="S763" i="5"/>
  <c r="S764" i="5"/>
  <c r="S765" i="5"/>
  <c r="S766" i="5"/>
  <c r="S767" i="5"/>
  <c r="S768" i="5"/>
  <c r="S769" i="5"/>
  <c r="S770" i="5"/>
  <c r="S771" i="5"/>
  <c r="S772" i="5"/>
  <c r="S773" i="5"/>
  <c r="S774" i="5"/>
  <c r="S775" i="5"/>
  <c r="S776" i="5"/>
  <c r="S777" i="5"/>
  <c r="S778" i="5"/>
  <c r="S779" i="5"/>
  <c r="S780" i="5"/>
  <c r="S781" i="5"/>
  <c r="S782" i="5"/>
  <c r="S783" i="5"/>
  <c r="S784" i="5"/>
  <c r="S785" i="5"/>
  <c r="S786" i="5"/>
  <c r="S787" i="5"/>
  <c r="S788" i="5"/>
  <c r="S789" i="5"/>
  <c r="S790" i="5"/>
  <c r="S791" i="5"/>
  <c r="S792" i="5"/>
  <c r="S793" i="5"/>
  <c r="S794" i="5"/>
  <c r="S795" i="5"/>
  <c r="S796" i="5"/>
  <c r="S797" i="5"/>
  <c r="S798" i="5"/>
  <c r="S799" i="5"/>
  <c r="S800" i="5"/>
  <c r="S801" i="5"/>
  <c r="S802" i="5"/>
  <c r="S803" i="5"/>
  <c r="S804" i="5"/>
  <c r="S805" i="5"/>
  <c r="S806" i="5"/>
  <c r="S807" i="5"/>
  <c r="S808" i="5"/>
  <c r="S809" i="5"/>
  <c r="S810" i="5"/>
  <c r="S811" i="5"/>
  <c r="S812" i="5"/>
  <c r="S813" i="5"/>
  <c r="S814" i="5"/>
  <c r="S815" i="5"/>
  <c r="S816" i="5"/>
  <c r="S817" i="5"/>
  <c r="S818" i="5"/>
  <c r="S819" i="5"/>
  <c r="S820" i="5"/>
  <c r="S821" i="5"/>
  <c r="S822" i="5"/>
  <c r="S823" i="5"/>
  <c r="S824" i="5"/>
  <c r="S825" i="5"/>
  <c r="S826" i="5"/>
  <c r="S827" i="5"/>
  <c r="S828" i="5"/>
  <c r="S829" i="5"/>
  <c r="S830" i="5"/>
  <c r="S831" i="5"/>
  <c r="S832" i="5"/>
  <c r="S833" i="5"/>
  <c r="S834" i="5"/>
  <c r="S835" i="5"/>
  <c r="S836" i="5"/>
  <c r="S837" i="5"/>
  <c r="S838" i="5"/>
  <c r="S839" i="5"/>
  <c r="S840" i="5"/>
  <c r="S841" i="5"/>
  <c r="S842" i="5"/>
  <c r="S843" i="5"/>
  <c r="S844" i="5"/>
  <c r="S845" i="5"/>
  <c r="S846" i="5"/>
  <c r="S847" i="5"/>
  <c r="S848" i="5"/>
  <c r="S849" i="5"/>
  <c r="S850" i="5"/>
  <c r="S851" i="5"/>
  <c r="S852" i="5"/>
  <c r="S853" i="5"/>
  <c r="S854" i="5"/>
  <c r="S855" i="5"/>
  <c r="S856" i="5"/>
  <c r="S857" i="5"/>
  <c r="S858" i="5"/>
  <c r="S859" i="5"/>
  <c r="S860" i="5"/>
  <c r="S861" i="5"/>
  <c r="S862" i="5"/>
  <c r="S863" i="5"/>
  <c r="S864" i="5"/>
  <c r="S865" i="5"/>
  <c r="S866" i="5"/>
  <c r="S867" i="5"/>
  <c r="S868" i="5"/>
  <c r="S869" i="5"/>
  <c r="S870" i="5"/>
  <c r="S871" i="5"/>
  <c r="S872" i="5"/>
  <c r="S873" i="5"/>
  <c r="S874" i="5"/>
  <c r="S875" i="5"/>
  <c r="S876" i="5"/>
  <c r="S877" i="5"/>
  <c r="S878" i="5"/>
  <c r="S879" i="5"/>
  <c r="S880" i="5"/>
  <c r="S881" i="5"/>
  <c r="S882" i="5"/>
  <c r="S883" i="5"/>
  <c r="S884" i="5"/>
  <c r="S885" i="5"/>
  <c r="S886" i="5"/>
  <c r="S887" i="5"/>
  <c r="S888" i="5"/>
  <c r="S889" i="5"/>
  <c r="S890" i="5"/>
  <c r="S891" i="5"/>
  <c r="S892" i="5"/>
  <c r="S893" i="5"/>
  <c r="S894" i="5"/>
  <c r="S895" i="5"/>
  <c r="S896" i="5"/>
  <c r="S897" i="5"/>
  <c r="S898" i="5"/>
  <c r="S899" i="5"/>
  <c r="S900" i="5"/>
  <c r="S901" i="5"/>
  <c r="S902" i="5"/>
  <c r="S903" i="5"/>
  <c r="S904" i="5"/>
  <c r="S905" i="5"/>
  <c r="S906" i="5"/>
  <c r="S907" i="5"/>
  <c r="S908" i="5"/>
  <c r="S909" i="5"/>
  <c r="S910" i="5"/>
  <c r="S911" i="5"/>
  <c r="S912" i="5"/>
  <c r="S913" i="5"/>
  <c r="S914" i="5"/>
  <c r="S915" i="5"/>
  <c r="S916" i="5"/>
  <c r="S917" i="5"/>
  <c r="S918" i="5"/>
  <c r="S919" i="5"/>
  <c r="S920" i="5"/>
  <c r="S921" i="5"/>
  <c r="S922" i="5"/>
  <c r="S923" i="5"/>
  <c r="S924" i="5"/>
  <c r="S925" i="5"/>
  <c r="S926" i="5"/>
  <c r="S927" i="5"/>
  <c r="S928" i="5"/>
  <c r="S929" i="5"/>
  <c r="S930" i="5"/>
  <c r="S931" i="5"/>
  <c r="S932" i="5"/>
  <c r="S933" i="5"/>
  <c r="S934" i="5"/>
  <c r="S935" i="5"/>
  <c r="S936" i="5"/>
  <c r="S937" i="5"/>
  <c r="S938" i="5"/>
  <c r="S939" i="5"/>
  <c r="S940" i="5"/>
  <c r="S941" i="5"/>
  <c r="S942" i="5"/>
  <c r="S943" i="5"/>
  <c r="S944" i="5"/>
  <c r="S945" i="5"/>
  <c r="S946" i="5"/>
  <c r="S947" i="5"/>
  <c r="S948" i="5"/>
  <c r="S949" i="5"/>
  <c r="S950" i="5"/>
  <c r="S951" i="5"/>
  <c r="S952" i="5"/>
  <c r="S953" i="5"/>
  <c r="S954" i="5"/>
  <c r="S955" i="5"/>
  <c r="S956" i="5"/>
  <c r="S957" i="5"/>
  <c r="S958" i="5"/>
  <c r="S959" i="5"/>
  <c r="S960" i="5"/>
  <c r="S961" i="5"/>
  <c r="S962" i="5"/>
  <c r="S963" i="5"/>
  <c r="S964" i="5"/>
  <c r="S965" i="5"/>
  <c r="S966" i="5"/>
  <c r="S967" i="5"/>
  <c r="S968" i="5"/>
  <c r="S969" i="5"/>
  <c r="S970" i="5"/>
  <c r="S971" i="5"/>
  <c r="S972" i="5"/>
  <c r="S973" i="5"/>
  <c r="S974" i="5"/>
  <c r="S975" i="5"/>
  <c r="S976" i="5"/>
  <c r="S977" i="5"/>
  <c r="S978" i="5"/>
  <c r="S979" i="5"/>
  <c r="S980" i="5"/>
  <c r="S981" i="5"/>
  <c r="S982" i="5"/>
  <c r="S983" i="5"/>
  <c r="S984" i="5"/>
  <c r="S985" i="5"/>
  <c r="S986" i="5"/>
  <c r="S987" i="5"/>
  <c r="S988" i="5"/>
  <c r="S989" i="5"/>
  <c r="S990" i="5"/>
  <c r="S991" i="5"/>
  <c r="S992" i="5"/>
  <c r="S993" i="5"/>
  <c r="S994" i="5"/>
  <c r="S995" i="5"/>
  <c r="S996" i="5"/>
  <c r="S997" i="5"/>
  <c r="S998" i="5"/>
  <c r="S999" i="5"/>
  <c r="S1000" i="5"/>
  <c r="S1001" i="5"/>
  <c r="S1002" i="5"/>
  <c r="S1003" i="5"/>
  <c r="S1004" i="5"/>
  <c r="S1005" i="5"/>
  <c r="S1006" i="5"/>
  <c r="S1007" i="5"/>
  <c r="S1008" i="5"/>
  <c r="S1009" i="5"/>
  <c r="S1010" i="5"/>
  <c r="S1011" i="5"/>
  <c r="S1012" i="5"/>
  <c r="S1013" i="5"/>
  <c r="S1014" i="5"/>
  <c r="S1015" i="5"/>
  <c r="S1016" i="5"/>
  <c r="S1017" i="5"/>
  <c r="S1018" i="5"/>
  <c r="S1019" i="5"/>
  <c r="S1020" i="5"/>
  <c r="S1021" i="5"/>
  <c r="S1022" i="5"/>
  <c r="S1023" i="5"/>
  <c r="S1024" i="5"/>
  <c r="S1025" i="5"/>
  <c r="S1026" i="5"/>
  <c r="S1027" i="5"/>
  <c r="S1028" i="5"/>
  <c r="S1029" i="5"/>
  <c r="S1030" i="5"/>
  <c r="S1031" i="5"/>
  <c r="S1032" i="5"/>
  <c r="S1033" i="5"/>
  <c r="S1034" i="5"/>
  <c r="S1035" i="5"/>
  <c r="S1036" i="5"/>
  <c r="S1037" i="5"/>
  <c r="S1038" i="5"/>
  <c r="S1039" i="5"/>
  <c r="S1040" i="5"/>
  <c r="S1041" i="5"/>
  <c r="S1042" i="5"/>
  <c r="S1043" i="5"/>
  <c r="S1044" i="5"/>
  <c r="S1045" i="5"/>
  <c r="S1046" i="5"/>
  <c r="S1047" i="5"/>
  <c r="S1048" i="5"/>
  <c r="S1049" i="5"/>
  <c r="S1050" i="5"/>
  <c r="S1051" i="5"/>
  <c r="S1052" i="5"/>
  <c r="S1053" i="5"/>
  <c r="S1054" i="5"/>
  <c r="S1055" i="5"/>
  <c r="S1056" i="5"/>
  <c r="S1057" i="5"/>
  <c r="S1058" i="5"/>
  <c r="S1059" i="5"/>
  <c r="S1060" i="5"/>
  <c r="S1061" i="5"/>
  <c r="S1062" i="5"/>
  <c r="S1063" i="5"/>
  <c r="S1064" i="5"/>
  <c r="S1065" i="5"/>
  <c r="S1066" i="5"/>
  <c r="S1067" i="5"/>
  <c r="S1068" i="5"/>
  <c r="S1069" i="5"/>
  <c r="S1070" i="5"/>
  <c r="S1071" i="5"/>
  <c r="S1072" i="5"/>
  <c r="S1073" i="5"/>
  <c r="S1074" i="5"/>
  <c r="S1075" i="5"/>
  <c r="S1076" i="5"/>
  <c r="S1077" i="5"/>
  <c r="S1078" i="5"/>
  <c r="S1079" i="5"/>
  <c r="S1080" i="5"/>
  <c r="S1081" i="5"/>
  <c r="S1082" i="5"/>
  <c r="S1083" i="5"/>
  <c r="S1084" i="5"/>
  <c r="S1085" i="5"/>
  <c r="S1086" i="5"/>
  <c r="S1087" i="5"/>
  <c r="S1088" i="5"/>
  <c r="S1089" i="5"/>
  <c r="S1090" i="5"/>
  <c r="S1091" i="5"/>
  <c r="S1092" i="5"/>
  <c r="S1093" i="5"/>
  <c r="S1094" i="5"/>
  <c r="S1095" i="5"/>
  <c r="S1096" i="5"/>
  <c r="S1097" i="5"/>
  <c r="S1098" i="5"/>
  <c r="S1099" i="5"/>
  <c r="S1100" i="5"/>
  <c r="S1101" i="5"/>
  <c r="S1102" i="5"/>
  <c r="S1103" i="5"/>
  <c r="S1104" i="5"/>
  <c r="S1105" i="5"/>
  <c r="S1106" i="5"/>
  <c r="S1107" i="5"/>
  <c r="S1108" i="5"/>
  <c r="S1109" i="5"/>
  <c r="S1110" i="5"/>
  <c r="S1111" i="5"/>
  <c r="S1112" i="5"/>
  <c r="S1113" i="5"/>
  <c r="S1114" i="5"/>
  <c r="S1115" i="5"/>
  <c r="S1116" i="5"/>
  <c r="S1117" i="5"/>
  <c r="S1118" i="5"/>
  <c r="S1119" i="5"/>
  <c r="S1120" i="5"/>
  <c r="S1121" i="5"/>
  <c r="S1122" i="5"/>
  <c r="S1123" i="5"/>
  <c r="S1124" i="5"/>
  <c r="S1125" i="5"/>
  <c r="S1126" i="5"/>
  <c r="S1127" i="5"/>
  <c r="S1128" i="5"/>
  <c r="S1129" i="5"/>
  <c r="S1130" i="5"/>
  <c r="S1131" i="5"/>
  <c r="S1132" i="5"/>
  <c r="S1133" i="5"/>
  <c r="S1134" i="5"/>
  <c r="S1135" i="5"/>
  <c r="S1136" i="5"/>
  <c r="S1137" i="5"/>
  <c r="S1138" i="5"/>
  <c r="S1139" i="5"/>
  <c r="S1140" i="5"/>
  <c r="S1141" i="5"/>
  <c r="S1142" i="5"/>
  <c r="S1143" i="5"/>
  <c r="S1144" i="5"/>
  <c r="S1145" i="5"/>
  <c r="S1146" i="5"/>
  <c r="S1147" i="5"/>
  <c r="S1148" i="5"/>
  <c r="S1149" i="5"/>
  <c r="S1150" i="5"/>
  <c r="S1151" i="5"/>
  <c r="S1152" i="5"/>
  <c r="S1153" i="5"/>
  <c r="S1154" i="5"/>
  <c r="S1155" i="5"/>
  <c r="S1156" i="5"/>
  <c r="S1157" i="5"/>
  <c r="S1158" i="5"/>
  <c r="S1159" i="5"/>
  <c r="S1160" i="5"/>
  <c r="S1161" i="5"/>
  <c r="S1162" i="5"/>
  <c r="S1163" i="5"/>
  <c r="S1164" i="5"/>
  <c r="S1165" i="5"/>
  <c r="S1166" i="5"/>
  <c r="S1167" i="5"/>
  <c r="S1168" i="5"/>
  <c r="S1169" i="5"/>
  <c r="S1170" i="5"/>
  <c r="S1171" i="5"/>
  <c r="S1172" i="5"/>
  <c r="S1173" i="5"/>
  <c r="S1174" i="5"/>
  <c r="S1175" i="5"/>
  <c r="S1176" i="5"/>
  <c r="S1177" i="5"/>
  <c r="S1178" i="5"/>
  <c r="S1179" i="5"/>
  <c r="S1180" i="5"/>
  <c r="S1181" i="5"/>
  <c r="S1182" i="5"/>
  <c r="S1183" i="5"/>
  <c r="S1184" i="5"/>
  <c r="S1185" i="5"/>
  <c r="S1186" i="5"/>
  <c r="S1187" i="5"/>
  <c r="S1188" i="5"/>
  <c r="S1189" i="5"/>
  <c r="S1190" i="5"/>
  <c r="S1191" i="5"/>
  <c r="S1192" i="5"/>
  <c r="S1193" i="5"/>
  <c r="S1194" i="5"/>
  <c r="S1195" i="5"/>
  <c r="S1196" i="5"/>
  <c r="S1197" i="5"/>
  <c r="S1198" i="5"/>
  <c r="S1199" i="5"/>
  <c r="S1200" i="5"/>
  <c r="S1201" i="5"/>
  <c r="S1202" i="5"/>
  <c r="S1203" i="5"/>
  <c r="S1204" i="5"/>
  <c r="S1205" i="5"/>
  <c r="S1206" i="5"/>
  <c r="S1207" i="5"/>
  <c r="S1208" i="5"/>
  <c r="S1209" i="5"/>
  <c r="S1210" i="5"/>
  <c r="S1211" i="5"/>
  <c r="S1212" i="5"/>
  <c r="S1213" i="5"/>
  <c r="S1214" i="5"/>
  <c r="S1215" i="5"/>
  <c r="S1216" i="5"/>
  <c r="S1217" i="5"/>
  <c r="S1218" i="5"/>
  <c r="S1219" i="5"/>
  <c r="S1220" i="5"/>
  <c r="S1221" i="5"/>
  <c r="S1222" i="5"/>
  <c r="S1223" i="5"/>
  <c r="S1224" i="5"/>
  <c r="S1225" i="5"/>
  <c r="S1226" i="5"/>
  <c r="S1227" i="5"/>
  <c r="S1228" i="5"/>
  <c r="S1229" i="5"/>
  <c r="S1230" i="5"/>
  <c r="S1231" i="5"/>
  <c r="S1232" i="5"/>
  <c r="S1233" i="5"/>
  <c r="S1234" i="5"/>
  <c r="S1235" i="5"/>
  <c r="S1236" i="5"/>
  <c r="S1237" i="5"/>
  <c r="S1238" i="5"/>
  <c r="S1239" i="5"/>
  <c r="S1240" i="5"/>
  <c r="S1241" i="5"/>
  <c r="S1242" i="5"/>
  <c r="S1243" i="5"/>
  <c r="S1244" i="5"/>
  <c r="S1245" i="5"/>
  <c r="S1246" i="5"/>
  <c r="S1247" i="5"/>
  <c r="S1248" i="5"/>
  <c r="S1249" i="5"/>
  <c r="S1250" i="5"/>
  <c r="S1251" i="5"/>
  <c r="S1252" i="5"/>
  <c r="S1253" i="5"/>
  <c r="S1254" i="5"/>
  <c r="S1255" i="5"/>
  <c r="S1256" i="5"/>
  <c r="S1257" i="5"/>
  <c r="S1258" i="5"/>
  <c r="S1259" i="5"/>
  <c r="S1260" i="5"/>
  <c r="S1261" i="5"/>
  <c r="S1262" i="5"/>
  <c r="S1263" i="5"/>
  <c r="S1264" i="5"/>
  <c r="S1265" i="5"/>
  <c r="S1266" i="5"/>
  <c r="S1267" i="5"/>
  <c r="S1268" i="5"/>
  <c r="S1269" i="5"/>
  <c r="S1270" i="5"/>
  <c r="S1271" i="5"/>
  <c r="S1272" i="5"/>
  <c r="S1273" i="5"/>
  <c r="S1274" i="5"/>
  <c r="S1275" i="5"/>
  <c r="S1276" i="5"/>
  <c r="S1277" i="5"/>
  <c r="S1278" i="5"/>
  <c r="S1279" i="5"/>
  <c r="S1280" i="5"/>
  <c r="S1281" i="5"/>
  <c r="S1282" i="5"/>
  <c r="S1283" i="5"/>
  <c r="S1284" i="5"/>
  <c r="S1285" i="5"/>
  <c r="S1286" i="5"/>
  <c r="S1287" i="5"/>
  <c r="S1288" i="5"/>
  <c r="S1289" i="5"/>
  <c r="S1290" i="5"/>
  <c r="S1291" i="5"/>
  <c r="S1292" i="5"/>
  <c r="S1293" i="5"/>
  <c r="S1294" i="5"/>
  <c r="S1295" i="5"/>
  <c r="S1296" i="5"/>
  <c r="S1297" i="5"/>
  <c r="S1298" i="5"/>
  <c r="S1299" i="5"/>
  <c r="S1300" i="5"/>
  <c r="S1301" i="5"/>
  <c r="S1302" i="5"/>
  <c r="S1303" i="5"/>
  <c r="S1304" i="5"/>
  <c r="S1305" i="5"/>
  <c r="S1306" i="5"/>
  <c r="S1307" i="5"/>
  <c r="S1308" i="5"/>
  <c r="S1309" i="5"/>
  <c r="S1310" i="5"/>
  <c r="S1311" i="5"/>
  <c r="S1312" i="5"/>
  <c r="S1313" i="5"/>
  <c r="S1314" i="5"/>
  <c r="S1315" i="5"/>
  <c r="S1316" i="5"/>
  <c r="S1317" i="5"/>
  <c r="S1318" i="5"/>
  <c r="S1319" i="5"/>
  <c r="S1320" i="5"/>
  <c r="S1321" i="5"/>
  <c r="S1322" i="5"/>
  <c r="S1323" i="5"/>
  <c r="S1324" i="5"/>
  <c r="S1325" i="5"/>
  <c r="S1326" i="5"/>
  <c r="S1327" i="5"/>
  <c r="S1328" i="5"/>
  <c r="S1329" i="5"/>
  <c r="S1330" i="5"/>
  <c r="S1331" i="5"/>
  <c r="S1332" i="5"/>
  <c r="S1333" i="5"/>
  <c r="S1334" i="5"/>
  <c r="S1335" i="5"/>
  <c r="S1336" i="5"/>
  <c r="S1337" i="5"/>
  <c r="S1338" i="5"/>
  <c r="S1339" i="5"/>
  <c r="S1340" i="5"/>
  <c r="S1341" i="5"/>
  <c r="S1342" i="5"/>
  <c r="S1343" i="5"/>
  <c r="S1344" i="5"/>
  <c r="S1345" i="5"/>
  <c r="S1346" i="5"/>
  <c r="S1347" i="5"/>
  <c r="S1348" i="5"/>
  <c r="S1349" i="5"/>
  <c r="S1350" i="5"/>
  <c r="S1351" i="5"/>
  <c r="S1352" i="5"/>
  <c r="S1353" i="5"/>
  <c r="S1354" i="5"/>
  <c r="S1355" i="5"/>
  <c r="S1356" i="5"/>
  <c r="S1357" i="5"/>
  <c r="S1358" i="5"/>
  <c r="S1359" i="5"/>
  <c r="S1360" i="5"/>
  <c r="S1361" i="5"/>
  <c r="S1362" i="5"/>
  <c r="S1363" i="5"/>
  <c r="S1364" i="5"/>
  <c r="S1365" i="5"/>
  <c r="S1366" i="5"/>
  <c r="S1367" i="5"/>
  <c r="S1368" i="5"/>
  <c r="S1369" i="5"/>
  <c r="S1370" i="5"/>
  <c r="S1371" i="5"/>
  <c r="S1372" i="5"/>
  <c r="S1373" i="5"/>
  <c r="S1374" i="5"/>
  <c r="S1375" i="5"/>
  <c r="S1376" i="5"/>
  <c r="S1377" i="5"/>
  <c r="S1378" i="5"/>
  <c r="S1379" i="5"/>
  <c r="S1380" i="5"/>
  <c r="S1381" i="5"/>
  <c r="S1382" i="5"/>
  <c r="S1383" i="5"/>
  <c r="S1384" i="5"/>
  <c r="S1385" i="5"/>
  <c r="S1386" i="5"/>
  <c r="S1387" i="5"/>
  <c r="S1388" i="5"/>
  <c r="S1389" i="5"/>
  <c r="S1390" i="5"/>
  <c r="S1391" i="5"/>
  <c r="S1392" i="5"/>
  <c r="S1393" i="5"/>
  <c r="S1394" i="5"/>
  <c r="S1395" i="5"/>
  <c r="S1396" i="5"/>
  <c r="S1397" i="5"/>
  <c r="S1398" i="5"/>
  <c r="S1399" i="5"/>
  <c r="S1400" i="5"/>
  <c r="S1401" i="5"/>
  <c r="S1402" i="5"/>
  <c r="S1403" i="5"/>
  <c r="S1404" i="5"/>
  <c r="S1405" i="5"/>
  <c r="S1406" i="5"/>
  <c r="S1407" i="5"/>
  <c r="S1408" i="5"/>
  <c r="S1409" i="5"/>
  <c r="S1410" i="5"/>
  <c r="S1411" i="5"/>
  <c r="S1412" i="5"/>
  <c r="S1413" i="5"/>
  <c r="S1414" i="5"/>
  <c r="S1415" i="5"/>
  <c r="S1416" i="5"/>
  <c r="S1417" i="5"/>
  <c r="S1418" i="5"/>
  <c r="S1419" i="5"/>
  <c r="S1420" i="5"/>
  <c r="S1421" i="5"/>
  <c r="S1422" i="5"/>
  <c r="S1423" i="5"/>
  <c r="S1424" i="5"/>
  <c r="S1425" i="5"/>
  <c r="S1426" i="5"/>
  <c r="S1427" i="5"/>
  <c r="S1428" i="5"/>
  <c r="S1429" i="5"/>
  <c r="S1430" i="5"/>
  <c r="S1431" i="5"/>
  <c r="S1432" i="5"/>
  <c r="S1433" i="5"/>
  <c r="S1434" i="5"/>
  <c r="S1435" i="5"/>
  <c r="S1436" i="5"/>
  <c r="S1437" i="5"/>
  <c r="S1438" i="5"/>
  <c r="S1439" i="5"/>
  <c r="S1440" i="5"/>
  <c r="S1441" i="5"/>
  <c r="S1442" i="5"/>
  <c r="S1443" i="5"/>
  <c r="S1444" i="5"/>
  <c r="S1445" i="5"/>
  <c r="S1446" i="5"/>
  <c r="S1447" i="5"/>
  <c r="S1448" i="5"/>
  <c r="S1449" i="5"/>
  <c r="S1450" i="5"/>
  <c r="S1451" i="5"/>
  <c r="S1452" i="5"/>
  <c r="S1453" i="5"/>
  <c r="S1454" i="5"/>
  <c r="S1455" i="5"/>
  <c r="S1456" i="5"/>
  <c r="S1457" i="5"/>
  <c r="S1458" i="5"/>
  <c r="S1459" i="5"/>
  <c r="S1460" i="5"/>
  <c r="S1461" i="5"/>
  <c r="S1462" i="5"/>
  <c r="S1463" i="5"/>
  <c r="S1464" i="5"/>
  <c r="S1465" i="5"/>
  <c r="S1466" i="5"/>
  <c r="S1467" i="5"/>
  <c r="S1468" i="5"/>
  <c r="S1469" i="5"/>
  <c r="S1470" i="5"/>
  <c r="S1471" i="5"/>
  <c r="S1472" i="5"/>
  <c r="S1473" i="5"/>
  <c r="S1474" i="5"/>
  <c r="S1475" i="5"/>
  <c r="S1476" i="5"/>
  <c r="S1477" i="5"/>
  <c r="S1478" i="5"/>
  <c r="S1479" i="5"/>
  <c r="S1480" i="5"/>
  <c r="S1481" i="5"/>
  <c r="S1482" i="5"/>
  <c r="S1483" i="5"/>
  <c r="S1484" i="5"/>
  <c r="S1485" i="5"/>
  <c r="S1486" i="5"/>
  <c r="S1487" i="5"/>
  <c r="S1488" i="5"/>
  <c r="S1489" i="5"/>
  <c r="S1490" i="5"/>
  <c r="S1491" i="5"/>
  <c r="S1492" i="5"/>
  <c r="S1493" i="5"/>
  <c r="S1494" i="5"/>
  <c r="S1495" i="5"/>
  <c r="S1496" i="5"/>
  <c r="S1497" i="5"/>
  <c r="S1498" i="5"/>
  <c r="S1499" i="5"/>
  <c r="S1500" i="5"/>
  <c r="S1501" i="5"/>
  <c r="S1502" i="5"/>
  <c r="S1503" i="5"/>
  <c r="S1504" i="5"/>
  <c r="S1505" i="5"/>
  <c r="S1506" i="5"/>
  <c r="S1507" i="5"/>
  <c r="S1508" i="5"/>
  <c r="S1509" i="5"/>
  <c r="S1510" i="5"/>
  <c r="S1511" i="5"/>
  <c r="S1512" i="5"/>
  <c r="S1513" i="5"/>
  <c r="S1514" i="5"/>
  <c r="S1515" i="5"/>
  <c r="S1516" i="5"/>
  <c r="S1517" i="5"/>
  <c r="S1518" i="5"/>
  <c r="S1519" i="5"/>
  <c r="S1520" i="5"/>
  <c r="S1521" i="5"/>
  <c r="S1522" i="5"/>
  <c r="S1523" i="5"/>
  <c r="S1524" i="5"/>
  <c r="S1525" i="5"/>
  <c r="S1526" i="5"/>
  <c r="S1527" i="5"/>
  <c r="S1528" i="5"/>
  <c r="S1529" i="5"/>
  <c r="S1530" i="5"/>
  <c r="S1531" i="5"/>
  <c r="S1532" i="5"/>
  <c r="S1533" i="5"/>
  <c r="S1534" i="5"/>
  <c r="S1535" i="5"/>
  <c r="S1536" i="5"/>
  <c r="S1537" i="5"/>
  <c r="S1538" i="5"/>
  <c r="S1539" i="5"/>
  <c r="S1540" i="5"/>
  <c r="S1541" i="5"/>
  <c r="S1542" i="5"/>
  <c r="S1543" i="5"/>
  <c r="S1544" i="5"/>
  <c r="S1545" i="5"/>
  <c r="S1546" i="5"/>
  <c r="S1547" i="5"/>
  <c r="S1548" i="5"/>
  <c r="S1549" i="5"/>
  <c r="S1550" i="5"/>
  <c r="S1551" i="5"/>
  <c r="S1552" i="5"/>
  <c r="S1553" i="5"/>
  <c r="S1554" i="5"/>
  <c r="S1555" i="5"/>
  <c r="S1556" i="5"/>
  <c r="S1557" i="5"/>
  <c r="S1558" i="5"/>
  <c r="S1559" i="5"/>
  <c r="S1560" i="5"/>
  <c r="S1561" i="5"/>
  <c r="S1562" i="5"/>
  <c r="S1563" i="5"/>
  <c r="S1564" i="5"/>
  <c r="S1565" i="5"/>
  <c r="S1566" i="5"/>
  <c r="S1567" i="5"/>
  <c r="S1568" i="5"/>
  <c r="S1569" i="5"/>
  <c r="S1570" i="5"/>
  <c r="S1571" i="5"/>
  <c r="S1572" i="5"/>
  <c r="S1573" i="5"/>
  <c r="S1574" i="5"/>
  <c r="S1575" i="5"/>
  <c r="S1576" i="5"/>
  <c r="S1577" i="5"/>
  <c r="S1578" i="5"/>
  <c r="S1579" i="5"/>
  <c r="S1580" i="5"/>
  <c r="S1581" i="5"/>
  <c r="S1582" i="5"/>
  <c r="S1583" i="5"/>
  <c r="S1584" i="5"/>
  <c r="S1585" i="5"/>
  <c r="S1586" i="5"/>
  <c r="S1587" i="5"/>
  <c r="S1588" i="5"/>
  <c r="S1589" i="5"/>
  <c r="S1590" i="5"/>
  <c r="S1591" i="5"/>
  <c r="S1592" i="5"/>
  <c r="S1593" i="5"/>
  <c r="S1594" i="5"/>
  <c r="S1595" i="5"/>
  <c r="S1596" i="5"/>
  <c r="S1597" i="5"/>
  <c r="S1598" i="5"/>
  <c r="S1599" i="5"/>
  <c r="S1600" i="5"/>
  <c r="S1601" i="5"/>
  <c r="S1602" i="5"/>
  <c r="S1603" i="5"/>
  <c r="S1604" i="5"/>
  <c r="S1605" i="5"/>
  <c r="S1606" i="5"/>
  <c r="S1607" i="5"/>
  <c r="S1608" i="5"/>
  <c r="S1609" i="5"/>
  <c r="S1610" i="5"/>
  <c r="S1611" i="5"/>
  <c r="S1612" i="5"/>
  <c r="S1613" i="5"/>
  <c r="S1614" i="5"/>
  <c r="S1615" i="5"/>
  <c r="S1616" i="5"/>
  <c r="S1617" i="5"/>
  <c r="S1618" i="5"/>
  <c r="S1619" i="5"/>
  <c r="S1620" i="5"/>
  <c r="S1621" i="5"/>
  <c r="S1622" i="5"/>
  <c r="S1623" i="5"/>
  <c r="S1624" i="5"/>
  <c r="S1625" i="5"/>
  <c r="S1626" i="5"/>
  <c r="S1627" i="5"/>
  <c r="S1628" i="5"/>
  <c r="S1629" i="5"/>
  <c r="S1630" i="5"/>
  <c r="S1631" i="5"/>
  <c r="S1632" i="5"/>
  <c r="S1633" i="5"/>
  <c r="S1634" i="5"/>
  <c r="S1635" i="5"/>
  <c r="S1636" i="5"/>
  <c r="S1637" i="5"/>
  <c r="S1638" i="5"/>
  <c r="S1639" i="5"/>
  <c r="S1640" i="5"/>
  <c r="S1641" i="5"/>
  <c r="S1642" i="5"/>
  <c r="S1643" i="5"/>
  <c r="S1644" i="5"/>
  <c r="S1645" i="5"/>
  <c r="S1646" i="5"/>
  <c r="S1647" i="5"/>
  <c r="S1648" i="5"/>
  <c r="S1649" i="5"/>
  <c r="S1650" i="5"/>
  <c r="S1651" i="5"/>
  <c r="S1652" i="5"/>
  <c r="S1653" i="5"/>
  <c r="S1654" i="5"/>
  <c r="S1655" i="5"/>
  <c r="S1656" i="5"/>
  <c r="S1657" i="5"/>
  <c r="S1658" i="5"/>
  <c r="S1659" i="5"/>
  <c r="S1660" i="5"/>
  <c r="S1661" i="5"/>
  <c r="S1662" i="5"/>
  <c r="S1663" i="5"/>
  <c r="S1664" i="5"/>
  <c r="S1665" i="5"/>
  <c r="S1666" i="5"/>
  <c r="S1667" i="5"/>
  <c r="S1668" i="5"/>
  <c r="S1669" i="5"/>
  <c r="S1670" i="5"/>
  <c r="S1671" i="5"/>
  <c r="S1672" i="5"/>
  <c r="S1673" i="5"/>
  <c r="S1674" i="5"/>
  <c r="S1675" i="5"/>
  <c r="S1676" i="5"/>
  <c r="S1677" i="5"/>
  <c r="S1678" i="5"/>
  <c r="S1679" i="5"/>
  <c r="S1680" i="5"/>
  <c r="S1681" i="5"/>
  <c r="S1682" i="5"/>
  <c r="S1683" i="5"/>
  <c r="S1684" i="5"/>
  <c r="S1685" i="5"/>
  <c r="S1686" i="5"/>
  <c r="S1687" i="5"/>
  <c r="S1688" i="5"/>
  <c r="S1689" i="5"/>
  <c r="S1690" i="5"/>
  <c r="S1691" i="5"/>
  <c r="S1692" i="5"/>
  <c r="S1693" i="5"/>
  <c r="S1694" i="5"/>
  <c r="S1695" i="5"/>
  <c r="S1696" i="5"/>
  <c r="S1697" i="5"/>
  <c r="S1698" i="5"/>
  <c r="S1699" i="5"/>
  <c r="S1700" i="5"/>
  <c r="S1701" i="5"/>
  <c r="S1702" i="5"/>
  <c r="S1703" i="5"/>
  <c r="S1704" i="5"/>
  <c r="S1705" i="5"/>
  <c r="S1706" i="5"/>
  <c r="S1707" i="5"/>
  <c r="S1708" i="5"/>
  <c r="S1709" i="5"/>
  <c r="S1710" i="5"/>
  <c r="S1711" i="5"/>
  <c r="S1712" i="5"/>
  <c r="S1713" i="5"/>
  <c r="S1714" i="5"/>
  <c r="S1715" i="5"/>
  <c r="S1716" i="5"/>
  <c r="S1717" i="5"/>
  <c r="S1718" i="5"/>
  <c r="S1719" i="5"/>
  <c r="S1720" i="5"/>
  <c r="S1721" i="5"/>
  <c r="S1722" i="5"/>
  <c r="S1723" i="5"/>
  <c r="S1724" i="5"/>
  <c r="S1725" i="5"/>
  <c r="S1726" i="5"/>
  <c r="S1727" i="5"/>
  <c r="S1728" i="5"/>
  <c r="S1729" i="5"/>
  <c r="S1730" i="5"/>
  <c r="S1731" i="5"/>
  <c r="S1732" i="5"/>
  <c r="S1733" i="5"/>
  <c r="S1734" i="5"/>
  <c r="S1735" i="5"/>
  <c r="S1736" i="5"/>
  <c r="S1737" i="5"/>
  <c r="S1738" i="5"/>
  <c r="S1739" i="5"/>
  <c r="S1740" i="5"/>
  <c r="S1741" i="5"/>
  <c r="S1742" i="5"/>
  <c r="S1743" i="5"/>
  <c r="S1744" i="5"/>
  <c r="S1745" i="5"/>
  <c r="S1746" i="5"/>
  <c r="S1747" i="5"/>
  <c r="S1748" i="5"/>
  <c r="S1749" i="5"/>
  <c r="S1750" i="5"/>
  <c r="S1751" i="5"/>
  <c r="S1752" i="5"/>
  <c r="S1753" i="5"/>
  <c r="S1754" i="5"/>
  <c r="S1755" i="5"/>
  <c r="S1756" i="5"/>
  <c r="S1757" i="5"/>
  <c r="S1758" i="5"/>
  <c r="S1759" i="5"/>
  <c r="S1760" i="5"/>
  <c r="S1761" i="5"/>
  <c r="S1762" i="5"/>
  <c r="S1763" i="5"/>
  <c r="S1764" i="5"/>
  <c r="S1765" i="5"/>
  <c r="S1766" i="5"/>
  <c r="S1767" i="5"/>
  <c r="S1768" i="5"/>
  <c r="S1769" i="5"/>
  <c r="S1770" i="5"/>
  <c r="S1771" i="5"/>
  <c r="S1772" i="5"/>
  <c r="S1773" i="5"/>
  <c r="S1774" i="5"/>
  <c r="S1775" i="5"/>
  <c r="S1776" i="5"/>
  <c r="S1777" i="5"/>
  <c r="S1778" i="5"/>
  <c r="S1779" i="5"/>
  <c r="S1780" i="5"/>
  <c r="S1781" i="5"/>
  <c r="S1782" i="5"/>
  <c r="S1783" i="5"/>
  <c r="S1784" i="5"/>
  <c r="S1785" i="5"/>
  <c r="S1786" i="5"/>
  <c r="S1787" i="5"/>
  <c r="S1788" i="5"/>
  <c r="S1789" i="5"/>
  <c r="S1790" i="5"/>
  <c r="S1791" i="5"/>
  <c r="S1792" i="5"/>
  <c r="S1793" i="5"/>
  <c r="S1794" i="5"/>
  <c r="S1795" i="5"/>
  <c r="S1796" i="5"/>
  <c r="S1797" i="5"/>
  <c r="S1798" i="5"/>
  <c r="S1799" i="5"/>
  <c r="S1800" i="5"/>
  <c r="S1801" i="5"/>
  <c r="S1802" i="5"/>
  <c r="S1803" i="5"/>
  <c r="S1804" i="5"/>
  <c r="S1805" i="5"/>
  <c r="S1806" i="5"/>
  <c r="S1807" i="5"/>
  <c r="S1808" i="5"/>
  <c r="S1809" i="5"/>
  <c r="S1810" i="5"/>
  <c r="S1811" i="5"/>
  <c r="S1812" i="5"/>
  <c r="S1813" i="5"/>
  <c r="S1814" i="5"/>
  <c r="S1815" i="5"/>
  <c r="S1816" i="5"/>
  <c r="S1817" i="5"/>
  <c r="S1818" i="5"/>
  <c r="S1819" i="5"/>
  <c r="S1820" i="5"/>
  <c r="S1821" i="5"/>
  <c r="S1822" i="5"/>
  <c r="S1823" i="5"/>
  <c r="S1824" i="5"/>
  <c r="S1825" i="5"/>
  <c r="S1826" i="5"/>
  <c r="S1827" i="5"/>
  <c r="S1828" i="5"/>
  <c r="S1829" i="5"/>
  <c r="S1830" i="5"/>
  <c r="S1831" i="5"/>
  <c r="S1832" i="5"/>
  <c r="S1833" i="5"/>
  <c r="S1834" i="5"/>
  <c r="S1835" i="5"/>
  <c r="S1836" i="5"/>
  <c r="S1837" i="5"/>
  <c r="S1838" i="5"/>
  <c r="S1839" i="5"/>
  <c r="S1840" i="5"/>
  <c r="S1841" i="5"/>
  <c r="S1842" i="5"/>
  <c r="S1843" i="5"/>
  <c r="S1844" i="5"/>
  <c r="S1845" i="5"/>
  <c r="S1846" i="5"/>
  <c r="S1847" i="5"/>
  <c r="S1848" i="5"/>
  <c r="S1849" i="5"/>
  <c r="S1850" i="5"/>
  <c r="S1851" i="5"/>
  <c r="S1852" i="5"/>
  <c r="S1853" i="5"/>
  <c r="S1854" i="5"/>
  <c r="S1855" i="5"/>
  <c r="S1856" i="5"/>
  <c r="S1857" i="5"/>
  <c r="S1858" i="5"/>
  <c r="S1859" i="5"/>
  <c r="S1860" i="5"/>
  <c r="S1861" i="5"/>
  <c r="S1862" i="5"/>
  <c r="S1863" i="5"/>
  <c r="S1864" i="5"/>
  <c r="S1865" i="5"/>
  <c r="S1866" i="5"/>
  <c r="S1867" i="5"/>
  <c r="S1868" i="5"/>
  <c r="S1869" i="5"/>
  <c r="S1870" i="5"/>
  <c r="S1871" i="5"/>
  <c r="S1872" i="5"/>
  <c r="S1873" i="5"/>
  <c r="S1874" i="5"/>
  <c r="S1875" i="5"/>
  <c r="S1876" i="5"/>
  <c r="S1877" i="5"/>
  <c r="S1878" i="5"/>
  <c r="S1879" i="5"/>
  <c r="S1880" i="5"/>
  <c r="S1881" i="5"/>
  <c r="S1882" i="5"/>
  <c r="S1883" i="5"/>
  <c r="S1884" i="5"/>
  <c r="S1885" i="5"/>
  <c r="S1886" i="5"/>
  <c r="S1887" i="5"/>
  <c r="S1888" i="5"/>
  <c r="S1889" i="5"/>
  <c r="S1890" i="5"/>
  <c r="S1891" i="5"/>
  <c r="S1892" i="5"/>
  <c r="S1893" i="5"/>
  <c r="S1894" i="5"/>
  <c r="S1895" i="5"/>
  <c r="S1896" i="5"/>
  <c r="S1897" i="5"/>
  <c r="S1898" i="5"/>
  <c r="S1899" i="5"/>
  <c r="S1900" i="5"/>
  <c r="S1901" i="5"/>
  <c r="S1902" i="5"/>
  <c r="S1903" i="5"/>
  <c r="S1904" i="5"/>
  <c r="S1905" i="5"/>
  <c r="S1906" i="5"/>
  <c r="S1907" i="5"/>
  <c r="S1908" i="5"/>
  <c r="S1909" i="5"/>
  <c r="S1910" i="5"/>
  <c r="S1911" i="5"/>
  <c r="S1912" i="5"/>
  <c r="S1913" i="5"/>
  <c r="S1914" i="5"/>
  <c r="S1915" i="5"/>
  <c r="S1916" i="5"/>
  <c r="S1917" i="5"/>
  <c r="S1918" i="5"/>
  <c r="S1919" i="5"/>
  <c r="S1920" i="5"/>
  <c r="S1921" i="5"/>
  <c r="S1922" i="5"/>
  <c r="S1923" i="5"/>
  <c r="S1924" i="5"/>
  <c r="S1925" i="5"/>
  <c r="S1926" i="5"/>
  <c r="S1927" i="5"/>
  <c r="S1928" i="5"/>
  <c r="S1929" i="5"/>
  <c r="S1930" i="5"/>
  <c r="S1931" i="5"/>
  <c r="S1932" i="5"/>
  <c r="S1933" i="5"/>
  <c r="S1934" i="5"/>
  <c r="S1935" i="5"/>
  <c r="S1936" i="5"/>
  <c r="S1937" i="5"/>
  <c r="S1938" i="5"/>
  <c r="S1939" i="5"/>
  <c r="S1940" i="5"/>
  <c r="S1941" i="5"/>
  <c r="S1942" i="5"/>
  <c r="S1943" i="5"/>
  <c r="S1944" i="5"/>
  <c r="S1945" i="5"/>
  <c r="S1946" i="5"/>
  <c r="S1947" i="5"/>
  <c r="S1948" i="5"/>
  <c r="S1949" i="5"/>
  <c r="S1950" i="5"/>
  <c r="S1951" i="5"/>
  <c r="S1952" i="5"/>
  <c r="S1953" i="5"/>
  <c r="S1954" i="5"/>
  <c r="S1955" i="5"/>
  <c r="S1956" i="5"/>
  <c r="S1957" i="5"/>
  <c r="S1958" i="5"/>
  <c r="S1959" i="5"/>
  <c r="S1960" i="5"/>
  <c r="S1961" i="5"/>
  <c r="S1962" i="5"/>
  <c r="S1963" i="5"/>
  <c r="S1964" i="5"/>
  <c r="S1965" i="5"/>
  <c r="S1966" i="5"/>
  <c r="S1967" i="5"/>
  <c r="S1968" i="5"/>
  <c r="S1969" i="5"/>
  <c r="S1970" i="5"/>
  <c r="S1971" i="5"/>
  <c r="S1972" i="5"/>
  <c r="S1973" i="5"/>
  <c r="S1974" i="5"/>
  <c r="S1975" i="5"/>
  <c r="S1976" i="5"/>
  <c r="S1977" i="5"/>
  <c r="S1978" i="5"/>
  <c r="S1979" i="5"/>
  <c r="S1980" i="5"/>
  <c r="S1981" i="5"/>
  <c r="S1982" i="5"/>
  <c r="S1983" i="5"/>
  <c r="S1984" i="5"/>
  <c r="S1985" i="5"/>
  <c r="S1986" i="5"/>
  <c r="S1987" i="5"/>
  <c r="S1988" i="5"/>
  <c r="S1989" i="5"/>
  <c r="S1990" i="5"/>
  <c r="S1991" i="5"/>
  <c r="S1992" i="5"/>
  <c r="S1993" i="5"/>
  <c r="S1994" i="5"/>
  <c r="S1995" i="5"/>
  <c r="S1996" i="5"/>
  <c r="S1997" i="5"/>
  <c r="S1998" i="5"/>
  <c r="S1999" i="5"/>
  <c r="S2000" i="5"/>
  <c r="S2001" i="5"/>
  <c r="S2002" i="5"/>
  <c r="S2003" i="5"/>
  <c r="S2004" i="5"/>
  <c r="S2005" i="5"/>
  <c r="S2006" i="5"/>
  <c r="S2007" i="5"/>
  <c r="S2008" i="5"/>
  <c r="S2009" i="5"/>
  <c r="S2010" i="5"/>
  <c r="S2011" i="5"/>
  <c r="S2012" i="5"/>
  <c r="S2013" i="5"/>
  <c r="S2014" i="5"/>
  <c r="S2015" i="5"/>
  <c r="S2016" i="5"/>
  <c r="S2017" i="5"/>
  <c r="S2018" i="5"/>
  <c r="S2019" i="5"/>
  <c r="S2020" i="5"/>
  <c r="S2021" i="5"/>
  <c r="S2022" i="5"/>
  <c r="S2023" i="5"/>
  <c r="S2024" i="5"/>
  <c r="S2025" i="5"/>
  <c r="S2026" i="5"/>
  <c r="S2027" i="5"/>
  <c r="S2028" i="5"/>
  <c r="S2029" i="5"/>
  <c r="S2030" i="5"/>
  <c r="S2031" i="5"/>
  <c r="S2032" i="5"/>
  <c r="S2033" i="5"/>
  <c r="S2034" i="5"/>
  <c r="S2035" i="5"/>
  <c r="S2036" i="5"/>
  <c r="S2037" i="5"/>
  <c r="S2038" i="5"/>
  <c r="S2039" i="5"/>
  <c r="S2040" i="5"/>
  <c r="S2041" i="5"/>
  <c r="S2042" i="5"/>
  <c r="S2043" i="5"/>
  <c r="S2044" i="5"/>
  <c r="S2045" i="5"/>
  <c r="S2046" i="5"/>
  <c r="S2047" i="5"/>
  <c r="S2048" i="5"/>
  <c r="S2049" i="5"/>
  <c r="S2050" i="5"/>
  <c r="S2051" i="5"/>
  <c r="S2052" i="5"/>
  <c r="S2053" i="5"/>
  <c r="S2054" i="5"/>
  <c r="S2055" i="5"/>
  <c r="S2056" i="5"/>
  <c r="S2057" i="5"/>
  <c r="S2058" i="5"/>
  <c r="S2059" i="5"/>
  <c r="S2060" i="5"/>
  <c r="S2061" i="5"/>
  <c r="S2062" i="5"/>
  <c r="S2063" i="5"/>
  <c r="S2064" i="5"/>
  <c r="S2065" i="5"/>
  <c r="S2066" i="5"/>
  <c r="S2067" i="5"/>
  <c r="S2068" i="5"/>
  <c r="S2069" i="5"/>
  <c r="S2070" i="5"/>
  <c r="S2071" i="5"/>
  <c r="S2072" i="5"/>
  <c r="S2073" i="5"/>
  <c r="S2074" i="5"/>
  <c r="S2075" i="5"/>
  <c r="S2076" i="5"/>
  <c r="S2077" i="5"/>
  <c r="S2078" i="5"/>
  <c r="S2079" i="5"/>
  <c r="S2080" i="5"/>
  <c r="S2081" i="5"/>
  <c r="S2082" i="5"/>
  <c r="S2083" i="5"/>
  <c r="S2084" i="5"/>
  <c r="S2085" i="5"/>
  <c r="S2086" i="5"/>
  <c r="S2087" i="5"/>
  <c r="S2088" i="5"/>
  <c r="S2089" i="5"/>
  <c r="S2090" i="5"/>
  <c r="S2091" i="5"/>
  <c r="S2092" i="5"/>
  <c r="S2093" i="5"/>
  <c r="S2094" i="5"/>
  <c r="S2095" i="5"/>
  <c r="S2096" i="5"/>
  <c r="S2097" i="5"/>
  <c r="S2098" i="5"/>
  <c r="S2099" i="5"/>
  <c r="S2100" i="5"/>
  <c r="S2101" i="5"/>
  <c r="S2102" i="5"/>
  <c r="S2103" i="5"/>
  <c r="S2104" i="5"/>
  <c r="S2105" i="5"/>
  <c r="S2106" i="5"/>
  <c r="S2107" i="5"/>
  <c r="S2108" i="5"/>
  <c r="S2109" i="5"/>
  <c r="S2110" i="5"/>
  <c r="S2111" i="5"/>
  <c r="S2112" i="5"/>
  <c r="S2113" i="5"/>
  <c r="S2114" i="5"/>
  <c r="S2115" i="5"/>
  <c r="S2116" i="5"/>
  <c r="S2117" i="5"/>
  <c r="S2118" i="5"/>
  <c r="S2119" i="5"/>
  <c r="S2120" i="5"/>
  <c r="S2121" i="5"/>
  <c r="S2122" i="5"/>
  <c r="S2123" i="5"/>
  <c r="S2124" i="5"/>
  <c r="S2125" i="5"/>
  <c r="S2126" i="5"/>
  <c r="S2127" i="5"/>
  <c r="S2128" i="5"/>
  <c r="S2129" i="5"/>
  <c r="S2130" i="5"/>
  <c r="S2131" i="5"/>
  <c r="S2132" i="5"/>
  <c r="S2133" i="5"/>
  <c r="S2134" i="5"/>
  <c r="S2135" i="5"/>
  <c r="S2136" i="5"/>
  <c r="S2137" i="5"/>
  <c r="S2138" i="5"/>
  <c r="S2139" i="5"/>
  <c r="S2140" i="5"/>
  <c r="S2141" i="5"/>
  <c r="S2142" i="5"/>
  <c r="S2143" i="5"/>
  <c r="S2144" i="5"/>
  <c r="S2145" i="5"/>
  <c r="S2146" i="5"/>
  <c r="S2147" i="5"/>
  <c r="S2148" i="5"/>
  <c r="S2149" i="5"/>
  <c r="S2150" i="5"/>
  <c r="S2151" i="5"/>
  <c r="S2152" i="5"/>
  <c r="S2153" i="5"/>
  <c r="S2154" i="5"/>
  <c r="S2155" i="5"/>
  <c r="S2156" i="5"/>
  <c r="S2157" i="5"/>
  <c r="S2158" i="5"/>
  <c r="S2159" i="5"/>
  <c r="S2160" i="5"/>
  <c r="S2161" i="5"/>
  <c r="S2162" i="5"/>
  <c r="S2163" i="5"/>
  <c r="S2164" i="5"/>
  <c r="S2165" i="5"/>
  <c r="S2166" i="5"/>
  <c r="S2167" i="5"/>
  <c r="S2168" i="5"/>
  <c r="S2169" i="5"/>
  <c r="S2170" i="5"/>
  <c r="S2171" i="5"/>
  <c r="S2172" i="5"/>
  <c r="S2173" i="5"/>
  <c r="S2174" i="5"/>
  <c r="S2175" i="5"/>
  <c r="S2176" i="5"/>
  <c r="S2177" i="5"/>
  <c r="S2178" i="5"/>
  <c r="S2179" i="5"/>
  <c r="S2180" i="5"/>
  <c r="S2181" i="5"/>
  <c r="S2182" i="5"/>
  <c r="S2183" i="5"/>
  <c r="S2184" i="5"/>
  <c r="S2185" i="5"/>
  <c r="S2186" i="5"/>
  <c r="S2187" i="5"/>
  <c r="S2188" i="5"/>
  <c r="S2189" i="5"/>
  <c r="S2190" i="5"/>
  <c r="S2191" i="5"/>
  <c r="S2192" i="5"/>
  <c r="S2193" i="5"/>
  <c r="S2194" i="5"/>
  <c r="S2195" i="5"/>
  <c r="S2196" i="5"/>
  <c r="S2197" i="5"/>
  <c r="S2198" i="5"/>
  <c r="S2199" i="5"/>
  <c r="S2200" i="5"/>
  <c r="S2201" i="5"/>
  <c r="S2202" i="5"/>
  <c r="S2203" i="5"/>
  <c r="S2204" i="5"/>
  <c r="S2205" i="5"/>
  <c r="S2206" i="5"/>
  <c r="S2207" i="5"/>
  <c r="S2208" i="5"/>
  <c r="S2209" i="5"/>
  <c r="S2210" i="5"/>
  <c r="S2211" i="5"/>
  <c r="S2212" i="5"/>
  <c r="S2213" i="5"/>
  <c r="S2214" i="5"/>
  <c r="S2215" i="5"/>
  <c r="S2216" i="5"/>
  <c r="S2217" i="5"/>
  <c r="S2218" i="5"/>
  <c r="S2219" i="5"/>
  <c r="S2220" i="5"/>
  <c r="S2221" i="5"/>
  <c r="S2222" i="5"/>
  <c r="S2223" i="5"/>
  <c r="S2224" i="5"/>
  <c r="S2225" i="5"/>
  <c r="S2226" i="5"/>
  <c r="S2227" i="5"/>
  <c r="S2228" i="5"/>
  <c r="S2229" i="5"/>
  <c r="S2230" i="5"/>
  <c r="S2231" i="5"/>
  <c r="S2232" i="5"/>
  <c r="S2233" i="5"/>
  <c r="S2234" i="5"/>
  <c r="S2235" i="5"/>
  <c r="S2236" i="5"/>
  <c r="S2237" i="5"/>
  <c r="S2238" i="5"/>
  <c r="S2239" i="5"/>
  <c r="S2240" i="5"/>
  <c r="S2241" i="5"/>
  <c r="S2242" i="5"/>
  <c r="S2243" i="5"/>
  <c r="S2244" i="5"/>
  <c r="S2245" i="5"/>
  <c r="S2246" i="5"/>
  <c r="S2247" i="5"/>
  <c r="S2248" i="5"/>
  <c r="S2249" i="5"/>
  <c r="S2250" i="5"/>
  <c r="S2251" i="5"/>
  <c r="S2252" i="5"/>
  <c r="S2253" i="5"/>
  <c r="S2254" i="5"/>
  <c r="S2255" i="5"/>
  <c r="S2256" i="5"/>
  <c r="S2257" i="5"/>
  <c r="S2258" i="5"/>
  <c r="S2259" i="5"/>
  <c r="S2260" i="5"/>
  <c r="S2261" i="5"/>
  <c r="S2262" i="5"/>
  <c r="S2263" i="5"/>
  <c r="S2264" i="5"/>
  <c r="S2265" i="5"/>
  <c r="S2266" i="5"/>
  <c r="S2267" i="5"/>
  <c r="S2268" i="5"/>
  <c r="S2269" i="5"/>
  <c r="S2270" i="5"/>
  <c r="S2271" i="5"/>
  <c r="S2272" i="5"/>
  <c r="S2273" i="5"/>
  <c r="S2274" i="5"/>
  <c r="S2275" i="5"/>
  <c r="S2276" i="5"/>
  <c r="S2277" i="5"/>
  <c r="S2278" i="5"/>
  <c r="S2279" i="5"/>
  <c r="S2280" i="5"/>
  <c r="S2281" i="5"/>
  <c r="S2282" i="5"/>
  <c r="S2283" i="5"/>
  <c r="S2284" i="5"/>
  <c r="S2285" i="5"/>
  <c r="S2286" i="5"/>
  <c r="S2287" i="5"/>
  <c r="S2288" i="5"/>
  <c r="S2289" i="5"/>
  <c r="S2290" i="5"/>
  <c r="S2291" i="5"/>
  <c r="S2292" i="5"/>
  <c r="S2293" i="5"/>
  <c r="S2294" i="5"/>
  <c r="S2295" i="5"/>
  <c r="S2296" i="5"/>
  <c r="S2297" i="5"/>
  <c r="S2298" i="5"/>
  <c r="S2299" i="5"/>
  <c r="S2300" i="5"/>
  <c r="S2301" i="5"/>
  <c r="S2302" i="5"/>
  <c r="S2303" i="5"/>
  <c r="S2304" i="5"/>
  <c r="S2305" i="5"/>
  <c r="S2306" i="5"/>
  <c r="S2307" i="5"/>
  <c r="S2308" i="5"/>
  <c r="S2309" i="5"/>
  <c r="S2310" i="5"/>
  <c r="S2311" i="5"/>
  <c r="S2312" i="5"/>
  <c r="S2313" i="5"/>
  <c r="S2314" i="5"/>
  <c r="S2315" i="5"/>
  <c r="S2316" i="5"/>
  <c r="S2317" i="5"/>
  <c r="S2318" i="5"/>
  <c r="S2319" i="5"/>
  <c r="S2320" i="5"/>
  <c r="S2321" i="5"/>
  <c r="S2322" i="5"/>
  <c r="S2323" i="5"/>
  <c r="S2324" i="5"/>
  <c r="S2325" i="5"/>
  <c r="S2326" i="5"/>
  <c r="S2327" i="5"/>
  <c r="S2328" i="5"/>
  <c r="S2329" i="5"/>
  <c r="S2330" i="5"/>
  <c r="S2331" i="5"/>
  <c r="S2332" i="5"/>
  <c r="S2333" i="5"/>
  <c r="S2334" i="5"/>
  <c r="S2335" i="5"/>
  <c r="S2336" i="5"/>
  <c r="S2337" i="5"/>
  <c r="S2338" i="5"/>
  <c r="S2339" i="5"/>
  <c r="S2340" i="5"/>
  <c r="S2341" i="5"/>
  <c r="S2342" i="5"/>
  <c r="S2343" i="5"/>
  <c r="S2344" i="5"/>
  <c r="S2345" i="5"/>
  <c r="S2346" i="5"/>
  <c r="S2347" i="5"/>
  <c r="S2348" i="5"/>
  <c r="S2349" i="5"/>
  <c r="S2350" i="5"/>
  <c r="S2351" i="5"/>
  <c r="S2352" i="5"/>
  <c r="S2353" i="5"/>
  <c r="S2354" i="5"/>
  <c r="S2355" i="5"/>
  <c r="S2356" i="5"/>
  <c r="S2357" i="5"/>
  <c r="S2358" i="5"/>
  <c r="S2359" i="5"/>
  <c r="S2360" i="5"/>
  <c r="S2361" i="5"/>
  <c r="S2362" i="5"/>
  <c r="S2363" i="5"/>
  <c r="S2364" i="5"/>
  <c r="S2365" i="5"/>
  <c r="S2366" i="5"/>
  <c r="S2367" i="5"/>
  <c r="S2368" i="5"/>
  <c r="S2369" i="5"/>
  <c r="S2370" i="5"/>
  <c r="S2371" i="5"/>
  <c r="S2372" i="5"/>
  <c r="S2373" i="5"/>
  <c r="S2374" i="5"/>
  <c r="S2375" i="5"/>
  <c r="S2376" i="5"/>
  <c r="S2377" i="5"/>
  <c r="S2378" i="5"/>
  <c r="S2379" i="5"/>
  <c r="S2380" i="5"/>
  <c r="S2381" i="5"/>
  <c r="S2382" i="5"/>
  <c r="S2383" i="5"/>
  <c r="S2384" i="5"/>
  <c r="S2385" i="5"/>
  <c r="S2386" i="5"/>
  <c r="S2387" i="5"/>
  <c r="S2388" i="5"/>
  <c r="S2389" i="5"/>
  <c r="S2390" i="5"/>
  <c r="S2391" i="5"/>
  <c r="S2392" i="5"/>
  <c r="S2393" i="5"/>
  <c r="S2394" i="5"/>
  <c r="S2395" i="5"/>
  <c r="S2396" i="5"/>
  <c r="S2397" i="5"/>
  <c r="S2398" i="5"/>
  <c r="S2399" i="5"/>
  <c r="S2400" i="5"/>
  <c r="S2401" i="5"/>
  <c r="S2402" i="5"/>
  <c r="S2403" i="5"/>
  <c r="S2404" i="5"/>
  <c r="S2405" i="5"/>
  <c r="S2406" i="5"/>
  <c r="S2407" i="5"/>
  <c r="S2408" i="5"/>
  <c r="S2409" i="5"/>
  <c r="S2410" i="5"/>
  <c r="S2411" i="5"/>
  <c r="S2412" i="5"/>
  <c r="S2413" i="5"/>
  <c r="S2414" i="5"/>
  <c r="S2415" i="5"/>
  <c r="S2416" i="5"/>
  <c r="S2417" i="5"/>
  <c r="S2418" i="5"/>
  <c r="S2419" i="5"/>
  <c r="S2420" i="5"/>
  <c r="S2421" i="5"/>
  <c r="S2422" i="5"/>
  <c r="S2423" i="5"/>
  <c r="S2424" i="5"/>
  <c r="S2425" i="5"/>
  <c r="S2426" i="5"/>
  <c r="S2427" i="5"/>
  <c r="S2428" i="5"/>
  <c r="S2429" i="5"/>
  <c r="S2430" i="5"/>
  <c r="S2431" i="5"/>
  <c r="S2432" i="5"/>
  <c r="S2433" i="5"/>
  <c r="S2434" i="5"/>
  <c r="S2435" i="5"/>
  <c r="S2436" i="5"/>
  <c r="S2437" i="5"/>
  <c r="S2438" i="5"/>
  <c r="S2439" i="5"/>
  <c r="S2440" i="5"/>
  <c r="S2441" i="5"/>
  <c r="S2442" i="5"/>
  <c r="S2443" i="5"/>
  <c r="S2444" i="5"/>
  <c r="S2445" i="5"/>
  <c r="S2446" i="5"/>
  <c r="S2447" i="5"/>
  <c r="S2448" i="5"/>
  <c r="S2449" i="5"/>
  <c r="S2450" i="5"/>
  <c r="S2451" i="5"/>
  <c r="S2452" i="5"/>
  <c r="S2453" i="5"/>
  <c r="S2454" i="5"/>
  <c r="S2455" i="5"/>
  <c r="S2456" i="5"/>
  <c r="S2457" i="5"/>
  <c r="S2458" i="5"/>
  <c r="S2459" i="5"/>
  <c r="S2460" i="5"/>
  <c r="S2461" i="5"/>
  <c r="S2462" i="5"/>
  <c r="S2463" i="5"/>
  <c r="S2464" i="5"/>
  <c r="S2465" i="5"/>
  <c r="S2466" i="5"/>
  <c r="S2467" i="5"/>
  <c r="S2468" i="5"/>
  <c r="S2469" i="5"/>
  <c r="S2470" i="5"/>
  <c r="S2471" i="5"/>
  <c r="S2472" i="5"/>
  <c r="S2473" i="5"/>
  <c r="S2474" i="5"/>
  <c r="S2475" i="5"/>
  <c r="S2476" i="5"/>
  <c r="S2477" i="5"/>
  <c r="S2478" i="5"/>
  <c r="S2479" i="5"/>
  <c r="S2480" i="5"/>
  <c r="S2481" i="5"/>
  <c r="S2482" i="5"/>
  <c r="S2483" i="5"/>
  <c r="S2484" i="5"/>
  <c r="S2485" i="5"/>
  <c r="S2486" i="5"/>
  <c r="S2487" i="5"/>
  <c r="S2488" i="5"/>
  <c r="S2489" i="5"/>
  <c r="S2490" i="5"/>
  <c r="S2491" i="5"/>
  <c r="S2492" i="5"/>
  <c r="S2493" i="5"/>
  <c r="S2494" i="5"/>
  <c r="S2495" i="5"/>
  <c r="S2496" i="5"/>
  <c r="S2497" i="5"/>
  <c r="S2498" i="5"/>
  <c r="S2499" i="5"/>
  <c r="S2500" i="5"/>
  <c r="S2501" i="5"/>
  <c r="S2502" i="5"/>
  <c r="S2503" i="5"/>
  <c r="S2504" i="5"/>
  <c r="S2505" i="5"/>
  <c r="S2506" i="5"/>
  <c r="S2507" i="5"/>
  <c r="S2508" i="5"/>
  <c r="S2509" i="5"/>
  <c r="S2510" i="5"/>
  <c r="S2511" i="5"/>
  <c r="S2512" i="5"/>
  <c r="S2513" i="5"/>
  <c r="S2514" i="5"/>
  <c r="S2515" i="5"/>
  <c r="S2516" i="5"/>
  <c r="S2517" i="5"/>
  <c r="S2518" i="5"/>
  <c r="S2519" i="5"/>
  <c r="S2520" i="5"/>
  <c r="S2521" i="5"/>
  <c r="S2522" i="5"/>
  <c r="S2523" i="5"/>
  <c r="S2524" i="5"/>
  <c r="S2525" i="5"/>
  <c r="S2526" i="5"/>
  <c r="S2527" i="5"/>
  <c r="S2528" i="5"/>
  <c r="S2529" i="5"/>
  <c r="S2530" i="5"/>
  <c r="S2531" i="5"/>
  <c r="S2532" i="5"/>
  <c r="S2533" i="5"/>
  <c r="S2534" i="5"/>
  <c r="S2535" i="5"/>
  <c r="S2536" i="5"/>
  <c r="S2537" i="5"/>
  <c r="S2538" i="5"/>
  <c r="S2539" i="5"/>
  <c r="S2540" i="5"/>
  <c r="S2541" i="5"/>
  <c r="S2542" i="5"/>
  <c r="S2543" i="5"/>
  <c r="S2544" i="5"/>
  <c r="S2545" i="5"/>
  <c r="S2546" i="5"/>
  <c r="S2547" i="5"/>
  <c r="S2548" i="5"/>
  <c r="S2549" i="5"/>
  <c r="S2550" i="5"/>
  <c r="S2551" i="5"/>
  <c r="S2552" i="5"/>
  <c r="S2553" i="5"/>
  <c r="S2554" i="5"/>
  <c r="S2555" i="5"/>
  <c r="S2556" i="5"/>
  <c r="S2557" i="5"/>
  <c r="S2558" i="5"/>
  <c r="S2559" i="5"/>
  <c r="S2560" i="5"/>
  <c r="S2561" i="5"/>
  <c r="S2562" i="5"/>
  <c r="S2563" i="5"/>
  <c r="S2564" i="5"/>
  <c r="S2565" i="5"/>
  <c r="S2566" i="5"/>
  <c r="S2567" i="5"/>
  <c r="S2568" i="5"/>
  <c r="S2569" i="5"/>
  <c r="S2570" i="5"/>
  <c r="S2571" i="5"/>
  <c r="S2572" i="5"/>
  <c r="S2573" i="5"/>
  <c r="S2574" i="5"/>
  <c r="S2575" i="5"/>
  <c r="S2576" i="5"/>
  <c r="S2577" i="5"/>
  <c r="S2578" i="5"/>
  <c r="S2579" i="5"/>
  <c r="S2580" i="5"/>
  <c r="S2581" i="5"/>
  <c r="S2582" i="5"/>
  <c r="S2583" i="5"/>
  <c r="S2584" i="5"/>
  <c r="S2585" i="5"/>
  <c r="S2586" i="5"/>
  <c r="S2587" i="5"/>
  <c r="S2588" i="5"/>
  <c r="S2589" i="5"/>
  <c r="S2590" i="5"/>
  <c r="S2591" i="5"/>
  <c r="S2592" i="5"/>
  <c r="S2593" i="5"/>
  <c r="S2594" i="5"/>
  <c r="S2595" i="5"/>
  <c r="S2596" i="5"/>
  <c r="S2597" i="5"/>
  <c r="S2598" i="5"/>
  <c r="S2599" i="5"/>
  <c r="S2600" i="5"/>
  <c r="S2601" i="5"/>
  <c r="S2602" i="5"/>
  <c r="S2603" i="5"/>
  <c r="S2604" i="5"/>
  <c r="S2605" i="5"/>
  <c r="S2606" i="5"/>
  <c r="S2607" i="5"/>
  <c r="S2608" i="5"/>
  <c r="S2609" i="5"/>
  <c r="S2610" i="5"/>
  <c r="S2611" i="5"/>
  <c r="S2612" i="5"/>
  <c r="S2613" i="5"/>
  <c r="S2614" i="5"/>
  <c r="S2615" i="5"/>
  <c r="S2616" i="5"/>
  <c r="S2617" i="5"/>
  <c r="S2618" i="5"/>
  <c r="S2619" i="5"/>
  <c r="S2620" i="5"/>
  <c r="S2621" i="5"/>
  <c r="S2622" i="5"/>
  <c r="S2623" i="5"/>
  <c r="S2624" i="5"/>
  <c r="S2625" i="5"/>
  <c r="S2626" i="5"/>
  <c r="S2627" i="5"/>
  <c r="S2628" i="5"/>
  <c r="S2629" i="5"/>
  <c r="S2630" i="5"/>
  <c r="S2631" i="5"/>
  <c r="S2632" i="5"/>
  <c r="S2633" i="5"/>
  <c r="S2634" i="5"/>
  <c r="S2635" i="5"/>
  <c r="S2636" i="5"/>
  <c r="S2637" i="5"/>
  <c r="S2638" i="5"/>
  <c r="S2639" i="5"/>
  <c r="S2640" i="5"/>
  <c r="S2641" i="5"/>
  <c r="S2642" i="5"/>
  <c r="S2643" i="5"/>
  <c r="S2644" i="5"/>
  <c r="S2645" i="5"/>
  <c r="S2646" i="5"/>
  <c r="S2647" i="5"/>
  <c r="S2648" i="5"/>
  <c r="S2649" i="5"/>
  <c r="S2650" i="5"/>
  <c r="S2651" i="5"/>
  <c r="S2652" i="5"/>
  <c r="S2653" i="5"/>
  <c r="S2654" i="5"/>
  <c r="S2655" i="5"/>
  <c r="S2656" i="5"/>
  <c r="S2657" i="5"/>
  <c r="S2658" i="5"/>
  <c r="S2659" i="5"/>
  <c r="S2660" i="5"/>
  <c r="S2661" i="5"/>
  <c r="S2662" i="5"/>
  <c r="S2663" i="5"/>
  <c r="S2664" i="5"/>
  <c r="S2665" i="5"/>
  <c r="S2666" i="5"/>
  <c r="S2667" i="5"/>
  <c r="S2668" i="5"/>
  <c r="S2669" i="5"/>
  <c r="S2670" i="5"/>
  <c r="S2671" i="5"/>
  <c r="S2672" i="5"/>
  <c r="S2673" i="5"/>
  <c r="S2674" i="5"/>
  <c r="S2675" i="5"/>
  <c r="S2676" i="5"/>
  <c r="S2677" i="5"/>
  <c r="S2678" i="5"/>
  <c r="S2679" i="5"/>
  <c r="S2680" i="5"/>
  <c r="S2681" i="5"/>
  <c r="S2682" i="5"/>
  <c r="S2683" i="5"/>
  <c r="S2684" i="5"/>
  <c r="S2685" i="5"/>
  <c r="S2686" i="5"/>
  <c r="S2687" i="5"/>
  <c r="S2688" i="5"/>
  <c r="S2689" i="5"/>
  <c r="S2690" i="5"/>
  <c r="S2691" i="5"/>
  <c r="S2692" i="5"/>
  <c r="S2693" i="5"/>
  <c r="S2694" i="5"/>
  <c r="S2695" i="5"/>
  <c r="S2696" i="5"/>
  <c r="S2697" i="5"/>
  <c r="S2698" i="5"/>
  <c r="S2699" i="5"/>
  <c r="S2700" i="5"/>
  <c r="S2701" i="5"/>
  <c r="S2702" i="5"/>
  <c r="S2703" i="5"/>
  <c r="S2704" i="5"/>
  <c r="S2705" i="5"/>
  <c r="S2706" i="5"/>
  <c r="S2707" i="5"/>
  <c r="S2708" i="5"/>
  <c r="S2709" i="5"/>
  <c r="S2710" i="5"/>
  <c r="S2711" i="5"/>
  <c r="S2712" i="5"/>
  <c r="S2713" i="5"/>
  <c r="S2714" i="5"/>
  <c r="S2715" i="5"/>
  <c r="S2716" i="5"/>
  <c r="S2717" i="5"/>
  <c r="S2718" i="5"/>
  <c r="S2719" i="5"/>
  <c r="S2720" i="5"/>
  <c r="S2721" i="5"/>
  <c r="S2722" i="5"/>
  <c r="S2723" i="5"/>
  <c r="S2724" i="5"/>
  <c r="S2725" i="5"/>
  <c r="S2726" i="5"/>
  <c r="S2727" i="5"/>
  <c r="S2728" i="5"/>
  <c r="S2729" i="5"/>
  <c r="S2730" i="5"/>
  <c r="S2731" i="5"/>
  <c r="S2732" i="5"/>
  <c r="S2733" i="5"/>
  <c r="S2734" i="5"/>
  <c r="S2735" i="5"/>
  <c r="S2736" i="5"/>
  <c r="S2737" i="5"/>
  <c r="S2738" i="5"/>
  <c r="S2739" i="5"/>
  <c r="S2740" i="5"/>
  <c r="S2741" i="5"/>
  <c r="S2742" i="5"/>
  <c r="S2743" i="5"/>
  <c r="S2744" i="5"/>
  <c r="S2745" i="5"/>
  <c r="S2746" i="5"/>
  <c r="S2747" i="5"/>
  <c r="S2748" i="5"/>
  <c r="S2749" i="5"/>
  <c r="S2750" i="5"/>
  <c r="S2751" i="5"/>
  <c r="S2752" i="5"/>
  <c r="S2753" i="5"/>
  <c r="S2754" i="5"/>
  <c r="S2755" i="5"/>
  <c r="S2756" i="5"/>
  <c r="S2757" i="5"/>
  <c r="S2758" i="5"/>
  <c r="S2759" i="5"/>
  <c r="S2760" i="5"/>
  <c r="S2761" i="5"/>
  <c r="S2762" i="5"/>
  <c r="S2763" i="5"/>
  <c r="S2764" i="5"/>
  <c r="S2765" i="5"/>
  <c r="S2766" i="5"/>
  <c r="S2767" i="5"/>
  <c r="S2768" i="5"/>
  <c r="S2769" i="5"/>
  <c r="S2770" i="5"/>
  <c r="S2771" i="5"/>
  <c r="S2772" i="5"/>
  <c r="S2773" i="5"/>
  <c r="S2774" i="5"/>
  <c r="S2775" i="5"/>
  <c r="S2776" i="5"/>
  <c r="S2777" i="5"/>
  <c r="S2778" i="5"/>
  <c r="S2779" i="5"/>
  <c r="S2780" i="5"/>
  <c r="S2781" i="5"/>
  <c r="S2782" i="5"/>
  <c r="S2783" i="5"/>
  <c r="S2784" i="5"/>
  <c r="S2785" i="5"/>
  <c r="S2786" i="5"/>
  <c r="S2787" i="5"/>
  <c r="S2788" i="5"/>
  <c r="S2789" i="5"/>
  <c r="S2790" i="5"/>
  <c r="S2791" i="5"/>
  <c r="S2792" i="5"/>
  <c r="S2793" i="5"/>
  <c r="S2794" i="5"/>
  <c r="S2795" i="5"/>
  <c r="S2796" i="5"/>
  <c r="S2797" i="5"/>
  <c r="S2798" i="5"/>
  <c r="S2799" i="5"/>
  <c r="S2800" i="5"/>
  <c r="S2801" i="5"/>
  <c r="S2802" i="5"/>
  <c r="S2803" i="5"/>
  <c r="S2804" i="5"/>
  <c r="S2805" i="5"/>
  <c r="S2806" i="5"/>
  <c r="S2807" i="5"/>
  <c r="S2808" i="5"/>
  <c r="S2809" i="5"/>
  <c r="S2810" i="5"/>
  <c r="S2811" i="5"/>
  <c r="S2812" i="5"/>
  <c r="S2813" i="5"/>
  <c r="S2814" i="5"/>
  <c r="S2815" i="5"/>
  <c r="S2816" i="5"/>
  <c r="S2817" i="5"/>
  <c r="S2818" i="5"/>
  <c r="S2819" i="5"/>
  <c r="S2820" i="5"/>
  <c r="S2821" i="5"/>
  <c r="S2822" i="5"/>
  <c r="S2823" i="5"/>
  <c r="S2824" i="5"/>
  <c r="S2825" i="5"/>
  <c r="S2826" i="5"/>
  <c r="S2827" i="5"/>
  <c r="S2828" i="5"/>
  <c r="S2829" i="5"/>
  <c r="S2830" i="5"/>
  <c r="S2831" i="5"/>
  <c r="S2832" i="5"/>
  <c r="S2833" i="5"/>
  <c r="S2834" i="5"/>
  <c r="S2835" i="5"/>
  <c r="S2836" i="5"/>
  <c r="S2837" i="5"/>
  <c r="S2838" i="5"/>
  <c r="S2839" i="5"/>
  <c r="S2840" i="5"/>
  <c r="S2841" i="5"/>
  <c r="S2842" i="5"/>
  <c r="S2843" i="5"/>
  <c r="S2844" i="5"/>
  <c r="S2845" i="5"/>
  <c r="S2846" i="5"/>
  <c r="S2847" i="5"/>
  <c r="S2848" i="5"/>
  <c r="S2849" i="5"/>
  <c r="S2850" i="5"/>
  <c r="S2851" i="5"/>
  <c r="S2852" i="5"/>
  <c r="S2853" i="5"/>
  <c r="S2854" i="5"/>
  <c r="S2855" i="5"/>
  <c r="S2856" i="5"/>
  <c r="S2857" i="5"/>
  <c r="S2858" i="5"/>
  <c r="S2859" i="5"/>
  <c r="S2860" i="5"/>
  <c r="S2861" i="5"/>
  <c r="S2862" i="5"/>
  <c r="S2863" i="5"/>
  <c r="S2864" i="5"/>
  <c r="S2865" i="5"/>
  <c r="S2866" i="5"/>
  <c r="S2867" i="5"/>
  <c r="S2868" i="5"/>
  <c r="S2869" i="5"/>
  <c r="S2870" i="5"/>
  <c r="S2871" i="5"/>
  <c r="S2872" i="5"/>
  <c r="S2873" i="5"/>
  <c r="S2874" i="5"/>
  <c r="S2875" i="5"/>
  <c r="S2876" i="5"/>
  <c r="S2877" i="5"/>
  <c r="S2878" i="5"/>
  <c r="S2879" i="5"/>
  <c r="S2880" i="5"/>
  <c r="S2881" i="5"/>
  <c r="S2882" i="5"/>
  <c r="S2883" i="5"/>
  <c r="S2884" i="5"/>
  <c r="S2885" i="5"/>
  <c r="S2886" i="5"/>
  <c r="S2887" i="5"/>
  <c r="S2888" i="5"/>
  <c r="S2889" i="5"/>
  <c r="S2890" i="5"/>
  <c r="S2891" i="5"/>
  <c r="S2892" i="5"/>
  <c r="S2893" i="5"/>
  <c r="S2894" i="5"/>
  <c r="S2895" i="5"/>
  <c r="S2896" i="5"/>
  <c r="S2897" i="5"/>
  <c r="S2898" i="5"/>
  <c r="S2899" i="5"/>
  <c r="S2900" i="5"/>
  <c r="S2901" i="5"/>
  <c r="S2902" i="5"/>
  <c r="S2903" i="5"/>
  <c r="S2904" i="5"/>
  <c r="S2905" i="5"/>
  <c r="S2906" i="5"/>
  <c r="S2907" i="5"/>
  <c r="S2908" i="5"/>
  <c r="S2909" i="5"/>
  <c r="S2910" i="5"/>
  <c r="S2911" i="5"/>
  <c r="S2912" i="5"/>
  <c r="S2913" i="5"/>
  <c r="S2914" i="5"/>
  <c r="S2915" i="5"/>
  <c r="S2916" i="5"/>
  <c r="S2917" i="5"/>
  <c r="S2918" i="5"/>
  <c r="S2919" i="5"/>
  <c r="S2920" i="5"/>
  <c r="S2921" i="5"/>
  <c r="S2922" i="5"/>
  <c r="S2923" i="5"/>
  <c r="S2924" i="5"/>
  <c r="S2925" i="5"/>
  <c r="S2926" i="5"/>
  <c r="S2927" i="5"/>
  <c r="S2928" i="5"/>
  <c r="S2929" i="5"/>
  <c r="S2930" i="5"/>
  <c r="S2931" i="5"/>
  <c r="S2932" i="5"/>
  <c r="S2933" i="5"/>
  <c r="S2934" i="5"/>
  <c r="S2935" i="5"/>
  <c r="S2936" i="5"/>
  <c r="S2937" i="5"/>
  <c r="S2938" i="5"/>
  <c r="S2939" i="5"/>
  <c r="S2940" i="5"/>
  <c r="S2941" i="5"/>
  <c r="S2942" i="5"/>
  <c r="S2943" i="5"/>
  <c r="S2944" i="5"/>
  <c r="S2945" i="5"/>
  <c r="S2946" i="5"/>
  <c r="S2947" i="5"/>
  <c r="S2948" i="5"/>
  <c r="S2949" i="5"/>
  <c r="S2950" i="5"/>
  <c r="S2951" i="5"/>
  <c r="S2952" i="5"/>
  <c r="S2953" i="5"/>
  <c r="S2954" i="5"/>
  <c r="S2955" i="5"/>
  <c r="S2956" i="5"/>
  <c r="S2957" i="5"/>
  <c r="S2958" i="5"/>
  <c r="S2959" i="5"/>
  <c r="S2960" i="5"/>
  <c r="S2961" i="5"/>
  <c r="S2962" i="5"/>
  <c r="S2963" i="5"/>
  <c r="S2964" i="5"/>
  <c r="S2965" i="5"/>
  <c r="S2966" i="5"/>
  <c r="S2967" i="5"/>
  <c r="S2968" i="5"/>
  <c r="S2969" i="5"/>
  <c r="S2970" i="5"/>
  <c r="S2971" i="5"/>
  <c r="S2972" i="5"/>
  <c r="S2973" i="5"/>
  <c r="S2974" i="5"/>
  <c r="S2975" i="5"/>
  <c r="S2976" i="5"/>
  <c r="S2977" i="5"/>
  <c r="S2978" i="5"/>
  <c r="S2979" i="5"/>
  <c r="S2980" i="5"/>
  <c r="S2981" i="5"/>
  <c r="S2982" i="5"/>
  <c r="S2983" i="5"/>
  <c r="S2984" i="5"/>
  <c r="S2985" i="5"/>
  <c r="S2986" i="5"/>
  <c r="S2987" i="5"/>
  <c r="S2988" i="5"/>
  <c r="S2989" i="5"/>
  <c r="S2990" i="5"/>
  <c r="S2991" i="5"/>
  <c r="S2992" i="5"/>
  <c r="S2993" i="5"/>
  <c r="S2994" i="5"/>
  <c r="S2995" i="5"/>
  <c r="S2996" i="5"/>
  <c r="S2997" i="5"/>
  <c r="S2998" i="5"/>
  <c r="S2999" i="5"/>
  <c r="S3000" i="5"/>
  <c r="S3001" i="5"/>
  <c r="S3002" i="5"/>
  <c r="S3003" i="5"/>
  <c r="S3004" i="5"/>
  <c r="S3005" i="5"/>
  <c r="S3006" i="5"/>
  <c r="S3007" i="5"/>
  <c r="S3008" i="5"/>
  <c r="S3009" i="5"/>
  <c r="S3010" i="5"/>
  <c r="S3011" i="5"/>
  <c r="S3012" i="5"/>
  <c r="S3013" i="5"/>
  <c r="S3014" i="5"/>
  <c r="S3015" i="5"/>
  <c r="S3016" i="5"/>
  <c r="S3017" i="5"/>
  <c r="S3018" i="5"/>
  <c r="S3019" i="5"/>
  <c r="S3020" i="5"/>
  <c r="S3021" i="5"/>
  <c r="S3022" i="5"/>
  <c r="S3023" i="5"/>
  <c r="S3024" i="5"/>
  <c r="S3025" i="5"/>
  <c r="S3026" i="5"/>
  <c r="S3027" i="5"/>
  <c r="S3028" i="5"/>
  <c r="S3029" i="5"/>
  <c r="R3" i="5"/>
  <c r="R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R1005" i="5"/>
  <c r="R1006" i="5"/>
  <c r="R1007" i="5"/>
  <c r="R1008" i="5"/>
  <c r="R1009" i="5"/>
  <c r="R1010" i="5"/>
  <c r="R1011" i="5"/>
  <c r="R1012" i="5"/>
  <c r="R1013" i="5"/>
  <c r="R1014" i="5"/>
  <c r="R1015" i="5"/>
  <c r="R1016" i="5"/>
  <c r="R1017" i="5"/>
  <c r="R1018" i="5"/>
  <c r="R1019" i="5"/>
  <c r="R1020" i="5"/>
  <c r="R1021" i="5"/>
  <c r="R1022" i="5"/>
  <c r="R1023" i="5"/>
  <c r="R1024" i="5"/>
  <c r="R1025" i="5"/>
  <c r="R1026" i="5"/>
  <c r="R1027" i="5"/>
  <c r="R1028" i="5"/>
  <c r="R1029" i="5"/>
  <c r="R1030" i="5"/>
  <c r="R1031" i="5"/>
  <c r="R1032" i="5"/>
  <c r="R1033" i="5"/>
  <c r="R1034" i="5"/>
  <c r="R1035" i="5"/>
  <c r="R1036" i="5"/>
  <c r="R1037" i="5"/>
  <c r="R1038" i="5"/>
  <c r="R1039" i="5"/>
  <c r="R1040" i="5"/>
  <c r="R1041" i="5"/>
  <c r="R1042" i="5"/>
  <c r="R1043" i="5"/>
  <c r="R1044" i="5"/>
  <c r="R1045" i="5"/>
  <c r="R1046" i="5"/>
  <c r="R1047" i="5"/>
  <c r="R1048" i="5"/>
  <c r="R1049" i="5"/>
  <c r="R1050" i="5"/>
  <c r="R1051" i="5"/>
  <c r="R1052" i="5"/>
  <c r="R1053" i="5"/>
  <c r="R1054" i="5"/>
  <c r="R1055" i="5"/>
  <c r="R1056" i="5"/>
  <c r="R1057" i="5"/>
  <c r="R1058" i="5"/>
  <c r="R1059" i="5"/>
  <c r="R1060" i="5"/>
  <c r="R1061" i="5"/>
  <c r="R1062" i="5"/>
  <c r="R1063" i="5"/>
  <c r="R1064" i="5"/>
  <c r="R1065" i="5"/>
  <c r="R1066" i="5"/>
  <c r="R1067" i="5"/>
  <c r="R1068" i="5"/>
  <c r="R1069" i="5"/>
  <c r="R1070" i="5"/>
  <c r="R1071" i="5"/>
  <c r="R1072" i="5"/>
  <c r="R1073" i="5"/>
  <c r="R1074" i="5"/>
  <c r="R1075" i="5"/>
  <c r="R1076" i="5"/>
  <c r="R1077" i="5"/>
  <c r="R1078" i="5"/>
  <c r="R1079" i="5"/>
  <c r="R1080" i="5"/>
  <c r="R1081" i="5"/>
  <c r="R1082" i="5"/>
  <c r="R1083" i="5"/>
  <c r="R1084" i="5"/>
  <c r="R1085" i="5"/>
  <c r="R1086" i="5"/>
  <c r="R1087" i="5"/>
  <c r="R1088" i="5"/>
  <c r="R1089" i="5"/>
  <c r="R1090" i="5"/>
  <c r="R1091" i="5"/>
  <c r="R1092" i="5"/>
  <c r="R1093" i="5"/>
  <c r="R1094" i="5"/>
  <c r="R1095" i="5"/>
  <c r="R1096" i="5"/>
  <c r="R1097" i="5"/>
  <c r="R1098" i="5"/>
  <c r="R1099" i="5"/>
  <c r="R1100" i="5"/>
  <c r="R1101" i="5"/>
  <c r="R1102" i="5"/>
  <c r="R1103" i="5"/>
  <c r="R1104" i="5"/>
  <c r="R1105" i="5"/>
  <c r="R1106" i="5"/>
  <c r="R1107" i="5"/>
  <c r="R1108" i="5"/>
  <c r="R1109" i="5"/>
  <c r="R1110" i="5"/>
  <c r="R1111" i="5"/>
  <c r="R1112" i="5"/>
  <c r="R1113" i="5"/>
  <c r="R1114" i="5"/>
  <c r="R1115" i="5"/>
  <c r="R1116" i="5"/>
  <c r="R1117" i="5"/>
  <c r="R1118" i="5"/>
  <c r="R1119" i="5"/>
  <c r="R1120" i="5"/>
  <c r="R1121" i="5"/>
  <c r="R1122" i="5"/>
  <c r="R1123" i="5"/>
  <c r="R1124" i="5"/>
  <c r="R1125" i="5"/>
  <c r="R1126" i="5"/>
  <c r="R1127" i="5"/>
  <c r="R1128" i="5"/>
  <c r="R1129" i="5"/>
  <c r="R1130" i="5"/>
  <c r="R1131" i="5"/>
  <c r="R1132" i="5"/>
  <c r="R1133" i="5"/>
  <c r="R1134" i="5"/>
  <c r="R1135" i="5"/>
  <c r="R1136" i="5"/>
  <c r="R1137" i="5"/>
  <c r="R1138" i="5"/>
  <c r="R1139" i="5"/>
  <c r="R1140" i="5"/>
  <c r="R1141" i="5"/>
  <c r="R1142" i="5"/>
  <c r="R1143" i="5"/>
  <c r="R1144" i="5"/>
  <c r="R1145" i="5"/>
  <c r="R1146" i="5"/>
  <c r="R1147" i="5"/>
  <c r="R1148" i="5"/>
  <c r="R1149" i="5"/>
  <c r="R1150" i="5"/>
  <c r="R1151" i="5"/>
  <c r="R1152" i="5"/>
  <c r="R1153" i="5"/>
  <c r="R1154" i="5"/>
  <c r="R1155" i="5"/>
  <c r="R1156" i="5"/>
  <c r="R1157" i="5"/>
  <c r="R1158" i="5"/>
  <c r="R1159" i="5"/>
  <c r="R1160" i="5"/>
  <c r="R1161" i="5"/>
  <c r="R1162" i="5"/>
  <c r="R1163" i="5"/>
  <c r="R1164" i="5"/>
  <c r="R1165" i="5"/>
  <c r="R1166" i="5"/>
  <c r="R1167" i="5"/>
  <c r="R1168" i="5"/>
  <c r="R1169" i="5"/>
  <c r="R1170" i="5"/>
  <c r="R1171" i="5"/>
  <c r="R1172" i="5"/>
  <c r="R1173" i="5"/>
  <c r="R1174" i="5"/>
  <c r="R1175" i="5"/>
  <c r="R1176" i="5"/>
  <c r="R1177" i="5"/>
  <c r="R1178" i="5"/>
  <c r="R1179" i="5"/>
  <c r="R1180" i="5"/>
  <c r="R1181" i="5"/>
  <c r="R1182" i="5"/>
  <c r="R1183" i="5"/>
  <c r="R1184" i="5"/>
  <c r="R1185" i="5"/>
  <c r="R1186" i="5"/>
  <c r="R1187" i="5"/>
  <c r="R1188" i="5"/>
  <c r="R1189" i="5"/>
  <c r="R1190" i="5"/>
  <c r="R1191" i="5"/>
  <c r="R1192" i="5"/>
  <c r="R1193" i="5"/>
  <c r="R1194" i="5"/>
  <c r="R1195" i="5"/>
  <c r="R1196" i="5"/>
  <c r="R1197" i="5"/>
  <c r="R1198" i="5"/>
  <c r="R1199" i="5"/>
  <c r="R1200" i="5"/>
  <c r="R1201" i="5"/>
  <c r="R1202" i="5"/>
  <c r="R1203" i="5"/>
  <c r="R1204" i="5"/>
  <c r="R1205" i="5"/>
  <c r="R1206" i="5"/>
  <c r="R1207" i="5"/>
  <c r="R1208" i="5"/>
  <c r="R1209" i="5"/>
  <c r="R1210" i="5"/>
  <c r="R1211" i="5"/>
  <c r="R1212" i="5"/>
  <c r="R1213" i="5"/>
  <c r="R1214" i="5"/>
  <c r="R1215" i="5"/>
  <c r="R1216" i="5"/>
  <c r="R1217" i="5"/>
  <c r="R1218" i="5"/>
  <c r="R1219" i="5"/>
  <c r="R1220" i="5"/>
  <c r="R1221" i="5"/>
  <c r="R1222" i="5"/>
  <c r="R1223" i="5"/>
  <c r="R1224" i="5"/>
  <c r="R1225" i="5"/>
  <c r="R1226" i="5"/>
  <c r="R1227" i="5"/>
  <c r="R1228" i="5"/>
  <c r="R1229" i="5"/>
  <c r="R1230" i="5"/>
  <c r="R1231" i="5"/>
  <c r="R1232" i="5"/>
  <c r="R1233" i="5"/>
  <c r="R1234" i="5"/>
  <c r="R1235" i="5"/>
  <c r="R1236" i="5"/>
  <c r="R1237" i="5"/>
  <c r="R1238" i="5"/>
  <c r="R1239" i="5"/>
  <c r="R1240" i="5"/>
  <c r="R1241" i="5"/>
  <c r="R1242" i="5"/>
  <c r="R1243" i="5"/>
  <c r="R1244" i="5"/>
  <c r="R1245" i="5"/>
  <c r="R1246" i="5"/>
  <c r="R1247" i="5"/>
  <c r="R1248" i="5"/>
  <c r="R1249" i="5"/>
  <c r="R1250" i="5"/>
  <c r="R1251" i="5"/>
  <c r="R1252" i="5"/>
  <c r="R1253" i="5"/>
  <c r="R1254" i="5"/>
  <c r="R1255" i="5"/>
  <c r="R1256" i="5"/>
  <c r="R1257" i="5"/>
  <c r="R1258" i="5"/>
  <c r="R1259" i="5"/>
  <c r="R1260" i="5"/>
  <c r="R1261" i="5"/>
  <c r="R1262" i="5"/>
  <c r="R1263" i="5"/>
  <c r="R1264" i="5"/>
  <c r="R1265" i="5"/>
  <c r="R1266" i="5"/>
  <c r="R1267" i="5"/>
  <c r="R1268" i="5"/>
  <c r="R1269" i="5"/>
  <c r="R1270" i="5"/>
  <c r="R1271" i="5"/>
  <c r="R1272" i="5"/>
  <c r="R1273" i="5"/>
  <c r="R1274" i="5"/>
  <c r="R1275" i="5"/>
  <c r="R1276" i="5"/>
  <c r="R1277" i="5"/>
  <c r="R1278" i="5"/>
  <c r="R1279" i="5"/>
  <c r="R1280" i="5"/>
  <c r="R1281" i="5"/>
  <c r="R1282" i="5"/>
  <c r="R1283" i="5"/>
  <c r="R1284" i="5"/>
  <c r="R1285" i="5"/>
  <c r="R1286" i="5"/>
  <c r="R1287" i="5"/>
  <c r="R1288" i="5"/>
  <c r="R1289" i="5"/>
  <c r="R1290" i="5"/>
  <c r="R1291" i="5"/>
  <c r="R1292" i="5"/>
  <c r="R1293" i="5"/>
  <c r="R1294" i="5"/>
  <c r="R1295" i="5"/>
  <c r="R1296" i="5"/>
  <c r="R1297" i="5"/>
  <c r="R1298" i="5"/>
  <c r="R1299" i="5"/>
  <c r="R1300" i="5"/>
  <c r="R1301" i="5"/>
  <c r="R1302" i="5"/>
  <c r="R1303" i="5"/>
  <c r="R1304" i="5"/>
  <c r="R1305" i="5"/>
  <c r="R1306" i="5"/>
  <c r="R1307" i="5"/>
  <c r="R1308" i="5"/>
  <c r="R1309" i="5"/>
  <c r="R1310" i="5"/>
  <c r="R1311" i="5"/>
  <c r="R1312" i="5"/>
  <c r="R1313" i="5"/>
  <c r="R1314" i="5"/>
  <c r="R1315" i="5"/>
  <c r="R1316" i="5"/>
  <c r="R1317" i="5"/>
  <c r="R1318" i="5"/>
  <c r="R1319" i="5"/>
  <c r="R1320" i="5"/>
  <c r="R1321" i="5"/>
  <c r="R1322" i="5"/>
  <c r="R1323" i="5"/>
  <c r="R1324" i="5"/>
  <c r="R1325" i="5"/>
  <c r="R1326" i="5"/>
  <c r="R1327" i="5"/>
  <c r="R1328" i="5"/>
  <c r="R1329" i="5"/>
  <c r="R1330" i="5"/>
  <c r="R1331" i="5"/>
  <c r="R1332" i="5"/>
  <c r="R1333" i="5"/>
  <c r="R1334" i="5"/>
  <c r="R1335" i="5"/>
  <c r="R1336" i="5"/>
  <c r="R1337" i="5"/>
  <c r="R1338" i="5"/>
  <c r="R1339" i="5"/>
  <c r="R1340" i="5"/>
  <c r="R1341" i="5"/>
  <c r="R1342" i="5"/>
  <c r="R1343" i="5"/>
  <c r="R1344" i="5"/>
  <c r="R1345" i="5"/>
  <c r="R1346" i="5"/>
  <c r="R1347" i="5"/>
  <c r="R1348" i="5"/>
  <c r="R1349" i="5"/>
  <c r="R1350" i="5"/>
  <c r="R1351" i="5"/>
  <c r="R1352" i="5"/>
  <c r="R1353" i="5"/>
  <c r="R1354" i="5"/>
  <c r="R1355" i="5"/>
  <c r="R1356" i="5"/>
  <c r="R1357" i="5"/>
  <c r="R1358" i="5"/>
  <c r="R1359" i="5"/>
  <c r="R1360" i="5"/>
  <c r="R1361" i="5"/>
  <c r="R1362" i="5"/>
  <c r="R1363" i="5"/>
  <c r="R1364" i="5"/>
  <c r="R1365" i="5"/>
  <c r="R1366" i="5"/>
  <c r="R1367" i="5"/>
  <c r="R1368" i="5"/>
  <c r="R1369" i="5"/>
  <c r="R1370" i="5"/>
  <c r="R1371" i="5"/>
  <c r="R1372" i="5"/>
  <c r="R1373" i="5"/>
  <c r="R1374" i="5"/>
  <c r="R1375" i="5"/>
  <c r="R1376" i="5"/>
  <c r="R1377" i="5"/>
  <c r="R1378" i="5"/>
  <c r="R1379" i="5"/>
  <c r="R1380" i="5"/>
  <c r="R1381" i="5"/>
  <c r="R1382" i="5"/>
  <c r="R1383" i="5"/>
  <c r="R1384" i="5"/>
  <c r="R1385" i="5"/>
  <c r="R1386" i="5"/>
  <c r="R1387" i="5"/>
  <c r="R1388" i="5"/>
  <c r="R1389" i="5"/>
  <c r="R1390" i="5"/>
  <c r="R1391" i="5"/>
  <c r="R1392" i="5"/>
  <c r="R1393" i="5"/>
  <c r="R1394" i="5"/>
  <c r="R1395" i="5"/>
  <c r="R1396" i="5"/>
  <c r="R1397" i="5"/>
  <c r="R1398" i="5"/>
  <c r="R1399" i="5"/>
  <c r="R1400" i="5"/>
  <c r="R1401" i="5"/>
  <c r="R1402" i="5"/>
  <c r="R1403" i="5"/>
  <c r="R1404" i="5"/>
  <c r="R1405" i="5"/>
  <c r="R1406" i="5"/>
  <c r="R1407" i="5"/>
  <c r="R1408" i="5"/>
  <c r="R1409" i="5"/>
  <c r="R1410" i="5"/>
  <c r="R1411" i="5"/>
  <c r="R1412" i="5"/>
  <c r="R1413" i="5"/>
  <c r="R1414" i="5"/>
  <c r="R1415" i="5"/>
  <c r="R1416" i="5"/>
  <c r="R1417" i="5"/>
  <c r="R1418" i="5"/>
  <c r="R1419" i="5"/>
  <c r="R1420" i="5"/>
  <c r="R1421" i="5"/>
  <c r="R1422" i="5"/>
  <c r="R1423" i="5"/>
  <c r="R1424" i="5"/>
  <c r="R1425" i="5"/>
  <c r="R1426" i="5"/>
  <c r="R1427" i="5"/>
  <c r="R1428" i="5"/>
  <c r="R1429" i="5"/>
  <c r="R1430" i="5"/>
  <c r="R1431" i="5"/>
  <c r="R1432" i="5"/>
  <c r="R1433" i="5"/>
  <c r="R1434" i="5"/>
  <c r="R1435" i="5"/>
  <c r="R1436" i="5"/>
  <c r="R1437" i="5"/>
  <c r="R1438" i="5"/>
  <c r="R1439" i="5"/>
  <c r="R1440" i="5"/>
  <c r="R1441" i="5"/>
  <c r="R1442" i="5"/>
  <c r="R1443" i="5"/>
  <c r="R1444" i="5"/>
  <c r="R1445" i="5"/>
  <c r="R1446" i="5"/>
  <c r="R1447" i="5"/>
  <c r="R1448" i="5"/>
  <c r="R1449" i="5"/>
  <c r="R1450" i="5"/>
  <c r="R1451" i="5"/>
  <c r="R1452" i="5"/>
  <c r="R1453" i="5"/>
  <c r="R1454" i="5"/>
  <c r="R1455" i="5"/>
  <c r="R1456" i="5"/>
  <c r="R1457" i="5"/>
  <c r="R1458" i="5"/>
  <c r="R1459" i="5"/>
  <c r="R1460" i="5"/>
  <c r="R1461" i="5"/>
  <c r="R1462" i="5"/>
  <c r="R1463" i="5"/>
  <c r="R1464" i="5"/>
  <c r="R1465" i="5"/>
  <c r="R1466" i="5"/>
  <c r="R1467" i="5"/>
  <c r="R1468" i="5"/>
  <c r="R1469" i="5"/>
  <c r="R1470" i="5"/>
  <c r="R1471" i="5"/>
  <c r="R1472" i="5"/>
  <c r="R1473" i="5"/>
  <c r="R1474" i="5"/>
  <c r="R1475" i="5"/>
  <c r="R1476" i="5"/>
  <c r="R1477" i="5"/>
  <c r="R1478" i="5"/>
  <c r="R1479" i="5"/>
  <c r="R1480" i="5"/>
  <c r="R1481" i="5"/>
  <c r="R1482" i="5"/>
  <c r="R1483" i="5"/>
  <c r="R1484" i="5"/>
  <c r="R1485" i="5"/>
  <c r="R1486" i="5"/>
  <c r="R1487" i="5"/>
  <c r="R1488" i="5"/>
  <c r="R1489" i="5"/>
  <c r="R1490" i="5"/>
  <c r="R1491" i="5"/>
  <c r="R1492" i="5"/>
  <c r="R1493" i="5"/>
  <c r="R1494" i="5"/>
  <c r="R1495" i="5"/>
  <c r="R1496" i="5"/>
  <c r="R1497" i="5"/>
  <c r="R1498" i="5"/>
  <c r="R1499" i="5"/>
  <c r="R1500" i="5"/>
  <c r="R1501" i="5"/>
  <c r="R1502" i="5"/>
  <c r="R1503" i="5"/>
  <c r="R1504" i="5"/>
  <c r="R1505" i="5"/>
  <c r="R1506" i="5"/>
  <c r="R1507" i="5"/>
  <c r="R1508" i="5"/>
  <c r="R1509" i="5"/>
  <c r="R1510" i="5"/>
  <c r="R1511" i="5"/>
  <c r="R1512" i="5"/>
  <c r="R1513" i="5"/>
  <c r="R1514" i="5"/>
  <c r="R1515" i="5"/>
  <c r="R1516" i="5"/>
  <c r="R1517" i="5"/>
  <c r="R1518" i="5"/>
  <c r="R1519" i="5"/>
  <c r="R1520" i="5"/>
  <c r="R1521" i="5"/>
  <c r="R1522" i="5"/>
  <c r="R1523" i="5"/>
  <c r="R1524" i="5"/>
  <c r="R1525" i="5"/>
  <c r="R1526" i="5"/>
  <c r="R1527" i="5"/>
  <c r="R1528" i="5"/>
  <c r="R1529" i="5"/>
  <c r="R1530" i="5"/>
  <c r="R1531" i="5"/>
  <c r="R1532" i="5"/>
  <c r="R1533" i="5"/>
  <c r="R1534" i="5"/>
  <c r="R1535" i="5"/>
  <c r="R1536" i="5"/>
  <c r="R1537" i="5"/>
  <c r="R1538" i="5"/>
  <c r="R1539" i="5"/>
  <c r="R1540" i="5"/>
  <c r="R1541" i="5"/>
  <c r="R1542" i="5"/>
  <c r="R1543" i="5"/>
  <c r="R1544" i="5"/>
  <c r="R1545" i="5"/>
  <c r="R1546" i="5"/>
  <c r="R1547" i="5"/>
  <c r="R1548" i="5"/>
  <c r="R1549" i="5"/>
  <c r="R1550" i="5"/>
  <c r="R1551" i="5"/>
  <c r="R1552" i="5"/>
  <c r="R1553" i="5"/>
  <c r="R1554" i="5"/>
  <c r="R1555" i="5"/>
  <c r="R1556" i="5"/>
  <c r="R1557" i="5"/>
  <c r="R1558" i="5"/>
  <c r="R1559" i="5"/>
  <c r="R1560" i="5"/>
  <c r="R1561" i="5"/>
  <c r="R1562" i="5"/>
  <c r="R1563" i="5"/>
  <c r="R1564" i="5"/>
  <c r="R1565" i="5"/>
  <c r="R1566" i="5"/>
  <c r="R1567" i="5"/>
  <c r="R1568" i="5"/>
  <c r="R1569" i="5"/>
  <c r="R1570" i="5"/>
  <c r="R1571" i="5"/>
  <c r="R1572" i="5"/>
  <c r="R1573" i="5"/>
  <c r="R1574" i="5"/>
  <c r="R1575" i="5"/>
  <c r="R1576" i="5"/>
  <c r="R1577" i="5"/>
  <c r="R1578" i="5"/>
  <c r="R1579" i="5"/>
  <c r="R1580" i="5"/>
  <c r="R1581" i="5"/>
  <c r="R1582" i="5"/>
  <c r="R1583" i="5"/>
  <c r="R1584" i="5"/>
  <c r="R1585" i="5"/>
  <c r="R1586" i="5"/>
  <c r="R1587" i="5"/>
  <c r="R1588" i="5"/>
  <c r="R1589" i="5"/>
  <c r="R1590" i="5"/>
  <c r="R1591" i="5"/>
  <c r="R1592" i="5"/>
  <c r="R1593" i="5"/>
  <c r="R1594" i="5"/>
  <c r="R1595" i="5"/>
  <c r="R1596" i="5"/>
  <c r="R1597" i="5"/>
  <c r="R1598" i="5"/>
  <c r="R1599" i="5"/>
  <c r="R1600" i="5"/>
  <c r="R1601" i="5"/>
  <c r="R1602" i="5"/>
  <c r="R1603" i="5"/>
  <c r="R1604" i="5"/>
  <c r="R1605" i="5"/>
  <c r="R1606" i="5"/>
  <c r="R1607" i="5"/>
  <c r="R1608" i="5"/>
  <c r="R1609" i="5"/>
  <c r="R1610" i="5"/>
  <c r="R1611" i="5"/>
  <c r="R1612" i="5"/>
  <c r="R1613" i="5"/>
  <c r="R1614" i="5"/>
  <c r="R1615" i="5"/>
  <c r="R1616" i="5"/>
  <c r="R1617" i="5"/>
  <c r="R1618" i="5"/>
  <c r="R1619" i="5"/>
  <c r="R1620" i="5"/>
  <c r="R1621" i="5"/>
  <c r="R1622" i="5"/>
  <c r="R1623" i="5"/>
  <c r="R1624" i="5"/>
  <c r="R1625" i="5"/>
  <c r="R1626" i="5"/>
  <c r="R1627" i="5"/>
  <c r="R1628" i="5"/>
  <c r="R1629" i="5"/>
  <c r="R1630" i="5"/>
  <c r="R1631" i="5"/>
  <c r="R1632" i="5"/>
  <c r="R1633" i="5"/>
  <c r="R1634" i="5"/>
  <c r="R1635" i="5"/>
  <c r="R1636" i="5"/>
  <c r="R1637" i="5"/>
  <c r="R1638" i="5"/>
  <c r="R1639" i="5"/>
  <c r="R1640" i="5"/>
  <c r="R1641" i="5"/>
  <c r="R1642" i="5"/>
  <c r="R1643" i="5"/>
  <c r="R1644" i="5"/>
  <c r="R1645" i="5"/>
  <c r="R1646" i="5"/>
  <c r="R1647" i="5"/>
  <c r="R1648" i="5"/>
  <c r="R1649" i="5"/>
  <c r="R1650" i="5"/>
  <c r="R1651" i="5"/>
  <c r="R1652" i="5"/>
  <c r="R1653" i="5"/>
  <c r="R1654" i="5"/>
  <c r="R1655" i="5"/>
  <c r="R1656" i="5"/>
  <c r="R1657" i="5"/>
  <c r="R1658" i="5"/>
  <c r="R1659" i="5"/>
  <c r="R1660" i="5"/>
  <c r="R1661" i="5"/>
  <c r="R1662" i="5"/>
  <c r="R1663" i="5"/>
  <c r="R1664" i="5"/>
  <c r="R1665" i="5"/>
  <c r="R1666" i="5"/>
  <c r="R1667" i="5"/>
  <c r="R1668" i="5"/>
  <c r="R1669" i="5"/>
  <c r="R1670" i="5"/>
  <c r="R1671" i="5"/>
  <c r="R1672" i="5"/>
  <c r="R1673" i="5"/>
  <c r="R1674" i="5"/>
  <c r="R1675" i="5"/>
  <c r="R1676" i="5"/>
  <c r="R1677" i="5"/>
  <c r="R1678" i="5"/>
  <c r="R1679" i="5"/>
  <c r="R1680" i="5"/>
  <c r="R1681" i="5"/>
  <c r="R1682" i="5"/>
  <c r="R1683" i="5"/>
  <c r="R1684" i="5"/>
  <c r="R1685" i="5"/>
  <c r="R1686" i="5"/>
  <c r="R1687" i="5"/>
  <c r="R1688" i="5"/>
  <c r="R1689" i="5"/>
  <c r="R1690" i="5"/>
  <c r="R1691" i="5"/>
  <c r="R1692" i="5"/>
  <c r="R1693" i="5"/>
  <c r="R1694" i="5"/>
  <c r="R1695" i="5"/>
  <c r="R1696" i="5"/>
  <c r="R1697" i="5"/>
  <c r="R1698" i="5"/>
  <c r="R1699" i="5"/>
  <c r="R1700" i="5"/>
  <c r="R1701" i="5"/>
  <c r="R1702" i="5"/>
  <c r="R1703" i="5"/>
  <c r="R1704" i="5"/>
  <c r="R1705" i="5"/>
  <c r="R1706" i="5"/>
  <c r="R1707" i="5"/>
  <c r="R1708" i="5"/>
  <c r="R1709" i="5"/>
  <c r="R1710" i="5"/>
  <c r="R1711" i="5"/>
  <c r="R1712" i="5"/>
  <c r="R1713" i="5"/>
  <c r="R1714" i="5"/>
  <c r="R1715" i="5"/>
  <c r="R1716" i="5"/>
  <c r="R1717" i="5"/>
  <c r="R1718" i="5"/>
  <c r="R1719" i="5"/>
  <c r="R1720" i="5"/>
  <c r="R1721" i="5"/>
  <c r="R1722" i="5"/>
  <c r="R1723" i="5"/>
  <c r="R1724" i="5"/>
  <c r="R1725" i="5"/>
  <c r="R1726" i="5"/>
  <c r="R1727" i="5"/>
  <c r="R1728" i="5"/>
  <c r="R1729" i="5"/>
  <c r="R1730" i="5"/>
  <c r="R1731" i="5"/>
  <c r="R1732" i="5"/>
  <c r="R1733" i="5"/>
  <c r="R1734" i="5"/>
  <c r="R1735" i="5"/>
  <c r="R1736" i="5"/>
  <c r="R1737" i="5"/>
  <c r="R1738" i="5"/>
  <c r="R1739" i="5"/>
  <c r="R1740" i="5"/>
  <c r="R1741" i="5"/>
  <c r="R1742" i="5"/>
  <c r="R1743" i="5"/>
  <c r="R1744" i="5"/>
  <c r="R1745" i="5"/>
  <c r="R1746" i="5"/>
  <c r="R1747" i="5"/>
  <c r="R1748" i="5"/>
  <c r="R1749" i="5"/>
  <c r="R1750" i="5"/>
  <c r="R1751" i="5"/>
  <c r="R1752" i="5"/>
  <c r="R1753" i="5"/>
  <c r="R1754" i="5"/>
  <c r="R1755" i="5"/>
  <c r="R1756" i="5"/>
  <c r="R1757" i="5"/>
  <c r="R1758" i="5"/>
  <c r="R1759" i="5"/>
  <c r="R1760" i="5"/>
  <c r="R1761" i="5"/>
  <c r="R1762" i="5"/>
  <c r="R1763" i="5"/>
  <c r="R1764" i="5"/>
  <c r="R1765" i="5"/>
  <c r="R1766" i="5"/>
  <c r="R1767" i="5"/>
  <c r="R1768" i="5"/>
  <c r="R1769" i="5"/>
  <c r="R1770" i="5"/>
  <c r="R1771" i="5"/>
  <c r="R1772" i="5"/>
  <c r="R1773" i="5"/>
  <c r="R1774" i="5"/>
  <c r="R1775" i="5"/>
  <c r="R1776" i="5"/>
  <c r="R1777" i="5"/>
  <c r="R1778" i="5"/>
  <c r="R1779" i="5"/>
  <c r="R1780" i="5"/>
  <c r="R1781" i="5"/>
  <c r="R1782" i="5"/>
  <c r="R1783" i="5"/>
  <c r="R1784" i="5"/>
  <c r="R1785" i="5"/>
  <c r="R1786" i="5"/>
  <c r="R1787" i="5"/>
  <c r="R1788" i="5"/>
  <c r="R1789" i="5"/>
  <c r="R1790" i="5"/>
  <c r="R1791" i="5"/>
  <c r="R1792" i="5"/>
  <c r="R1793" i="5"/>
  <c r="R1794" i="5"/>
  <c r="R1795" i="5"/>
  <c r="R1796" i="5"/>
  <c r="R1797" i="5"/>
  <c r="R1798" i="5"/>
  <c r="R1799" i="5"/>
  <c r="R1800" i="5"/>
  <c r="R1801" i="5"/>
  <c r="R1802" i="5"/>
  <c r="R1803" i="5"/>
  <c r="R1804" i="5"/>
  <c r="R1805" i="5"/>
  <c r="R1806" i="5"/>
  <c r="R1807" i="5"/>
  <c r="R1808" i="5"/>
  <c r="R1809" i="5"/>
  <c r="R1810" i="5"/>
  <c r="R1811" i="5"/>
  <c r="R1812" i="5"/>
  <c r="R1813" i="5"/>
  <c r="R1814" i="5"/>
  <c r="R1815" i="5"/>
  <c r="R1816" i="5"/>
  <c r="R1817" i="5"/>
  <c r="R1818" i="5"/>
  <c r="R1819" i="5"/>
  <c r="R1820" i="5"/>
  <c r="R1821" i="5"/>
  <c r="R1822" i="5"/>
  <c r="R1823" i="5"/>
  <c r="R1824" i="5"/>
  <c r="R1825" i="5"/>
  <c r="R1826" i="5"/>
  <c r="R1827" i="5"/>
  <c r="R1828" i="5"/>
  <c r="R1829" i="5"/>
  <c r="R1830" i="5"/>
  <c r="R1831" i="5"/>
  <c r="R1832" i="5"/>
  <c r="R1833" i="5"/>
  <c r="R1834" i="5"/>
  <c r="R1835" i="5"/>
  <c r="R1836" i="5"/>
  <c r="R1837" i="5"/>
  <c r="R1838" i="5"/>
  <c r="R1839" i="5"/>
  <c r="R1840" i="5"/>
  <c r="R1841" i="5"/>
  <c r="R1842" i="5"/>
  <c r="R1843" i="5"/>
  <c r="R1844" i="5"/>
  <c r="R1845" i="5"/>
  <c r="R1846" i="5"/>
  <c r="R1847" i="5"/>
  <c r="R1848" i="5"/>
  <c r="R1849" i="5"/>
  <c r="R1850" i="5"/>
  <c r="R1851" i="5"/>
  <c r="R1852" i="5"/>
  <c r="R1853" i="5"/>
  <c r="R1854" i="5"/>
  <c r="R1855" i="5"/>
  <c r="R1856" i="5"/>
  <c r="R1857" i="5"/>
  <c r="R1858" i="5"/>
  <c r="R1859" i="5"/>
  <c r="R1860" i="5"/>
  <c r="R1861" i="5"/>
  <c r="R1862" i="5"/>
  <c r="R1863" i="5"/>
  <c r="R1864" i="5"/>
  <c r="R1865" i="5"/>
  <c r="R1866" i="5"/>
  <c r="R1867" i="5"/>
  <c r="R1868" i="5"/>
  <c r="R1869" i="5"/>
  <c r="R1870" i="5"/>
  <c r="R1871" i="5"/>
  <c r="R1872" i="5"/>
  <c r="R1873" i="5"/>
  <c r="R1874" i="5"/>
  <c r="R1875" i="5"/>
  <c r="R1876" i="5"/>
  <c r="R1877" i="5"/>
  <c r="R1878" i="5"/>
  <c r="R1879" i="5"/>
  <c r="R1880" i="5"/>
  <c r="R1881" i="5"/>
  <c r="R1882" i="5"/>
  <c r="R1883" i="5"/>
  <c r="R1884" i="5"/>
  <c r="R1885" i="5"/>
  <c r="R1886" i="5"/>
  <c r="R1887" i="5"/>
  <c r="R1888" i="5"/>
  <c r="R1889" i="5"/>
  <c r="R1890" i="5"/>
  <c r="R1891" i="5"/>
  <c r="R1892" i="5"/>
  <c r="R1893" i="5"/>
  <c r="R1894" i="5"/>
  <c r="R1895" i="5"/>
  <c r="R1896" i="5"/>
  <c r="R1897" i="5"/>
  <c r="R1898" i="5"/>
  <c r="R1899" i="5"/>
  <c r="R1900" i="5"/>
  <c r="R1901" i="5"/>
  <c r="R1902" i="5"/>
  <c r="R1903" i="5"/>
  <c r="R1904" i="5"/>
  <c r="R1905" i="5"/>
  <c r="R1906" i="5"/>
  <c r="R1907" i="5"/>
  <c r="R1908" i="5"/>
  <c r="R1909" i="5"/>
  <c r="R1910" i="5"/>
  <c r="R1911" i="5"/>
  <c r="R1912" i="5"/>
  <c r="R1913" i="5"/>
  <c r="R1914" i="5"/>
  <c r="R1915" i="5"/>
  <c r="R1916" i="5"/>
  <c r="R1917" i="5"/>
  <c r="R1918" i="5"/>
  <c r="R1919" i="5"/>
  <c r="R1920" i="5"/>
  <c r="R1921" i="5"/>
  <c r="R1922" i="5"/>
  <c r="R1923" i="5"/>
  <c r="R1924" i="5"/>
  <c r="R1925" i="5"/>
  <c r="R1926" i="5"/>
  <c r="R1927" i="5"/>
  <c r="R1928" i="5"/>
  <c r="R1929" i="5"/>
  <c r="R1930" i="5"/>
  <c r="R1931" i="5"/>
  <c r="R1932" i="5"/>
  <c r="R1933" i="5"/>
  <c r="R1934" i="5"/>
  <c r="R1935" i="5"/>
  <c r="R1936" i="5"/>
  <c r="R1937" i="5"/>
  <c r="R1938" i="5"/>
  <c r="R1939" i="5"/>
  <c r="R1940" i="5"/>
  <c r="R1941" i="5"/>
  <c r="R1942" i="5"/>
  <c r="R1943" i="5"/>
  <c r="R1944" i="5"/>
  <c r="R1945" i="5"/>
  <c r="R1946" i="5"/>
  <c r="R1947" i="5"/>
  <c r="R1948" i="5"/>
  <c r="R1949" i="5"/>
  <c r="R1950" i="5"/>
  <c r="R1951" i="5"/>
  <c r="R1952" i="5"/>
  <c r="R1953" i="5"/>
  <c r="R1954" i="5"/>
  <c r="R1955" i="5"/>
  <c r="R1956" i="5"/>
  <c r="R1957" i="5"/>
  <c r="R1958" i="5"/>
  <c r="R1959" i="5"/>
  <c r="R1960" i="5"/>
  <c r="R1961" i="5"/>
  <c r="R1962" i="5"/>
  <c r="R1963" i="5"/>
  <c r="R1964" i="5"/>
  <c r="R1965" i="5"/>
  <c r="R1966" i="5"/>
  <c r="R1967" i="5"/>
  <c r="R1968" i="5"/>
  <c r="R1969" i="5"/>
  <c r="R1970" i="5"/>
  <c r="R1971" i="5"/>
  <c r="R1972" i="5"/>
  <c r="R1973" i="5"/>
  <c r="R1974" i="5"/>
  <c r="R1975" i="5"/>
  <c r="R1976" i="5"/>
  <c r="R1977" i="5"/>
  <c r="R1978" i="5"/>
  <c r="R1979" i="5"/>
  <c r="R1980" i="5"/>
  <c r="R1981" i="5"/>
  <c r="R1982" i="5"/>
  <c r="R1983" i="5"/>
  <c r="R1984" i="5"/>
  <c r="R1985" i="5"/>
  <c r="R1986" i="5"/>
  <c r="R1987" i="5"/>
  <c r="R1988" i="5"/>
  <c r="R1989" i="5"/>
  <c r="R1990" i="5"/>
  <c r="R1991" i="5"/>
  <c r="R1992" i="5"/>
  <c r="R1993" i="5"/>
  <c r="R1994" i="5"/>
  <c r="R1995" i="5"/>
  <c r="R1996" i="5"/>
  <c r="R1997" i="5"/>
  <c r="R1998" i="5"/>
  <c r="R1999" i="5"/>
  <c r="R2000" i="5"/>
  <c r="R2001" i="5"/>
  <c r="R2002" i="5"/>
  <c r="R2003" i="5"/>
  <c r="R2004" i="5"/>
  <c r="R2005" i="5"/>
  <c r="R2006" i="5"/>
  <c r="R2007" i="5"/>
  <c r="R2008" i="5"/>
  <c r="R2009" i="5"/>
  <c r="R2010" i="5"/>
  <c r="R2011" i="5"/>
  <c r="R2012" i="5"/>
  <c r="R2013" i="5"/>
  <c r="R2014" i="5"/>
  <c r="R2015" i="5"/>
  <c r="R2016" i="5"/>
  <c r="R2017" i="5"/>
  <c r="R2018" i="5"/>
  <c r="R2019" i="5"/>
  <c r="R2020" i="5"/>
  <c r="R2021" i="5"/>
  <c r="R2022" i="5"/>
  <c r="R2023" i="5"/>
  <c r="R2024" i="5"/>
  <c r="R2025" i="5"/>
  <c r="R2026" i="5"/>
  <c r="R2027" i="5"/>
  <c r="R2028" i="5"/>
  <c r="R2029" i="5"/>
  <c r="R2030" i="5"/>
  <c r="R2031" i="5"/>
  <c r="R2032" i="5"/>
  <c r="R2033" i="5"/>
  <c r="R2034" i="5"/>
  <c r="R2035" i="5"/>
  <c r="R2036" i="5"/>
  <c r="R2037" i="5"/>
  <c r="R2038" i="5"/>
  <c r="R2039" i="5"/>
  <c r="R2040" i="5"/>
  <c r="R2041" i="5"/>
  <c r="R2042" i="5"/>
  <c r="R2043" i="5"/>
  <c r="R2044" i="5"/>
  <c r="R2045" i="5"/>
  <c r="R2046" i="5"/>
  <c r="R2047" i="5"/>
  <c r="R2048" i="5"/>
  <c r="R2049" i="5"/>
  <c r="R2050" i="5"/>
  <c r="R2051" i="5"/>
  <c r="R2052" i="5"/>
  <c r="R2053" i="5"/>
  <c r="R2054" i="5"/>
  <c r="R2055" i="5"/>
  <c r="R2056" i="5"/>
  <c r="R2057" i="5"/>
  <c r="R2058" i="5"/>
  <c r="R2059" i="5"/>
  <c r="R2060" i="5"/>
  <c r="R2061" i="5"/>
  <c r="R2062" i="5"/>
  <c r="R2063" i="5"/>
  <c r="R2064" i="5"/>
  <c r="R2065" i="5"/>
  <c r="R2066" i="5"/>
  <c r="R2067" i="5"/>
  <c r="R2068" i="5"/>
  <c r="R2069" i="5"/>
  <c r="R2070" i="5"/>
  <c r="R2071" i="5"/>
  <c r="R2072" i="5"/>
  <c r="R2073" i="5"/>
  <c r="R2074" i="5"/>
  <c r="R2075" i="5"/>
  <c r="R2076" i="5"/>
  <c r="R2077" i="5"/>
  <c r="R2078" i="5"/>
  <c r="R2079" i="5"/>
  <c r="R2080" i="5"/>
  <c r="R2081" i="5"/>
  <c r="R2082" i="5"/>
  <c r="R2083" i="5"/>
  <c r="R2084" i="5"/>
  <c r="R2085" i="5"/>
  <c r="R2086" i="5"/>
  <c r="R2087" i="5"/>
  <c r="R2088" i="5"/>
  <c r="R2089" i="5"/>
  <c r="R2090" i="5"/>
  <c r="R2091" i="5"/>
  <c r="R2092" i="5"/>
  <c r="R2093" i="5"/>
  <c r="R2094" i="5"/>
  <c r="R2095" i="5"/>
  <c r="R2096" i="5"/>
  <c r="R2097" i="5"/>
  <c r="R2098" i="5"/>
  <c r="R2099" i="5"/>
  <c r="R2100" i="5"/>
  <c r="R2101" i="5"/>
  <c r="R2102" i="5"/>
  <c r="R2103" i="5"/>
  <c r="R2104" i="5"/>
  <c r="R2105" i="5"/>
  <c r="R2106" i="5"/>
  <c r="R2107" i="5"/>
  <c r="R2108" i="5"/>
  <c r="R2109" i="5"/>
  <c r="R2110" i="5"/>
  <c r="R2111" i="5"/>
  <c r="R2112" i="5"/>
  <c r="R2113" i="5"/>
  <c r="R2114" i="5"/>
  <c r="R2115" i="5"/>
  <c r="R2116" i="5"/>
  <c r="R2117" i="5"/>
  <c r="R2118" i="5"/>
  <c r="R2119" i="5"/>
  <c r="R2120" i="5"/>
  <c r="R2121" i="5"/>
  <c r="R2122" i="5"/>
  <c r="R2123" i="5"/>
  <c r="R2124" i="5"/>
  <c r="R2125" i="5"/>
  <c r="R2126" i="5"/>
  <c r="R2127" i="5"/>
  <c r="R2128" i="5"/>
  <c r="R2129" i="5"/>
  <c r="R2130" i="5"/>
  <c r="R2131" i="5"/>
  <c r="R2132" i="5"/>
  <c r="R2133" i="5"/>
  <c r="R2134" i="5"/>
  <c r="R2135" i="5"/>
  <c r="R2136" i="5"/>
  <c r="R2137" i="5"/>
  <c r="R2138" i="5"/>
  <c r="R2139" i="5"/>
  <c r="R2140" i="5"/>
  <c r="R2141" i="5"/>
  <c r="R2142" i="5"/>
  <c r="R2143" i="5"/>
  <c r="R2144" i="5"/>
  <c r="R2145" i="5"/>
  <c r="R2146" i="5"/>
  <c r="R2147" i="5"/>
  <c r="R2148" i="5"/>
  <c r="R2149" i="5"/>
  <c r="R2150" i="5"/>
  <c r="R2151" i="5"/>
  <c r="R2152" i="5"/>
  <c r="R2153" i="5"/>
  <c r="R2154" i="5"/>
  <c r="R2155" i="5"/>
  <c r="R2156" i="5"/>
  <c r="R2157" i="5"/>
  <c r="R2158" i="5"/>
  <c r="R2159" i="5"/>
  <c r="R2160" i="5"/>
  <c r="R2161" i="5"/>
  <c r="R2162" i="5"/>
  <c r="R2163" i="5"/>
  <c r="R2164" i="5"/>
  <c r="R2165" i="5"/>
  <c r="R2166" i="5"/>
  <c r="R2167" i="5"/>
  <c r="R2168" i="5"/>
  <c r="R2169" i="5"/>
  <c r="R2170" i="5"/>
  <c r="R2171" i="5"/>
  <c r="R2172" i="5"/>
  <c r="R2173" i="5"/>
  <c r="R2174" i="5"/>
  <c r="R2175" i="5"/>
  <c r="R2176" i="5"/>
  <c r="R2177" i="5"/>
  <c r="R2178" i="5"/>
  <c r="R2179" i="5"/>
  <c r="R2180" i="5"/>
  <c r="R2181" i="5"/>
  <c r="R2182" i="5"/>
  <c r="R2183" i="5"/>
  <c r="R2184" i="5"/>
  <c r="R2185" i="5"/>
  <c r="R2186" i="5"/>
  <c r="R2187" i="5"/>
  <c r="R2188" i="5"/>
  <c r="R2189" i="5"/>
  <c r="R2190" i="5"/>
  <c r="R2191" i="5"/>
  <c r="R2192" i="5"/>
  <c r="R2193" i="5"/>
  <c r="R2194" i="5"/>
  <c r="R2195" i="5"/>
  <c r="R2196" i="5"/>
  <c r="R2197" i="5"/>
  <c r="R2198" i="5"/>
  <c r="R2199" i="5"/>
  <c r="R2200" i="5"/>
  <c r="R2201" i="5"/>
  <c r="R2202" i="5"/>
  <c r="R2203" i="5"/>
  <c r="R2204" i="5"/>
  <c r="R2205" i="5"/>
  <c r="R2206" i="5"/>
  <c r="R2207" i="5"/>
  <c r="R2208" i="5"/>
  <c r="R2209" i="5"/>
  <c r="R2210" i="5"/>
  <c r="R2211" i="5"/>
  <c r="R2212" i="5"/>
  <c r="R2213" i="5"/>
  <c r="R2214" i="5"/>
  <c r="R2215" i="5"/>
  <c r="R2216" i="5"/>
  <c r="R2217" i="5"/>
  <c r="R2218" i="5"/>
  <c r="R2219" i="5"/>
  <c r="R2220" i="5"/>
  <c r="R2221" i="5"/>
  <c r="R2222" i="5"/>
  <c r="R2223" i="5"/>
  <c r="R2224" i="5"/>
  <c r="R2225" i="5"/>
  <c r="R2226" i="5"/>
  <c r="R2227" i="5"/>
  <c r="R2228" i="5"/>
  <c r="R2229" i="5"/>
  <c r="R2230" i="5"/>
  <c r="R2231" i="5"/>
  <c r="R2232" i="5"/>
  <c r="R2233" i="5"/>
  <c r="R2234" i="5"/>
  <c r="R2235" i="5"/>
  <c r="R2236" i="5"/>
  <c r="R2237" i="5"/>
  <c r="R2238" i="5"/>
  <c r="R2239" i="5"/>
  <c r="R2240" i="5"/>
  <c r="R2241" i="5"/>
  <c r="R2242" i="5"/>
  <c r="R2243" i="5"/>
  <c r="R2244" i="5"/>
  <c r="R2245" i="5"/>
  <c r="R2246" i="5"/>
  <c r="R2247" i="5"/>
  <c r="R2248" i="5"/>
  <c r="R2249" i="5"/>
  <c r="R2250" i="5"/>
  <c r="R2251" i="5"/>
  <c r="R2252" i="5"/>
  <c r="R2253" i="5"/>
  <c r="R2254" i="5"/>
  <c r="R2255" i="5"/>
  <c r="R2256" i="5"/>
  <c r="R2257" i="5"/>
  <c r="R2258" i="5"/>
  <c r="R2259" i="5"/>
  <c r="R2260" i="5"/>
  <c r="R2261" i="5"/>
  <c r="R2262" i="5"/>
  <c r="R2263" i="5"/>
  <c r="R2264" i="5"/>
  <c r="R2265" i="5"/>
  <c r="R2266" i="5"/>
  <c r="R2267" i="5"/>
  <c r="R2268" i="5"/>
  <c r="R2269" i="5"/>
  <c r="R2270" i="5"/>
  <c r="R2271" i="5"/>
  <c r="R2272" i="5"/>
  <c r="R2273" i="5"/>
  <c r="R2274" i="5"/>
  <c r="R2275" i="5"/>
  <c r="R2276" i="5"/>
  <c r="R2277" i="5"/>
  <c r="R2278" i="5"/>
  <c r="R2279" i="5"/>
  <c r="R2280" i="5"/>
  <c r="R2281" i="5"/>
  <c r="R2282" i="5"/>
  <c r="R2283" i="5"/>
  <c r="R2284" i="5"/>
  <c r="R2285" i="5"/>
  <c r="R2286" i="5"/>
  <c r="R2287" i="5"/>
  <c r="R2288" i="5"/>
  <c r="R2289" i="5"/>
  <c r="R2290" i="5"/>
  <c r="R2291" i="5"/>
  <c r="R2292" i="5"/>
  <c r="R2293" i="5"/>
  <c r="R2294" i="5"/>
  <c r="R2295" i="5"/>
  <c r="R2296" i="5"/>
  <c r="R2297" i="5"/>
  <c r="R2298" i="5"/>
  <c r="R2299" i="5"/>
  <c r="R2300" i="5"/>
  <c r="R2301" i="5"/>
  <c r="R2302" i="5"/>
  <c r="R2303" i="5"/>
  <c r="R2304" i="5"/>
  <c r="R2305" i="5"/>
  <c r="R2306" i="5"/>
  <c r="R2307" i="5"/>
  <c r="R2308" i="5"/>
  <c r="R2309" i="5"/>
  <c r="R2310" i="5"/>
  <c r="R2311" i="5"/>
  <c r="R2312" i="5"/>
  <c r="R2313" i="5"/>
  <c r="R2314" i="5"/>
  <c r="R2315" i="5"/>
  <c r="R2316" i="5"/>
  <c r="R2317" i="5"/>
  <c r="R2318" i="5"/>
  <c r="R2319" i="5"/>
  <c r="R2320" i="5"/>
  <c r="R2321" i="5"/>
  <c r="R2322" i="5"/>
  <c r="R2323" i="5"/>
  <c r="R2324" i="5"/>
  <c r="R2325" i="5"/>
  <c r="R2326" i="5"/>
  <c r="R2327" i="5"/>
  <c r="R2328" i="5"/>
  <c r="R2329" i="5"/>
  <c r="R2330" i="5"/>
  <c r="R2331" i="5"/>
  <c r="R2332" i="5"/>
  <c r="R2333" i="5"/>
  <c r="R2334" i="5"/>
  <c r="R2335" i="5"/>
  <c r="R2336" i="5"/>
  <c r="R2337" i="5"/>
  <c r="R2338" i="5"/>
  <c r="R2339" i="5"/>
  <c r="R2340" i="5"/>
  <c r="R2341" i="5"/>
  <c r="R2342" i="5"/>
  <c r="R2343" i="5"/>
  <c r="R2344" i="5"/>
  <c r="R2345" i="5"/>
  <c r="R2346" i="5"/>
  <c r="R2347" i="5"/>
  <c r="R2348" i="5"/>
  <c r="R2349" i="5"/>
  <c r="R2350" i="5"/>
  <c r="R2351" i="5"/>
  <c r="R2352" i="5"/>
  <c r="R2353" i="5"/>
  <c r="R2354" i="5"/>
  <c r="R2355" i="5"/>
  <c r="R2356" i="5"/>
  <c r="R2357" i="5"/>
  <c r="R2358" i="5"/>
  <c r="R2359" i="5"/>
  <c r="R2360" i="5"/>
  <c r="R2361" i="5"/>
  <c r="R2362" i="5"/>
  <c r="R2363" i="5"/>
  <c r="R2364" i="5"/>
  <c r="R2365" i="5"/>
  <c r="R2366" i="5"/>
  <c r="R2367" i="5"/>
  <c r="R2368" i="5"/>
  <c r="R2369" i="5"/>
  <c r="R2370" i="5"/>
  <c r="R2371" i="5"/>
  <c r="R2372" i="5"/>
  <c r="R2373" i="5"/>
  <c r="R2374" i="5"/>
  <c r="R2375" i="5"/>
  <c r="R2376" i="5"/>
  <c r="R2377" i="5"/>
  <c r="R2378" i="5"/>
  <c r="R2379" i="5"/>
  <c r="R2380" i="5"/>
  <c r="R2381" i="5"/>
  <c r="R2382" i="5"/>
  <c r="R2383" i="5"/>
  <c r="R2384" i="5"/>
  <c r="R2385" i="5"/>
  <c r="R2386" i="5"/>
  <c r="R2387" i="5"/>
  <c r="R2388" i="5"/>
  <c r="R2389" i="5"/>
  <c r="R2390" i="5"/>
  <c r="R2391" i="5"/>
  <c r="R2392" i="5"/>
  <c r="R2393" i="5"/>
  <c r="R2394" i="5"/>
  <c r="R2395" i="5"/>
  <c r="R2396" i="5"/>
  <c r="R2397" i="5"/>
  <c r="R2398" i="5"/>
  <c r="R2399" i="5"/>
  <c r="R2400" i="5"/>
  <c r="R2401" i="5"/>
  <c r="R2402" i="5"/>
  <c r="R2403" i="5"/>
  <c r="R2404" i="5"/>
  <c r="R2405" i="5"/>
  <c r="R2406" i="5"/>
  <c r="R2407" i="5"/>
  <c r="R2408" i="5"/>
  <c r="R2409" i="5"/>
  <c r="R2410" i="5"/>
  <c r="R2411" i="5"/>
  <c r="R2412" i="5"/>
  <c r="R2413" i="5"/>
  <c r="R2414" i="5"/>
  <c r="R2415" i="5"/>
  <c r="R2416" i="5"/>
  <c r="R2417" i="5"/>
  <c r="R2418" i="5"/>
  <c r="R2419" i="5"/>
  <c r="R2420" i="5"/>
  <c r="R2421" i="5"/>
  <c r="R2422" i="5"/>
  <c r="R2423" i="5"/>
  <c r="R2424" i="5"/>
  <c r="R2425" i="5"/>
  <c r="R2426" i="5"/>
  <c r="R2427" i="5"/>
  <c r="R2428" i="5"/>
  <c r="R2429" i="5"/>
  <c r="R2430" i="5"/>
  <c r="R2431" i="5"/>
  <c r="R2432" i="5"/>
  <c r="R2433" i="5"/>
  <c r="R2434" i="5"/>
  <c r="R2435" i="5"/>
  <c r="R2436" i="5"/>
  <c r="R2437" i="5"/>
  <c r="R2438" i="5"/>
  <c r="R2439" i="5"/>
  <c r="R2440" i="5"/>
  <c r="R2441" i="5"/>
  <c r="R2442" i="5"/>
  <c r="R2443" i="5"/>
  <c r="R2444" i="5"/>
  <c r="R2445" i="5"/>
  <c r="R2446" i="5"/>
  <c r="R2447" i="5"/>
  <c r="R2448" i="5"/>
  <c r="R2449" i="5"/>
  <c r="R2450" i="5"/>
  <c r="R2451" i="5"/>
  <c r="R2452" i="5"/>
  <c r="R2453" i="5"/>
  <c r="R2454" i="5"/>
  <c r="R2455" i="5"/>
  <c r="R2456" i="5"/>
  <c r="R2457" i="5"/>
  <c r="R2458" i="5"/>
  <c r="R2459" i="5"/>
  <c r="R2460" i="5"/>
  <c r="R2461" i="5"/>
  <c r="R2462" i="5"/>
  <c r="R2463" i="5"/>
  <c r="R2464" i="5"/>
  <c r="R2465" i="5"/>
  <c r="R2466" i="5"/>
  <c r="R2467" i="5"/>
  <c r="R2468" i="5"/>
  <c r="R2469" i="5"/>
  <c r="R2470" i="5"/>
  <c r="R2471" i="5"/>
  <c r="R2472" i="5"/>
  <c r="R2473" i="5"/>
  <c r="R2474" i="5"/>
  <c r="R2475" i="5"/>
  <c r="R2476" i="5"/>
  <c r="R2477" i="5"/>
  <c r="R2478" i="5"/>
  <c r="R2479" i="5"/>
  <c r="R2480" i="5"/>
  <c r="R2481" i="5"/>
  <c r="R2482" i="5"/>
  <c r="R2483" i="5"/>
  <c r="R2484" i="5"/>
  <c r="R2485" i="5"/>
  <c r="R2486" i="5"/>
  <c r="R2487" i="5"/>
  <c r="R2488" i="5"/>
  <c r="R2489" i="5"/>
  <c r="R2490" i="5"/>
  <c r="R2491" i="5"/>
  <c r="R2492" i="5"/>
  <c r="R2493" i="5"/>
  <c r="R2494" i="5"/>
  <c r="R2495" i="5"/>
  <c r="R2496" i="5"/>
  <c r="R2497" i="5"/>
  <c r="R2498" i="5"/>
  <c r="R2499" i="5"/>
  <c r="R2500" i="5"/>
  <c r="R2501" i="5"/>
  <c r="R2502" i="5"/>
  <c r="R2503" i="5"/>
  <c r="R2504" i="5"/>
  <c r="R2505" i="5"/>
  <c r="R2506" i="5"/>
  <c r="R2507" i="5"/>
  <c r="R2508" i="5"/>
  <c r="R2509" i="5"/>
  <c r="R2510" i="5"/>
  <c r="R2511" i="5"/>
  <c r="R2512" i="5"/>
  <c r="R2513" i="5"/>
  <c r="R2514" i="5"/>
  <c r="R2515" i="5"/>
  <c r="R2516" i="5"/>
  <c r="R2517" i="5"/>
  <c r="R2518" i="5"/>
  <c r="R2519" i="5"/>
  <c r="R2520" i="5"/>
  <c r="R2521" i="5"/>
  <c r="R2522" i="5"/>
  <c r="R2523" i="5"/>
  <c r="R2524" i="5"/>
  <c r="R2525" i="5"/>
  <c r="R2526" i="5"/>
  <c r="R2527" i="5"/>
  <c r="R2528" i="5"/>
  <c r="R2529" i="5"/>
  <c r="R2530" i="5"/>
  <c r="R2531" i="5"/>
  <c r="R2532" i="5"/>
  <c r="R2533" i="5"/>
  <c r="R2534" i="5"/>
  <c r="R2535" i="5"/>
  <c r="R2536" i="5"/>
  <c r="R2537" i="5"/>
  <c r="R2538" i="5"/>
  <c r="R2539" i="5"/>
  <c r="R2540" i="5"/>
  <c r="R2541" i="5"/>
  <c r="R2542" i="5"/>
  <c r="R2543" i="5"/>
  <c r="R2544" i="5"/>
  <c r="R2545" i="5"/>
  <c r="R2546" i="5"/>
  <c r="R2547" i="5"/>
  <c r="R2548" i="5"/>
  <c r="R2549" i="5"/>
  <c r="R2550" i="5"/>
  <c r="R2551" i="5"/>
  <c r="R2552" i="5"/>
  <c r="R2553" i="5"/>
  <c r="R2554" i="5"/>
  <c r="R2555" i="5"/>
  <c r="R2556" i="5"/>
  <c r="R2557" i="5"/>
  <c r="R2558" i="5"/>
  <c r="R2559" i="5"/>
  <c r="R2560" i="5"/>
  <c r="R2561" i="5"/>
  <c r="R2562" i="5"/>
  <c r="R2563" i="5"/>
  <c r="R2564" i="5"/>
  <c r="R2565" i="5"/>
  <c r="R2566" i="5"/>
  <c r="R2567" i="5"/>
  <c r="R2568" i="5"/>
  <c r="R2569" i="5"/>
  <c r="R2570" i="5"/>
  <c r="R2571" i="5"/>
  <c r="R2572" i="5"/>
  <c r="R2573" i="5"/>
  <c r="R2574" i="5"/>
  <c r="R2575" i="5"/>
  <c r="R2576" i="5"/>
  <c r="R2577" i="5"/>
  <c r="R2578" i="5"/>
  <c r="R2579" i="5"/>
  <c r="R2580" i="5"/>
  <c r="R2581" i="5"/>
  <c r="R2582" i="5"/>
  <c r="R2583" i="5"/>
  <c r="R2584" i="5"/>
  <c r="R2585" i="5"/>
  <c r="R2586" i="5"/>
  <c r="R2587" i="5"/>
  <c r="R2588" i="5"/>
  <c r="R2589" i="5"/>
  <c r="R2590" i="5"/>
  <c r="R2591" i="5"/>
  <c r="R2592" i="5"/>
  <c r="R2593" i="5"/>
  <c r="R2594" i="5"/>
  <c r="R2595" i="5"/>
  <c r="R2596" i="5"/>
  <c r="R2597" i="5"/>
  <c r="R2598" i="5"/>
  <c r="R2599" i="5"/>
  <c r="R2600" i="5"/>
  <c r="R2601" i="5"/>
  <c r="R2602" i="5"/>
  <c r="R2603" i="5"/>
  <c r="R2604" i="5"/>
  <c r="R2605" i="5"/>
  <c r="R2606" i="5"/>
  <c r="R2607" i="5"/>
  <c r="R2608" i="5"/>
  <c r="R2609" i="5"/>
  <c r="R2610" i="5"/>
  <c r="R2611" i="5"/>
  <c r="R2612" i="5"/>
  <c r="R2613" i="5"/>
  <c r="R2614" i="5"/>
  <c r="R2615" i="5"/>
  <c r="R2616" i="5"/>
  <c r="R2617" i="5"/>
  <c r="R2618" i="5"/>
  <c r="R2619" i="5"/>
  <c r="R2620" i="5"/>
  <c r="R2621" i="5"/>
  <c r="R2622" i="5"/>
  <c r="R2623" i="5"/>
  <c r="R2624" i="5"/>
  <c r="R2625" i="5"/>
  <c r="R2626" i="5"/>
  <c r="R2627" i="5"/>
  <c r="R2628" i="5"/>
  <c r="R2629" i="5"/>
  <c r="R2630" i="5"/>
  <c r="R2631" i="5"/>
  <c r="R2632" i="5"/>
  <c r="R2633" i="5"/>
  <c r="R2634" i="5"/>
  <c r="R2635" i="5"/>
  <c r="R2636" i="5"/>
  <c r="R2637" i="5"/>
  <c r="R2638" i="5"/>
  <c r="R2639" i="5"/>
  <c r="R2640" i="5"/>
  <c r="R2641" i="5"/>
  <c r="R2642" i="5"/>
  <c r="R2643" i="5"/>
  <c r="R2644" i="5"/>
  <c r="R2645" i="5"/>
  <c r="R2646" i="5"/>
  <c r="R2647" i="5"/>
  <c r="R2648" i="5"/>
  <c r="R2649" i="5"/>
  <c r="R2650" i="5"/>
  <c r="R2651" i="5"/>
  <c r="R2652" i="5"/>
  <c r="R2653" i="5"/>
  <c r="R2654" i="5"/>
  <c r="R2655" i="5"/>
  <c r="R2656" i="5"/>
  <c r="R2657" i="5"/>
  <c r="R2658" i="5"/>
  <c r="R2659" i="5"/>
  <c r="R2660" i="5"/>
  <c r="R2661" i="5"/>
  <c r="R2662" i="5"/>
  <c r="R2663" i="5"/>
  <c r="R2664" i="5"/>
  <c r="R2665" i="5"/>
  <c r="R2666" i="5"/>
  <c r="R2667" i="5"/>
  <c r="R2668" i="5"/>
  <c r="R2669" i="5"/>
  <c r="R2670" i="5"/>
  <c r="R2671" i="5"/>
  <c r="R2672" i="5"/>
  <c r="R2673" i="5"/>
  <c r="R2674" i="5"/>
  <c r="R2675" i="5"/>
  <c r="R2676" i="5"/>
  <c r="R2677" i="5"/>
  <c r="R2678" i="5"/>
  <c r="R2679" i="5"/>
  <c r="R2680" i="5"/>
  <c r="R2681" i="5"/>
  <c r="R2682" i="5"/>
  <c r="R2683" i="5"/>
  <c r="R2684" i="5"/>
  <c r="R2685" i="5"/>
  <c r="R2686" i="5"/>
  <c r="R2687" i="5"/>
  <c r="R2688" i="5"/>
  <c r="R2689" i="5"/>
  <c r="R2690" i="5"/>
  <c r="R2691" i="5"/>
  <c r="R2692" i="5"/>
  <c r="R2693" i="5"/>
  <c r="R2694" i="5"/>
  <c r="R2695" i="5"/>
  <c r="R2696" i="5"/>
  <c r="R2697" i="5"/>
  <c r="R2698" i="5"/>
  <c r="R2699" i="5"/>
  <c r="R2700" i="5"/>
  <c r="R2701" i="5"/>
  <c r="R2702" i="5"/>
  <c r="R2703" i="5"/>
  <c r="R2704" i="5"/>
  <c r="R2705" i="5"/>
  <c r="R2706" i="5"/>
  <c r="R2707" i="5"/>
  <c r="R2708" i="5"/>
  <c r="R2709" i="5"/>
  <c r="R2710" i="5"/>
  <c r="R2711" i="5"/>
  <c r="R2712" i="5"/>
  <c r="R2713" i="5"/>
  <c r="R2714" i="5"/>
  <c r="R2715" i="5"/>
  <c r="R2716" i="5"/>
  <c r="R2717" i="5"/>
  <c r="R2718" i="5"/>
  <c r="R2719" i="5"/>
  <c r="R2720" i="5"/>
  <c r="R2721" i="5"/>
  <c r="R2722" i="5"/>
  <c r="R2723" i="5"/>
  <c r="R2724" i="5"/>
  <c r="R2725" i="5"/>
  <c r="R2726" i="5"/>
  <c r="R2727" i="5"/>
  <c r="R2728" i="5"/>
  <c r="R2729" i="5"/>
  <c r="R2730" i="5"/>
  <c r="R2731" i="5"/>
  <c r="R2732" i="5"/>
  <c r="R2733" i="5"/>
  <c r="R2734" i="5"/>
  <c r="R2735" i="5"/>
  <c r="R2736" i="5"/>
  <c r="R2737" i="5"/>
  <c r="R2738" i="5"/>
  <c r="R2739" i="5"/>
  <c r="R2740" i="5"/>
  <c r="R2741" i="5"/>
  <c r="R2742" i="5"/>
  <c r="R2743" i="5"/>
  <c r="R2744" i="5"/>
  <c r="R2745" i="5"/>
  <c r="R2746" i="5"/>
  <c r="R2747" i="5"/>
  <c r="R2748" i="5"/>
  <c r="R2749" i="5"/>
  <c r="R2750" i="5"/>
  <c r="R2751" i="5"/>
  <c r="R2752" i="5"/>
  <c r="R2753" i="5"/>
  <c r="R2754" i="5"/>
  <c r="R2755" i="5"/>
  <c r="R2756" i="5"/>
  <c r="R2757" i="5"/>
  <c r="R2758" i="5"/>
  <c r="R2759" i="5"/>
  <c r="R2760" i="5"/>
  <c r="R2761" i="5"/>
  <c r="R2762" i="5"/>
  <c r="R2763" i="5"/>
  <c r="R2764" i="5"/>
  <c r="R2765" i="5"/>
  <c r="R2766" i="5"/>
  <c r="R2767" i="5"/>
  <c r="R2768" i="5"/>
  <c r="R2769" i="5"/>
  <c r="R2770" i="5"/>
  <c r="R2771" i="5"/>
  <c r="R2772" i="5"/>
  <c r="R2773" i="5"/>
  <c r="R2774" i="5"/>
  <c r="R2775" i="5"/>
  <c r="R2776" i="5"/>
  <c r="R2777" i="5"/>
  <c r="R2778" i="5"/>
  <c r="R2779" i="5"/>
  <c r="R2780" i="5"/>
  <c r="R2781" i="5"/>
  <c r="R2782" i="5"/>
  <c r="R2783" i="5"/>
  <c r="R2784" i="5"/>
  <c r="R2785" i="5"/>
  <c r="R2786" i="5"/>
  <c r="R2787" i="5"/>
  <c r="R2788" i="5"/>
  <c r="R2789" i="5"/>
  <c r="R2790" i="5"/>
  <c r="R2791" i="5"/>
  <c r="R2792" i="5"/>
  <c r="R2793" i="5"/>
  <c r="R2794" i="5"/>
  <c r="R2795" i="5"/>
  <c r="R2796" i="5"/>
  <c r="R2797" i="5"/>
  <c r="R2798" i="5"/>
  <c r="R2799" i="5"/>
  <c r="R2800" i="5"/>
  <c r="R2801" i="5"/>
  <c r="R2802" i="5"/>
  <c r="R2803" i="5"/>
  <c r="R2804" i="5"/>
  <c r="R2805" i="5"/>
  <c r="R2806" i="5"/>
  <c r="R2807" i="5"/>
  <c r="R2808" i="5"/>
  <c r="R2809" i="5"/>
  <c r="R2810" i="5"/>
  <c r="R2811" i="5"/>
  <c r="R2812" i="5"/>
  <c r="R2813" i="5"/>
  <c r="R2814" i="5"/>
  <c r="R2815" i="5"/>
  <c r="R2816" i="5"/>
  <c r="R2817" i="5"/>
  <c r="R2818" i="5"/>
  <c r="R2819" i="5"/>
  <c r="R2820" i="5"/>
  <c r="R2821" i="5"/>
  <c r="R2822" i="5"/>
  <c r="R2823" i="5"/>
  <c r="R2824" i="5"/>
  <c r="R2825" i="5"/>
  <c r="R2826" i="5"/>
  <c r="R2827" i="5"/>
  <c r="R2828" i="5"/>
  <c r="R2829" i="5"/>
  <c r="R2830" i="5"/>
  <c r="R2831" i="5"/>
  <c r="R2832" i="5"/>
  <c r="R2833" i="5"/>
  <c r="R2834" i="5"/>
  <c r="R2835" i="5"/>
  <c r="R2836" i="5"/>
  <c r="R2837" i="5"/>
  <c r="R2838" i="5"/>
  <c r="R2839" i="5"/>
  <c r="R2840" i="5"/>
  <c r="R2841" i="5"/>
  <c r="R2842" i="5"/>
  <c r="R2843" i="5"/>
  <c r="R2844" i="5"/>
  <c r="R2845" i="5"/>
  <c r="R2846" i="5"/>
  <c r="R2847" i="5"/>
  <c r="R2848" i="5"/>
  <c r="R2849" i="5"/>
  <c r="R2850" i="5"/>
  <c r="R2851" i="5"/>
  <c r="R2852" i="5"/>
  <c r="R2853" i="5"/>
  <c r="R2854" i="5"/>
  <c r="R2855" i="5"/>
  <c r="R2856" i="5"/>
  <c r="R2857" i="5"/>
  <c r="R2858" i="5"/>
  <c r="R2859" i="5"/>
  <c r="R2860" i="5"/>
  <c r="R2861" i="5"/>
  <c r="R2862" i="5"/>
  <c r="R2863" i="5"/>
  <c r="R2864" i="5"/>
  <c r="R2865" i="5"/>
  <c r="R2866" i="5"/>
  <c r="R2867" i="5"/>
  <c r="R2868" i="5"/>
  <c r="R2869" i="5"/>
  <c r="R2870" i="5"/>
  <c r="R2871" i="5"/>
  <c r="R2872" i="5"/>
  <c r="R2873" i="5"/>
  <c r="R2874" i="5"/>
  <c r="R2875" i="5"/>
  <c r="R2876" i="5"/>
  <c r="R2877" i="5"/>
  <c r="R2878" i="5"/>
  <c r="R2879" i="5"/>
  <c r="R2880" i="5"/>
  <c r="R2881" i="5"/>
  <c r="R2882" i="5"/>
  <c r="R2883" i="5"/>
  <c r="R2884" i="5"/>
  <c r="R2885" i="5"/>
  <c r="R2886" i="5"/>
  <c r="R2887" i="5"/>
  <c r="R2888" i="5"/>
  <c r="R2889" i="5"/>
  <c r="R2890" i="5"/>
  <c r="R2891" i="5"/>
  <c r="R2892" i="5"/>
  <c r="R2893" i="5"/>
  <c r="R2894" i="5"/>
  <c r="R2895" i="5"/>
  <c r="R2896" i="5"/>
  <c r="R2897" i="5"/>
  <c r="R2898" i="5"/>
  <c r="R2899" i="5"/>
  <c r="R2900" i="5"/>
  <c r="R2901" i="5"/>
  <c r="R2902" i="5"/>
  <c r="R2903" i="5"/>
  <c r="R2904" i="5"/>
  <c r="R2905" i="5"/>
  <c r="R2906" i="5"/>
  <c r="R2907" i="5"/>
  <c r="R2908" i="5"/>
  <c r="R2909" i="5"/>
  <c r="R2910" i="5"/>
  <c r="R2911" i="5"/>
  <c r="R2912" i="5"/>
  <c r="R2913" i="5"/>
  <c r="R2914" i="5"/>
  <c r="R2915" i="5"/>
  <c r="R2916" i="5"/>
  <c r="R2917" i="5"/>
  <c r="R2918" i="5"/>
  <c r="R2919" i="5"/>
  <c r="R2920" i="5"/>
  <c r="R2921" i="5"/>
  <c r="R2922" i="5"/>
  <c r="R2923" i="5"/>
  <c r="R2924" i="5"/>
  <c r="R2925" i="5"/>
  <c r="R2926" i="5"/>
  <c r="R2927" i="5"/>
  <c r="R2928" i="5"/>
  <c r="R2929" i="5"/>
  <c r="R2930" i="5"/>
  <c r="R2931" i="5"/>
  <c r="R2932" i="5"/>
  <c r="R2933" i="5"/>
  <c r="R2934" i="5"/>
  <c r="R2935" i="5"/>
  <c r="R2936" i="5"/>
  <c r="R2937" i="5"/>
  <c r="R2938" i="5"/>
  <c r="R2939" i="5"/>
  <c r="R2940" i="5"/>
  <c r="R2941" i="5"/>
  <c r="R2942" i="5"/>
  <c r="R2943" i="5"/>
  <c r="R2944" i="5"/>
  <c r="R2945" i="5"/>
  <c r="R2946" i="5"/>
  <c r="R2947" i="5"/>
  <c r="R2948" i="5"/>
  <c r="R2949" i="5"/>
  <c r="R2950" i="5"/>
  <c r="R2951" i="5"/>
  <c r="R2952" i="5"/>
  <c r="R2953" i="5"/>
  <c r="R2954" i="5"/>
  <c r="R2955" i="5"/>
  <c r="R2956" i="5"/>
  <c r="R2957" i="5"/>
  <c r="R2958" i="5"/>
  <c r="R2959" i="5"/>
  <c r="R2960" i="5"/>
  <c r="R2961" i="5"/>
  <c r="R2962" i="5"/>
  <c r="R2963" i="5"/>
  <c r="R2964" i="5"/>
  <c r="R2965" i="5"/>
  <c r="R2966" i="5"/>
  <c r="R2967" i="5"/>
  <c r="R2968" i="5"/>
  <c r="R2969" i="5"/>
  <c r="R2970" i="5"/>
  <c r="R2971" i="5"/>
  <c r="R2972" i="5"/>
  <c r="R2973" i="5"/>
  <c r="R2974" i="5"/>
  <c r="R2975" i="5"/>
  <c r="R2976" i="5"/>
  <c r="R2977" i="5"/>
  <c r="R2978" i="5"/>
  <c r="R2979" i="5"/>
  <c r="R2980" i="5"/>
  <c r="R2981" i="5"/>
  <c r="R2982" i="5"/>
  <c r="R2983" i="5"/>
  <c r="R2984" i="5"/>
  <c r="R2985" i="5"/>
  <c r="R2986" i="5"/>
  <c r="R2987" i="5"/>
  <c r="R2988" i="5"/>
  <c r="R2989" i="5"/>
  <c r="R2990" i="5"/>
  <c r="R2991" i="5"/>
  <c r="R2992" i="5"/>
  <c r="R2993" i="5"/>
  <c r="R2994" i="5"/>
  <c r="R2995" i="5"/>
  <c r="R2996" i="5"/>
  <c r="R2997" i="5"/>
  <c r="R2998" i="5"/>
  <c r="R2999" i="5"/>
  <c r="R3000" i="5"/>
  <c r="R3001" i="5"/>
  <c r="R3002" i="5"/>
  <c r="R3003" i="5"/>
  <c r="R3004" i="5"/>
  <c r="R3005" i="5"/>
  <c r="R3006" i="5"/>
  <c r="R3007" i="5"/>
  <c r="R3008" i="5"/>
  <c r="R3009" i="5"/>
  <c r="R3010" i="5"/>
  <c r="R3011" i="5"/>
  <c r="R3012" i="5"/>
  <c r="R3013" i="5"/>
  <c r="R3014" i="5"/>
  <c r="R3015" i="5"/>
  <c r="R3016" i="5"/>
  <c r="R3017" i="5"/>
  <c r="R3018" i="5"/>
  <c r="R3019" i="5"/>
  <c r="R3020" i="5"/>
  <c r="R3021" i="5"/>
  <c r="R3022" i="5"/>
  <c r="R3023" i="5"/>
  <c r="R3024" i="5"/>
  <c r="R3025" i="5"/>
  <c r="R3026" i="5"/>
  <c r="R3027" i="5"/>
  <c r="R3028" i="5"/>
  <c r="R3029"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746" i="5"/>
  <c r="Q747" i="5"/>
  <c r="Q748" i="5"/>
  <c r="Q749" i="5"/>
  <c r="Q750" i="5"/>
  <c r="Q751" i="5"/>
  <c r="Q752" i="5"/>
  <c r="Q753" i="5"/>
  <c r="Q754" i="5"/>
  <c r="Q755" i="5"/>
  <c r="Q756" i="5"/>
  <c r="Q757" i="5"/>
  <c r="Q758" i="5"/>
  <c r="Q759" i="5"/>
  <c r="Q760" i="5"/>
  <c r="Q761" i="5"/>
  <c r="Q762" i="5"/>
  <c r="Q763" i="5"/>
  <c r="Q764" i="5"/>
  <c r="Q765" i="5"/>
  <c r="Q766" i="5"/>
  <c r="Q767" i="5"/>
  <c r="Q768" i="5"/>
  <c r="Q769" i="5"/>
  <c r="Q770" i="5"/>
  <c r="Q771" i="5"/>
  <c r="Q772" i="5"/>
  <c r="Q773" i="5"/>
  <c r="Q774" i="5"/>
  <c r="Q775" i="5"/>
  <c r="Q776" i="5"/>
  <c r="Q777" i="5"/>
  <c r="Q778" i="5"/>
  <c r="Q779" i="5"/>
  <c r="Q780" i="5"/>
  <c r="Q781" i="5"/>
  <c r="Q782" i="5"/>
  <c r="Q783" i="5"/>
  <c r="Q784" i="5"/>
  <c r="Q785" i="5"/>
  <c r="Q786" i="5"/>
  <c r="Q787" i="5"/>
  <c r="Q788" i="5"/>
  <c r="Q789" i="5"/>
  <c r="Q790" i="5"/>
  <c r="Q791" i="5"/>
  <c r="Q792" i="5"/>
  <c r="Q793" i="5"/>
  <c r="Q794" i="5"/>
  <c r="Q795" i="5"/>
  <c r="Q796" i="5"/>
  <c r="Q797" i="5"/>
  <c r="Q798" i="5"/>
  <c r="Q799" i="5"/>
  <c r="Q800" i="5"/>
  <c r="Q801" i="5"/>
  <c r="Q802" i="5"/>
  <c r="Q803" i="5"/>
  <c r="Q804" i="5"/>
  <c r="Q805" i="5"/>
  <c r="Q806" i="5"/>
  <c r="Q807" i="5"/>
  <c r="Q808" i="5"/>
  <c r="Q809" i="5"/>
  <c r="Q810" i="5"/>
  <c r="Q811" i="5"/>
  <c r="Q812" i="5"/>
  <c r="Q813" i="5"/>
  <c r="Q814" i="5"/>
  <c r="Q815" i="5"/>
  <c r="Q816" i="5"/>
  <c r="Q817" i="5"/>
  <c r="Q818" i="5"/>
  <c r="Q819" i="5"/>
  <c r="Q820" i="5"/>
  <c r="Q821" i="5"/>
  <c r="Q822" i="5"/>
  <c r="Q823" i="5"/>
  <c r="Q824" i="5"/>
  <c r="Q825" i="5"/>
  <c r="Q826" i="5"/>
  <c r="Q827" i="5"/>
  <c r="Q828" i="5"/>
  <c r="Q829" i="5"/>
  <c r="Q830" i="5"/>
  <c r="Q831" i="5"/>
  <c r="Q832" i="5"/>
  <c r="Q833" i="5"/>
  <c r="Q834" i="5"/>
  <c r="Q835" i="5"/>
  <c r="Q836" i="5"/>
  <c r="Q837" i="5"/>
  <c r="Q838" i="5"/>
  <c r="Q839" i="5"/>
  <c r="Q840" i="5"/>
  <c r="Q841" i="5"/>
  <c r="Q842" i="5"/>
  <c r="Q843" i="5"/>
  <c r="Q844" i="5"/>
  <c r="Q845" i="5"/>
  <c r="Q846" i="5"/>
  <c r="Q847" i="5"/>
  <c r="Q848" i="5"/>
  <c r="Q849" i="5"/>
  <c r="Q850" i="5"/>
  <c r="Q851" i="5"/>
  <c r="Q852" i="5"/>
  <c r="Q853" i="5"/>
  <c r="Q854" i="5"/>
  <c r="Q855" i="5"/>
  <c r="Q856" i="5"/>
  <c r="Q857" i="5"/>
  <c r="Q858" i="5"/>
  <c r="Q859" i="5"/>
  <c r="Q860" i="5"/>
  <c r="Q861" i="5"/>
  <c r="Q862" i="5"/>
  <c r="Q863" i="5"/>
  <c r="Q864" i="5"/>
  <c r="Q865" i="5"/>
  <c r="Q866" i="5"/>
  <c r="Q867" i="5"/>
  <c r="Q868" i="5"/>
  <c r="Q869" i="5"/>
  <c r="Q870" i="5"/>
  <c r="Q871" i="5"/>
  <c r="Q872" i="5"/>
  <c r="Q873" i="5"/>
  <c r="Q874" i="5"/>
  <c r="Q875" i="5"/>
  <c r="Q876" i="5"/>
  <c r="Q877" i="5"/>
  <c r="Q878" i="5"/>
  <c r="Q879" i="5"/>
  <c r="Q880" i="5"/>
  <c r="Q881" i="5"/>
  <c r="Q882" i="5"/>
  <c r="Q883" i="5"/>
  <c r="Q884" i="5"/>
  <c r="Q885" i="5"/>
  <c r="Q886" i="5"/>
  <c r="Q887" i="5"/>
  <c r="Q888" i="5"/>
  <c r="Q889" i="5"/>
  <c r="Q890" i="5"/>
  <c r="Q891" i="5"/>
  <c r="Q892" i="5"/>
  <c r="Q893" i="5"/>
  <c r="Q894" i="5"/>
  <c r="Q895" i="5"/>
  <c r="Q896" i="5"/>
  <c r="Q897" i="5"/>
  <c r="Q898" i="5"/>
  <c r="Q899" i="5"/>
  <c r="Q900" i="5"/>
  <c r="Q901" i="5"/>
  <c r="Q902" i="5"/>
  <c r="Q903" i="5"/>
  <c r="Q904" i="5"/>
  <c r="Q905" i="5"/>
  <c r="Q906" i="5"/>
  <c r="Q907" i="5"/>
  <c r="Q908" i="5"/>
  <c r="Q909" i="5"/>
  <c r="Q910" i="5"/>
  <c r="Q911" i="5"/>
  <c r="Q912" i="5"/>
  <c r="Q913" i="5"/>
  <c r="Q914" i="5"/>
  <c r="Q915" i="5"/>
  <c r="Q916" i="5"/>
  <c r="Q917" i="5"/>
  <c r="Q918" i="5"/>
  <c r="Q919" i="5"/>
  <c r="Q920" i="5"/>
  <c r="Q921" i="5"/>
  <c r="Q922" i="5"/>
  <c r="Q923" i="5"/>
  <c r="Q924" i="5"/>
  <c r="Q925" i="5"/>
  <c r="Q926" i="5"/>
  <c r="Q927" i="5"/>
  <c r="Q928" i="5"/>
  <c r="Q929" i="5"/>
  <c r="Q930" i="5"/>
  <c r="Q931" i="5"/>
  <c r="Q932" i="5"/>
  <c r="Q933" i="5"/>
  <c r="Q934" i="5"/>
  <c r="Q935" i="5"/>
  <c r="Q936" i="5"/>
  <c r="Q937" i="5"/>
  <c r="Q938" i="5"/>
  <c r="Q939" i="5"/>
  <c r="Q940" i="5"/>
  <c r="Q941" i="5"/>
  <c r="Q942" i="5"/>
  <c r="Q943" i="5"/>
  <c r="Q944" i="5"/>
  <c r="Q945" i="5"/>
  <c r="Q946" i="5"/>
  <c r="Q947" i="5"/>
  <c r="Q948" i="5"/>
  <c r="Q949" i="5"/>
  <c r="Q950" i="5"/>
  <c r="Q951" i="5"/>
  <c r="Q952" i="5"/>
  <c r="Q953" i="5"/>
  <c r="Q954" i="5"/>
  <c r="Q955" i="5"/>
  <c r="Q956" i="5"/>
  <c r="Q957" i="5"/>
  <c r="Q958" i="5"/>
  <c r="Q959" i="5"/>
  <c r="Q960" i="5"/>
  <c r="Q961" i="5"/>
  <c r="Q962" i="5"/>
  <c r="Q963" i="5"/>
  <c r="Q964" i="5"/>
  <c r="Q965" i="5"/>
  <c r="Q966" i="5"/>
  <c r="Q967" i="5"/>
  <c r="Q968" i="5"/>
  <c r="Q969" i="5"/>
  <c r="Q970" i="5"/>
  <c r="Q971" i="5"/>
  <c r="Q972" i="5"/>
  <c r="Q973" i="5"/>
  <c r="Q974" i="5"/>
  <c r="Q975" i="5"/>
  <c r="Q976" i="5"/>
  <c r="Q977" i="5"/>
  <c r="Q978" i="5"/>
  <c r="Q979" i="5"/>
  <c r="Q980" i="5"/>
  <c r="Q981" i="5"/>
  <c r="Q982" i="5"/>
  <c r="Q983" i="5"/>
  <c r="Q984" i="5"/>
  <c r="Q985" i="5"/>
  <c r="Q986" i="5"/>
  <c r="Q987" i="5"/>
  <c r="Q988" i="5"/>
  <c r="Q989" i="5"/>
  <c r="Q990" i="5"/>
  <c r="Q991" i="5"/>
  <c r="Q992" i="5"/>
  <c r="Q993" i="5"/>
  <c r="Q994" i="5"/>
  <c r="Q995" i="5"/>
  <c r="Q996" i="5"/>
  <c r="Q997" i="5"/>
  <c r="Q998" i="5"/>
  <c r="Q999" i="5"/>
  <c r="Q1000" i="5"/>
  <c r="Q1001" i="5"/>
  <c r="Q1002" i="5"/>
  <c r="Q1003" i="5"/>
  <c r="Q1004" i="5"/>
  <c r="Q1005" i="5"/>
  <c r="Q1006" i="5"/>
  <c r="Q1007" i="5"/>
  <c r="Q1008" i="5"/>
  <c r="Q1009" i="5"/>
  <c r="Q1010" i="5"/>
  <c r="Q1011" i="5"/>
  <c r="Q1012" i="5"/>
  <c r="Q1013" i="5"/>
  <c r="Q1014" i="5"/>
  <c r="Q1015" i="5"/>
  <c r="Q1016" i="5"/>
  <c r="Q1017" i="5"/>
  <c r="Q1018" i="5"/>
  <c r="Q1019" i="5"/>
  <c r="Q1020" i="5"/>
  <c r="Q1021" i="5"/>
  <c r="Q1022" i="5"/>
  <c r="Q1023" i="5"/>
  <c r="Q1024" i="5"/>
  <c r="Q1025" i="5"/>
  <c r="Q1026" i="5"/>
  <c r="Q1027" i="5"/>
  <c r="Q1028" i="5"/>
  <c r="Q1029" i="5"/>
  <c r="Q1030" i="5"/>
  <c r="Q1031" i="5"/>
  <c r="Q1032" i="5"/>
  <c r="Q1033" i="5"/>
  <c r="Q1034" i="5"/>
  <c r="Q1035" i="5"/>
  <c r="Q1036" i="5"/>
  <c r="Q1037" i="5"/>
  <c r="Q1038" i="5"/>
  <c r="Q1039" i="5"/>
  <c r="Q1040" i="5"/>
  <c r="Q1041" i="5"/>
  <c r="Q1042" i="5"/>
  <c r="Q1043" i="5"/>
  <c r="Q1044" i="5"/>
  <c r="Q1045" i="5"/>
  <c r="Q1046" i="5"/>
  <c r="Q1047" i="5"/>
  <c r="Q1048" i="5"/>
  <c r="Q1049" i="5"/>
  <c r="Q1050" i="5"/>
  <c r="Q1051" i="5"/>
  <c r="Q1052" i="5"/>
  <c r="Q1053" i="5"/>
  <c r="Q1054" i="5"/>
  <c r="Q1055" i="5"/>
  <c r="Q1056" i="5"/>
  <c r="Q1057" i="5"/>
  <c r="Q1058" i="5"/>
  <c r="Q1059" i="5"/>
  <c r="Q1060" i="5"/>
  <c r="Q1061" i="5"/>
  <c r="Q1062" i="5"/>
  <c r="Q1063" i="5"/>
  <c r="Q1064" i="5"/>
  <c r="Q1065" i="5"/>
  <c r="Q1066" i="5"/>
  <c r="Q1067" i="5"/>
  <c r="Q1068" i="5"/>
  <c r="Q1069" i="5"/>
  <c r="Q1070" i="5"/>
  <c r="Q1071" i="5"/>
  <c r="Q1072" i="5"/>
  <c r="Q1073" i="5"/>
  <c r="Q1074" i="5"/>
  <c r="Q1075" i="5"/>
  <c r="Q1076" i="5"/>
  <c r="Q1077" i="5"/>
  <c r="Q1078" i="5"/>
  <c r="Q1079" i="5"/>
  <c r="Q1080" i="5"/>
  <c r="Q1081" i="5"/>
  <c r="Q1082" i="5"/>
  <c r="Q1083" i="5"/>
  <c r="Q1084" i="5"/>
  <c r="Q1085" i="5"/>
  <c r="Q1086" i="5"/>
  <c r="Q1087" i="5"/>
  <c r="Q1088" i="5"/>
  <c r="Q1089" i="5"/>
  <c r="Q1090" i="5"/>
  <c r="Q1091" i="5"/>
  <c r="Q1092" i="5"/>
  <c r="Q1093" i="5"/>
  <c r="Q1094" i="5"/>
  <c r="Q1095" i="5"/>
  <c r="Q1096" i="5"/>
  <c r="Q1097" i="5"/>
  <c r="Q1098" i="5"/>
  <c r="Q1099" i="5"/>
  <c r="Q1100" i="5"/>
  <c r="Q1101" i="5"/>
  <c r="Q1102" i="5"/>
  <c r="Q1103" i="5"/>
  <c r="Q1104" i="5"/>
  <c r="Q1105" i="5"/>
  <c r="Q1106" i="5"/>
  <c r="Q1107" i="5"/>
  <c r="Q1108" i="5"/>
  <c r="Q1109" i="5"/>
  <c r="Q1110" i="5"/>
  <c r="Q1111" i="5"/>
  <c r="Q1112" i="5"/>
  <c r="Q1113" i="5"/>
  <c r="Q1114" i="5"/>
  <c r="Q1115" i="5"/>
  <c r="Q1116" i="5"/>
  <c r="Q1117" i="5"/>
  <c r="Q1118" i="5"/>
  <c r="Q1119" i="5"/>
  <c r="Q1120" i="5"/>
  <c r="Q1121" i="5"/>
  <c r="Q1122" i="5"/>
  <c r="Q1123" i="5"/>
  <c r="Q1124" i="5"/>
  <c r="Q1125" i="5"/>
  <c r="Q1126" i="5"/>
  <c r="Q1127" i="5"/>
  <c r="Q1128" i="5"/>
  <c r="Q1129" i="5"/>
  <c r="Q1130" i="5"/>
  <c r="Q1131" i="5"/>
  <c r="Q1132" i="5"/>
  <c r="Q1133" i="5"/>
  <c r="Q1134" i="5"/>
  <c r="Q1135" i="5"/>
  <c r="Q1136" i="5"/>
  <c r="Q1137" i="5"/>
  <c r="Q1138" i="5"/>
  <c r="Q1139" i="5"/>
  <c r="Q1140" i="5"/>
  <c r="Q1141" i="5"/>
  <c r="Q1142" i="5"/>
  <c r="Q1143" i="5"/>
  <c r="Q1144" i="5"/>
  <c r="Q1145" i="5"/>
  <c r="Q1146" i="5"/>
  <c r="Q1147" i="5"/>
  <c r="Q1148" i="5"/>
  <c r="Q1149" i="5"/>
  <c r="Q1150" i="5"/>
  <c r="Q1151" i="5"/>
  <c r="Q1152" i="5"/>
  <c r="Q1153" i="5"/>
  <c r="Q1154" i="5"/>
  <c r="Q1155" i="5"/>
  <c r="Q1156" i="5"/>
  <c r="Q1157" i="5"/>
  <c r="Q1158" i="5"/>
  <c r="Q1159" i="5"/>
  <c r="Q1160" i="5"/>
  <c r="Q1161" i="5"/>
  <c r="Q1162" i="5"/>
  <c r="Q1163" i="5"/>
  <c r="Q1164" i="5"/>
  <c r="Q1165" i="5"/>
  <c r="Q1166" i="5"/>
  <c r="Q1167" i="5"/>
  <c r="Q1168" i="5"/>
  <c r="Q1169" i="5"/>
  <c r="Q1170" i="5"/>
  <c r="Q1171" i="5"/>
  <c r="Q1172" i="5"/>
  <c r="Q1173" i="5"/>
  <c r="Q1174" i="5"/>
  <c r="Q1175" i="5"/>
  <c r="Q1176" i="5"/>
  <c r="Q1177" i="5"/>
  <c r="Q1178" i="5"/>
  <c r="Q1179" i="5"/>
  <c r="Q1180" i="5"/>
  <c r="Q1181" i="5"/>
  <c r="Q1182" i="5"/>
  <c r="Q1183" i="5"/>
  <c r="Q1184" i="5"/>
  <c r="Q1185" i="5"/>
  <c r="Q1186" i="5"/>
  <c r="Q1187" i="5"/>
  <c r="Q1188" i="5"/>
  <c r="Q1189" i="5"/>
  <c r="Q1190" i="5"/>
  <c r="Q1191" i="5"/>
  <c r="Q1192" i="5"/>
  <c r="Q1193" i="5"/>
  <c r="Q1194" i="5"/>
  <c r="Q1195" i="5"/>
  <c r="Q1196" i="5"/>
  <c r="Q1197" i="5"/>
  <c r="Q1198" i="5"/>
  <c r="Q1199" i="5"/>
  <c r="Q1200" i="5"/>
  <c r="Q1201" i="5"/>
  <c r="Q1202" i="5"/>
  <c r="Q1203" i="5"/>
  <c r="Q1204" i="5"/>
  <c r="Q1205" i="5"/>
  <c r="Q1206" i="5"/>
  <c r="Q1207" i="5"/>
  <c r="Q1208" i="5"/>
  <c r="Q1209" i="5"/>
  <c r="Q1210" i="5"/>
  <c r="Q1211" i="5"/>
  <c r="Q1212" i="5"/>
  <c r="Q1213" i="5"/>
  <c r="Q1214" i="5"/>
  <c r="Q1215" i="5"/>
  <c r="Q1216" i="5"/>
  <c r="Q1217" i="5"/>
  <c r="Q1218" i="5"/>
  <c r="Q1219" i="5"/>
  <c r="Q1220" i="5"/>
  <c r="Q1221" i="5"/>
  <c r="Q1222" i="5"/>
  <c r="Q1223" i="5"/>
  <c r="Q1224" i="5"/>
  <c r="Q1225" i="5"/>
  <c r="Q1226" i="5"/>
  <c r="Q1227" i="5"/>
  <c r="Q1228" i="5"/>
  <c r="Q1229" i="5"/>
  <c r="Q1230" i="5"/>
  <c r="Q1231" i="5"/>
  <c r="Q1232" i="5"/>
  <c r="Q1233" i="5"/>
  <c r="Q1234" i="5"/>
  <c r="Q1235" i="5"/>
  <c r="Q1236" i="5"/>
  <c r="Q1237" i="5"/>
  <c r="Q1238" i="5"/>
  <c r="Q1239" i="5"/>
  <c r="Q1240" i="5"/>
  <c r="Q1241" i="5"/>
  <c r="Q1242" i="5"/>
  <c r="Q1243" i="5"/>
  <c r="Q1244" i="5"/>
  <c r="Q1245" i="5"/>
  <c r="Q1246" i="5"/>
  <c r="Q1247" i="5"/>
  <c r="Q1248" i="5"/>
  <c r="Q1249" i="5"/>
  <c r="Q1250" i="5"/>
  <c r="Q1251" i="5"/>
  <c r="Q1252" i="5"/>
  <c r="Q1253" i="5"/>
  <c r="Q1254" i="5"/>
  <c r="Q1255" i="5"/>
  <c r="Q1256" i="5"/>
  <c r="Q1257" i="5"/>
  <c r="Q1258" i="5"/>
  <c r="Q1259" i="5"/>
  <c r="Q1260" i="5"/>
  <c r="Q1261" i="5"/>
  <c r="Q1262" i="5"/>
  <c r="Q1263" i="5"/>
  <c r="Q1264" i="5"/>
  <c r="Q1265" i="5"/>
  <c r="Q1266" i="5"/>
  <c r="Q1267" i="5"/>
  <c r="Q1268" i="5"/>
  <c r="Q1269" i="5"/>
  <c r="Q1270" i="5"/>
  <c r="Q1271" i="5"/>
  <c r="Q1272" i="5"/>
  <c r="Q1273" i="5"/>
  <c r="Q1274" i="5"/>
  <c r="Q1275" i="5"/>
  <c r="Q1276" i="5"/>
  <c r="Q1277" i="5"/>
  <c r="Q1278" i="5"/>
  <c r="Q1279" i="5"/>
  <c r="Q1280" i="5"/>
  <c r="Q1281" i="5"/>
  <c r="Q1282" i="5"/>
  <c r="Q1283" i="5"/>
  <c r="Q1284" i="5"/>
  <c r="Q1285" i="5"/>
  <c r="Q1286" i="5"/>
  <c r="Q1287" i="5"/>
  <c r="Q1288" i="5"/>
  <c r="Q1289" i="5"/>
  <c r="Q1290" i="5"/>
  <c r="Q1291" i="5"/>
  <c r="Q1292" i="5"/>
  <c r="Q1293" i="5"/>
  <c r="Q1294" i="5"/>
  <c r="Q1295" i="5"/>
  <c r="Q1296" i="5"/>
  <c r="Q1297" i="5"/>
  <c r="Q1298" i="5"/>
  <c r="Q1299" i="5"/>
  <c r="Q1300" i="5"/>
  <c r="Q1301" i="5"/>
  <c r="Q1302" i="5"/>
  <c r="Q1303" i="5"/>
  <c r="Q1304" i="5"/>
  <c r="Q1305" i="5"/>
  <c r="Q1306" i="5"/>
  <c r="Q1307" i="5"/>
  <c r="Q1308" i="5"/>
  <c r="Q1309" i="5"/>
  <c r="Q1310" i="5"/>
  <c r="Q1311" i="5"/>
  <c r="Q1312" i="5"/>
  <c r="Q1313" i="5"/>
  <c r="Q1314" i="5"/>
  <c r="Q1315" i="5"/>
  <c r="Q1316" i="5"/>
  <c r="Q1317" i="5"/>
  <c r="Q1318" i="5"/>
  <c r="Q1319" i="5"/>
  <c r="Q1320" i="5"/>
  <c r="Q1321" i="5"/>
  <c r="Q1322" i="5"/>
  <c r="Q1323" i="5"/>
  <c r="Q1324" i="5"/>
  <c r="Q1325" i="5"/>
  <c r="Q1326" i="5"/>
  <c r="Q1327" i="5"/>
  <c r="Q1328" i="5"/>
  <c r="Q1329" i="5"/>
  <c r="Q1330" i="5"/>
  <c r="Q1331" i="5"/>
  <c r="Q1332" i="5"/>
  <c r="Q1333" i="5"/>
  <c r="Q1334" i="5"/>
  <c r="Q1335" i="5"/>
  <c r="Q1336" i="5"/>
  <c r="Q1337" i="5"/>
  <c r="Q1338" i="5"/>
  <c r="Q1339" i="5"/>
  <c r="Q1340" i="5"/>
  <c r="Q1341" i="5"/>
  <c r="Q1342" i="5"/>
  <c r="Q1343" i="5"/>
  <c r="Q1344" i="5"/>
  <c r="Q1345" i="5"/>
  <c r="Q1346" i="5"/>
  <c r="Q1347" i="5"/>
  <c r="Q1348" i="5"/>
  <c r="Q1349" i="5"/>
  <c r="Q1350" i="5"/>
  <c r="Q1351" i="5"/>
  <c r="Q1352" i="5"/>
  <c r="Q1353" i="5"/>
  <c r="Q1354" i="5"/>
  <c r="Q1355" i="5"/>
  <c r="Q1356" i="5"/>
  <c r="Q1357" i="5"/>
  <c r="Q1358" i="5"/>
  <c r="Q1359" i="5"/>
  <c r="Q1360" i="5"/>
  <c r="Q1361" i="5"/>
  <c r="Q1362" i="5"/>
  <c r="Q1363" i="5"/>
  <c r="Q1364" i="5"/>
  <c r="Q1365" i="5"/>
  <c r="Q1366" i="5"/>
  <c r="Q1367" i="5"/>
  <c r="Q1368" i="5"/>
  <c r="Q1369" i="5"/>
  <c r="Q1370" i="5"/>
  <c r="Q1371" i="5"/>
  <c r="Q1372" i="5"/>
  <c r="Q1373" i="5"/>
  <c r="Q1374" i="5"/>
  <c r="Q1375" i="5"/>
  <c r="Q1376" i="5"/>
  <c r="Q1377" i="5"/>
  <c r="Q1378" i="5"/>
  <c r="Q1379" i="5"/>
  <c r="Q1380" i="5"/>
  <c r="Q1381" i="5"/>
  <c r="Q1382" i="5"/>
  <c r="Q1383" i="5"/>
  <c r="Q1384" i="5"/>
  <c r="Q1385" i="5"/>
  <c r="Q1386" i="5"/>
  <c r="Q1387" i="5"/>
  <c r="Q1388" i="5"/>
  <c r="Q1389" i="5"/>
  <c r="Q1390" i="5"/>
  <c r="Q1391" i="5"/>
  <c r="Q1392" i="5"/>
  <c r="Q1393" i="5"/>
  <c r="Q1394" i="5"/>
  <c r="Q1395" i="5"/>
  <c r="Q1396" i="5"/>
  <c r="Q1397" i="5"/>
  <c r="Q1398" i="5"/>
  <c r="Q1399" i="5"/>
  <c r="Q1400" i="5"/>
  <c r="Q1401" i="5"/>
  <c r="Q1402" i="5"/>
  <c r="Q1403" i="5"/>
  <c r="Q1404" i="5"/>
  <c r="Q1405" i="5"/>
  <c r="Q1406" i="5"/>
  <c r="Q1407" i="5"/>
  <c r="Q1408" i="5"/>
  <c r="Q1409" i="5"/>
  <c r="Q1410" i="5"/>
  <c r="Q1411" i="5"/>
  <c r="Q1412" i="5"/>
  <c r="Q1413" i="5"/>
  <c r="Q1414" i="5"/>
  <c r="Q1415" i="5"/>
  <c r="Q1416" i="5"/>
  <c r="Q1417" i="5"/>
  <c r="Q1418" i="5"/>
  <c r="Q1419" i="5"/>
  <c r="Q1420" i="5"/>
  <c r="Q1421" i="5"/>
  <c r="Q1422" i="5"/>
  <c r="Q1423" i="5"/>
  <c r="Q1424" i="5"/>
  <c r="Q1425" i="5"/>
  <c r="Q1426" i="5"/>
  <c r="Q1427" i="5"/>
  <c r="Q1428" i="5"/>
  <c r="Q1429" i="5"/>
  <c r="Q1430" i="5"/>
  <c r="Q1431" i="5"/>
  <c r="Q1432" i="5"/>
  <c r="Q1433" i="5"/>
  <c r="Q1434" i="5"/>
  <c r="Q1435" i="5"/>
  <c r="Q1436" i="5"/>
  <c r="Q1437" i="5"/>
  <c r="Q1438" i="5"/>
  <c r="Q1439" i="5"/>
  <c r="Q1440" i="5"/>
  <c r="Q1441" i="5"/>
  <c r="Q1442" i="5"/>
  <c r="Q1443" i="5"/>
  <c r="Q1444" i="5"/>
  <c r="Q1445" i="5"/>
  <c r="Q1446" i="5"/>
  <c r="Q1447" i="5"/>
  <c r="Q1448" i="5"/>
  <c r="Q1449" i="5"/>
  <c r="Q1450" i="5"/>
  <c r="Q1451" i="5"/>
  <c r="Q1452" i="5"/>
  <c r="Q1453" i="5"/>
  <c r="Q1454" i="5"/>
  <c r="Q1455" i="5"/>
  <c r="Q1456" i="5"/>
  <c r="Q1457" i="5"/>
  <c r="Q1458" i="5"/>
  <c r="Q1459" i="5"/>
  <c r="Q1460" i="5"/>
  <c r="Q1461" i="5"/>
  <c r="Q1462" i="5"/>
  <c r="Q1463" i="5"/>
  <c r="Q1464" i="5"/>
  <c r="Q1465" i="5"/>
  <c r="Q1466" i="5"/>
  <c r="Q1467" i="5"/>
  <c r="Q1468" i="5"/>
  <c r="Q1469" i="5"/>
  <c r="Q1470" i="5"/>
  <c r="Q1471" i="5"/>
  <c r="Q1472" i="5"/>
  <c r="Q1473" i="5"/>
  <c r="Q1474" i="5"/>
  <c r="Q1475" i="5"/>
  <c r="Q1476" i="5"/>
  <c r="Q1477" i="5"/>
  <c r="Q1478" i="5"/>
  <c r="Q1479" i="5"/>
  <c r="Q1480" i="5"/>
  <c r="Q1481" i="5"/>
  <c r="Q1482" i="5"/>
  <c r="Q1483" i="5"/>
  <c r="Q1484" i="5"/>
  <c r="Q1485" i="5"/>
  <c r="Q1486" i="5"/>
  <c r="Q1487" i="5"/>
  <c r="Q1488" i="5"/>
  <c r="Q1489" i="5"/>
  <c r="Q1490" i="5"/>
  <c r="Q1491" i="5"/>
  <c r="Q1492" i="5"/>
  <c r="Q1493" i="5"/>
  <c r="Q1494" i="5"/>
  <c r="Q1495" i="5"/>
  <c r="Q1496" i="5"/>
  <c r="Q1497" i="5"/>
  <c r="Q1498" i="5"/>
  <c r="Q1499" i="5"/>
  <c r="Q1500" i="5"/>
  <c r="Q1501" i="5"/>
  <c r="Q1502" i="5"/>
  <c r="Q1503" i="5"/>
  <c r="Q1504" i="5"/>
  <c r="Q1505" i="5"/>
  <c r="Q1506" i="5"/>
  <c r="Q1507" i="5"/>
  <c r="Q1508" i="5"/>
  <c r="Q1509" i="5"/>
  <c r="Q1510" i="5"/>
  <c r="Q1511" i="5"/>
  <c r="Q1512" i="5"/>
  <c r="Q1513" i="5"/>
  <c r="Q1514" i="5"/>
  <c r="Q1515" i="5"/>
  <c r="Q1516" i="5"/>
  <c r="Q1517" i="5"/>
  <c r="Q1518" i="5"/>
  <c r="Q1519" i="5"/>
  <c r="Q1520" i="5"/>
  <c r="Q1521" i="5"/>
  <c r="Q1522" i="5"/>
  <c r="Q1523" i="5"/>
  <c r="Q1524" i="5"/>
  <c r="Q1525" i="5"/>
  <c r="Q1526" i="5"/>
  <c r="Q1527" i="5"/>
  <c r="Q1528" i="5"/>
  <c r="Q1529" i="5"/>
  <c r="Q1530" i="5"/>
  <c r="Q1531" i="5"/>
  <c r="Q1532" i="5"/>
  <c r="Q1533" i="5"/>
  <c r="Q1534" i="5"/>
  <c r="Q1535" i="5"/>
  <c r="Q1536" i="5"/>
  <c r="Q1537" i="5"/>
  <c r="Q1538" i="5"/>
  <c r="Q1539" i="5"/>
  <c r="Q1540" i="5"/>
  <c r="Q1541" i="5"/>
  <c r="Q1542" i="5"/>
  <c r="Q1543" i="5"/>
  <c r="Q1544" i="5"/>
  <c r="Q1545" i="5"/>
  <c r="Q1546" i="5"/>
  <c r="Q1547" i="5"/>
  <c r="Q1548" i="5"/>
  <c r="Q1549" i="5"/>
  <c r="Q1550" i="5"/>
  <c r="Q1551" i="5"/>
  <c r="Q1552" i="5"/>
  <c r="Q1553" i="5"/>
  <c r="Q1554" i="5"/>
  <c r="Q1555" i="5"/>
  <c r="Q1556" i="5"/>
  <c r="Q1557" i="5"/>
  <c r="Q1558" i="5"/>
  <c r="Q1559" i="5"/>
  <c r="Q1560" i="5"/>
  <c r="Q1561" i="5"/>
  <c r="Q1562" i="5"/>
  <c r="Q1563" i="5"/>
  <c r="Q1564" i="5"/>
  <c r="Q1565" i="5"/>
  <c r="Q1566" i="5"/>
  <c r="Q1567" i="5"/>
  <c r="Q1568" i="5"/>
  <c r="Q1569" i="5"/>
  <c r="Q1570" i="5"/>
  <c r="Q1571" i="5"/>
  <c r="Q1572" i="5"/>
  <c r="Q1573" i="5"/>
  <c r="Q1574" i="5"/>
  <c r="Q1575" i="5"/>
  <c r="Q1576" i="5"/>
  <c r="Q1577" i="5"/>
  <c r="Q1578" i="5"/>
  <c r="Q1579" i="5"/>
  <c r="Q1580" i="5"/>
  <c r="Q1581" i="5"/>
  <c r="Q1582" i="5"/>
  <c r="Q1583" i="5"/>
  <c r="Q1584" i="5"/>
  <c r="Q1585" i="5"/>
  <c r="Q1586" i="5"/>
  <c r="Q1587" i="5"/>
  <c r="Q1588" i="5"/>
  <c r="Q1589" i="5"/>
  <c r="Q1590" i="5"/>
  <c r="Q1591" i="5"/>
  <c r="Q1592" i="5"/>
  <c r="Q1593" i="5"/>
  <c r="Q1594" i="5"/>
  <c r="Q1595" i="5"/>
  <c r="Q1596" i="5"/>
  <c r="Q1597" i="5"/>
  <c r="Q1598" i="5"/>
  <c r="Q1599" i="5"/>
  <c r="Q1600" i="5"/>
  <c r="Q1601" i="5"/>
  <c r="Q1602" i="5"/>
  <c r="Q1603" i="5"/>
  <c r="Q1604" i="5"/>
  <c r="Q1605" i="5"/>
  <c r="Q1606" i="5"/>
  <c r="Q1607" i="5"/>
  <c r="Q1608" i="5"/>
  <c r="Q1609" i="5"/>
  <c r="Q1610" i="5"/>
  <c r="Q1611" i="5"/>
  <c r="Q1612" i="5"/>
  <c r="Q1613" i="5"/>
  <c r="Q1614" i="5"/>
  <c r="Q1615" i="5"/>
  <c r="Q1616" i="5"/>
  <c r="Q1617" i="5"/>
  <c r="Q1618" i="5"/>
  <c r="Q1619" i="5"/>
  <c r="Q1620" i="5"/>
  <c r="Q1621" i="5"/>
  <c r="Q1622" i="5"/>
  <c r="Q1623" i="5"/>
  <c r="Q1624" i="5"/>
  <c r="Q1625" i="5"/>
  <c r="Q1626" i="5"/>
  <c r="Q1627" i="5"/>
  <c r="Q1628" i="5"/>
  <c r="Q1629" i="5"/>
  <c r="Q1630" i="5"/>
  <c r="Q1631" i="5"/>
  <c r="Q1632" i="5"/>
  <c r="Q1633" i="5"/>
  <c r="Q1634" i="5"/>
  <c r="Q1635" i="5"/>
  <c r="Q1636" i="5"/>
  <c r="Q1637" i="5"/>
  <c r="Q1638" i="5"/>
  <c r="Q1639" i="5"/>
  <c r="Q1640" i="5"/>
  <c r="Q1641" i="5"/>
  <c r="Q1642" i="5"/>
  <c r="Q1643" i="5"/>
  <c r="Q1644" i="5"/>
  <c r="Q1645" i="5"/>
  <c r="Q1646" i="5"/>
  <c r="Q1647" i="5"/>
  <c r="Q1648" i="5"/>
  <c r="Q1649" i="5"/>
  <c r="Q1650" i="5"/>
  <c r="Q1651" i="5"/>
  <c r="Q1652" i="5"/>
  <c r="Q1653" i="5"/>
  <c r="Q1654" i="5"/>
  <c r="Q1655" i="5"/>
  <c r="Q1656" i="5"/>
  <c r="Q1657" i="5"/>
  <c r="Q1658" i="5"/>
  <c r="Q1659" i="5"/>
  <c r="Q1660" i="5"/>
  <c r="Q1661" i="5"/>
  <c r="Q1662" i="5"/>
  <c r="Q1663" i="5"/>
  <c r="Q1664" i="5"/>
  <c r="Q1665" i="5"/>
  <c r="Q1666" i="5"/>
  <c r="Q1667" i="5"/>
  <c r="Q1668" i="5"/>
  <c r="Q1669" i="5"/>
  <c r="Q1670" i="5"/>
  <c r="Q1671" i="5"/>
  <c r="Q1672" i="5"/>
  <c r="Q1673" i="5"/>
  <c r="Q1674" i="5"/>
  <c r="Q1675" i="5"/>
  <c r="Q1676" i="5"/>
  <c r="Q1677" i="5"/>
  <c r="Q1678" i="5"/>
  <c r="Q1679" i="5"/>
  <c r="Q1680" i="5"/>
  <c r="Q1681" i="5"/>
  <c r="Q1682" i="5"/>
  <c r="Q1683" i="5"/>
  <c r="Q1684" i="5"/>
  <c r="Q1685" i="5"/>
  <c r="Q1686" i="5"/>
  <c r="Q1687" i="5"/>
  <c r="Q1688" i="5"/>
  <c r="Q1689" i="5"/>
  <c r="Q1690" i="5"/>
  <c r="Q1691" i="5"/>
  <c r="Q1692" i="5"/>
  <c r="Q1693" i="5"/>
  <c r="Q1694" i="5"/>
  <c r="Q1695" i="5"/>
  <c r="Q1696" i="5"/>
  <c r="Q1697" i="5"/>
  <c r="Q1698" i="5"/>
  <c r="Q1699" i="5"/>
  <c r="Q1700" i="5"/>
  <c r="Q1701" i="5"/>
  <c r="Q1702" i="5"/>
  <c r="Q1703" i="5"/>
  <c r="Q1704" i="5"/>
  <c r="Q1705" i="5"/>
  <c r="Q1706" i="5"/>
  <c r="Q1707" i="5"/>
  <c r="Q1708" i="5"/>
  <c r="Q1709" i="5"/>
  <c r="Q1710" i="5"/>
  <c r="Q1711" i="5"/>
  <c r="Q1712" i="5"/>
  <c r="Q1713" i="5"/>
  <c r="Q1714" i="5"/>
  <c r="Q1715" i="5"/>
  <c r="Q1716" i="5"/>
  <c r="Q1717" i="5"/>
  <c r="Q1718" i="5"/>
  <c r="Q1719" i="5"/>
  <c r="Q1720" i="5"/>
  <c r="Q1721" i="5"/>
  <c r="Q1722" i="5"/>
  <c r="Q1723" i="5"/>
  <c r="Q1724" i="5"/>
  <c r="Q1725" i="5"/>
  <c r="Q1726" i="5"/>
  <c r="Q1727" i="5"/>
  <c r="Q1728" i="5"/>
  <c r="Q1729" i="5"/>
  <c r="Q1730" i="5"/>
  <c r="Q1731" i="5"/>
  <c r="Q1732" i="5"/>
  <c r="Q1733" i="5"/>
  <c r="Q1734" i="5"/>
  <c r="Q1735" i="5"/>
  <c r="Q1736" i="5"/>
  <c r="Q1737" i="5"/>
  <c r="Q1738" i="5"/>
  <c r="Q1739" i="5"/>
  <c r="Q1740" i="5"/>
  <c r="Q1741" i="5"/>
  <c r="Q1742" i="5"/>
  <c r="Q1743" i="5"/>
  <c r="Q1744" i="5"/>
  <c r="Q1745" i="5"/>
  <c r="Q1746" i="5"/>
  <c r="Q1747" i="5"/>
  <c r="Q1748" i="5"/>
  <c r="Q1749" i="5"/>
  <c r="Q1750" i="5"/>
  <c r="Q1751" i="5"/>
  <c r="Q1752" i="5"/>
  <c r="Q1753" i="5"/>
  <c r="Q1754" i="5"/>
  <c r="Q1755" i="5"/>
  <c r="Q1756" i="5"/>
  <c r="Q1757" i="5"/>
  <c r="Q1758" i="5"/>
  <c r="Q1759" i="5"/>
  <c r="Q1760" i="5"/>
  <c r="Q1761" i="5"/>
  <c r="Q1762" i="5"/>
  <c r="Q1763" i="5"/>
  <c r="Q1764" i="5"/>
  <c r="Q1765" i="5"/>
  <c r="Q1766" i="5"/>
  <c r="Q1767" i="5"/>
  <c r="Q1768" i="5"/>
  <c r="Q1769" i="5"/>
  <c r="Q1770" i="5"/>
  <c r="Q1771" i="5"/>
  <c r="Q1772" i="5"/>
  <c r="Q1773" i="5"/>
  <c r="Q1774" i="5"/>
  <c r="Q1775" i="5"/>
  <c r="Q1776" i="5"/>
  <c r="Q1777" i="5"/>
  <c r="Q1778" i="5"/>
  <c r="Q1779" i="5"/>
  <c r="Q1780" i="5"/>
  <c r="Q1781" i="5"/>
  <c r="Q1782" i="5"/>
  <c r="Q1783" i="5"/>
  <c r="Q1784" i="5"/>
  <c r="Q1785" i="5"/>
  <c r="Q1786" i="5"/>
  <c r="Q1787" i="5"/>
  <c r="Q1788" i="5"/>
  <c r="Q1789" i="5"/>
  <c r="Q1790" i="5"/>
  <c r="Q1791" i="5"/>
  <c r="Q1792" i="5"/>
  <c r="Q1793" i="5"/>
  <c r="Q1794" i="5"/>
  <c r="Q1795" i="5"/>
  <c r="Q1796" i="5"/>
  <c r="Q1797" i="5"/>
  <c r="Q1798" i="5"/>
  <c r="Q1799" i="5"/>
  <c r="Q1800" i="5"/>
  <c r="Q1801" i="5"/>
  <c r="Q1802" i="5"/>
  <c r="Q1803" i="5"/>
  <c r="Q1804" i="5"/>
  <c r="Q1805" i="5"/>
  <c r="Q1806" i="5"/>
  <c r="Q1807" i="5"/>
  <c r="Q1808" i="5"/>
  <c r="Q1809" i="5"/>
  <c r="Q1810" i="5"/>
  <c r="Q1811" i="5"/>
  <c r="Q1812" i="5"/>
  <c r="Q1813" i="5"/>
  <c r="Q1814" i="5"/>
  <c r="Q1815" i="5"/>
  <c r="Q1816" i="5"/>
  <c r="Q1817" i="5"/>
  <c r="Q1818" i="5"/>
  <c r="Q1819" i="5"/>
  <c r="Q1820" i="5"/>
  <c r="Q1821" i="5"/>
  <c r="Q1822" i="5"/>
  <c r="Q1823" i="5"/>
  <c r="Q1824" i="5"/>
  <c r="Q1825" i="5"/>
  <c r="Q1826" i="5"/>
  <c r="Q1827" i="5"/>
  <c r="Q1828" i="5"/>
  <c r="Q1829" i="5"/>
  <c r="Q1830" i="5"/>
  <c r="Q1831" i="5"/>
  <c r="Q1832" i="5"/>
  <c r="Q1833" i="5"/>
  <c r="Q1834" i="5"/>
  <c r="Q1835" i="5"/>
  <c r="Q1836" i="5"/>
  <c r="Q1837" i="5"/>
  <c r="Q1838" i="5"/>
  <c r="Q1839" i="5"/>
  <c r="Q1840" i="5"/>
  <c r="Q1841" i="5"/>
  <c r="Q1842" i="5"/>
  <c r="Q1843" i="5"/>
  <c r="Q1844" i="5"/>
  <c r="Q1845" i="5"/>
  <c r="Q1846" i="5"/>
  <c r="Q1847" i="5"/>
  <c r="Q1848" i="5"/>
  <c r="Q1849" i="5"/>
  <c r="Q1850" i="5"/>
  <c r="Q1851" i="5"/>
  <c r="Q1852" i="5"/>
  <c r="Q1853" i="5"/>
  <c r="Q1854" i="5"/>
  <c r="Q1855" i="5"/>
  <c r="Q1856" i="5"/>
  <c r="Q1857" i="5"/>
  <c r="Q1858" i="5"/>
  <c r="Q1859" i="5"/>
  <c r="Q1860" i="5"/>
  <c r="Q1861" i="5"/>
  <c r="Q1862" i="5"/>
  <c r="Q1863" i="5"/>
  <c r="Q1864" i="5"/>
  <c r="Q1865" i="5"/>
  <c r="Q1866" i="5"/>
  <c r="Q1867" i="5"/>
  <c r="Q1868" i="5"/>
  <c r="Q1869" i="5"/>
  <c r="Q1870" i="5"/>
  <c r="Q1871" i="5"/>
  <c r="Q1872" i="5"/>
  <c r="Q1873" i="5"/>
  <c r="Q1874" i="5"/>
  <c r="Q1875" i="5"/>
  <c r="Q1876" i="5"/>
  <c r="Q1877" i="5"/>
  <c r="Q1878" i="5"/>
  <c r="Q1879" i="5"/>
  <c r="Q1880" i="5"/>
  <c r="Q1881" i="5"/>
  <c r="Q1882" i="5"/>
  <c r="Q1883" i="5"/>
  <c r="Q1884" i="5"/>
  <c r="Q1885" i="5"/>
  <c r="Q1886" i="5"/>
  <c r="Q1887" i="5"/>
  <c r="Q1888" i="5"/>
  <c r="Q1889" i="5"/>
  <c r="Q1890" i="5"/>
  <c r="Q1891" i="5"/>
  <c r="Q1892" i="5"/>
  <c r="Q1893" i="5"/>
  <c r="Q1894" i="5"/>
  <c r="Q1895" i="5"/>
  <c r="Q1896" i="5"/>
  <c r="Q1897" i="5"/>
  <c r="Q1898" i="5"/>
  <c r="Q1899" i="5"/>
  <c r="Q1900" i="5"/>
  <c r="Q1901" i="5"/>
  <c r="Q1902" i="5"/>
  <c r="Q1903" i="5"/>
  <c r="Q1904" i="5"/>
  <c r="Q1905" i="5"/>
  <c r="Q1906" i="5"/>
  <c r="Q1907" i="5"/>
  <c r="Q1908" i="5"/>
  <c r="Q1909" i="5"/>
  <c r="Q1910" i="5"/>
  <c r="Q1911" i="5"/>
  <c r="Q1912" i="5"/>
  <c r="Q1913" i="5"/>
  <c r="Q1914" i="5"/>
  <c r="Q1915" i="5"/>
  <c r="Q1916" i="5"/>
  <c r="Q1917" i="5"/>
  <c r="Q1918" i="5"/>
  <c r="Q1919" i="5"/>
  <c r="Q1920" i="5"/>
  <c r="Q1921" i="5"/>
  <c r="Q1922" i="5"/>
  <c r="Q1923" i="5"/>
  <c r="Q1924" i="5"/>
  <c r="Q1925" i="5"/>
  <c r="Q1926" i="5"/>
  <c r="Q1927" i="5"/>
  <c r="Q1928" i="5"/>
  <c r="Q1929" i="5"/>
  <c r="Q1930" i="5"/>
  <c r="Q1931" i="5"/>
  <c r="Q1932" i="5"/>
  <c r="Q1933" i="5"/>
  <c r="Q1934" i="5"/>
  <c r="Q1935" i="5"/>
  <c r="Q1936" i="5"/>
  <c r="Q1937" i="5"/>
  <c r="Q1938" i="5"/>
  <c r="Q1939" i="5"/>
  <c r="Q1940" i="5"/>
  <c r="Q1941" i="5"/>
  <c r="Q1942" i="5"/>
  <c r="Q1943" i="5"/>
  <c r="Q1944" i="5"/>
  <c r="Q1945" i="5"/>
  <c r="Q1946" i="5"/>
  <c r="Q1947" i="5"/>
  <c r="Q1948" i="5"/>
  <c r="Q1949" i="5"/>
  <c r="Q1950" i="5"/>
  <c r="Q1951" i="5"/>
  <c r="Q1952" i="5"/>
  <c r="Q1953" i="5"/>
  <c r="Q1954" i="5"/>
  <c r="Q1955" i="5"/>
  <c r="Q1956" i="5"/>
  <c r="Q1957" i="5"/>
  <c r="Q1958" i="5"/>
  <c r="Q1959" i="5"/>
  <c r="Q1960" i="5"/>
  <c r="Q1961" i="5"/>
  <c r="Q1962" i="5"/>
  <c r="Q1963" i="5"/>
  <c r="Q1964" i="5"/>
  <c r="Q1965" i="5"/>
  <c r="Q1966" i="5"/>
  <c r="Q1967" i="5"/>
  <c r="Q1968" i="5"/>
  <c r="Q1969" i="5"/>
  <c r="Q1970" i="5"/>
  <c r="Q1971" i="5"/>
  <c r="Q1972" i="5"/>
  <c r="Q1973" i="5"/>
  <c r="Q1974" i="5"/>
  <c r="Q1975" i="5"/>
  <c r="Q1976" i="5"/>
  <c r="Q1977" i="5"/>
  <c r="Q1978" i="5"/>
  <c r="Q1979" i="5"/>
  <c r="Q1980" i="5"/>
  <c r="Q1981" i="5"/>
  <c r="Q1982" i="5"/>
  <c r="Q1983" i="5"/>
  <c r="Q1984" i="5"/>
  <c r="Q1985" i="5"/>
  <c r="Q1986" i="5"/>
  <c r="Q1987" i="5"/>
  <c r="Q1988" i="5"/>
  <c r="Q1989" i="5"/>
  <c r="Q1990" i="5"/>
  <c r="Q1991" i="5"/>
  <c r="Q1992" i="5"/>
  <c r="Q1993" i="5"/>
  <c r="Q1994" i="5"/>
  <c r="Q1995" i="5"/>
  <c r="Q1996" i="5"/>
  <c r="Q1997" i="5"/>
  <c r="Q1998" i="5"/>
  <c r="Q1999" i="5"/>
  <c r="Q2000" i="5"/>
  <c r="Q2001" i="5"/>
  <c r="Q2002" i="5"/>
  <c r="Q2003" i="5"/>
  <c r="Q2004" i="5"/>
  <c r="Q2005" i="5"/>
  <c r="Q2006" i="5"/>
  <c r="Q2007" i="5"/>
  <c r="Q2008" i="5"/>
  <c r="Q2009" i="5"/>
  <c r="Q2010" i="5"/>
  <c r="Q2011" i="5"/>
  <c r="Q2012" i="5"/>
  <c r="Q2013" i="5"/>
  <c r="Q2014" i="5"/>
  <c r="Q2015" i="5"/>
  <c r="Q2016" i="5"/>
  <c r="Q2017" i="5"/>
  <c r="Q2018" i="5"/>
  <c r="Q2019" i="5"/>
  <c r="Q2020" i="5"/>
  <c r="Q2021" i="5"/>
  <c r="Q2022" i="5"/>
  <c r="Q2023" i="5"/>
  <c r="Q2024" i="5"/>
  <c r="Q2025" i="5"/>
  <c r="Q2026" i="5"/>
  <c r="Q2027" i="5"/>
  <c r="Q2028" i="5"/>
  <c r="Q2029" i="5"/>
  <c r="Q2030" i="5"/>
  <c r="Q2031" i="5"/>
  <c r="Q2032" i="5"/>
  <c r="Q2033" i="5"/>
  <c r="Q2034" i="5"/>
  <c r="Q2035" i="5"/>
  <c r="Q2036" i="5"/>
  <c r="Q2037" i="5"/>
  <c r="Q2038" i="5"/>
  <c r="Q2039" i="5"/>
  <c r="Q2040" i="5"/>
  <c r="Q2041" i="5"/>
  <c r="Q2042" i="5"/>
  <c r="Q2043" i="5"/>
  <c r="Q2044" i="5"/>
  <c r="Q2045" i="5"/>
  <c r="Q2046" i="5"/>
  <c r="Q2047" i="5"/>
  <c r="Q2048" i="5"/>
  <c r="Q2049" i="5"/>
  <c r="Q2050" i="5"/>
  <c r="Q2051" i="5"/>
  <c r="Q2052" i="5"/>
  <c r="Q2053" i="5"/>
  <c r="Q2054" i="5"/>
  <c r="Q2055" i="5"/>
  <c r="Q2056" i="5"/>
  <c r="Q2057" i="5"/>
  <c r="Q2058" i="5"/>
  <c r="Q2059" i="5"/>
  <c r="Q2060" i="5"/>
  <c r="Q2061" i="5"/>
  <c r="Q2062" i="5"/>
  <c r="Q2063" i="5"/>
  <c r="Q2064" i="5"/>
  <c r="Q2065" i="5"/>
  <c r="Q2066" i="5"/>
  <c r="Q2067" i="5"/>
  <c r="Q2068" i="5"/>
  <c r="Q2069" i="5"/>
  <c r="Q2070" i="5"/>
  <c r="Q2071" i="5"/>
  <c r="Q2072" i="5"/>
  <c r="Q2073" i="5"/>
  <c r="Q2074" i="5"/>
  <c r="Q2075" i="5"/>
  <c r="Q2076" i="5"/>
  <c r="Q2077" i="5"/>
  <c r="Q2078" i="5"/>
  <c r="Q2079" i="5"/>
  <c r="Q2080" i="5"/>
  <c r="Q2081" i="5"/>
  <c r="Q2082" i="5"/>
  <c r="Q2083" i="5"/>
  <c r="Q2084" i="5"/>
  <c r="Q2085" i="5"/>
  <c r="Q2086" i="5"/>
  <c r="Q2087" i="5"/>
  <c r="Q2088" i="5"/>
  <c r="Q2089" i="5"/>
  <c r="Q2090" i="5"/>
  <c r="Q2091" i="5"/>
  <c r="Q2092" i="5"/>
  <c r="Q2093" i="5"/>
  <c r="Q2094" i="5"/>
  <c r="Q2095" i="5"/>
  <c r="Q2096" i="5"/>
  <c r="Q2097" i="5"/>
  <c r="Q2098" i="5"/>
  <c r="Q2099" i="5"/>
  <c r="Q2100" i="5"/>
  <c r="Q2101" i="5"/>
  <c r="Q2102" i="5"/>
  <c r="Q2103" i="5"/>
  <c r="Q2104" i="5"/>
  <c r="Q2105" i="5"/>
  <c r="Q2106" i="5"/>
  <c r="Q2107" i="5"/>
  <c r="Q2108" i="5"/>
  <c r="Q2109" i="5"/>
  <c r="Q2110" i="5"/>
  <c r="Q2111" i="5"/>
  <c r="Q2112" i="5"/>
  <c r="Q2113" i="5"/>
  <c r="Q2114" i="5"/>
  <c r="Q2115" i="5"/>
  <c r="Q2116" i="5"/>
  <c r="Q2117" i="5"/>
  <c r="Q2118" i="5"/>
  <c r="Q2119" i="5"/>
  <c r="Q2120" i="5"/>
  <c r="Q2121" i="5"/>
  <c r="Q2122" i="5"/>
  <c r="Q2123" i="5"/>
  <c r="Q2124" i="5"/>
  <c r="Q2125" i="5"/>
  <c r="Q2126" i="5"/>
  <c r="Q2127" i="5"/>
  <c r="Q2128" i="5"/>
  <c r="Q2129" i="5"/>
  <c r="Q2130" i="5"/>
  <c r="Q2131" i="5"/>
  <c r="Q2132" i="5"/>
  <c r="Q2133" i="5"/>
  <c r="Q2134" i="5"/>
  <c r="Q2135" i="5"/>
  <c r="Q2136" i="5"/>
  <c r="Q2137" i="5"/>
  <c r="Q2138" i="5"/>
  <c r="Q2139" i="5"/>
  <c r="Q2140" i="5"/>
  <c r="Q2141" i="5"/>
  <c r="Q2142" i="5"/>
  <c r="Q2143" i="5"/>
  <c r="Q2144" i="5"/>
  <c r="Q2145" i="5"/>
  <c r="Q2146" i="5"/>
  <c r="Q2147" i="5"/>
  <c r="Q2148" i="5"/>
  <c r="Q2149" i="5"/>
  <c r="Q2150" i="5"/>
  <c r="Q2151" i="5"/>
  <c r="Q2152" i="5"/>
  <c r="Q2153" i="5"/>
  <c r="Q2154" i="5"/>
  <c r="Q2155" i="5"/>
  <c r="Q2156" i="5"/>
  <c r="Q2157" i="5"/>
  <c r="Q2158" i="5"/>
  <c r="Q2159" i="5"/>
  <c r="Q2160" i="5"/>
  <c r="Q2161" i="5"/>
  <c r="Q2162" i="5"/>
  <c r="Q2163" i="5"/>
  <c r="Q2164" i="5"/>
  <c r="Q2165" i="5"/>
  <c r="Q2166" i="5"/>
  <c r="Q2167" i="5"/>
  <c r="Q2168" i="5"/>
  <c r="Q2169" i="5"/>
  <c r="Q2170" i="5"/>
  <c r="Q2171" i="5"/>
  <c r="Q2172" i="5"/>
  <c r="Q2173" i="5"/>
  <c r="Q2174" i="5"/>
  <c r="Q2175" i="5"/>
  <c r="Q2176" i="5"/>
  <c r="Q2177" i="5"/>
  <c r="Q2178" i="5"/>
  <c r="Q2179" i="5"/>
  <c r="Q2180" i="5"/>
  <c r="Q2181" i="5"/>
  <c r="Q2182" i="5"/>
  <c r="Q2183" i="5"/>
  <c r="Q2184" i="5"/>
  <c r="Q2185" i="5"/>
  <c r="Q2186" i="5"/>
  <c r="Q2187" i="5"/>
  <c r="Q2188" i="5"/>
  <c r="Q2189" i="5"/>
  <c r="Q2190" i="5"/>
  <c r="Q2191" i="5"/>
  <c r="Q2192" i="5"/>
  <c r="Q2193" i="5"/>
  <c r="Q2194" i="5"/>
  <c r="Q2195" i="5"/>
  <c r="Q2196" i="5"/>
  <c r="Q2197" i="5"/>
  <c r="Q2198" i="5"/>
  <c r="Q2199" i="5"/>
  <c r="Q2200" i="5"/>
  <c r="Q2201" i="5"/>
  <c r="Q2202" i="5"/>
  <c r="Q2203" i="5"/>
  <c r="Q2204" i="5"/>
  <c r="Q2205" i="5"/>
  <c r="Q2206" i="5"/>
  <c r="Q2207" i="5"/>
  <c r="Q2208" i="5"/>
  <c r="Q2209" i="5"/>
  <c r="Q2210" i="5"/>
  <c r="Q2211" i="5"/>
  <c r="Q2212" i="5"/>
  <c r="Q2213" i="5"/>
  <c r="Q2214" i="5"/>
  <c r="Q2215" i="5"/>
  <c r="Q2216" i="5"/>
  <c r="Q2217" i="5"/>
  <c r="Q2218" i="5"/>
  <c r="Q2219" i="5"/>
  <c r="Q2220" i="5"/>
  <c r="Q2221" i="5"/>
  <c r="Q2222" i="5"/>
  <c r="Q2223" i="5"/>
  <c r="Q2224" i="5"/>
  <c r="Q2225" i="5"/>
  <c r="Q2226" i="5"/>
  <c r="Q2227" i="5"/>
  <c r="Q2228" i="5"/>
  <c r="Q2229" i="5"/>
  <c r="Q2230" i="5"/>
  <c r="Q2231" i="5"/>
  <c r="Q2232" i="5"/>
  <c r="Q2233" i="5"/>
  <c r="Q2234" i="5"/>
  <c r="Q2235" i="5"/>
  <c r="Q2236" i="5"/>
  <c r="Q2237" i="5"/>
  <c r="Q2238" i="5"/>
  <c r="Q2239" i="5"/>
  <c r="Q2240" i="5"/>
  <c r="Q2241" i="5"/>
  <c r="Q2242" i="5"/>
  <c r="Q2243" i="5"/>
  <c r="Q2244" i="5"/>
  <c r="Q2245" i="5"/>
  <c r="Q2246" i="5"/>
  <c r="Q2247" i="5"/>
  <c r="Q2248" i="5"/>
  <c r="Q2249" i="5"/>
  <c r="Q2250" i="5"/>
  <c r="Q2251" i="5"/>
  <c r="Q2252" i="5"/>
  <c r="Q2253" i="5"/>
  <c r="Q2254" i="5"/>
  <c r="Q2255" i="5"/>
  <c r="Q2256" i="5"/>
  <c r="Q2257" i="5"/>
  <c r="Q2258" i="5"/>
  <c r="Q2259" i="5"/>
  <c r="Q2260" i="5"/>
  <c r="Q2261" i="5"/>
  <c r="Q2262" i="5"/>
  <c r="Q2263" i="5"/>
  <c r="Q2264" i="5"/>
  <c r="Q2265" i="5"/>
  <c r="Q2266" i="5"/>
  <c r="Q2267" i="5"/>
  <c r="Q2268" i="5"/>
  <c r="Q2269" i="5"/>
  <c r="Q2270" i="5"/>
  <c r="Q2271" i="5"/>
  <c r="Q2272" i="5"/>
  <c r="Q2273" i="5"/>
  <c r="Q2274" i="5"/>
  <c r="Q2275" i="5"/>
  <c r="Q2276" i="5"/>
  <c r="Q2277" i="5"/>
  <c r="Q2278" i="5"/>
  <c r="Q2279" i="5"/>
  <c r="Q2280" i="5"/>
  <c r="Q2281" i="5"/>
  <c r="Q2282" i="5"/>
  <c r="Q2283" i="5"/>
  <c r="Q2284" i="5"/>
  <c r="Q2285" i="5"/>
  <c r="Q2286" i="5"/>
  <c r="Q2287" i="5"/>
  <c r="Q2288" i="5"/>
  <c r="Q2289" i="5"/>
  <c r="Q2290" i="5"/>
  <c r="Q2291" i="5"/>
  <c r="Q2292" i="5"/>
  <c r="Q2293" i="5"/>
  <c r="Q2294" i="5"/>
  <c r="Q2295" i="5"/>
  <c r="Q2296" i="5"/>
  <c r="Q2297" i="5"/>
  <c r="Q2298" i="5"/>
  <c r="Q2299" i="5"/>
  <c r="Q2300" i="5"/>
  <c r="Q2301" i="5"/>
  <c r="Q2302" i="5"/>
  <c r="Q2303" i="5"/>
  <c r="Q2304" i="5"/>
  <c r="Q2305" i="5"/>
  <c r="Q2306" i="5"/>
  <c r="Q2307" i="5"/>
  <c r="Q2308" i="5"/>
  <c r="Q2309" i="5"/>
  <c r="Q2310" i="5"/>
  <c r="Q2311" i="5"/>
  <c r="Q2312" i="5"/>
  <c r="Q2313" i="5"/>
  <c r="Q2314" i="5"/>
  <c r="Q2315" i="5"/>
  <c r="Q2316" i="5"/>
  <c r="Q2317" i="5"/>
  <c r="Q2318" i="5"/>
  <c r="Q2319" i="5"/>
  <c r="Q2320" i="5"/>
  <c r="Q2321" i="5"/>
  <c r="Q2322" i="5"/>
  <c r="Q2323" i="5"/>
  <c r="Q2324" i="5"/>
  <c r="Q2325" i="5"/>
  <c r="Q2326" i="5"/>
  <c r="Q2327" i="5"/>
  <c r="Q2328" i="5"/>
  <c r="Q2329" i="5"/>
  <c r="Q2330" i="5"/>
  <c r="Q2331" i="5"/>
  <c r="Q2332" i="5"/>
  <c r="Q2333" i="5"/>
  <c r="Q2334" i="5"/>
  <c r="Q2335" i="5"/>
  <c r="Q2336" i="5"/>
  <c r="Q2337" i="5"/>
  <c r="Q2338" i="5"/>
  <c r="Q2339" i="5"/>
  <c r="Q2340" i="5"/>
  <c r="Q2341" i="5"/>
  <c r="Q2342" i="5"/>
  <c r="Q2343" i="5"/>
  <c r="Q2344" i="5"/>
  <c r="Q2345" i="5"/>
  <c r="Q2346" i="5"/>
  <c r="Q2347" i="5"/>
  <c r="Q2348" i="5"/>
  <c r="Q2349" i="5"/>
  <c r="Q2350" i="5"/>
  <c r="Q2351" i="5"/>
  <c r="Q2352" i="5"/>
  <c r="Q2353" i="5"/>
  <c r="Q2354" i="5"/>
  <c r="Q2355" i="5"/>
  <c r="Q2356" i="5"/>
  <c r="Q2357" i="5"/>
  <c r="Q2358" i="5"/>
  <c r="Q2359" i="5"/>
  <c r="Q2360" i="5"/>
  <c r="Q2361" i="5"/>
  <c r="Q2362" i="5"/>
  <c r="Q2363" i="5"/>
  <c r="Q2364" i="5"/>
  <c r="Q2365" i="5"/>
  <c r="Q2366" i="5"/>
  <c r="Q2367" i="5"/>
  <c r="Q2368" i="5"/>
  <c r="Q2369" i="5"/>
  <c r="Q2370" i="5"/>
  <c r="Q2371" i="5"/>
  <c r="Q2372" i="5"/>
  <c r="Q2373" i="5"/>
  <c r="Q2374" i="5"/>
  <c r="Q2375" i="5"/>
  <c r="Q2376" i="5"/>
  <c r="Q2377" i="5"/>
  <c r="Q2378" i="5"/>
  <c r="Q2379" i="5"/>
  <c r="Q2380" i="5"/>
  <c r="Q2381" i="5"/>
  <c r="Q2382" i="5"/>
  <c r="Q2383" i="5"/>
  <c r="Q2384" i="5"/>
  <c r="Q2385" i="5"/>
  <c r="Q2386" i="5"/>
  <c r="Q2387" i="5"/>
  <c r="Q2388" i="5"/>
  <c r="Q2389" i="5"/>
  <c r="Q2390" i="5"/>
  <c r="Q2391" i="5"/>
  <c r="Q2392" i="5"/>
  <c r="Q2393" i="5"/>
  <c r="Q2394" i="5"/>
  <c r="Q2395" i="5"/>
  <c r="Q2396" i="5"/>
  <c r="Q2397" i="5"/>
  <c r="Q2398" i="5"/>
  <c r="Q2399" i="5"/>
  <c r="Q2400" i="5"/>
  <c r="Q2401" i="5"/>
  <c r="Q2402" i="5"/>
  <c r="Q2403" i="5"/>
  <c r="Q2404" i="5"/>
  <c r="Q2405" i="5"/>
  <c r="Q2406" i="5"/>
  <c r="Q2407" i="5"/>
  <c r="Q2408" i="5"/>
  <c r="Q2409" i="5"/>
  <c r="Q2410" i="5"/>
  <c r="Q2411" i="5"/>
  <c r="Q2412" i="5"/>
  <c r="Q2413" i="5"/>
  <c r="Q2414" i="5"/>
  <c r="Q2415" i="5"/>
  <c r="Q2416" i="5"/>
  <c r="Q2417" i="5"/>
  <c r="Q2418" i="5"/>
  <c r="Q2419" i="5"/>
  <c r="Q2420" i="5"/>
  <c r="Q2421" i="5"/>
  <c r="Q2422" i="5"/>
  <c r="Q2423" i="5"/>
  <c r="Q2424" i="5"/>
  <c r="Q2425" i="5"/>
  <c r="Q2426" i="5"/>
  <c r="Q2427" i="5"/>
  <c r="Q2428" i="5"/>
  <c r="Q2429" i="5"/>
  <c r="Q2430" i="5"/>
  <c r="Q2431" i="5"/>
  <c r="Q2432" i="5"/>
  <c r="Q2433" i="5"/>
  <c r="Q2434" i="5"/>
  <c r="Q2435" i="5"/>
  <c r="Q2436" i="5"/>
  <c r="Q2437" i="5"/>
  <c r="Q2438" i="5"/>
  <c r="Q2439" i="5"/>
  <c r="Q2440" i="5"/>
  <c r="Q2441" i="5"/>
  <c r="Q2442" i="5"/>
  <c r="Q2443" i="5"/>
  <c r="Q2444" i="5"/>
  <c r="Q2445" i="5"/>
  <c r="Q2446" i="5"/>
  <c r="Q2447" i="5"/>
  <c r="Q2448" i="5"/>
  <c r="Q2449" i="5"/>
  <c r="Q2450" i="5"/>
  <c r="Q2451" i="5"/>
  <c r="Q2452" i="5"/>
  <c r="Q2453" i="5"/>
  <c r="Q2454" i="5"/>
  <c r="Q2455" i="5"/>
  <c r="Q2456" i="5"/>
  <c r="Q2457" i="5"/>
  <c r="Q2458" i="5"/>
  <c r="Q2459" i="5"/>
  <c r="Q2460" i="5"/>
  <c r="Q2461" i="5"/>
  <c r="Q2462" i="5"/>
  <c r="Q2463" i="5"/>
  <c r="Q2464" i="5"/>
  <c r="Q2465" i="5"/>
  <c r="Q2466" i="5"/>
  <c r="Q2467" i="5"/>
  <c r="Q2468" i="5"/>
  <c r="Q2469" i="5"/>
  <c r="Q2470" i="5"/>
  <c r="Q2471" i="5"/>
  <c r="Q2472" i="5"/>
  <c r="Q2473" i="5"/>
  <c r="Q2474" i="5"/>
  <c r="Q2475" i="5"/>
  <c r="Q2476" i="5"/>
  <c r="Q2477" i="5"/>
  <c r="Q2478" i="5"/>
  <c r="Q2479" i="5"/>
  <c r="Q2480" i="5"/>
  <c r="Q2481" i="5"/>
  <c r="Q2482" i="5"/>
  <c r="Q2483" i="5"/>
  <c r="Q2484" i="5"/>
  <c r="Q2485" i="5"/>
  <c r="Q2486" i="5"/>
  <c r="Q2487" i="5"/>
  <c r="Q2488" i="5"/>
  <c r="Q2489" i="5"/>
  <c r="Q2490" i="5"/>
  <c r="Q2491" i="5"/>
  <c r="Q2492" i="5"/>
  <c r="Q2493" i="5"/>
  <c r="Q2494" i="5"/>
  <c r="Q2495" i="5"/>
  <c r="Q2496" i="5"/>
  <c r="Q2497" i="5"/>
  <c r="Q2498" i="5"/>
  <c r="Q2499" i="5"/>
  <c r="Q2500" i="5"/>
  <c r="Q2501" i="5"/>
  <c r="Q2502" i="5"/>
  <c r="Q2503" i="5"/>
  <c r="Q2504" i="5"/>
  <c r="Q2505" i="5"/>
  <c r="Q2506" i="5"/>
  <c r="Q2507" i="5"/>
  <c r="Q2508" i="5"/>
  <c r="Q2509" i="5"/>
  <c r="Q2510" i="5"/>
  <c r="Q2511" i="5"/>
  <c r="Q2512" i="5"/>
  <c r="Q2513" i="5"/>
  <c r="Q2514" i="5"/>
  <c r="Q2515" i="5"/>
  <c r="Q2516" i="5"/>
  <c r="Q2517" i="5"/>
  <c r="Q2518" i="5"/>
  <c r="Q2519" i="5"/>
  <c r="Q2520" i="5"/>
  <c r="Q2521" i="5"/>
  <c r="Q2522" i="5"/>
  <c r="Q2523" i="5"/>
  <c r="Q2524" i="5"/>
  <c r="Q2525" i="5"/>
  <c r="Q2526" i="5"/>
  <c r="Q2527" i="5"/>
  <c r="Q2528" i="5"/>
  <c r="Q2529" i="5"/>
  <c r="Q2530" i="5"/>
  <c r="Q2531" i="5"/>
  <c r="Q2532" i="5"/>
  <c r="Q2533" i="5"/>
  <c r="Q2534" i="5"/>
  <c r="Q2535" i="5"/>
  <c r="Q2536" i="5"/>
  <c r="Q2537" i="5"/>
  <c r="Q2538" i="5"/>
  <c r="Q2539" i="5"/>
  <c r="Q2540" i="5"/>
  <c r="Q2541" i="5"/>
  <c r="Q2542" i="5"/>
  <c r="Q2543" i="5"/>
  <c r="Q2544" i="5"/>
  <c r="Q2545" i="5"/>
  <c r="Q2546" i="5"/>
  <c r="Q2547" i="5"/>
  <c r="Q2548" i="5"/>
  <c r="Q2549" i="5"/>
  <c r="Q2550" i="5"/>
  <c r="Q2551" i="5"/>
  <c r="Q2552" i="5"/>
  <c r="Q2553" i="5"/>
  <c r="Q2554" i="5"/>
  <c r="Q2555" i="5"/>
  <c r="Q2556" i="5"/>
  <c r="Q2557" i="5"/>
  <c r="Q2558" i="5"/>
  <c r="Q2559" i="5"/>
  <c r="Q2560" i="5"/>
  <c r="Q2561" i="5"/>
  <c r="Q2562" i="5"/>
  <c r="Q2563" i="5"/>
  <c r="Q2564" i="5"/>
  <c r="Q2565" i="5"/>
  <c r="Q2566" i="5"/>
  <c r="Q2567" i="5"/>
  <c r="Q2568" i="5"/>
  <c r="Q2569" i="5"/>
  <c r="Q2570" i="5"/>
  <c r="Q2571" i="5"/>
  <c r="Q2572" i="5"/>
  <c r="Q2573" i="5"/>
  <c r="Q2574" i="5"/>
  <c r="Q2575" i="5"/>
  <c r="Q2576" i="5"/>
  <c r="Q2577" i="5"/>
  <c r="Q2578" i="5"/>
  <c r="Q2579" i="5"/>
  <c r="Q2580" i="5"/>
  <c r="Q2581" i="5"/>
  <c r="Q2582" i="5"/>
  <c r="Q2583" i="5"/>
  <c r="Q2584" i="5"/>
  <c r="Q2585" i="5"/>
  <c r="Q2586" i="5"/>
  <c r="Q2587" i="5"/>
  <c r="Q2588" i="5"/>
  <c r="Q2589" i="5"/>
  <c r="Q2590" i="5"/>
  <c r="Q2591" i="5"/>
  <c r="Q2592" i="5"/>
  <c r="Q2593" i="5"/>
  <c r="Q2594" i="5"/>
  <c r="Q2595" i="5"/>
  <c r="Q2596" i="5"/>
  <c r="Q2597" i="5"/>
  <c r="Q2598" i="5"/>
  <c r="Q2599" i="5"/>
  <c r="Q2600" i="5"/>
  <c r="Q2601" i="5"/>
  <c r="Q2602" i="5"/>
  <c r="Q2603" i="5"/>
  <c r="Q2604" i="5"/>
  <c r="Q2605" i="5"/>
  <c r="Q2606" i="5"/>
  <c r="Q2607" i="5"/>
  <c r="Q2608" i="5"/>
  <c r="Q2609" i="5"/>
  <c r="Q2610" i="5"/>
  <c r="Q2611" i="5"/>
  <c r="Q2612" i="5"/>
  <c r="Q2613" i="5"/>
  <c r="Q2614" i="5"/>
  <c r="Q2615" i="5"/>
  <c r="Q2616" i="5"/>
  <c r="Q2617" i="5"/>
  <c r="Q2618" i="5"/>
  <c r="Q2619" i="5"/>
  <c r="Q2620" i="5"/>
  <c r="Q2621" i="5"/>
  <c r="Q2622" i="5"/>
  <c r="Q2623" i="5"/>
  <c r="Q2624" i="5"/>
  <c r="Q2625" i="5"/>
  <c r="Q2626" i="5"/>
  <c r="Q2627" i="5"/>
  <c r="Q2628" i="5"/>
  <c r="Q2629" i="5"/>
  <c r="Q2630" i="5"/>
  <c r="Q2631" i="5"/>
  <c r="Q2632" i="5"/>
  <c r="Q2633" i="5"/>
  <c r="Q2634" i="5"/>
  <c r="Q2635" i="5"/>
  <c r="Q2636" i="5"/>
  <c r="Q2637" i="5"/>
  <c r="Q2638" i="5"/>
  <c r="Q2639" i="5"/>
  <c r="Q2640" i="5"/>
  <c r="Q2641" i="5"/>
  <c r="Q2642" i="5"/>
  <c r="Q2643" i="5"/>
  <c r="Q2644" i="5"/>
  <c r="Q2645" i="5"/>
  <c r="Q2646" i="5"/>
  <c r="Q2647" i="5"/>
  <c r="Q2648" i="5"/>
  <c r="Q2649" i="5"/>
  <c r="Q2650" i="5"/>
  <c r="Q2651" i="5"/>
  <c r="Q2652" i="5"/>
  <c r="Q2653" i="5"/>
  <c r="Q2654" i="5"/>
  <c r="Q2655" i="5"/>
  <c r="Q2656" i="5"/>
  <c r="Q2657" i="5"/>
  <c r="Q2658" i="5"/>
  <c r="Q2659" i="5"/>
  <c r="Q2660" i="5"/>
  <c r="Q2661" i="5"/>
  <c r="Q2662" i="5"/>
  <c r="Q2663" i="5"/>
  <c r="Q2664" i="5"/>
  <c r="Q2665" i="5"/>
  <c r="Q2666" i="5"/>
  <c r="Q2667" i="5"/>
  <c r="Q2668" i="5"/>
  <c r="Q2669" i="5"/>
  <c r="Q2670" i="5"/>
  <c r="Q2671" i="5"/>
  <c r="Q2672" i="5"/>
  <c r="Q2673" i="5"/>
  <c r="Q2674" i="5"/>
  <c r="Q2675" i="5"/>
  <c r="Q2676" i="5"/>
  <c r="Q2677" i="5"/>
  <c r="Q2678" i="5"/>
  <c r="Q2679" i="5"/>
  <c r="Q2680" i="5"/>
  <c r="Q2681" i="5"/>
  <c r="Q2682" i="5"/>
  <c r="Q2683" i="5"/>
  <c r="Q2684" i="5"/>
  <c r="Q2685" i="5"/>
  <c r="Q2686" i="5"/>
  <c r="Q2687" i="5"/>
  <c r="Q2688" i="5"/>
  <c r="Q2689" i="5"/>
  <c r="Q2690" i="5"/>
  <c r="Q2691" i="5"/>
  <c r="Q2692" i="5"/>
  <c r="Q2693" i="5"/>
  <c r="Q2694" i="5"/>
  <c r="Q2695" i="5"/>
  <c r="Q2696" i="5"/>
  <c r="Q2697" i="5"/>
  <c r="Q2698" i="5"/>
  <c r="Q2699" i="5"/>
  <c r="Q2700" i="5"/>
  <c r="Q2701" i="5"/>
  <c r="Q2702" i="5"/>
  <c r="Q2703" i="5"/>
  <c r="Q2704" i="5"/>
  <c r="Q2705" i="5"/>
  <c r="Q2706" i="5"/>
  <c r="Q2707" i="5"/>
  <c r="Q2708" i="5"/>
  <c r="Q2709" i="5"/>
  <c r="Q2710" i="5"/>
  <c r="Q2711" i="5"/>
  <c r="Q2712" i="5"/>
  <c r="Q2713" i="5"/>
  <c r="Q2714" i="5"/>
  <c r="Q2715" i="5"/>
  <c r="Q2716" i="5"/>
  <c r="Q2717" i="5"/>
  <c r="Q2718" i="5"/>
  <c r="Q2719" i="5"/>
  <c r="Q2720" i="5"/>
  <c r="Q2721" i="5"/>
  <c r="Q2722" i="5"/>
  <c r="Q2723" i="5"/>
  <c r="Q2724" i="5"/>
  <c r="Q2725" i="5"/>
  <c r="Q2726" i="5"/>
  <c r="Q2727" i="5"/>
  <c r="Q2728" i="5"/>
  <c r="Q2729" i="5"/>
  <c r="Q2730" i="5"/>
  <c r="Q2731" i="5"/>
  <c r="Q2732" i="5"/>
  <c r="Q2733" i="5"/>
  <c r="Q2734" i="5"/>
  <c r="Q2735" i="5"/>
  <c r="Q2736" i="5"/>
  <c r="Q2737" i="5"/>
  <c r="Q2738" i="5"/>
  <c r="Q2739" i="5"/>
  <c r="Q2740" i="5"/>
  <c r="Q2741" i="5"/>
  <c r="Q2742" i="5"/>
  <c r="Q2743" i="5"/>
  <c r="Q2744" i="5"/>
  <c r="Q2745" i="5"/>
  <c r="Q2746" i="5"/>
  <c r="Q2747" i="5"/>
  <c r="Q2748" i="5"/>
  <c r="Q2749" i="5"/>
  <c r="Q2750" i="5"/>
  <c r="Q2751" i="5"/>
  <c r="Q2752" i="5"/>
  <c r="Q2753" i="5"/>
  <c r="Q2754" i="5"/>
  <c r="Q2755" i="5"/>
  <c r="Q2756" i="5"/>
  <c r="Q2757" i="5"/>
  <c r="Q2758" i="5"/>
  <c r="Q2759" i="5"/>
  <c r="Q2760" i="5"/>
  <c r="Q2761" i="5"/>
  <c r="Q2762" i="5"/>
  <c r="Q2763" i="5"/>
  <c r="Q2764" i="5"/>
  <c r="Q2765" i="5"/>
  <c r="Q2766" i="5"/>
  <c r="Q2767" i="5"/>
  <c r="Q2768" i="5"/>
  <c r="Q2769" i="5"/>
  <c r="Q2770" i="5"/>
  <c r="Q2771" i="5"/>
  <c r="Q2772" i="5"/>
  <c r="Q2773" i="5"/>
  <c r="Q2774" i="5"/>
  <c r="Q2775" i="5"/>
  <c r="Q2776" i="5"/>
  <c r="Q2777" i="5"/>
  <c r="Q2778" i="5"/>
  <c r="Q2779" i="5"/>
  <c r="Q2780" i="5"/>
  <c r="Q2781" i="5"/>
  <c r="Q2782" i="5"/>
  <c r="Q2783" i="5"/>
  <c r="Q2784" i="5"/>
  <c r="Q2785" i="5"/>
  <c r="Q2786" i="5"/>
  <c r="Q2787" i="5"/>
  <c r="Q2788" i="5"/>
  <c r="Q2789" i="5"/>
  <c r="Q2790" i="5"/>
  <c r="Q2791" i="5"/>
  <c r="Q2792" i="5"/>
  <c r="Q2793" i="5"/>
  <c r="Q2794" i="5"/>
  <c r="Q2795" i="5"/>
  <c r="Q2796" i="5"/>
  <c r="Q2797" i="5"/>
  <c r="Q2798" i="5"/>
  <c r="Q2799" i="5"/>
  <c r="Q2800" i="5"/>
  <c r="Q2801" i="5"/>
  <c r="Q2802" i="5"/>
  <c r="Q2803" i="5"/>
  <c r="Q2804" i="5"/>
  <c r="Q2805" i="5"/>
  <c r="Q2806" i="5"/>
  <c r="Q2807" i="5"/>
  <c r="Q2808" i="5"/>
  <c r="Q2809" i="5"/>
  <c r="Q2810" i="5"/>
  <c r="Q2811" i="5"/>
  <c r="Q2812" i="5"/>
  <c r="Q2813" i="5"/>
  <c r="Q2814" i="5"/>
  <c r="Q2815" i="5"/>
  <c r="Q2816" i="5"/>
  <c r="Q2817" i="5"/>
  <c r="Q2818" i="5"/>
  <c r="Q2819" i="5"/>
  <c r="Q2820" i="5"/>
  <c r="Q2821" i="5"/>
  <c r="Q2822" i="5"/>
  <c r="Q2823" i="5"/>
  <c r="Q2824" i="5"/>
  <c r="Q2825" i="5"/>
  <c r="Q2826" i="5"/>
  <c r="Q2827" i="5"/>
  <c r="Q2828" i="5"/>
  <c r="Q2829" i="5"/>
  <c r="Q2830" i="5"/>
  <c r="Q2831" i="5"/>
  <c r="Q2832" i="5"/>
  <c r="Q2833" i="5"/>
  <c r="Q2834" i="5"/>
  <c r="Q2835" i="5"/>
  <c r="Q2836" i="5"/>
  <c r="Q2837" i="5"/>
  <c r="Q2838" i="5"/>
  <c r="Q2839" i="5"/>
  <c r="Q2840" i="5"/>
  <c r="Q2841" i="5"/>
  <c r="Q2842" i="5"/>
  <c r="Q2843" i="5"/>
  <c r="Q2844" i="5"/>
  <c r="Q2845" i="5"/>
  <c r="Q2846" i="5"/>
  <c r="Q2847" i="5"/>
  <c r="Q2848" i="5"/>
  <c r="Q2849" i="5"/>
  <c r="Q2850" i="5"/>
  <c r="Q2851" i="5"/>
  <c r="Q2852" i="5"/>
  <c r="Q2853" i="5"/>
  <c r="Q2854" i="5"/>
  <c r="Q2855" i="5"/>
  <c r="Q2856" i="5"/>
  <c r="Q2857" i="5"/>
  <c r="Q2858" i="5"/>
  <c r="Q2859" i="5"/>
  <c r="Q2860" i="5"/>
  <c r="Q2861" i="5"/>
  <c r="Q2862" i="5"/>
  <c r="Q2863" i="5"/>
  <c r="Q2864" i="5"/>
  <c r="Q2865" i="5"/>
  <c r="Q2866" i="5"/>
  <c r="Q2867" i="5"/>
  <c r="Q2868" i="5"/>
  <c r="Q2869" i="5"/>
  <c r="Q2870" i="5"/>
  <c r="Q2871" i="5"/>
  <c r="Q2872" i="5"/>
  <c r="Q2873" i="5"/>
  <c r="Q2874" i="5"/>
  <c r="Q2875" i="5"/>
  <c r="Q2876" i="5"/>
  <c r="Q2877" i="5"/>
  <c r="Q2878" i="5"/>
  <c r="Q2879" i="5"/>
  <c r="Q2880" i="5"/>
  <c r="Q2881" i="5"/>
  <c r="Q2882" i="5"/>
  <c r="Q2883" i="5"/>
  <c r="Q2884" i="5"/>
  <c r="Q2885" i="5"/>
  <c r="Q2886" i="5"/>
  <c r="Q2887" i="5"/>
  <c r="Q2888" i="5"/>
  <c r="Q2889" i="5"/>
  <c r="Q2890" i="5"/>
  <c r="Q2891" i="5"/>
  <c r="Q2892" i="5"/>
  <c r="Q2893" i="5"/>
  <c r="Q2894" i="5"/>
  <c r="Q2895" i="5"/>
  <c r="Q2896" i="5"/>
  <c r="Q2897" i="5"/>
  <c r="Q2898" i="5"/>
  <c r="Q2899" i="5"/>
  <c r="Q2900" i="5"/>
  <c r="Q2901" i="5"/>
  <c r="Q2902" i="5"/>
  <c r="Q2903" i="5"/>
  <c r="Q2904" i="5"/>
  <c r="Q2905" i="5"/>
  <c r="Q2906" i="5"/>
  <c r="Q2907" i="5"/>
  <c r="Q2908" i="5"/>
  <c r="Q2909" i="5"/>
  <c r="Q2910" i="5"/>
  <c r="Q2911" i="5"/>
  <c r="Q2912" i="5"/>
  <c r="Q2913" i="5"/>
  <c r="Q2914" i="5"/>
  <c r="Q2915" i="5"/>
  <c r="Q2916" i="5"/>
  <c r="Q2917" i="5"/>
  <c r="Q2918" i="5"/>
  <c r="Q2919" i="5"/>
  <c r="Q2920" i="5"/>
  <c r="Q2921" i="5"/>
  <c r="Q2922" i="5"/>
  <c r="Q2923" i="5"/>
  <c r="Q2924" i="5"/>
  <c r="Q2925" i="5"/>
  <c r="Q2926" i="5"/>
  <c r="Q2927" i="5"/>
  <c r="Q2928" i="5"/>
  <c r="Q2929" i="5"/>
  <c r="Q2930" i="5"/>
  <c r="Q2931" i="5"/>
  <c r="Q2932" i="5"/>
  <c r="Q2933" i="5"/>
  <c r="Q2934" i="5"/>
  <c r="Q2935" i="5"/>
  <c r="Q2936" i="5"/>
  <c r="Q2937" i="5"/>
  <c r="Q2938" i="5"/>
  <c r="Q2939" i="5"/>
  <c r="Q2940" i="5"/>
  <c r="Q2941" i="5"/>
  <c r="Q2942" i="5"/>
  <c r="Q2943" i="5"/>
  <c r="Q2944" i="5"/>
  <c r="Q2945" i="5"/>
  <c r="Q2946" i="5"/>
  <c r="Q2947" i="5"/>
  <c r="Q2948" i="5"/>
  <c r="Q2949" i="5"/>
  <c r="Q2950" i="5"/>
  <c r="Q2951" i="5"/>
  <c r="Q2952" i="5"/>
  <c r="Q2953" i="5"/>
  <c r="Q2954" i="5"/>
  <c r="Q2955" i="5"/>
  <c r="Q2956" i="5"/>
  <c r="Q2957" i="5"/>
  <c r="Q2958" i="5"/>
  <c r="Q2959" i="5"/>
  <c r="Q2960" i="5"/>
  <c r="Q2961" i="5"/>
  <c r="Q2962" i="5"/>
  <c r="Q2963" i="5"/>
  <c r="Q2964" i="5"/>
  <c r="Q2965" i="5"/>
  <c r="Q2966" i="5"/>
  <c r="Q2967" i="5"/>
  <c r="Q2968" i="5"/>
  <c r="Q2969" i="5"/>
  <c r="Q2970" i="5"/>
  <c r="Q2971" i="5"/>
  <c r="Q2972" i="5"/>
  <c r="Q2973" i="5"/>
  <c r="Q2974" i="5"/>
  <c r="Q2975" i="5"/>
  <c r="Q2976" i="5"/>
  <c r="Q2977" i="5"/>
  <c r="Q2978" i="5"/>
  <c r="Q2979" i="5"/>
  <c r="Q2980" i="5"/>
  <c r="Q2981" i="5"/>
  <c r="Q2982" i="5"/>
  <c r="Q2983" i="5"/>
  <c r="Q2984" i="5"/>
  <c r="Q2985" i="5"/>
  <c r="Q2986" i="5"/>
  <c r="Q2987" i="5"/>
  <c r="Q2988" i="5"/>
  <c r="Q2989" i="5"/>
  <c r="Q2990" i="5"/>
  <c r="Q2991" i="5"/>
  <c r="Q2992" i="5"/>
  <c r="Q2993" i="5"/>
  <c r="Q2994" i="5"/>
  <c r="Q2995" i="5"/>
  <c r="Q2996" i="5"/>
  <c r="Q2997" i="5"/>
  <c r="Q2998" i="5"/>
  <c r="Q2999" i="5"/>
  <c r="Q3000" i="5"/>
  <c r="Q3001" i="5"/>
  <c r="Q3002" i="5"/>
  <c r="Q3003" i="5"/>
  <c r="Q3004" i="5"/>
  <c r="Q3005" i="5"/>
  <c r="Q3006" i="5"/>
  <c r="Q3007" i="5"/>
  <c r="Q3008" i="5"/>
  <c r="Q3009" i="5"/>
  <c r="Q3010" i="5"/>
  <c r="Q3011" i="5"/>
  <c r="Q3012" i="5"/>
  <c r="Q3013" i="5"/>
  <c r="Q3014" i="5"/>
  <c r="Q3015" i="5"/>
  <c r="Q3016" i="5"/>
  <c r="Q3017" i="5"/>
  <c r="Q3018" i="5"/>
  <c r="Q3019" i="5"/>
  <c r="Q3020" i="5"/>
  <c r="Q3021" i="5"/>
  <c r="Q3022" i="5"/>
  <c r="Q3023" i="5"/>
  <c r="Q3024" i="5"/>
  <c r="Q3025" i="5"/>
  <c r="Q3026" i="5"/>
  <c r="Q3027" i="5"/>
  <c r="Q3028" i="5"/>
  <c r="Q3029" i="5"/>
  <c r="K19" i="8"/>
  <c r="J19" i="8"/>
  <c r="F19" i="8"/>
  <c r="E19" i="8"/>
  <c r="D19" i="8"/>
  <c r="C19" i="8"/>
  <c r="B19" i="8"/>
  <c r="A19" i="8"/>
  <c r="K18" i="8"/>
  <c r="J18" i="8"/>
  <c r="F18" i="8"/>
  <c r="E18" i="8"/>
  <c r="D18" i="8"/>
  <c r="C18" i="8"/>
  <c r="B18" i="8"/>
  <c r="A18" i="8"/>
  <c r="K17" i="8"/>
  <c r="J17" i="8"/>
  <c r="F17" i="8"/>
  <c r="E17" i="8"/>
  <c r="D17" i="8"/>
  <c r="C17" i="8"/>
  <c r="B17" i="8"/>
  <c r="A17" i="8"/>
  <c r="K16" i="8"/>
  <c r="J16" i="8"/>
  <c r="F16" i="8"/>
  <c r="E16" i="8"/>
  <c r="D16" i="8"/>
  <c r="C16" i="8"/>
  <c r="B16" i="8"/>
  <c r="A16" i="8"/>
  <c r="K15" i="8"/>
  <c r="J15" i="8"/>
  <c r="F15" i="8"/>
  <c r="E15" i="8"/>
  <c r="D15" i="8"/>
  <c r="C15" i="8"/>
  <c r="B15" i="8"/>
  <c r="A15" i="8"/>
  <c r="K14" i="8"/>
  <c r="J14" i="8"/>
  <c r="F14" i="8"/>
  <c r="E14" i="8"/>
  <c r="D14" i="8"/>
  <c r="C14" i="8"/>
  <c r="B14" i="8"/>
  <c r="A14" i="8"/>
  <c r="K13" i="8"/>
  <c r="J13" i="8"/>
  <c r="F13" i="8"/>
  <c r="E13" i="8"/>
  <c r="D13" i="8"/>
  <c r="C13" i="8"/>
  <c r="B13" i="8"/>
  <c r="A13" i="8"/>
  <c r="K12" i="8"/>
  <c r="J12" i="8"/>
  <c r="F12" i="8"/>
  <c r="E12" i="8"/>
  <c r="D12" i="8"/>
  <c r="C12" i="8"/>
  <c r="B12" i="8"/>
  <c r="A12" i="8"/>
  <c r="K11" i="8"/>
  <c r="J11" i="8"/>
  <c r="F11" i="8"/>
  <c r="E11" i="8"/>
  <c r="D11" i="8"/>
  <c r="C11" i="8"/>
  <c r="B11" i="8"/>
  <c r="A11" i="8"/>
  <c r="K10" i="8"/>
  <c r="J10" i="8"/>
  <c r="F10" i="8"/>
  <c r="E10" i="8"/>
  <c r="D10" i="8"/>
  <c r="C10" i="8"/>
  <c r="B10" i="8"/>
  <c r="A10" i="8"/>
  <c r="K9" i="8"/>
  <c r="J9" i="8"/>
  <c r="F9" i="8"/>
  <c r="E9" i="8"/>
  <c r="D9" i="8"/>
  <c r="C9" i="8"/>
  <c r="B9" i="8"/>
  <c r="A9" i="8"/>
  <c r="K8" i="8"/>
  <c r="J8" i="8"/>
  <c r="F8" i="8"/>
  <c r="E8" i="8"/>
  <c r="D8" i="8"/>
  <c r="C8" i="8"/>
  <c r="B8" i="8"/>
  <c r="A8" i="8"/>
  <c r="K7" i="8"/>
  <c r="J7" i="8"/>
  <c r="F7" i="8"/>
  <c r="E7" i="8"/>
  <c r="D7" i="8"/>
  <c r="C7" i="8"/>
  <c r="B7" i="8"/>
  <c r="A7" i="8"/>
  <c r="K6" i="8"/>
  <c r="J6" i="8"/>
  <c r="F6" i="8"/>
  <c r="E6" i="8"/>
  <c r="D6" i="8"/>
  <c r="C6" i="8"/>
  <c r="B6" i="8"/>
  <c r="A6" i="8"/>
  <c r="K5" i="8"/>
  <c r="J5" i="8"/>
  <c r="F5" i="8"/>
  <c r="E5" i="8"/>
  <c r="D5" i="8"/>
  <c r="C5" i="8"/>
  <c r="B5" i="8"/>
  <c r="A5" i="8"/>
  <c r="K4" i="8"/>
  <c r="J4" i="8"/>
  <c r="F4" i="8"/>
  <c r="E4" i="8"/>
  <c r="D4" i="8"/>
  <c r="C4" i="8"/>
  <c r="B4" i="8"/>
  <c r="A4" i="8"/>
  <c r="S2" i="5"/>
  <c r="Q2" i="5"/>
  <c r="R2" i="5" s="1"/>
  <c r="M231" i="3"/>
  <c r="M230" i="3"/>
  <c r="M229" i="3"/>
  <c r="M228" i="3"/>
  <c r="M227" i="3"/>
  <c r="M226" i="3"/>
  <c r="M225" i="3"/>
  <c r="M224" i="3"/>
  <c r="M223" i="3"/>
  <c r="M222" i="3"/>
  <c r="M221" i="3"/>
  <c r="M220" i="3"/>
  <c r="M219" i="3"/>
  <c r="M218" i="3"/>
  <c r="M217" i="3"/>
  <c r="M216" i="3"/>
  <c r="M215" i="3"/>
  <c r="M214" i="3"/>
  <c r="M213" i="3"/>
  <c r="M212" i="3"/>
  <c r="M211" i="3"/>
  <c r="M210" i="3"/>
  <c r="M209" i="3"/>
  <c r="M208" i="3"/>
  <c r="M207" i="3"/>
  <c r="M206" i="3"/>
  <c r="M205" i="3"/>
  <c r="M204" i="3"/>
  <c r="M203" i="3"/>
  <c r="M202" i="3"/>
  <c r="M201" i="3"/>
  <c r="M200" i="3"/>
  <c r="M199" i="3"/>
  <c r="M198" i="3"/>
  <c r="M197" i="3"/>
  <c r="M196" i="3"/>
  <c r="M195" i="3"/>
  <c r="M194" i="3"/>
  <c r="M193" i="3"/>
  <c r="M192" i="3"/>
  <c r="M191" i="3"/>
  <c r="M190" i="3"/>
  <c r="M189" i="3"/>
  <c r="M188" i="3"/>
  <c r="M187" i="3"/>
  <c r="M186" i="3"/>
  <c r="M185" i="3"/>
  <c r="M184" i="3"/>
  <c r="M183" i="3"/>
  <c r="M182" i="3"/>
  <c r="M181" i="3"/>
  <c r="M180" i="3"/>
  <c r="M179" i="3"/>
  <c r="M178" i="3"/>
  <c r="M177" i="3"/>
  <c r="M176" i="3"/>
  <c r="M175" i="3"/>
  <c r="M174" i="3"/>
  <c r="M173" i="3"/>
  <c r="M172" i="3"/>
  <c r="M171" i="3"/>
  <c r="M170" i="3"/>
  <c r="M169" i="3"/>
  <c r="M168" i="3"/>
  <c r="M167" i="3"/>
  <c r="M166" i="3"/>
  <c r="M165" i="3"/>
  <c r="M164" i="3"/>
  <c r="M163" i="3"/>
  <c r="M162" i="3"/>
  <c r="M161" i="3"/>
  <c r="M160" i="3"/>
  <c r="M159" i="3"/>
  <c r="M158" i="3"/>
  <c r="M157" i="3"/>
  <c r="M156" i="3"/>
  <c r="M155" i="3"/>
  <c r="M154" i="3"/>
  <c r="M153" i="3"/>
  <c r="M152" i="3"/>
  <c r="M151" i="3"/>
  <c r="M150" i="3"/>
  <c r="M149" i="3"/>
  <c r="M148" i="3"/>
  <c r="M147" i="3"/>
  <c r="M146" i="3"/>
  <c r="M145" i="3"/>
  <c r="M144" i="3"/>
  <c r="M143" i="3"/>
  <c r="M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M2" i="3"/>
  <c r="C222" i="2"/>
  <c r="B222" i="2"/>
  <c r="A222" i="2"/>
  <c r="C221" i="2"/>
  <c r="B221" i="2"/>
  <c r="A221" i="2"/>
  <c r="C220" i="2"/>
  <c r="B220" i="2"/>
  <c r="A220" i="2"/>
  <c r="C219" i="2"/>
  <c r="B219" i="2"/>
  <c r="A219" i="2"/>
  <c r="C218" i="2"/>
  <c r="B218" i="2"/>
  <c r="A218" i="2"/>
  <c r="C217" i="2"/>
  <c r="B217" i="2"/>
  <c r="A217" i="2"/>
  <c r="C216" i="2"/>
  <c r="B216" i="2"/>
  <c r="A216" i="2"/>
  <c r="C215" i="2"/>
  <c r="B215" i="2"/>
  <c r="A215" i="2"/>
  <c r="C214" i="2"/>
  <c r="B214" i="2"/>
  <c r="A214" i="2"/>
  <c r="C213" i="2"/>
  <c r="B213" i="2"/>
  <c r="A213" i="2"/>
  <c r="C212" i="2"/>
  <c r="B212" i="2"/>
  <c r="A212" i="2"/>
  <c r="C211" i="2"/>
  <c r="B211" i="2"/>
  <c r="A211" i="2"/>
  <c r="C210" i="2"/>
  <c r="B210" i="2"/>
  <c r="A210" i="2"/>
  <c r="C209" i="2"/>
  <c r="B209" i="2"/>
  <c r="A209" i="2"/>
  <c r="C208" i="2"/>
  <c r="B208" i="2"/>
  <c r="A208" i="2"/>
  <c r="C207" i="2"/>
  <c r="B207" i="2"/>
  <c r="A207" i="2"/>
  <c r="C206" i="2"/>
  <c r="B206" i="2"/>
  <c r="A206" i="2"/>
  <c r="C205" i="2"/>
  <c r="B205" i="2"/>
  <c r="A205" i="2"/>
  <c r="C204" i="2"/>
  <c r="B204" i="2"/>
  <c r="A204" i="2"/>
  <c r="C203" i="2"/>
  <c r="B203" i="2"/>
  <c r="A203" i="2"/>
  <c r="C202" i="2"/>
  <c r="B202" i="2"/>
  <c r="A202" i="2"/>
  <c r="C201" i="2"/>
  <c r="B201" i="2"/>
  <c r="A201" i="2"/>
  <c r="C200" i="2"/>
  <c r="B200" i="2"/>
  <c r="A200" i="2"/>
  <c r="C199" i="2"/>
  <c r="B199" i="2"/>
  <c r="A199" i="2"/>
  <c r="C198" i="2"/>
  <c r="B198" i="2"/>
  <c r="A198" i="2"/>
  <c r="C197" i="2"/>
  <c r="B197" i="2"/>
  <c r="A197" i="2"/>
  <c r="C196" i="2"/>
  <c r="B196" i="2"/>
  <c r="A196" i="2"/>
  <c r="C195" i="2"/>
  <c r="B195" i="2"/>
  <c r="A195" i="2"/>
  <c r="C194" i="2"/>
  <c r="B194" i="2"/>
  <c r="A194" i="2"/>
  <c r="C193" i="2"/>
  <c r="B193" i="2"/>
  <c r="A193" i="2"/>
  <c r="C192" i="2"/>
  <c r="B192" i="2"/>
  <c r="A192" i="2"/>
  <c r="C191" i="2"/>
  <c r="B191" i="2"/>
  <c r="A191" i="2"/>
  <c r="C190" i="2"/>
  <c r="B190" i="2"/>
  <c r="A190" i="2"/>
  <c r="C189" i="2"/>
  <c r="B189" i="2"/>
  <c r="A189" i="2"/>
  <c r="C188" i="2"/>
  <c r="B188" i="2"/>
  <c r="A188" i="2"/>
  <c r="C187" i="2"/>
  <c r="B187" i="2"/>
  <c r="A187" i="2"/>
  <c r="C186" i="2"/>
  <c r="B186" i="2"/>
  <c r="A186" i="2"/>
  <c r="C185" i="2"/>
  <c r="B185" i="2"/>
  <c r="A185" i="2"/>
  <c r="C184" i="2"/>
  <c r="B184" i="2"/>
  <c r="A184" i="2"/>
  <c r="C183" i="2"/>
  <c r="B183" i="2"/>
  <c r="A183" i="2"/>
  <c r="C182" i="2"/>
  <c r="B182" i="2"/>
  <c r="A182" i="2"/>
  <c r="C181" i="2"/>
  <c r="B181" i="2"/>
  <c r="A181" i="2"/>
  <c r="C180" i="2"/>
  <c r="B180" i="2"/>
  <c r="A180" i="2"/>
  <c r="C179" i="2"/>
  <c r="B179" i="2"/>
  <c r="A179" i="2"/>
  <c r="C178" i="2"/>
  <c r="B178" i="2"/>
  <c r="A178" i="2"/>
  <c r="C177" i="2"/>
  <c r="B177" i="2"/>
  <c r="A177" i="2"/>
  <c r="C176" i="2"/>
  <c r="B176" i="2"/>
  <c r="A176" i="2"/>
  <c r="C175" i="2"/>
  <c r="B175" i="2"/>
  <c r="A175" i="2"/>
  <c r="C174" i="2"/>
  <c r="B174" i="2"/>
  <c r="A174" i="2"/>
  <c r="C173" i="2"/>
  <c r="B173" i="2"/>
  <c r="A173" i="2"/>
  <c r="C172" i="2"/>
  <c r="B172" i="2"/>
  <c r="A172" i="2"/>
  <c r="C171" i="2"/>
  <c r="B171" i="2"/>
  <c r="A171" i="2"/>
  <c r="C170" i="2"/>
  <c r="B170" i="2"/>
  <c r="A170" i="2"/>
  <c r="C169" i="2"/>
  <c r="B169" i="2"/>
  <c r="A169" i="2"/>
  <c r="C168" i="2"/>
  <c r="B168" i="2"/>
  <c r="A168" i="2"/>
  <c r="C167" i="2"/>
  <c r="B167" i="2"/>
  <c r="A167" i="2"/>
  <c r="C166" i="2"/>
  <c r="B166" i="2"/>
  <c r="A166" i="2"/>
  <c r="C165" i="2"/>
  <c r="B165" i="2"/>
  <c r="A165" i="2"/>
  <c r="C164" i="2"/>
  <c r="B164" i="2"/>
  <c r="A164" i="2"/>
  <c r="C163" i="2"/>
  <c r="B163" i="2"/>
  <c r="A163" i="2"/>
  <c r="C162" i="2"/>
  <c r="B162" i="2"/>
  <c r="A162" i="2"/>
  <c r="C161" i="2"/>
  <c r="B161" i="2"/>
  <c r="A161" i="2"/>
  <c r="C160" i="2"/>
  <c r="B160" i="2"/>
  <c r="A160" i="2"/>
  <c r="C159" i="2"/>
  <c r="B159" i="2"/>
  <c r="A159" i="2"/>
  <c r="C158" i="2"/>
  <c r="B158" i="2"/>
  <c r="A158" i="2"/>
  <c r="C157" i="2"/>
  <c r="B157" i="2"/>
  <c r="A157" i="2"/>
  <c r="C156" i="2"/>
  <c r="B156" i="2"/>
  <c r="A156" i="2"/>
  <c r="C155" i="2"/>
  <c r="B155" i="2"/>
  <c r="A155" i="2"/>
  <c r="C154" i="2"/>
  <c r="B154" i="2"/>
  <c r="A154" i="2"/>
  <c r="C153" i="2"/>
  <c r="B153" i="2"/>
  <c r="A153" i="2"/>
  <c r="C152" i="2"/>
  <c r="B152" i="2"/>
  <c r="A152" i="2"/>
  <c r="C151" i="2"/>
  <c r="B151" i="2"/>
  <c r="A151" i="2"/>
  <c r="C150" i="2"/>
  <c r="B150" i="2"/>
  <c r="A150" i="2"/>
  <c r="C149" i="2"/>
  <c r="B149" i="2"/>
  <c r="A149" i="2"/>
  <c r="C148" i="2"/>
  <c r="B148" i="2"/>
  <c r="A148" i="2"/>
  <c r="C147" i="2"/>
  <c r="B147" i="2"/>
  <c r="A147" i="2"/>
  <c r="C146" i="2"/>
  <c r="B146" i="2"/>
  <c r="A146" i="2"/>
  <c r="C145" i="2"/>
  <c r="B145" i="2"/>
  <c r="A145" i="2"/>
  <c r="C144" i="2"/>
  <c r="B144" i="2"/>
  <c r="A144" i="2"/>
  <c r="C143" i="2"/>
  <c r="B143" i="2"/>
  <c r="A143" i="2"/>
  <c r="C142" i="2"/>
  <c r="B142" i="2"/>
  <c r="A142" i="2"/>
  <c r="C141" i="2"/>
  <c r="B141" i="2"/>
  <c r="A141" i="2"/>
  <c r="C140" i="2"/>
  <c r="B140" i="2"/>
  <c r="A140" i="2"/>
  <c r="C139" i="2"/>
  <c r="B139" i="2"/>
  <c r="A139" i="2"/>
  <c r="C138" i="2"/>
  <c r="B138" i="2"/>
  <c r="A138" i="2"/>
  <c r="C137" i="2"/>
  <c r="B137" i="2"/>
  <c r="A137" i="2"/>
  <c r="C136" i="2"/>
  <c r="B136" i="2"/>
  <c r="A136" i="2"/>
  <c r="C135" i="2"/>
  <c r="B135" i="2"/>
  <c r="A135" i="2"/>
  <c r="C134" i="2"/>
  <c r="B134" i="2"/>
  <c r="A134" i="2"/>
  <c r="C133" i="2"/>
  <c r="B133" i="2"/>
  <c r="A133" i="2"/>
  <c r="C132" i="2"/>
  <c r="B132" i="2"/>
  <c r="A132" i="2"/>
  <c r="C131" i="2"/>
  <c r="B131" i="2"/>
  <c r="A131" i="2"/>
  <c r="C130" i="2"/>
  <c r="B130" i="2"/>
  <c r="A130" i="2"/>
  <c r="C129" i="2"/>
  <c r="B129" i="2"/>
  <c r="A129" i="2"/>
  <c r="C128" i="2"/>
  <c r="B128" i="2"/>
  <c r="A128" i="2"/>
  <c r="C127" i="2"/>
  <c r="B127" i="2"/>
  <c r="A127" i="2"/>
  <c r="C126" i="2"/>
  <c r="B126" i="2"/>
  <c r="A126" i="2"/>
  <c r="C125" i="2"/>
  <c r="B125" i="2"/>
  <c r="A125" i="2"/>
  <c r="C124" i="2"/>
  <c r="B124" i="2"/>
  <c r="A124" i="2"/>
  <c r="C123" i="2"/>
  <c r="B123" i="2"/>
  <c r="A123" i="2"/>
  <c r="C122" i="2"/>
  <c r="B122" i="2"/>
  <c r="A122" i="2"/>
  <c r="C121" i="2"/>
  <c r="B121" i="2"/>
  <c r="A121" i="2"/>
  <c r="C120" i="2"/>
  <c r="B120" i="2"/>
  <c r="A120" i="2"/>
  <c r="C119" i="2"/>
  <c r="B119" i="2"/>
  <c r="A119" i="2"/>
  <c r="C118" i="2"/>
  <c r="B118" i="2"/>
  <c r="A118" i="2"/>
  <c r="C117" i="2"/>
  <c r="B117" i="2"/>
  <c r="A117" i="2"/>
  <c r="C116" i="2"/>
  <c r="B116" i="2"/>
  <c r="A116" i="2"/>
  <c r="C115" i="2"/>
  <c r="B115" i="2"/>
  <c r="A115" i="2"/>
  <c r="C114" i="2"/>
  <c r="B114" i="2"/>
  <c r="A114" i="2"/>
  <c r="C113" i="2"/>
  <c r="B113" i="2"/>
  <c r="A113" i="2"/>
  <c r="C112" i="2"/>
  <c r="B112" i="2"/>
  <c r="A112" i="2"/>
  <c r="C111" i="2"/>
  <c r="B111" i="2"/>
  <c r="A111" i="2"/>
  <c r="C110" i="2"/>
  <c r="B110" i="2"/>
  <c r="A110" i="2"/>
  <c r="C109" i="2"/>
  <c r="B109" i="2"/>
  <c r="A109" i="2"/>
  <c r="C108" i="2"/>
  <c r="B108" i="2"/>
  <c r="A108" i="2"/>
  <c r="C107" i="2"/>
  <c r="B107" i="2"/>
  <c r="A107" i="2"/>
  <c r="C106" i="2"/>
  <c r="B106" i="2"/>
  <c r="A106" i="2"/>
  <c r="C105" i="2"/>
  <c r="B105" i="2"/>
  <c r="A105" i="2"/>
  <c r="C104" i="2"/>
  <c r="B104" i="2"/>
  <c r="A104" i="2"/>
  <c r="C103" i="2"/>
  <c r="B103" i="2"/>
  <c r="A103" i="2"/>
  <c r="C102" i="2"/>
  <c r="B102" i="2"/>
  <c r="A102" i="2"/>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C51" i="2"/>
  <c r="B51" i="2"/>
  <c r="A51" i="2"/>
  <c r="C50" i="2"/>
  <c r="B50" i="2"/>
  <c r="A50" i="2"/>
  <c r="C49" i="2"/>
  <c r="B49" i="2"/>
  <c r="A49" i="2"/>
  <c r="C48" i="2"/>
  <c r="B48" i="2"/>
  <c r="A48" i="2"/>
  <c r="C47" i="2"/>
  <c r="B47" i="2"/>
  <c r="A47" i="2"/>
  <c r="C46" i="2"/>
  <c r="B46" i="2"/>
  <c r="A46" i="2"/>
  <c r="C45" i="2"/>
  <c r="B45" i="2"/>
  <c r="A45" i="2"/>
  <c r="C44" i="2"/>
  <c r="B44" i="2"/>
  <c r="A44" i="2"/>
  <c r="C43" i="2"/>
  <c r="B43" i="2"/>
  <c r="A43" i="2"/>
  <c r="C42" i="2"/>
  <c r="B42" i="2"/>
  <c r="A42" i="2"/>
  <c r="C41" i="2"/>
  <c r="B41" i="2"/>
  <c r="A41" i="2"/>
  <c r="C40" i="2"/>
  <c r="B40" i="2"/>
  <c r="A40" i="2"/>
  <c r="C39" i="2"/>
  <c r="B39" i="2"/>
  <c r="A39" i="2"/>
  <c r="C38" i="2"/>
  <c r="B38" i="2"/>
  <c r="A38" i="2"/>
  <c r="C37" i="2"/>
  <c r="B37" i="2"/>
  <c r="A37" i="2"/>
  <c r="C36" i="2"/>
  <c r="B36" i="2"/>
  <c r="A36" i="2"/>
  <c r="C35" i="2"/>
  <c r="B35" i="2"/>
  <c r="A35" i="2"/>
  <c r="C34" i="2"/>
  <c r="B34" i="2"/>
  <c r="A34" i="2"/>
  <c r="C33" i="2"/>
  <c r="B33" i="2"/>
  <c r="A33" i="2"/>
  <c r="C32" i="2"/>
  <c r="B32" i="2"/>
  <c r="A32" i="2"/>
  <c r="C31" i="2"/>
  <c r="B31" i="2"/>
  <c r="A31" i="2"/>
  <c r="C30" i="2"/>
  <c r="B30" i="2"/>
  <c r="A30" i="2"/>
  <c r="C29" i="2"/>
  <c r="B29" i="2"/>
  <c r="A29" i="2"/>
  <c r="C28" i="2"/>
  <c r="B28" i="2"/>
  <c r="A28" i="2"/>
  <c r="C27" i="2"/>
  <c r="B27" i="2"/>
  <c r="A27" i="2"/>
  <c r="C26" i="2"/>
  <c r="B26" i="2"/>
  <c r="A26" i="2"/>
  <c r="C25" i="2"/>
  <c r="B25" i="2"/>
  <c r="A25" i="2"/>
  <c r="C24" i="2"/>
  <c r="B24" i="2"/>
  <c r="A24" i="2"/>
  <c r="C23" i="2"/>
  <c r="B23" i="2"/>
  <c r="A23" i="2"/>
  <c r="C22" i="2"/>
  <c r="B22" i="2"/>
  <c r="A22" i="2"/>
  <c r="C21" i="2"/>
  <c r="B21" i="2"/>
  <c r="A21" i="2"/>
  <c r="C20" i="2"/>
  <c r="B20" i="2"/>
  <c r="A20" i="2"/>
  <c r="C19" i="2"/>
  <c r="B19" i="2"/>
  <c r="A19" i="2"/>
  <c r="C18" i="2"/>
  <c r="B18" i="2"/>
  <c r="A18" i="2"/>
  <c r="C17" i="2"/>
  <c r="B17" i="2"/>
  <c r="A17" i="2"/>
  <c r="C16" i="2"/>
  <c r="B16" i="2"/>
  <c r="A16" i="2"/>
  <c r="C15" i="2"/>
  <c r="B15" i="2"/>
  <c r="A15" i="2"/>
  <c r="C14" i="2"/>
  <c r="B14" i="2"/>
  <c r="A14" i="2"/>
  <c r="C13" i="2"/>
  <c r="B13" i="2"/>
  <c r="A13" i="2"/>
  <c r="C12" i="2"/>
  <c r="B12" i="2"/>
  <c r="A12" i="2"/>
  <c r="C11" i="2"/>
  <c r="B11" i="2"/>
  <c r="A11" i="2"/>
  <c r="C10" i="2"/>
  <c r="B10" i="2"/>
  <c r="A10" i="2"/>
  <c r="C9" i="2"/>
  <c r="B9" i="2"/>
  <c r="A9" i="2"/>
  <c r="C8" i="2"/>
  <c r="B8" i="2"/>
  <c r="A8" i="2"/>
  <c r="C7" i="2"/>
  <c r="B7" i="2"/>
  <c r="A7" i="2"/>
  <c r="C6" i="2"/>
  <c r="B6" i="2"/>
  <c r="A6" i="2"/>
  <c r="C5" i="2"/>
  <c r="B5" i="2"/>
  <c r="A5" i="2"/>
  <c r="C4" i="2"/>
  <c r="B4" i="2"/>
  <c r="A4" i="2"/>
  <c r="C3" i="2"/>
  <c r="B3" i="2"/>
  <c r="A3" i="2"/>
  <c r="F7" i="6" l="1"/>
  <c r="H6" i="8"/>
  <c r="I16" i="8"/>
  <c r="H7" i="8"/>
  <c r="H14" i="8"/>
  <c r="I14" i="8"/>
  <c r="I6" i="8"/>
  <c r="I5" i="8"/>
  <c r="F9" i="6"/>
  <c r="I15" i="8"/>
  <c r="H15" i="8"/>
  <c r="I7" i="8"/>
  <c r="I10" i="8"/>
  <c r="I11" i="8"/>
  <c r="I18" i="8"/>
  <c r="H18" i="8"/>
  <c r="I13" i="8"/>
  <c r="H4" i="8"/>
  <c r="I4" i="8"/>
  <c r="I8" i="8"/>
  <c r="I17" i="8"/>
  <c r="I19" i="8"/>
  <c r="I12" i="8"/>
  <c r="H12" i="8"/>
  <c r="I9" i="8"/>
  <c r="H9" i="8"/>
  <c r="H5" i="8"/>
  <c r="H16" i="8"/>
  <c r="H17" i="8"/>
  <c r="H8" i="8"/>
  <c r="H19" i="8"/>
  <c r="H10" i="8"/>
  <c r="G10" i="8" s="1"/>
  <c r="H11" i="8"/>
  <c r="G11" i="8" s="1"/>
  <c r="H13" i="8"/>
  <c r="F8" i="6" l="1"/>
  <c r="G9" i="8"/>
  <c r="G12" i="8"/>
  <c r="G16" i="8"/>
  <c r="G5" i="8"/>
  <c r="G18" i="8"/>
  <c r="G13" i="8"/>
  <c r="G14" i="8"/>
  <c r="G7" i="8"/>
  <c r="G6" i="8"/>
  <c r="G19" i="8"/>
  <c r="G8" i="8"/>
  <c r="G17" i="8"/>
  <c r="G4" i="8"/>
  <c r="F6" i="6"/>
  <c r="E10" i="6"/>
  <c r="B10" i="6"/>
  <c r="F4" i="6"/>
  <c r="C10" i="6"/>
  <c r="F5" i="6"/>
  <c r="D10" i="6"/>
  <c r="G15" i="8"/>
  <c r="F10" i="6" l="1"/>
</calcChain>
</file>

<file path=xl/sharedStrings.xml><?xml version="1.0" encoding="utf-8"?>
<sst xmlns="http://schemas.openxmlformats.org/spreadsheetml/2006/main" count="34820" uniqueCount="5697">
  <si>
    <t>place_id</t>
  </si>
  <si>
    <t>name</t>
  </si>
  <si>
    <t>scale</t>
  </si>
  <si>
    <t>lat</t>
  </si>
  <si>
    <t>lng</t>
  </si>
  <si>
    <t>coord_source</t>
  </si>
  <si>
    <t>status</t>
  </si>
  <si>
    <t>ICC1911 property map</t>
  </si>
  <si>
    <t>surveyed from ICC1911 georef, ±400m [CORRECTED 2026-09-08: earlier paste had a transcription error]</t>
  </si>
  <si>
    <t>ICC Surveys 1905-06 Map No.2</t>
  </si>
  <si>
    <t>surveyed from SURVEYS1908 georef (bridge site), ±250m</t>
  </si>
  <si>
    <t>surveyed from SURVEYS1908 georef, ±250m</t>
  </si>
  <si>
    <t>ICC Surveys 1905-06 Map No.1</t>
  </si>
  <si>
    <t>surveyed from ICC1911 georef (label), ±500m [CORRECTED 2026-09-08: earlier paste had a transcription error]</t>
  </si>
  <si>
    <t>surveyed from ICC1911 georef (label), ±400m [CORRECTED 2026-09-08: earlier paste had a transcription error]</t>
  </si>
  <si>
    <t>1862 Rio Chagres plano</t>
  </si>
  <si>
    <t>surveyed from CHAGRES1867 georef (tract, no pueblo symbol), ±800m</t>
  </si>
  <si>
    <t>surveyed from CHAGRES1867 georef (creek label only), ±1km</t>
  </si>
  <si>
    <t>surveyed from SURVEYS1908 georef (village drawn), ±250m</t>
  </si>
  <si>
    <t>surveyed from ICC1911 georef (building cluster), ±200m</t>
  </si>
  <si>
    <t>ICC Surveys 1905-06 Map No.3</t>
  </si>
  <si>
    <t>surveyed from SURVEYS1908 Map No.3 georef (the arbitration source), ±150m; re-anchored EMPIRE plan footprint agrees within 230 m [replaced 2026-09-14: previous value was the stale pre-re-anchor EMPIRE-chain position the 2026-09-09 re-anchor never propagated to CZ-011 itself]</t>
  </si>
  <si>
    <t>Map of Gorgona 1908 (saloon)</t>
  </si>
  <si>
    <t>surveyed from GORGONA plan georef; SURVEYS1908 agrees within 100m, ±400m abs</t>
  </si>
  <si>
    <t>Map of Culebra 1910</t>
  </si>
  <si>
    <t>surveyed from CULEBRA1910 georef; K.54 reading CORROBORATED by independent 1895 sheet within ~180m, ±400m</t>
  </si>
  <si>
    <t>surveyed from ICC1911 georef (label along old line), ±500m [CORRECTED 2026-09-08: earlier paste had a transcription error]</t>
  </si>
  <si>
    <t>General map of Empire (re-anchored)</t>
  </si>
  <si>
    <t>surveyed from EMPIRE plan georef re-anchored to SURVEYS1908_MAP3, +-200m</t>
  </si>
  <si>
    <t>surveyed from EMPIRE plan georef re-anchored to SURVEYS1908_MAP3, +-200m (Cath. Church, 2nd-pass find)</t>
  </si>
  <si>
    <t>surveyed from ICC1911 georef, ±300m</t>
  </si>
  <si>
    <t>ICC1909 zone map</t>
  </si>
  <si>
    <t>surveyed from ICC1909 georef (town dot), ±300m [CORRECTED 2026-09-08: earlier paste had a transcription error]</t>
  </si>
  <si>
    <t>surveyed from ICC1909 georef, ±300m</t>
  </si>
  <si>
    <t>surveyed from ICC1911 georef (drawn town labeled BALBOA), ±300m</t>
  </si>
  <si>
    <t>surveyed from ICC1911 georef, ±300m [CORRECTED 2026-09-08: earlier paste had a transcription error]</t>
  </si>
  <si>
    <t>surveyed from SURVEYS1908 georef (occupied village; abandoned site also recorded), ±250m</t>
  </si>
  <si>
    <t>surveyed from SURVEYS1908 georef (probable village; label at fold), ±400m</t>
  </si>
  <si>
    <t>surveyed from ICC1911 georef; NOTE sources disagree up to 1.2km - see candidate CSVs</t>
  </si>
  <si>
    <t>surveyed from SURVEYS1908 georef, ±300m</t>
  </si>
  <si>
    <t>surveyed from SURVEYS1908 georef (Boca Mindi), ±400m</t>
  </si>
  <si>
    <t>PRR1857 (pcc00004)</t>
  </si>
  <si>
    <t>surveyed from the 1857 Totten PRR map (settlement symbol + label), ±800m - the only cartographic fix Tiger Hill has ever had</t>
  </si>
  <si>
    <t>surveyed from CHAGRES1867 georef (Estacion Mamei), ±600m</t>
  </si>
  <si>
    <t>surveyed from ICC1911 georef (relocated-line site; 1862 Gatun-river original also recorded), ±500m [CORRECTED 2026-09-08: earlier paste had a transcription error]</t>
  </si>
  <si>
    <t>M1947 zone sheet</t>
  </si>
  <si>
    <t>surveyed from M1947 georef (absence audit 2026-09-12), +-300m - FIRST FIX</t>
  </si>
  <si>
    <t>surveyed from ICC1911 georef, ±400m</t>
  </si>
  <si>
    <t>surveyed from ICC1909 georef, ±300m; coastal-compilation caveat ±1km</t>
  </si>
  <si>
    <t>surveyed from ICC1911 georef (absence audit 2026-09-12), +-800m - FIRST FIX; far off-anchor, treat as Low certainty; site under Madden Lake by 1935</t>
  </si>
  <si>
    <t>PACIFIC1947 (pcc00008)</t>
  </si>
  <si>
    <t>surveyed from the 1947 Pacific Terminal Cities georef (Administration Building), ±150m</t>
  </si>
  <si>
    <t>surveyed from ICC1911 georef (village at Chagres mouth), ±300m [CORRECTED 2026-09-08: earlier paste had a transcription error]</t>
  </si>
  <si>
    <t>CENSUS1940_PALOSECO (dwg 6100-90 boundary survey)</t>
  </si>
  <si>
    <t>tract centroid of the surveyed 346.75-acre colony boundary (graticule-true affine, residuals 3 m; internal bearing/distance checks 1-3%%). CORRECTED 2026-09-16: the M1947-derived point (8.914038,-79.557718) lies in the entrance-channel water ~1.4 km due E (its latitude was right; the longitude was off). Building compound not drawn on this boundary plot - tract-scale uncertainty +-400 m until a detailed plan surfaces.</t>
  </si>
  <si>
    <t>CZ 1947 zone map (1:100,000)</t>
  </si>
  <si>
    <t>surveyed from CZ1947 georef, +-150m</t>
  </si>
  <si>
    <t>CENSUS1940_SUMMIT (naId 5838616, graticule-true)</t>
  </si>
  <si>
    <t>station cluster (bldg 18B + Substation) on the relocated line, from the 1940 census sheet (+-15-40 m warp; unc 100 m). UPGRADED 2026-09-16 from the 1:100,000 M1947 symbol read, which sat 450 m N along the line - within 1:100k symbol slop, an upgrade not a conflict. The gardens road-web center lies 400 m E (A-2722); extent traced to footprints.geojson.</t>
  </si>
  <si>
    <t>surveyed from CZ1947 georef, +-250m</t>
  </si>
  <si>
    <t>surveyed from ICC1909 georef (absence audit 2026-09-12), +-700m - FIRST FIX; off-anchor upper Chagres</t>
  </si>
  <si>
    <t>surveyed from ICC1911 georef (absence audit 2026-09-12), +-400m - FIRST FIX</t>
  </si>
  <si>
    <t>Culebra Div. encampment plans 1907</t>
  </si>
  <si>
    <t>surveyed from CULEBRACAMPS georef, +-200m (upgraded from ICC1909 +-300m; both claims in attestations)</t>
  </si>
  <si>
    <t>CHAGRES1867 plano (1862)</t>
  </si>
  <si>
    <t>surveyed from CHAGRES1867 georef (absence audit 2026-09-13), +-800m - FIRST FIX; lower-river compression zone, treat as Low certainty</t>
  </si>
  <si>
    <t>surveyed from CULEBRACAMPS georef, +-250m (upgraded from ICC1909 +-300m; both claims in attestations)</t>
  </si>
  <si>
    <t>surveyed from ICC1909 georef (absence audit 2026-09-12), +-400m - FIRST FIX</t>
  </si>
  <si>
    <t>surveyed from CZ1947 georef, +-300m</t>
  </si>
  <si>
    <t>surveyed from the 1947 Pacific Terminal Cities georef (district label + Mil. Police Sta./Dept HQ), ±250m</t>
  </si>
  <si>
    <t>surveyed from CHAGRES1867 georef, +-800m</t>
  </si>
  <si>
    <t>surveyed from CULEBRACAMPS georef, +-200m</t>
  </si>
  <si>
    <t>GORPAN1895 sheet 2 (re-anchored 2026-09-14)</t>
  </si>
  <si>
    <t>surveyed from GORPAN1895 sheet 2 re-anchored to the Map No.3 frame, ±350m (was provisional pending this re-anchor) [SH2 refit v2 2026-09-14]</t>
  </si>
  <si>
    <t>surveyed from CULEBRACAMPS georef, +-200m (verified 2026-09-08 by south-end sheet)</t>
  </si>
  <si>
    <t>surveyed from SURVEYS1908 georef, +-250m</t>
  </si>
  <si>
    <t>surveyed from ICC1911 georef, +-400m</t>
  </si>
  <si>
    <t>surveyed from ICC1909 georef, +-400m</t>
  </si>
  <si>
    <t>surveyed from ICC1911 georef (audit read 2026-09-12), +-350m</t>
  </si>
  <si>
    <t>surveyed from ICC1911 georef, +-350m [CORRECTED 2026-09-13 footprint pass: first read mis-assigned the dot cluster ~1.1km; label-adjacent dots re-verified]</t>
  </si>
  <si>
    <t>surveyed from ICC1911 georef (audit read 2026-09-12), +-500m</t>
  </si>
  <si>
    <t>surveyed from ICC1909 georef (audit read 2026-09-12), +-500m - off-anchor upper Chagres</t>
  </si>
  <si>
    <t>surveyed from ICC1909 georef (audit read 2026-09-12), +-600m - off-anchor upper Chagres</t>
  </si>
  <si>
    <t>surveyed from ICC1909 georef (audit read 2026-09-12), +-700m - off-anchor upper Chagres</t>
  </si>
  <si>
    <t>Map of Gorgona, saloon licensing 1908</t>
  </si>
  <si>
    <t>surveyed from GORGONA 1908 plan georef via ICC1911, +-400m</t>
  </si>
  <si>
    <t>Culebra Div. encampment plans (1907)</t>
  </si>
  <si>
    <t>surveyed from CULEBRACAMPS blueprint georef (K-post datum), +-200m</t>
  </si>
  <si>
    <t>surveyed from CULEBRACAMPS blueprint georef (K-post datum), +-200m | corrected 2026-09-13 to the traced bldg-21 centroid (+-200m)</t>
  </si>
  <si>
    <t>GUACHAPALI1890 (plan anchor)</t>
  </si>
  <si>
    <t>surveyed from georeferenced sheet (GUACHAPALI1890 (plan anchor)), +-200m</t>
  </si>
  <si>
    <t>CHAGRES1867 (audit read 2026-09-13)</t>
  </si>
  <si>
    <t>surveyed from georeferenced sheet (CHAGRES1867 (audit read 2026-09-13)), +-300m</t>
  </si>
  <si>
    <t>ATLANTIC1947 (AA00038126)</t>
  </si>
  <si>
    <t>surveyed from the 1947 Cristobal-Colon-Mt.Hope georef (graticule-true), ±150m</t>
  </si>
  <si>
    <t>CULEBRA1910 (audit 2026-09-13)</t>
  </si>
  <si>
    <t>surveyed from georeferenced sheet (CULEBRA1910 (audit 2026-09-13)), +-150m</t>
  </si>
  <si>
    <t>SURVEYS1908 Map No.3</t>
  </si>
  <si>
    <t>surveyed from georeferenced sheet (SURVEYS1908 Map No.3), +-200m [Pacific re-anchor 2026-09-14 applied, ~±60 m shift]</t>
  </si>
  <si>
    <t>surveyed from the 1947 georef (GORGAS HOSP. complex; graticule-true frame). Replaces the Map No.3 2nd-pass value: M3 Pacific corner shows ~550-700 m systematic offset. ±150m</t>
  </si>
  <si>
    <t>SURVEYS1908 Map No.3 (2nd pass)</t>
  </si>
  <si>
    <t>surveyed from SURVEYS1908 Map No.3 (2nd pass), Pacific-corner re-anchored 2026-09-14 to the 1947 graticule frame - frame caveat LIFTED, ±250m (label clear, enclosure faint)</t>
  </si>
  <si>
    <t>BERTONCINI1904 (pcc00019)</t>
  </si>
  <si>
    <t>surveyed from the 1904 Bertoncini plan ('Cementerio Chino' labeled enclosure; frame chained to PACIFIC1947 graticule), ±120m. Replaces the Map No.3-frame value (M3 Pacific corner ~550-700 m off - this read confirms the offset at ~620 m).</t>
  </si>
  <si>
    <t>ICC1911 (settlement harvest)</t>
  </si>
  <si>
    <t>surveyed from georeferenced sheet (ICC1911 (settlement harvest)), +-350m</t>
  </si>
  <si>
    <t>PACIFIC1947 (2026-09-14)</t>
  </si>
  <si>
    <t>re-fixed from the sheet's own lettering, +-300m (2026-09-14); was (8.978172, -79.535677), moved 1799 m</t>
  </si>
  <si>
    <t>M1947 (read 2026-09-08)</t>
  </si>
  <si>
    <t>surveyed from georeferenced sheet (M1947 (read 2026-09-08)), +-300m</t>
  </si>
  <si>
    <t>surveyed from georeferenced sheet (M1947 (read 2026-09-08)), +-400m</t>
  </si>
  <si>
    <t>GORPAN1895 sheet 3 (audit 2026-09-13)</t>
  </si>
  <si>
    <t>surveyed from georeferenced sheet (GORPAN1895 sheet 3 (audit 2026-09-13)), +-500m</t>
  </si>
  <si>
    <t>surveyed from M1947 georef, +-300m (repointed from CZ-064)</t>
  </si>
  <si>
    <t>ICC1911 (A-0495, repointed)</t>
  </si>
  <si>
    <t>surveyed from ICC1911 georef, +-250m (repointed from CZ-023)</t>
  </si>
  <si>
    <t>Map of Culebra 1910 (S-023)</t>
  </si>
  <si>
    <t>surveyed from CULEBRA1910 georef (audit read), +-150m</t>
  </si>
  <si>
    <t>PACIFIC1947 (harvest 2026-09-14)</t>
  </si>
  <si>
    <t>surveyed from PACIFIC1947 georef (graticule-true sheet; letters+club-house spread), +-200m</t>
  </si>
  <si>
    <t>PRR1857 (harvest 2026-09-14)</t>
  </si>
  <si>
    <t>surveyed from PRR1857 georef (Totten isthmus map; interior region), +-800m</t>
  </si>
  <si>
    <t>surveyed from PRR1857 georef (Totten isthmus map), +-500m per region</t>
  </si>
  <si>
    <t>surveyed from PRR1857 georef (Totten isthmus map), +-800m per region</t>
  </si>
  <si>
    <t>BERTONCINI1904 (sweep 2026-09-14)</t>
  </si>
  <si>
    <t>surveyed from BERTONCINI1904 georef, +-150m</t>
  </si>
  <si>
    <t>PRRLANDS1857 (re-fixed 2026-09-14)</t>
  </si>
  <si>
    <t>re-fixed from the sheet's own lettering, +-150m (2026-09-14); was (8.955300, -79.547800), moved 639 m</t>
  </si>
  <si>
    <t>re-fixed from the sheet's own lettering, +-150m (2026-09-14); was (8.956000, -79.545000), moved 455 m</t>
  </si>
  <si>
    <t>PRRLANDS1857 + BERTONCINI1904 (re-fixed 2026-09-14)</t>
  </si>
  <si>
    <t>re-fixed from the sheet's own lettering, +-120m (2026-09-14); was (8.957500, -79.549500), moved 731 m</t>
  </si>
  <si>
    <t>re-fixed from the sheet's own lettering, +-150m (2026-09-14); was (8.955500, -79.545500), moved 578 m</t>
  </si>
  <si>
    <t>PRRLANDS1857 (sweep 2026-09-14)</t>
  </si>
  <si>
    <t>surveyed from PRRLANDS1857 georef, +-150m</t>
  </si>
  <si>
    <t>surveyed from georeferenced sheet (PACIFIC1947 (pcc00008)), ±100m</t>
  </si>
  <si>
    <t>CULEBRA1910 label pass 2 (2026-09-14)</t>
  </si>
  <si>
    <t>surveyed from georeferenced sheet (CULEBRA1910 label pass 2 (2026-09-14)), ±250m</t>
  </si>
  <si>
    <t>SURVEYS1908 Map No.3 (Pacific re-anchored frame)</t>
  </si>
  <si>
    <t>surveyed from georeferenced sheet (SURVEYS1908 Map No.3 (Pacific re-anchored frame)), ±300m</t>
  </si>
  <si>
    <t>ICC1911 (harvest read)</t>
  </si>
  <si>
    <t>surveyed from georeferenced sheet (ICC1911 (harvest read)), ±400m</t>
  </si>
  <si>
    <t>surveyed from georeferenced sheet (PRR1857 (pcc00004)), ±800m</t>
  </si>
  <si>
    <t>surveyed from the 1947 Cristobal-Colon-Mt.Hope georef (graticule-true), ±200m</t>
  </si>
  <si>
    <t>FDL1000 (naId 5838610, dwg 6056-5, 1:1,000)</t>
  </si>
  <si>
    <t>fort built-cluster center from the dedicated 1:1,000 Section of Surveys reservation plan (compass + graphical-scale fit anchored on the Washington Hotel; pool cross-check 19 m, battery arc vs CENSUS1940_COLON 17 m; +-20-40 m). Supersedes the 2026-09-16 label-midpoint fix.</t>
  </si>
  <si>
    <t>PK interpolation, 1886 Plan General (S-051)</t>
  </si>
  <si>
    <t>interpolated along canal kilometrage at PK ~16 between Tiger Hill and Bohio, +-2000m; approximate (canal meanders; perpendicular offset unknown) [2026-09-14]</t>
  </si>
  <si>
    <t>interpolated along canal kilometrage at PK ~30 between Frijoles and Tabernilla, +-1500m; approximate (canal meanders; perpendicular offset unknown) [2026-09-14]</t>
  </si>
  <si>
    <t>interpolated along canal kilometrage at PK ~31 between Frijoles and Tabernilla, +-1500m; approximate (canal meanders; perpendicular offset unknown) [2026-09-14]</t>
  </si>
  <si>
    <t>interpolated along canal kilometrage at PK ~34.5 between Tabernilla and San Pablo, +-1200m; approximate (canal meanders; perpendicular offset unknown) [2026-09-14]</t>
  </si>
  <si>
    <t>interpolated along canal kilometrage at PK ~33 between Tabernilla (adjacent), +-1500m; approximate (canal meanders; perpendicular offset unknown) [2026-09-14]</t>
  </si>
  <si>
    <t>CENSUS1950 office map (naId 75639631)</t>
  </si>
  <si>
    <t>the red ED 2-30 code mark E of Gatun, district scale +-2000m (not a settlement point)</t>
  </si>
  <si>
    <t>place_id (PK)</t>
  </si>
  <si>
    <t>preferred_name</t>
  </si>
  <si>
    <t>variant_names</t>
  </si>
  <si>
    <t>place_type</t>
  </si>
  <si>
    <t>erasure_type</t>
  </si>
  <si>
    <t>erasure_mechanism</t>
  </si>
  <si>
    <t>historical_theme</t>
  </si>
  <si>
    <t>population_type</t>
  </si>
  <si>
    <t>start_date</t>
  </si>
  <si>
    <t>end_date</t>
  </si>
  <si>
    <t>date_certainty</t>
  </si>
  <si>
    <t>spatial_certainty</t>
  </si>
  <si>
    <t>render_as (auto)</t>
  </si>
  <si>
    <t>uncertainty_radius_m</t>
  </si>
  <si>
    <t>archival_traces (auto)</t>
  </si>
  <si>
    <t>n_map (auto)</t>
  </si>
  <si>
    <t>n_image (auto)</t>
  </si>
  <si>
    <t>n_textual (auto)</t>
  </si>
  <si>
    <t>n_geom (auto)</t>
  </si>
  <si>
    <t>archival_visibility (auto)</t>
  </si>
  <si>
    <t>has_surveyed_coord (auto)</t>
  </si>
  <si>
    <t>shortlist_status</t>
  </si>
  <si>
    <t>priority</t>
  </si>
  <si>
    <t>notes</t>
  </si>
  <si>
    <t>parent_id (FK)</t>
  </si>
  <si>
    <t>card_note</t>
  </si>
  <si>
    <t>CZ-001</t>
  </si>
  <si>
    <t>Matachin</t>
  </si>
  <si>
    <t>Matachin; Bas Matachin</t>
  </si>
  <si>
    <t>Station</t>
  </si>
  <si>
    <t>Submerged</t>
  </si>
  <si>
    <t>Gatun Lake flooding</t>
  </si>
  <si>
    <t>Displacement</t>
  </si>
  <si>
    <t>Panamanian village</t>
  </si>
  <si>
    <t>pre-1850?</t>
  </si>
  <si>
    <t>1911-1914</t>
  </si>
  <si>
    <t>Approximate</t>
  </si>
  <si>
    <t>Low</t>
  </si>
  <si>
    <t>Candidate</t>
  </si>
  <si>
    <t>Railroad-era Chagres town.</t>
  </si>
  <si>
    <t>Town</t>
  </si>
  <si>
    <t>CZ-002</t>
  </si>
  <si>
    <t>Barbacoas</t>
  </si>
  <si>
    <t>Village</t>
  </si>
  <si>
    <t>pre-1844</t>
  </si>
  <si>
    <t>Bridge-site history.</t>
  </si>
  <si>
    <t>CZ-003</t>
  </si>
  <si>
    <t>Cruces</t>
  </si>
  <si>
    <t>Cruces; Las Cruces; Venta Cruz</t>
  </si>
  <si>
    <t>c.1530</t>
  </si>
  <si>
    <t>High</t>
  </si>
  <si>
    <t>Colonial trail terminus.</t>
  </si>
  <si>
    <t>CZ-004</t>
  </si>
  <si>
    <t>Ahorca Lagarto</t>
  </si>
  <si>
    <t>Hamlet</t>
  </si>
  <si>
    <t>Unknown</t>
  </si>
  <si>
    <t>Medium</t>
  </si>
  <si>
    <t>Name-only test case -&gt; unlocated panel.</t>
  </si>
  <si>
    <t>CZ-005</t>
  </si>
  <si>
    <t>Caimito</t>
  </si>
  <si>
    <t>CZ-006</t>
  </si>
  <si>
    <t>Santa Cruz</t>
  </si>
  <si>
    <t>CZ-007</t>
  </si>
  <si>
    <t>Bailamonos</t>
  </si>
  <si>
    <t>CZ-008</t>
  </si>
  <si>
    <t>Cruz de Juan Gallego</t>
  </si>
  <si>
    <t>CZ-009</t>
  </si>
  <si>
    <t>Old Gatun</t>
  </si>
  <si>
    <t>Gatun (old village); De Lesseps City</t>
  </si>
  <si>
    <t>Gatun Dam construction</t>
  </si>
  <si>
    <t>Mixed</t>
  </si>
  <si>
    <t>1911-1912</t>
  </si>
  <si>
    <t>Under ~80 ft dam fill. Abandoned 1908; site submerged 1911-1912 (A-0079).</t>
  </si>
  <si>
    <t>CZ-010</t>
  </si>
  <si>
    <t>New Gatun</t>
  </si>
  <si>
    <t>New Gatun; Nuevo Gatun</t>
  </si>
  <si>
    <t>Relocated</t>
  </si>
  <si>
    <t>Railroad relocation</t>
  </si>
  <si>
    <t>1908</t>
  </si>
  <si>
    <t>Receiving town.</t>
  </si>
  <si>
    <t>CZ-011</t>
  </si>
  <si>
    <t>Empire</t>
  </si>
  <si>
    <t>Empire; Emperador; Alto Emperador</t>
  </si>
  <si>
    <t>Depopulated-not flooded</t>
  </si>
  <si>
    <t>1912 depopulation order</t>
  </si>
  <si>
    <t>Labor</t>
  </si>
  <si>
    <t>c.1880s</t>
  </si>
  <si>
    <t>1912-1916</t>
  </si>
  <si>
    <t>Keystone intentional-silence case.</t>
  </si>
  <si>
    <t>CZ-012</t>
  </si>
  <si>
    <t>Gorgona</t>
  </si>
  <si>
    <t>Gorgona; New Gorgona</t>
  </si>
  <si>
    <t>1912-1915</t>
  </si>
  <si>
    <t>Well-documented depopulation.</t>
  </si>
  <si>
    <t>CZ-013</t>
  </si>
  <si>
    <t>Culebra</t>
  </si>
  <si>
    <t>U.S. administration</t>
  </si>
  <si>
    <t>Gold Roll town</t>
  </si>
  <si>
    <t>c.1879</t>
  </si>
  <si>
    <t>Town vs engineering-site edge case. Start widened to c.1879: Verbrugghe 1879 (Gallica S-040) names the Cerro de la Culebra as a Wyse-Reclus survey point. [2026-09-14]</t>
  </si>
  <si>
    <t>CZ-014</t>
  </si>
  <si>
    <t>Bas Obispo</t>
  </si>
  <si>
    <t>Bas Obispo; Haut Obispo</t>
  </si>
  <si>
    <t>Construction camp</t>
  </si>
  <si>
    <t>pre-1857</t>
  </si>
  <si>
    <t>1911-1915</t>
  </si>
  <si>
    <t>Inferred</t>
  </si>
  <si>
    <t>Classify at archive. 'Haut Obispo' equated as French-era name variant (decision 2026-09-05); its 7 CA hits from 1883-10-28 belong here. Start widened to c.1895: the 1895 GORPAN survey (A-0589) already traces a built-up footprint at Bas Obispo (French-canal-era work site / old P.R.R. line). [2026-09-13 lifespan fix] Start widened c.1895 -&gt; c.1862? 2026-09-13: the 1862 plano names 'Estacion de Obispo' at the sheet edge (A-0895) - earliest name-at-site attestation, station name only; drawn village fabric begins with the 1895 survey. | lifespan extended to dated evidence 2026-09-14 (A-1482: 'Lower Obispo' settlement drawn on the 1857 Totten map) [was: c.1862?] | end date filled 2026-09-16 (user-approved gap fix): ceased in the construction-clearance era; erasure mechanism left Unknown - the site sat higher near Gamboa and 'drowned' is not established, so no flooding is asserted</t>
  </si>
  <si>
    <t>CZ-015</t>
  </si>
  <si>
    <t>Las Cascadas</t>
  </si>
  <si>
    <t>c.1895</t>
  </si>
  <si>
    <t>Start widened to c.1895: the 1895 GORPAN survey (A-0590) shows the Las Cascadas village row on the P.R.R. [2026-09-13 lifespan fix]</t>
  </si>
  <si>
    <t>CZ-016</t>
  </si>
  <si>
    <t>Bohio</t>
  </si>
  <si>
    <t>Bohio; Bohio Soldado</t>
  </si>
  <si>
    <t>Likely flood-affected; verify. | end date filled 2026-09-16 (user-approved gap fix): drowned by Gatun Lake when it filled 1913-14; end matched to the submerged cohort (Matachin/Old Gatun/Frijoles)</t>
  </si>
  <si>
    <t>CZ-101</t>
  </si>
  <si>
    <t>Empire Hospital</t>
  </si>
  <si>
    <t>Hospital</t>
  </si>
  <si>
    <t>1906</t>
  </si>
  <si>
    <t>1916</t>
  </si>
  <si>
    <t>ICC hospital. | 2026-09-14: A-0041 retracted - the hospital has NO cartographic attestation on any sheet in hand; text-only place (Canal Record 1907). Placeholder coordinate and missing footprint are the honest record.</t>
  </si>
  <si>
    <t>Site/Institution</t>
  </si>
  <si>
    <t>CZ-102</t>
  </si>
  <si>
    <t>Empire Commissary</t>
  </si>
  <si>
    <t>Commissary/Supermarket</t>
  </si>
  <si>
    <t>ICC commissary / store. Building outline traced 2026-09-13 from the source sheet into data/footprints.geojson (building-outline pass).</t>
  </si>
  <si>
    <t>CZ-103</t>
  </si>
  <si>
    <t>Empire Clubhouse &amp; Cinema</t>
  </si>
  <si>
    <t>Cinema/Clubhouse</t>
  </si>
  <si>
    <t>1907</t>
  </si>
  <si>
    <t>Duplicate</t>
  </si>
  <si>
    <t>Gold-roll amenity. | MERGED into CZ-125 2026-09-14: the Canal Record 'Clubhouse' and the plan's Y.M.C.A. are the same institution (ICC clubhouses were YMCA-operated; full-sheet sweep found no separate Clubhouse label). Row kept for id stability - do not use.</t>
  </si>
  <si>
    <t>Building</t>
  </si>
  <si>
    <t>CZ-104</t>
  </si>
  <si>
    <t>Empire Silver Quarters</t>
  </si>
  <si>
    <t>Quarters/Housing</t>
  </si>
  <si>
    <t>West Indian / Silver Roll</t>
  </si>
  <si>
    <t>1905</t>
  </si>
  <si>
    <t>Silver-roll housing; thinly mapped.</t>
  </si>
  <si>
    <t>Neighborhood</t>
  </si>
  <si>
    <t>CZ-105</t>
  </si>
  <si>
    <t>Empire Gold Quarters</t>
  </si>
  <si>
    <t>Gold-roll housing.</t>
  </si>
  <si>
    <t>CZ-106</t>
  </si>
  <si>
    <t>Empire Plaza</t>
  </si>
  <si>
    <t>Park/Plaza</t>
  </si>
  <si>
    <t>Other</t>
  </si>
  <si>
    <t>1885</t>
  </si>
  <si>
    <t>Central open space, inferred from a 'Band Stand' label read on the MIRRORED EMPIRE warp; the corrected warp reads 'Grand Stand' at the ballpark. MERGED into CZ-120 2026-09-13; the traced grandstand outline is attached to CZ-120. Row kept for id stability - do not use.</t>
  </si>
  <si>
    <t>CZ-201</t>
  </si>
  <si>
    <t>Nuevo Emperador (present-day)</t>
  </si>
  <si>
    <t>Emperador</t>
  </si>
  <si>
    <t>Modern town</t>
  </si>
  <si>
    <t>Persists</t>
  </si>
  <si>
    <t>pre-1994?</t>
  </si>
  <si>
    <t>Present-day settlement; illustrative. | ERASED 2026-09-14: unverified illustrative example removed from the model - not a duplicate; the export's Duplicate skip is reused for row-position stability. The palimpsest now rests on the verified extant places only. Do not use. | RESTORED 2026-09-14 as honest UNLOCATED extant: the town exists - existence attested by 1990s AP datelines 'NUEVO EMPERADOR, Panama' (dLOC) - but the old record's coordinate and founding were invented, so both are withdrawn [start was: 1955]. Coordinates enter only from a citable present-day source.</t>
  </si>
  <si>
    <t>Present-day town. 1990s newspaper datelines confirm it exists, but no citable source yet gives its location or founding date.</t>
  </si>
  <si>
    <t>CZ-202</t>
  </si>
  <si>
    <t>Modern roadway segment</t>
  </si>
  <si>
    <t>Modern infrastructure</t>
  </si>
  <si>
    <t>Infrastructure</t>
  </si>
  <si>
    <t>1950</t>
  </si>
  <si>
    <t>Present-day road; illustrative. | ERASED 2026-09-14: unverified illustrative example removed from the model - not a duplicate; the export's Duplicate skip is reused for row-position stability. The palimpsest now rests on the verified extant places only. Do not use.</t>
  </si>
  <si>
    <t>CZ-107</t>
  </si>
  <si>
    <t>Empire Church / Chapel</t>
  </si>
  <si>
    <t>Church</t>
  </si>
  <si>
    <t>Afro-Caribbean life</t>
  </si>
  <si>
    <t>West Indian chapel.</t>
  </si>
  <si>
    <t>CZ-108</t>
  </si>
  <si>
    <t>Empire Cemetery</t>
  </si>
  <si>
    <t>Cemetery</t>
  </si>
  <si>
    <t>Afro-Caribbean burial ground; rarely on official maps.</t>
  </si>
  <si>
    <t>CZ-109</t>
  </si>
  <si>
    <t>Empire School</t>
  </si>
  <si>
    <t>School</t>
  </si>
  <si>
    <t>Canal Zone school. Building outline traced 2026-09-13 from the source sheet into data/footprints.geojson (building-outline pass).</t>
  </si>
  <si>
    <t>CZ-017</t>
  </si>
  <si>
    <t>Cristobal</t>
  </si>
  <si>
    <t>c.1855</t>
  </si>
  <si>
    <t>Atlantic terminal town adjoining Colon. In official CZ post-office list (Evening Star 1906-02-16). 9,994 Chronicling America hits from 1880-01-27.</t>
  </si>
  <si>
    <t>The canal's Atlantic terminal town, next to the Panamanian city of Colón.</t>
  </si>
  <si>
    <t>CZ-018</t>
  </si>
  <si>
    <t>Ancon</t>
  </si>
  <si>
    <t>c.1880</t>
  </si>
  <si>
    <t>ICC headquarters / hospital town. 1906 post-office list. 7,063 CA hits from 1880-01-07.</t>
  </si>
  <si>
    <t>Headquarters and hospital town of the Isthmian Canal Commission, the US agency that built the canal.</t>
  </si>
  <si>
    <t>CZ-019</t>
  </si>
  <si>
    <t>Rio Grande</t>
  </si>
  <si>
    <t>1912</t>
  </si>
  <si>
    <t>Commissary settlement abandoned 1912 as canal advanced (Der Seebote 1913-05-18). Absent from prior gazetteer; 2,727 CA hits. CAUTION: also a river name. | lifespan extended to dated evidence 2026-09-14 (A-1487: Rio Grande Station lettering on the 1857 Totten map) [was: c.1880?]</t>
  </si>
  <si>
    <t>CZ-020</t>
  </si>
  <si>
    <t>Pedro Miguel</t>
  </si>
  <si>
    <t>Lock town. 1906 post-office list; 1897 lock-plan article. 2,311 CA hits. | RULING 2026-09-13: split old/new - CZ-172 'Pedro Miguel (as-built)' now carries the 1911 property-block town; this id keeps the old (PRR-era) village.</t>
  </si>
  <si>
    <t>Village on the Panama Railroad line, later a lock town. The town laid out on the 1911 property map is recorded as a separate place.</t>
  </si>
  <si>
    <t>CZ-021</t>
  </si>
  <si>
    <t>La Boca</t>
  </si>
  <si>
    <t>Pacific terminal / silver town; renamed and absorbed into Balboa c.1909. 1906 post-office list; 1887 French works table. 2,173 CA hits. [2026-09-12 RULING: 1947 'La Boca' = same place resumed; end date reopened - name suppressed on official maps c.1908-1940s while site labeled Balboa, community persisted.]</t>
  </si>
  <si>
    <t>CZ-022</t>
  </si>
  <si>
    <t>Corozal</t>
  </si>
  <si>
    <t>1906 post-office list; 1887 French works table (OCR 'Corvzal'). 768 CA hits.</t>
  </si>
  <si>
    <t>CZ-023</t>
  </si>
  <si>
    <t>Frijoles</t>
  </si>
  <si>
    <t>PRR station; old site flooded by Gatun Lake, station relocated. 1882 French brigade list; 1906 post offices. CAUTION: also a river name. 370 CA hits. | RULING 2026-09-13: split old/new - CZ-173 'New Frijoles' now carries the relocated-line station (c.1909-, persists); this id keeps the drowned PRR village, lifespan c.1855-1911/14 stands. The 1940 census read moved with the split - the lifespan DATA HEALTH flag is thereby resolved.</t>
  </si>
  <si>
    <t>CZ-024</t>
  </si>
  <si>
    <t>Paraiso</t>
  </si>
  <si>
    <t>1906 post-office list; 1887 French excavation table. 213 CA hits (more under French-era coverage). Start widened to c.1879: Verbrugghe 1879 (Gallica S-040) observes basaltic hills "a Paraiso". [2026-09-14] | lifespan extended to dated evidence 2026-09-14 (A-1485: 'Paraison' Station drawn on the 1857 Totten map) [was: c.1879]</t>
  </si>
  <si>
    <t>CZ-025</t>
  </si>
  <si>
    <t>San Pablo</t>
  </si>
  <si>
    <t>PRR station on the Chagres. 1882 brigade list; 1887 works table; 1906 post offices; flooded by Gatun Lake. 145 CA hits.</t>
  </si>
  <si>
    <t>CZ-026</t>
  </si>
  <si>
    <t>Tabernilla</t>
  </si>
  <si>
    <t>Tabernilla; Tavernilla</t>
  </si>
  <si>
    <t>c.1913</t>
  </si>
  <si>
    <t>Disputed</t>
  </si>
  <si>
    <t>PRR station; commissary closed 1911 when Gatun Lake began filling (Der Seebote 1913-05-18). 1906 post offices; 'Tavernilla' from 1884. 106+61 CA hits. | lifespan extended 2026-09-14 La Estrella prints Tabernilla to 1913 [end was: 1911]</t>
  </si>
  <si>
    <t>CZ-027</t>
  </si>
  <si>
    <t>Gamboa</t>
  </si>
  <si>
    <t>c.1882</t>
  </si>
  <si>
    <t>Chagres-crossing town, later dredging division HQ. 1882 French brigade list. 2,413 CA hits.</t>
  </si>
  <si>
    <t>Town where the railroad crossed the Chagres River; later headquarters of the canal's dredging division.</t>
  </si>
  <si>
    <t>CZ-028</t>
  </si>
  <si>
    <t>Miraflores</t>
  </si>
  <si>
    <t>c.1906-1909?</t>
  </si>
  <si>
    <t>Old village displaced by Miraflores Locks works. 1897 lock-plan article; 1907 ICC dump list. 1,470 CA hits. | RESOLVED 2026-09-13: founding date stands. KWIC showed the 1897 press line ('one lock at Miraflores...') and the 1895 French drawing attest the LOCK SITE/toponym, not a settlement; toponym in press from Jan 1881 (French launch). No settlement evidenced before the US era: 1905-06 survey searched-absent, then 1907 spoil dumps, 1909 town dot, 1911 camp blocks. start was 'c.1855?' (PRR-era village claim - no support found, withdrawn). | RULING 2026-09-14 (conflict half, delegated): the A-0879 1905-06 searched-absence vs 1909 town dot is RESOLVED as corroboration of the US-era founding - absence-then-presence brackets the start; 'c.1906-1909?' stands (1907 mentions are works, not clearly settlement - no sharpening). Both questions on this place now closed.</t>
  </si>
  <si>
    <t>CZ-029</t>
  </si>
  <si>
    <t>Cucaracha</t>
  </si>
  <si>
    <t>c.1883?</t>
  </si>
  <si>
    <t>c.1914</t>
  </si>
  <si>
    <t>Settlement at Culebra Cut, namesake of the Cucaracha slide. 974 CA hits from 1883-05-11; individual pages not yet verified. | lifespan extended 2026-09-14 La Estrella prints Cucaracha to 1914 - the slide year kept the name alive in the Panamanian press [end was: c.1913?]</t>
  </si>
  <si>
    <t>CZ-030</t>
  </si>
  <si>
    <t>Mindi</t>
  </si>
  <si>
    <t>PRR station near Atlantic end. 557 CA hits from 1880-02-03. CAUTION: also a diverted-stream name (1906 table). | INVESTIGATED 2026-09-13: 1911 property map and 1905-06 survey agree within ~200 m; the 1909 label (~2.2 km SSE) is the dissenting claim and stands as a plotted candidate. No coordinate change.</t>
  </si>
  <si>
    <t>CZ-031</t>
  </si>
  <si>
    <t>Buena Vista</t>
  </si>
  <si>
    <t>PRR station near Gatun, in the flooded reach. 359 CA hits from 1903-03-16; generic name, verify hits individually. SPLIT 2026-09-13: the Pacific-side camp claims (A-0503/A-0540/A-0609 + the CULEBRACAMPS footprint) moved to CZ-155 - this row is the Atlantic old-line station/village only. Text mentions (Canal Record, newspapers, Smithsonian) are generic-name hits kept here; verify individually if either place's paper trail matters. | 2026-09-13: CZ-074 Isla Vista merged in as a probable 1862 label artifact (its single read already sat here; Canal Record: 0 pages).</t>
  </si>
  <si>
    <t>CZ-032</t>
  </si>
  <si>
    <t>Lion Hill</t>
  </si>
  <si>
    <t>PRR station flooded by Gatun Lake. 256 CA hits from 1880-02-07.</t>
  </si>
  <si>
    <t>CZ-033</t>
  </si>
  <si>
    <t>Tiger Hill</t>
  </si>
  <si>
    <t>PRR station flooded by Gatun Lake. 175 CA hits from 1882-01-06.</t>
  </si>
  <si>
    <t>CZ-034</t>
  </si>
  <si>
    <t>Mamei</t>
  </si>
  <si>
    <t>PRR station / ICC dump site (1907 list, verified). 141 CA hits from 1880-02-15.</t>
  </si>
  <si>
    <t>CZ-035</t>
  </si>
  <si>
    <t>Camp Elliott</t>
  </si>
  <si>
    <t>Military base</t>
  </si>
  <si>
    <t>c.1904</t>
  </si>
  <si>
    <t>U.S. Marine camp near Bas Obispo (cf. 1913 Seebote: Bas Obispo commissary closed for being too near the Marine camp). 209 CA hits from 1903-12-26.</t>
  </si>
  <si>
    <t>CZ-036</t>
  </si>
  <si>
    <t>Monte Lirio</t>
  </si>
  <si>
    <t>c.1909</t>
  </si>
  <si>
    <t>Town on the relocated PRR line. 23 CA hits from 1910-11-29.</t>
  </si>
  <si>
    <t>CZ-037</t>
  </si>
  <si>
    <t>Toro Point</t>
  </si>
  <si>
    <t>c.1907</t>
  </si>
  <si>
    <t>Breakwater works / later Fort Sherman site, Atlantic entrance. 289 CA hits; records not yet harvested.</t>
  </si>
  <si>
    <t>CZ-039</t>
  </si>
  <si>
    <t>Balboa</t>
  </si>
  <si>
    <t>Pacific terminal town, successor of La Boca (renamed c.1909); still exists. 1,881 CA hits from 1904-01-15.</t>
  </si>
  <si>
    <t>The canal's Pacific terminal town. It succeeded La Boca, renamed Balboa around 1909.</t>
  </si>
  <si>
    <t>CZ-040</t>
  </si>
  <si>
    <t>Mount Hope</t>
  </si>
  <si>
    <t>Mount Hope; Monkey Hill</t>
  </si>
  <si>
    <t>Atlantic-side storage/cemetery town near Cristobal (Monkey Hill until 1905). 1,867 CA hits from 1880-01-15.</t>
  </si>
  <si>
    <t>Storage and cemetery town near Cristóbal on the Atlantic side, called Monkey Hill until 1905.</t>
  </si>
  <si>
    <t>CZ-041</t>
  </si>
  <si>
    <t>Taboga</t>
  </si>
  <si>
    <t>Island town in Panama Bay; French-era sanatorium. Outside the Zone. 972 CA hits from 1882-09-11. | 2026-09-14: start pre-1850? -&gt; pre-1844 (2026-09-14): I. Taboga drawn with village marks on the 1844 Garella carte.</t>
  </si>
  <si>
    <t>Island town in the Bay of Panama, outside the Canal Zone; a sanatorium during the French canal period.</t>
  </si>
  <si>
    <t>CZ-042</t>
  </si>
  <si>
    <t>Porto Bello</t>
  </si>
  <si>
    <t>Porto Bello; Portobelo</t>
  </si>
  <si>
    <t>Colonial port outside the Zone; ICC quarry town during construction. 828 CA hits from 1880-04-15. Verified 1912 mention (rainfall record).</t>
  </si>
  <si>
    <t>Spanish colonial port outside the Canal Zone; a quarry town during canal construction.</t>
  </si>
  <si>
    <t>CZ-043</t>
  </si>
  <si>
    <t>Alhajuela</t>
  </si>
  <si>
    <t>c.1897?</t>
  </si>
  <si>
    <t>Proposed Chagres dam site upstream of the Zone (1897 plan, verified); flooded by Lake Alajuela 1935 (outside 1880-1920 window). 121 CA hits.</t>
  </si>
  <si>
    <t>CZ-044</t>
  </si>
  <si>
    <t>Juan Grande</t>
  </si>
  <si>
    <t>Name-only candidate: primarily a Chagres tributary (1906 diversion table, verified). Settlement existence unconfirmed. 48 CA hits.</t>
  </si>
  <si>
    <t>CZ-045</t>
  </si>
  <si>
    <t>Gatuncillo</t>
  </si>
  <si>
    <t>Name-only candidate: primarily a river (1884 German report, verified). Settlement existence unconfirmed. 25 CA hits.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</si>
  <si>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CZ-046</t>
  </si>
  <si>
    <t>Balboa Heights</t>
  </si>
  <si>
    <t>Canal administration headquarters from 1914. 2,725 Canal Record pages.</t>
  </si>
  <si>
    <t>Headquarters of the canal administration from 1914.</t>
  </si>
  <si>
    <t>CZ-047</t>
  </si>
  <si>
    <t>Chagres</t>
  </si>
  <si>
    <t>c.1916</t>
  </si>
  <si>
    <t>Historic village at the Chagres mouth (San Lorenzo). Canal Record Vol. IX (1915-16): 'To Remove the Village of Chagres... arrangements for the removal of the town.' 1,102 CR pages (river-name ambiguity). | 2026-09-14: start pre-1850? -&gt; pre-1844 (2026-09-14): CHAGRES village on the 1844 Garella carte.</t>
  </si>
  <si>
    <t>CZ-048</t>
  </si>
  <si>
    <t>Palo Seco</t>
  </si>
  <si>
    <t>Palo Seco Leper Colony</t>
  </si>
  <si>
    <t>Leper-colony settlement on the Pacific shore; community life documented ('Fireworks for Palo Seco', Vol. I). 103 CR pages. | 2026-09-13: 1940 census ED map attests it as 'Palo Seco Leper Colony', its own enumeration district (ED 1-6) - see A-1188.</t>
  </si>
  <si>
    <t>Leprosy colony on the Pacific shore, with its own community life; counted as a separate census district in 1940.</t>
  </si>
  <si>
    <t>CZ-049</t>
  </si>
  <si>
    <t>Darien</t>
  </si>
  <si>
    <t>c.1912</t>
  </si>
  <si>
    <t>Station on the relocated PRR line. 369 CR pages (Darien region ambiguity).</t>
  </si>
  <si>
    <t>CZ-050</t>
  </si>
  <si>
    <t>Summit</t>
  </si>
  <si>
    <t>Summit; New Culebra</t>
  </si>
  <si>
    <t>Relocated-line station; Canal Record: "New Culebra Named 'Summit'" - the renaming itself is documented. 128+49 CR pages. | lifespan extended 2026-09-14 Moses v00084: Cut spoil 'dumped in Summit' in 1904 [start was: c.1912]</t>
  </si>
  <si>
    <t>Station on the relocated railroad line. The Canal Record reported the renaming of New Culebra as Summit.</t>
  </si>
  <si>
    <t>CZ-051</t>
  </si>
  <si>
    <t>Red Tank</t>
  </si>
  <si>
    <t>c.1915</t>
  </si>
  <si>
    <t>Silver (West Indian) town near Pedro Miguel; commissary opened as branch of Pedro Miguel store (Vol. IX). 43 CR pages.</t>
  </si>
  <si>
    <t>CZ-052</t>
  </si>
  <si>
    <t>Camacho</t>
  </si>
  <si>
    <t>Central-division settlement/district listed between Culebra and Empire in district tables. 229 CR pages.</t>
  </si>
  <si>
    <t>CZ-053</t>
  </si>
  <si>
    <t>Naos Island</t>
  </si>
  <si>
    <t>by 1905-06</t>
  </si>
  <si>
    <t>Breakwater labor settlement served by La Boca labor trains; quarantine station. 127 CR pages. | 2026-09-14: start c.1907 -&gt; by 1905-06 (2026-09-14): NAOS I. with buildings on the 1905-06 Map No.3.</t>
  </si>
  <si>
    <t>CZ-054</t>
  </si>
  <si>
    <t>El Vigia</t>
  </si>
  <si>
    <t>Hydrographic/rain-gauge station on the Chagres; settlement status unconfirmed. 70 CR pages.</t>
  </si>
  <si>
    <t>CZ-055</t>
  </si>
  <si>
    <t>Diablo</t>
  </si>
  <si>
    <t>Diablo; Diablo Heights</t>
  </si>
  <si>
    <t>1913-1914</t>
  </si>
  <si>
    <t>Canal Record Vol. VII: 'Diablo Demolished. All of the buildings at Diablo...' Later rebuilt as Diablo Heights. 97 CR pages. 'Diablo Heights' (1940s American townsite on the site) equated as name variant 2026-09-07; post-1914 Diablo Heights mentions are toponym afterlife of the demolished village. Start widened c.1907 -&gt; by 1905-06 2026-09-13: Camp Diablo is drawn on the 1905-06 survey at the identified position (A-0860). | 2026-09-14: split old/new - CZ-182 'Diablo Heights' carries the 1940s successor townsite (1939-40 Canal Record + both 1947 sheets, repointed); this id keeps the old village/camp, lifespan by 1905-06 - 1913/14 stands.</t>
  </si>
  <si>
    <t>CZ-056</t>
  </si>
  <si>
    <t>Agua Clara</t>
  </si>
  <si>
    <t>1910-1913</t>
  </si>
  <si>
    <t>Canal Record Vol. III-IV flood reports: 'in Agua Clara, the whole village excepting two houses, are exposed.' Not previously in gazetteer. 36 CR pages.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</si>
  <si>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CZ-057</t>
  </si>
  <si>
    <t>Juan Mina</t>
  </si>
  <si>
    <t>Chagres village above Gamboa: 'the territory along the Chagres... including the village of Juan Mina' (Vol. VII property-map/depopulation context). Also a hydrographic station. 152 CR pages.</t>
  </si>
  <si>
    <t>CZ-058</t>
  </si>
  <si>
    <t>Enterprise</t>
  </si>
  <si>
    <t>Appears in French/early settlement lists beside San Pablo and Caimito Mulato (Vol. I). 60 CR pages.</t>
  </si>
  <si>
    <t>CZ-059</t>
  </si>
  <si>
    <t>Whitehouse</t>
  </si>
  <si>
    <t>White House; Casa Blanca</t>
  </si>
  <si>
    <t>c.1888</t>
  </si>
  <si>
    <t>French-era settlement near the Rio Camacho diversion (PI-91 Casa Blanca = Whitehouse; 15 Canal Record pages). MERGED 2026-09-09: 1907 encampment-plan camp at axis Sta 1600 (map 6, two quarters clusters) = same place; blueprint coordinate adopted, ICC1909 claim kept as attestation.</t>
  </si>
  <si>
    <t>CZ-060</t>
  </si>
  <si>
    <t>Vamos Vamos</t>
  </si>
  <si>
    <t>Chagres-side hamlet, K.21.6 area; on French sectional maps (PI-91 1:J1(c)) and diversion plans. 2 Canal Record pages. In the flooded reach. Start widened pre-1899 -&gt; c.1862 2026-09-13: the 1862 plano draws the village itself (A-0891 first fix, village marks on the Chagres).</t>
  </si>
  <si>
    <t>CZ-061</t>
  </si>
  <si>
    <t>Pena Blanca</t>
  </si>
  <si>
    <t>Pena Blanca; Peña Blanca</t>
  </si>
  <si>
    <t>c.1862</t>
  </si>
  <si>
    <t>French lock No. 1 site (1888) and Chagres diversion point, K.22.9; in the flooded reach. PI-91 refs across entries 2 and 16. 2 Canal Record pages. Start concretized from 'pre-1884' to c.1862: the 1862 Chagres cadastral tract label (A-0584, S-028) is the earliest documented use of the name at this site. [2026-09-13 lifespan fix]</t>
  </si>
  <si>
    <t>CZ-062</t>
  </si>
  <si>
    <t>Cartagenita</t>
  </si>
  <si>
    <t>Cartagena</t>
  </si>
  <si>
    <t>Pacific-side hamlet on French detailed plans (PI-91 2:F/231, F/338; 7 Canal Record pages). MERGED 2026-09-09: 1907 encampment-plan CARTAGENA hamlet at axis Sta 1890 (map 18, Rio Cartagenita valley) = same place; blueprint coordinate adopted, ICC1909 claim kept as attestation.</t>
  </si>
  <si>
    <t>CZ-063</t>
  </si>
  <si>
    <t>Palo Grande</t>
  </si>
  <si>
    <t>Upper-Chagres river settlement on French sectional maps (PI-91 1:J1(m,n)). 2 Canal Record pages.</t>
  </si>
  <si>
    <t>CZ-064</t>
  </si>
  <si>
    <t>Cocoli</t>
  </si>
  <si>
    <t>c.1881</t>
  </si>
  <si>
    <t>Pacific-side settlement on the Rio Cocoli (PI-91 2:F/306, 3:10); later a townsite. 107 Canal Record pages. | RULING 2026-09-13: split - this id keeps the OLD Cocoli village (incl. the 1911 property-map claim); the 1947 townsite read moved to CZ-171.</t>
  </si>
  <si>
    <t>Old village on the Cocolí River. The later US townsite of the same name is recorded as a separate place.</t>
  </si>
  <si>
    <t>CZ-065</t>
  </si>
  <si>
    <t>Margarita</t>
  </si>
  <si>
    <t>c.1917</t>
  </si>
  <si>
    <t>Atlantic-side Third Locks town, twin of Cocoli: 'quarters and other facilities in the new locks towns of Margarita and Cocoli' (Gov. Ann. Rep. 1941, IA). 1951 report pairs it with Paraiso as existing townsites. Added 2026-09-07. | lifespan extended to dated evidence 2026-09-13 [was: c.1940]</t>
  </si>
  <si>
    <t>Atlantic-side town of the Third Locks project (an unfinished 1940s plan to add a third set of locks), twin of Cocolí on the Pacific side.</t>
  </si>
  <si>
    <t>CZ-066</t>
  </si>
  <si>
    <t>Coco Solo</t>
  </si>
  <si>
    <t>c.1918</t>
  </si>
  <si>
    <t>Submarine base + town, Atlantic side (184 IA texts; ECU oral histories). N.A.S. Coco Solo; hospital; transferred to Panama 1999, now part of Colon port area. Added 2026-09-07.</t>
  </si>
  <si>
    <t>US Navy submarine base and town on the Atlantic side. Transferred to Panama in 1999; now part of the port of Colón.</t>
  </si>
  <si>
    <t>CZ-067</t>
  </si>
  <si>
    <t>Fort Clayton</t>
  </si>
  <si>
    <t>c.1919</t>
  </si>
  <si>
    <t>US Army post, Pacific side. Handed to Panama 1999; now Ciudad del Saber (City of Knowledge). Added 2026-09-07 (military-post class; Camp Elliott precedent).</t>
  </si>
  <si>
    <t>US Army post on the Pacific side. Transferred to Panama in 1999; now the City of Knowledge (Ciudad del Saber).</t>
  </si>
  <si>
    <t>CZ-068</t>
  </si>
  <si>
    <t>Fort Davis</t>
  </si>
  <si>
    <t>US Army post 'between Gatun and Cristobal' with its own PRR station (Gov. Ann. Rep. 1919, IA). Handed to Panama 1999. Added 2026-09-07.</t>
  </si>
  <si>
    <t>US Army post between Gatún and Cristóbal, with its own railroad station. Transferred to Panama in 1999.</t>
  </si>
  <si>
    <t>CZ-069</t>
  </si>
  <si>
    <t>Fort Sherman</t>
  </si>
  <si>
    <t>US Army coast-artillery post at Toro Point, Atlantic entrance. Jungle warfare school; handed to Panama 1999. Added 2026-09-07.</t>
  </si>
  <si>
    <t>US Army coastal artillery post at the canal's Atlantic entrance, later a jungle warfare school. Transferred to Panama in 1999.</t>
  </si>
  <si>
    <t>CZ-070</t>
  </si>
  <si>
    <t>Fort Amador</t>
  </si>
  <si>
    <t>US Army post at Pacific entrance causeway (earlier Fort Grant complex). Handed to Panama 1999; now Amador Causeway leisure area. Added 2026-09-07.</t>
  </si>
  <si>
    <t>US Army post at the canal's Pacific entrance. Transferred to Panama in 1999; now the Amador Causeway leisure area.</t>
  </si>
  <si>
    <t>CZ-071</t>
  </si>
  <si>
    <t>Albrook Field</t>
  </si>
  <si>
    <t>c.1928</t>
  </si>
  <si>
    <t>US Army Air Corps field beside Balboa (Gov. Ann. Rep. 1935, IA). Handed to Panama 1999; now Marcos A. Gelabert airport. Added 2026-09-07. | lifespan extended to dated evidence 2026-09-13 [was: c.1932]</t>
  </si>
  <si>
    <t>US Army Air Corps airfield beside Balboa. Transferred to Panama in 1999; now Marcos A. Gelabert Airport.</t>
  </si>
  <si>
    <t>CZ-072</t>
  </si>
  <si>
    <t>Quarry Heights</t>
  </si>
  <si>
    <t>c.1909?</t>
  </si>
  <si>
    <t>US military HQ on Ancon Hill slopes (Department/SOUTHCOM command). Handed to Panama 1999. Added 2026-09-07. | lifespan extended 2026-09-14 Butcher v00025: the quarry shipping La Boca fill 1909-12; the c.1916 date is the Army post on the same heights [start was: c.1916]</t>
  </si>
  <si>
    <t>US military headquarters on the slopes of Ancón Hill, on the site of an earlier quarry. Transferred to Panama in 1999.</t>
  </si>
  <si>
    <t>CZ-073</t>
  </si>
  <si>
    <t>Barro Colorado Island</t>
  </si>
  <si>
    <t>Barro Colorado</t>
  </si>
  <si>
    <t>Landscape feature</t>
  </si>
  <si>
    <t>Flooding (Gatun Lake)</t>
  </si>
  <si>
    <t>Hilltop turned island by the Gatun Lake flooding (1913-14); biological reserve 1923, STRI station. Flood-created feature, not an erased town; included 2026-09-07. pop_type blank: uninhabited research reserve. | 2026-09-14: the 1857 'Barro Colorado Abajo' village read moved to CZ-183; this id keeps the island (c.1914-). Name ancestry runs village -&gt; hill -&gt; island (R-18).</t>
  </si>
  <si>
    <t>A hilltop that became an island when Gatún Lake was flooded in 1913–14; a biological reserve since 1923. The 1857 village of Barro Colorado Abajo is recorded as a separate place.</t>
  </si>
  <si>
    <t>CZ-074</t>
  </si>
  <si>
    <t>Isla Vista</t>
  </si>
  <si>
    <t>El Pueblo Isla Vista</t>
  </si>
  <si>
    <t>pre-1862</t>
  </si>
  <si>
    <t>before 1905?</t>
  </si>
  <si>
    <t>Pueblo on the Chagres below Bohio, drawn on the 1862 PRR land-claims plano; absent from every later map consulted. | MERGED into CZ-031 2026-09-13: probable reading artifact - the 1862 'El Pueblo de [..]ista Vista' label; appears on no later map; 0 Canal Record pages. Row kept for id stability - do not use.</t>
  </si>
  <si>
    <t>CZ-075</t>
  </si>
  <si>
    <t>Haut Obispo</t>
  </si>
  <si>
    <t>Haut Obispo; Alto Obispo</t>
  </si>
  <si>
    <t>c.1912-1914</t>
  </si>
  <si>
    <t>Hamlet NE of Bas Obispo; 1895 French sheet and 1907 Culebra Division encampment plans. | lifespan extended to dated evidence 2026-09-13 [was: pre-1895; 1883 ChronAm read]</t>
  </si>
  <si>
    <t>CZ-076</t>
  </si>
  <si>
    <t>Alto Emperador</t>
  </si>
  <si>
    <t>pre-1895</t>
  </si>
  <si>
    <t>c.1912?</t>
  </si>
  <si>
    <t>District SE of Emperador on the 1895 French sheet.</t>
  </si>
  <si>
    <t>CZ-077</t>
  </si>
  <si>
    <t>Corosita</t>
  </si>
  <si>
    <t>Camp Corosita</t>
  </si>
  <si>
    <t>c.1905</t>
  </si>
  <si>
    <t>ICC construction camp near the Obispo River; sheet 2 of the 1907 Culebra Division encampment plans.</t>
  </si>
  <si>
    <t>CZ-078</t>
  </si>
  <si>
    <t>Cunette</t>
  </si>
  <si>
    <t>Cunette camp</t>
  </si>
  <si>
    <t>ICC camp for cunette excavation crews; sheets 7-8 (N+S ends) of the 1907 encampment plans. Position VERIFIED 2026-09-08: south-end sheet (O-line, Sta 1580) is continuous with the north sheet's Sta 1550 - one camp band Sta 1544-1590 between Buena Vista and Las Cascadas. | RULING 2026-09-13: position conflict (blueprint camp band vs 1909+1911 site ~3 km N of Empire) stays UNRESOLVED by design - all claims plotted as candidates; the zone-map site may be a distinct 'Cunette' settlement (the term is also the Cut's drainage trench).</t>
  </si>
  <si>
    <t>CZ-079</t>
  </si>
  <si>
    <t>Cerro</t>
  </si>
  <si>
    <t>Cerro camp</t>
  </si>
  <si>
    <t>Camp on the hill E of Empire; sheet 9 of the 1907 encampment plans. | lifespan extended to dated evidence 2026-09-13 [was: c.1913]</t>
  </si>
  <si>
    <t>CZ-080</t>
  </si>
  <si>
    <t>Lirio</t>
  </si>
  <si>
    <t>Lirio camp</t>
  </si>
  <si>
    <t>Camp between Empire and Culebra; sheet 11 of the 1907 encampment plans; Lirio labels also on ICC1911. | RULING 2026-09-13: the three-way position scatter (1905-06 / 1909 / hill names) stays as candidate points - no winner chosen. | End extended c.1913 -&gt; c.1916 2026-09-14: Canal Record census rows carry Lirio Camp (309 persons in 1913-14) through Vol IX 1915-16 (A-1388, variant-name probe).</t>
  </si>
  <si>
    <t>CZ-081</t>
  </si>
  <si>
    <t>Caballo Viejo</t>
  </si>
  <si>
    <t>Old-line village by Juan Grande; 1905-06 ICC survey and ICC1911. | lifespan extended to dated evidence 2026-09-13 [was: pre-1905]</t>
  </si>
  <si>
    <t>CZ-082</t>
  </si>
  <si>
    <t>Chagresito</t>
  </si>
  <si>
    <t>pre-1904</t>
  </si>
  <si>
    <t>Chagres hamlet below Frijoles; ICC1909 and ICC1911. | lifespan extended 2026-09-15 (retro audit National Archives leg): 'Chagrecito' lettered with house dots on the c.1904 occupation map (S-053) [was: pre-1908]</t>
  </si>
  <si>
    <t>CZ-083</t>
  </si>
  <si>
    <t>Mulato</t>
  </si>
  <si>
    <t>pre-1857?</t>
  </si>
  <si>
    <t>Chagres hamlet near Caimito; 1862 plano and ICC1911. | lifespan extended to dated evidence 2026-09-14 (A-1488: 1857 riverside lettering, reading confidence LOW - '?' kept) [was: pre-1862]</t>
  </si>
  <si>
    <t>CZ-084</t>
  </si>
  <si>
    <t>Las Penitas</t>
  </si>
  <si>
    <t>pre-1886</t>
  </si>
  <si>
    <t>Chagres-bank hamlet between Ahorca Lagarto and Bohio; ICC1909. | 2026-09-14: start pre-1904 -&gt; pre-1886 (2026-09-14): 'Las Penitas' with building marks on the 1886 Plan General.</t>
  </si>
  <si>
    <t>CZ-085</t>
  </si>
  <si>
    <t>Palo Matias Viejo</t>
  </si>
  <si>
    <t>Palo Matias</t>
  </si>
  <si>
    <t>Chagres-bank hamlet; ICC1909; Palo Matias tract on the 1862 plano.</t>
  </si>
  <si>
    <t>CZ-086</t>
  </si>
  <si>
    <t>White House</t>
  </si>
  <si>
    <t>c.1906</t>
  </si>
  <si>
    <t>DUPLICATE of CZ-059 Whitehouse (merged 2026-09-09) - row kept only for position stability; do not use</t>
  </si>
  <si>
    <t>CZ-087</t>
  </si>
  <si>
    <t>pre-1907</t>
  </si>
  <si>
    <t>c.1913?</t>
  </si>
  <si>
    <t>DUPLICATE of CZ-062 Cartagenita (merged 2026-09-09) - row kept only for position stability; do not use</t>
  </si>
  <si>
    <t>CZ-110</t>
  </si>
  <si>
    <t>Spanish Town</t>
  </si>
  <si>
    <t>Labor camp</t>
  </si>
  <si>
    <t>c.1906?</t>
  </si>
  <si>
    <t>c.1916?</t>
  </si>
  <si>
    <t>Labour settlement NE of Paraiso, labeled with dot cluster on the 1911 property map (the only sheet that names it - absent from zone-scale cartography). Name suggests European/Spanish labourers, unverified. Registered 2026-09-13 from the ICC1911 absence audit; absent from the 1947 sheet. | lifespan extended to dated evidence 2026-09-13 [was: c.1913?]</t>
  </si>
  <si>
    <t>CZ-111</t>
  </si>
  <si>
    <t>Golden Green</t>
  </si>
  <si>
    <t>c.1907?</t>
  </si>
  <si>
    <t>after 1917?</t>
  </si>
  <si>
    <t>Camp labeled with dots between Empire Sta. and Lirio on the 1911 property map; not on the 1909 zone map or any later sheet. Population unverified. Registered 2026-09-13 from the ICC1911 absence audit. | lifespan extended to dated evidence 2026-09-13 [was: c.1913?]</t>
  </si>
  <si>
    <t>CZ-112</t>
  </si>
  <si>
    <t>Carabali</t>
  </si>
  <si>
    <t>Carabali Reservation</t>
  </si>
  <si>
    <t>pre-1895?</t>
  </si>
  <si>
    <t>'CARABALI RESERV[ATION]' lettering at Gorgona on the 1911 property map - label only, no structure marks; nature uncertain (a land reservation named for an Afro-descended community?). Carabali is an Afro-colonial ethnonym: chase in RG 185 land records and the Silver Men archive. Registered 2026-09-13. | lifespan extended to dated evidence 2026-09-13 [was: pre-1911?]</t>
  </si>
  <si>
    <t>CZ-113</t>
  </si>
  <si>
    <t>Casa Larga</t>
  </si>
  <si>
    <t>pre-1908</t>
  </si>
  <si>
    <t>Marks + label on the old Cruces trail, ICC1909 sheet - read consistently in two audit windows. South of the later Madden dam, so not drowned; fate unknown. Registered 2026-09-13 from the ICC1909 absence audit.</t>
  </si>
  <si>
    <t>CZ-114</t>
  </si>
  <si>
    <t>San Juan</t>
  </si>
  <si>
    <t>c.1935?</t>
  </si>
  <si>
    <t>Building cluster + label on the upper Chagres, ICC1909 sheet. Possibly San Juan de Pequeni (unverified); position lies inside the 1935 Madden pool - the 1947 sheet shows open water here. Modern Nuevo San Juan on the Transistmica may be its successor. Registered 2026-09-13.</t>
  </si>
  <si>
    <t>CZ-115</t>
  </si>
  <si>
    <t>Tranquilla</t>
  </si>
  <si>
    <t>Marks + label on the upper Chagres, ICC1909 sheet; position inside the 1935 Madden pool. A lakeside community 'La Tranquilla' exists on the modern shore - possible successor (unverified). Registered 2026-09-13.</t>
  </si>
  <si>
    <t>CZ-116</t>
  </si>
  <si>
    <t>Dos Bocas</t>
  </si>
  <si>
    <t>Label only (no marks read) at a trail/boundary junction on the upper Chagres, ICC1909 sheet; 'Dos Bocas' is also a generic confluence name - settlement status less secure than its neighbours. Position inside the 1935 Madden pool. Registered 2026-09-13.</t>
  </si>
  <si>
    <t>CZ-117</t>
  </si>
  <si>
    <t>Campanas</t>
  </si>
  <si>
    <t>Marks + label NW of El Vigia on the ICC1909 sheet, with an adjacent circle-cross symbol (church?). Near the western edge of the later Madden pool; drowning not verified. Registered 2026-09-13.</t>
  </si>
  <si>
    <t>CZ-118</t>
  </si>
  <si>
    <t>Empire Court House</t>
  </si>
  <si>
    <t>Administrative building</t>
  </si>
  <si>
    <t>Labeled 'Court House' on the EMPIRE plan. Registered 2026-09-13 (infrastructure mapping batch). Building outline traced 2026-09-13 from the source sheet into data/footprints.geojson (building-outline pass).</t>
  </si>
  <si>
    <t>CZ-119</t>
  </si>
  <si>
    <t>Empire Freight House</t>
  </si>
  <si>
    <t>Road/Infrastructure</t>
  </si>
  <si>
    <t>PRR freight house beside the station. Registered 2026-09-13 (infrastructure mapping batch). Building outline traced 2026-09-13 from the source sheet into data/footprints.geojson (building-outline pass).</t>
  </si>
  <si>
    <t>CZ-120</t>
  </si>
  <si>
    <t>Empire Base Ball Park</t>
  </si>
  <si>
    <t>Labeled 'Base Ball Park' on the EMPIRE plan; the CULEBRACAMPS Empire-Sabana sheet draws the same grounds (A-0600, repointed here) - two independent sources. Registered 2026-09-13 (infrastructure mapping batch). Extent traced 2026-09-13 from CULEBRACAMPS sheet 011 ('Base Ball Grounds' enclosure, Grand Stand at NW corner) into data/footprints.geojson. Start widened to 'by 1905-06' 2026-09-13: the SURVEYS1908 Map No.3 reads (A-0864 B.B. FIELD / A-0837 MACHINE SHOPS) attest it already standing at the 1905-06 survey. Grand Stand outline traced 2026-09-13 from the corrected EMPIRE re-warp (second footprint feature alongside the sheet-011 ball-grounds extent). | 2026-09-13: the structure the mirrored warp misread as 'Band Stand' is this field's Grand Stand (traced); CZ-106 merged in.</t>
  </si>
  <si>
    <t>CZ-121</t>
  </si>
  <si>
    <t>Empire I.C.C. Hotel</t>
  </si>
  <si>
    <t>by 1906</t>
  </si>
  <si>
    <t>ICC hotel (gold-roll mess/lodging), labeled 'I.C.C. Hotel'. Registered 2026-09-13 (infrastructure mapping batch). Building outline traced 2026-09-13 from the source sheet into data/footprints.geojson (building-outline pass). | 2026-09-16: start pulled back from 'pre-1907' to 'by 1906'. Silver People letter v00048 has the writer painting 'the new hotel at Empire' at Roosevelt's November 1906 visit.</t>
  </si>
  <si>
    <t>CZ-122</t>
  </si>
  <si>
    <t>Empire Police Station</t>
  </si>
  <si>
    <t>Label only partially legible on the degraded photostat - identification tentative. Registered 2026-09-13 (infrastructure mapping batch). Building outline traced 2026-09-13 from the source sheet into data/footprints.geojson (building-outline pass). | lifespan extended to dated evidence 2026-09-13 [was: pre-1907]</t>
  </si>
  <si>
    <t>CZ-123</t>
  </si>
  <si>
    <t>Empire Municipal Building</t>
  </si>
  <si>
    <t>Labeled; found on the 2nd pass 2026-09-09. Registered 2026-09-13 (infrastructure mapping batch). Building outline traced 2026-09-13 from the source sheet into data/footprints.geojson (building-outline pass).</t>
  </si>
  <si>
    <t>CZ-124</t>
  </si>
  <si>
    <t>Empire Railroad Shops</t>
  </si>
  <si>
    <t>by 1904?</t>
  </si>
  <si>
    <t>PRR/ICC shops complex NE of town: Machine Shop, Boiler Shop, Blacksmith's Shop, Erecting Shed, Transfer Table, Storehouse - six labeled buildings, one attestation each; place coordinate is their centroid. Registered 2026-09-13 (infrastructure mapping batch). Extent traced 2026-09-13 from the re-anchored EMPIRE plan (shops complex band) into data/footprints.geojson. Start widened to 'by 1905-06' 2026-09-13: the SURVEYS1908 Map No.3 reads (A-0864 B.B. FIELD / A-0837 MACHINE SHOPS) attest it already standing at the 1905-06 survey. Shops complex re-traced 2026-09-13 on the corrected EMPIRE re-warp (the 2026-09-13 trace was digitised off the mirrored raster). | lifespan extended 2026-09-15 (retro audit National Archives leg): railroad-side dot rows and a walled works compound at Emperador on the c.1904 occupation map (Low, unlabeled) [was: by 1905-06]</t>
  </si>
  <si>
    <t>CZ-125</t>
  </si>
  <si>
    <t>Empire YMCA</t>
  </si>
  <si>
    <t>Labeled Y.M.C.A. - gold-roll (white) clubhouse; silver-roll workers excluded. Registered 2026-09-13 (infrastructure mapping batch). Building outline traced 2026-09-13 from the source sheet into data/footprints.geojson (building-outline pass). | 2026-09-14: CZ-103 Clubhouse &amp; Cinema merged in - the 1907 Canal Record clubhouse/cinema mentions and the zone/property-map negatives now attest this building.</t>
  </si>
  <si>
    <t>CZ-126</t>
  </si>
  <si>
    <t>Empire Fire Station</t>
  </si>
  <si>
    <t>Labeled Fire Station. Registered 2026-09-13 (infrastructure mapping batch). Building outline traced 2026-09-13 from the source sheet into data/footprints.geojson (building-outline pass).</t>
  </si>
  <si>
    <t>CZ-127</t>
  </si>
  <si>
    <t>Empire Bank</t>
  </si>
  <si>
    <t>Labeled Bank. Registered 2026-09-13 (infrastructure mapping batch). Building outline traced 2026-09-13 from the source sheet into data/footprints.geojson (building-outline pass).</t>
  </si>
  <si>
    <t>CZ-128</t>
  </si>
  <si>
    <t>Empire Post Office</t>
  </si>
  <si>
    <t>Labeled Post Office. Registered 2026-09-13 (infrastructure mapping batch). Building outline traced 2026-09-13 from the source sheet into data/footprints.geojson (building-outline pass).</t>
  </si>
  <si>
    <t>CZ-129</t>
  </si>
  <si>
    <t>Empire Dispensary</t>
  </si>
  <si>
    <t>by 1905</t>
  </si>
  <si>
    <t>Labeled Dispensary (vertical lettering). The 2nd pass found NO hospital label on the sheet - this was the town's mapped medical facility (CZ-101 Empire Hospital remains a separate, textually-attested place with a placeholder location). Registered 2026-09-13 (infrastructure mapping batch). Building outline traced 2026-09-13 from the source sheet into data/footprints.geojson (building-outline pass). | 2026-09-16: start pulled back from 'pre-1907' to 'by 1905'. Letter v00036 puts the hospitals/rest houses 'built at Empire, Culebra, and Paraiso' in the 1905-06 malaria emergency.</t>
  </si>
  <si>
    <t>CZ-130</t>
  </si>
  <si>
    <t>Gorgona Market</t>
  </si>
  <si>
    <t>Market</t>
  </si>
  <si>
    <t>by 1907</t>
  </si>
  <si>
    <t>Labeled MARKET on the 1908 saloon-licensing plan. Registered 2026-09-13 (infrastructure mapping batch). Building outline traced 2026-09-13 from the source sheet into data/footprints.geojson (building-outline pass). | 2026-09-16 Internet Archive leg: start pre-1908 -&gt; by 1907. Canal Record 1907 reports vacant stalls at the Empire market and three markets, one each at Empire, Gorgona and Cristobal.</t>
  </si>
  <si>
    <t>CZ-131</t>
  </si>
  <si>
    <t>Gorgona YMCA</t>
  </si>
  <si>
    <t>Labeled Y.M.C.A. - gold-roll clubhouse. Registered 2026-09-13 (infrastructure mapping batch). Building outline traced 2026-09-13 from the source sheet into data/footprints.geojson (building-outline pass). | 2026-09-16 Internet Archive leg: start pre-1908 -&gt; by 1907. One of the four Commission Club Houses named complete in 1907.</t>
  </si>
  <si>
    <t>CZ-132</t>
  </si>
  <si>
    <t>Gorgona Band Stand</t>
  </si>
  <si>
    <t>Labeled Band Stand - plaza/recreation ground inferred around it. Registered 2026-09-13 (infrastructure mapping batch). Building outline traced 2026-09-13 from the source sheet into data/footprints.geojson (building-outline pass). | 2026-09-16 Internet Archive leg: start pre-1908 -&gt; by 1907. The 1907 building schedule counts a band stand in the town's return.</t>
  </si>
  <si>
    <t>CZ-133</t>
  </si>
  <si>
    <t>Gorgona I.C.C. Hotel</t>
  </si>
  <si>
    <t>Labeled I.C.C. HOTEL (gold-roll mess/lodging). Registered 2026-09-13 (infrastructure mapping batch). Building outline traced 2026-09-13 from the source sheet into data/footprints.geojson (building-outline pass). | 2026-09-16 Internet Archive leg: start pre-1908 -&gt; by 1906. The 1906 investigation records the new Gorgona reservoir made necessary by the authorisation of the hotel building.</t>
  </si>
  <si>
    <t>CZ-134</t>
  </si>
  <si>
    <t>Gorgona Hotel (private)</t>
  </si>
  <si>
    <t>Other / Unknown</t>
  </si>
  <si>
    <t>Labeled HOTEL, separate from the I.C.C. Hotel - a private (likely Panamanian-run) business; the only non-ICC commercial building labeled on the sheet. Registered 2026-09-13 (infrastructure mapping batch). Building outline traced 2026-09-13 from the source sheet into data/footprints.geojson (building-outline pass).</t>
  </si>
  <si>
    <t>CZ-135</t>
  </si>
  <si>
    <t>Culebra YMCA Club House</t>
  </si>
  <si>
    <t>Labeled YMCA Club House, sheet 014 (map 13 'CULEBRA'). Registered 2026-09-13 (infrastructure mapping batch). Building outline traced 2026-09-13 from the source sheet into data/footprints.geojson (building-outline pass).</t>
  </si>
  <si>
    <t>CZ-136</t>
  </si>
  <si>
    <t>Culebra Hotel</t>
  </si>
  <si>
    <t>Labeled Culebra Hotel, sheet 014 - the ICC hotel of the crown town. Registered 2026-09-13 (infrastructure mapping batch). Building outline traced 2026-09-13 from the source sheet into data/footprints.geojson (building-outline pass). | 2026-09-16 Internet Archive leg: start pre-1907 -&gt; by 1905. The 1905 annual report: dormitories or 'hotels' erected at Corozal and Culebra.</t>
  </si>
  <si>
    <t>CZ-137</t>
  </si>
  <si>
    <t>Culebra Post Office</t>
  </si>
  <si>
    <t>Labeled Post Office (building 3), sheet 014. Registered 2026-09-13 (infrastructure mapping batch). Building outline traced 2026-09-13 from the source sheet into data/footprints.geojson (building-outline pass).</t>
  </si>
  <si>
    <t>CZ-138</t>
  </si>
  <si>
    <t>Culebra Church &amp; Lodge Hall</t>
  </si>
  <si>
    <t>Labeled Church &amp; Lodge Hall, sheet 014 - shared religious/fraternal building. Registered 2026-09-13 (infrastructure mapping batch). Building outline traced 2026-09-13 from the source sheet into data/footprints.geojson (building-outline pass). | 2026-09-16 Internet Archive leg: start pre-1907 -&gt; by 1905. The 1905 annual report has the Jamaican Missionary Society keeping an English clergyman at Culebra for five or six years already, so the ministry runs back to about 1899.</t>
  </si>
  <si>
    <t>CZ-139</t>
  </si>
  <si>
    <t>Culebra Colored School</t>
  </si>
  <si>
    <t>1914-1915</t>
  </si>
  <si>
    <t>Labeled 'Colored School' (building 73), sheet 014 - the segregated school, named as such on the official blueprint: direct erasure-mechanism evidence for the racial ordering of zone towns. Registered 2026-09-13 (infrastructure mapping batch). Building outline traced 2026-09-13 from the source sheet into data/footprints.geojson (building-outline pass). | 2026-09-16 Internet Archive leg: end 1912-1915 -&gt; 1914-1915. The 1914 annual report still tabulates enrolment for the colored schools, Culebra among them, so the school outlived 1912.</t>
  </si>
  <si>
    <t>CZ-140</t>
  </si>
  <si>
    <t>Culebra Commissary</t>
  </si>
  <si>
    <t>Labeled Commissary (building 69), sheet 014. Registered 2026-09-13 (infrastructure mapping batch). Building outline traced 2026-09-13 from the source sheet into data/footprints.geojson (building-outline pass). | lifespan extended to dated evidence 2026-09-13 [was: 1912-1915]</t>
  </si>
  <si>
    <t>CZ-141</t>
  </si>
  <si>
    <t>Culebra Fire Department</t>
  </si>
  <si>
    <t>Labeled Fire Department, sheet 014. Registered 2026-09-13 (infrastructure mapping batch). Building outline traced 2026-09-13 from the source sheet into data/footprints.geojson (building-outline pass).</t>
  </si>
  <si>
    <t>CZ-142</t>
  </si>
  <si>
    <t>Culebra Dispensary</t>
  </si>
  <si>
    <t>by 1904</t>
  </si>
  <si>
    <t>Labeled Dispensary (building 231), sheet 014; District Physician adjacent. Registered 2026-09-13 (infrastructure mapping batch). Building outline traced 2026-09-13 from the source sheet into data/footprints.geojson (building-outline pass). | 2026-09-16: start pulled back from 'pre-1907' to 'by 1905'. Same 1905-06 malaria-emergency sentence (v00036), plus the twelve-day stay in the Culebra rest house (v00048). | 2026-09-16 Internet Archive leg: start by 1905 -&gt; by 1904. The 1905 annual report dates it exactly: 'On October 22, 1904, an emergency hospital was opened at Culebra.'</t>
  </si>
  <si>
    <t>CZ-143</t>
  </si>
  <si>
    <t>Culebra Planing Mill</t>
  </si>
  <si>
    <t>Labeled Planing Mill (building 80), sheet 014. Registered 2026-09-13 (infrastructure mapping batch). Building outline traced 2026-09-13 from the source sheet into data/footprints.geojson (building-outline pass).</t>
  </si>
  <si>
    <t>CZ-144</t>
  </si>
  <si>
    <t>Culebra Corral</t>
  </si>
  <si>
    <t>Labeled Corral - southern outlier of the town, sheet 014. Registered 2026-09-13 (infrastructure mapping batch). Building outline traced 2026-09-13 from the source sheet into data/footprints.geojson (building-outline pass). | 2026-09-16 Internet Archive leg: start pre-1907 -&gt; by 1905. The 1905 appropriation list has corrals at Ancon, Corozal, Culebra and Cristobal.</t>
  </si>
  <si>
    <t>CZ-145</t>
  </si>
  <si>
    <t>Culebra Lumber Mill</t>
  </si>
  <si>
    <t>Labeled Lumber Mill, sheet 013 (map 12 'Culebra on Dump') - industrial yard W of town; Planing Mill Storehouse adjacent (px 3910,5200). Registered 2026-09-13 (infrastructure mapping batch). Building outline traced 2026-09-13 from the source sheet into data/footprints.geojson (building-outline pass). | 2026-09-16: start pulled back from 'pre-1907' to 'by 1905'. Letter v00044: Finn arrived in 1905 and 'started working for the Building &amp; Construction Division In Culebra Lumber Yard as checker'.</t>
  </si>
  <si>
    <t>CZ-146</t>
  </si>
  <si>
    <t>Culebra PRR Depot</t>
  </si>
  <si>
    <t>Building labeled Depot, sheet 013 - the town's PRR depot. Registered 2026-09-13 (infrastructure mapping batch). Building outline traced 2026-09-13 from the source sheet into data/footprints.geojson (building-outline pass).</t>
  </si>
  <si>
    <t>CZ-147</t>
  </si>
  <si>
    <t>Culebra Magazine</t>
  </si>
  <si>
    <t>Labeled Magazine (explosives store), sheet 013 - dynamite infrastructure of the Cut. Registered 2026-09-13 (infrastructure mapping batch). Building outline traced 2026-09-13 from the source sheet into data/footprints.geojson (building-outline pass). | 2026-09-16 Internet Archive leg: start pre-1907 -&gt; by 1906. The 1906 storehouse schedule lists a dynamite magazine at Culebra.</t>
  </si>
  <si>
    <t>CZ-148</t>
  </si>
  <si>
    <t>Las Cascadas Engine House</t>
  </si>
  <si>
    <t>Labeled Engine House, sheet 006 (map 5 'LAS CASCADAS'). Registered 2026-09-13 (infrastructure mapping batch). Building outline traced 2026-09-13 from the source sheet into data/footprints.geojson (building-outline pass).</t>
  </si>
  <si>
    <t>CZ-149</t>
  </si>
  <si>
    <t>Las Cascadas Post Office</t>
  </si>
  <si>
    <t>Labeled Post Office, sheet 006. Registered 2026-09-13 (infrastructure mapping batch). Building outline traced 2026-09-13 from the source sheet into data/footprints.geojson (building-outline pass).</t>
  </si>
  <si>
    <t>CZ-150</t>
  </si>
  <si>
    <t>Paraiso Shops (French-era complex)</t>
  </si>
  <si>
    <t>Machine Shop / Boiler-Blacksmith / Storehouse complex SE of town along the OLD PRR - the French-era shops still standing June 1907, sheet 019 (map 17 'PARAISO'). Registered 2026-09-13 (infrastructure mapping batch). Extent traced 2026-09-13 from CULEBRACAMPS sheet 019 (five labeled shop buildings + lavatory) into data/footprints.geojson.</t>
  </si>
  <si>
    <t>CZ-151</t>
  </si>
  <si>
    <t>Paraiso Hotel</t>
  </si>
  <si>
    <t>Labeled Hotel, sheet 019. Registered 2026-09-13 (infrastructure mapping batch). Building outline traced 2026-09-13 from the source sheet into data/footprints.geojson (building-outline pass). | 2026-09-16: start pulled back from 'pre-1907' to 'by 1906'. Letter v00057: Hodges worked eight months at the Paraiso hotel before moving to the Empire hotel in December 1907.</t>
  </si>
  <si>
    <t>CZ-152</t>
  </si>
  <si>
    <t>Pedro Miguel Labor Camp</t>
  </si>
  <si>
    <t>Rows labeled LABOR CAMP on sheet 021 (map 19 'P.MIGUEL') - laborers' housing drawn and named apart from the town proper. Roll composition not stated on the sheet (ICC labor camps were typically silver-roll); no textual source yet. Registered 2026-09-13 (infrastructure mapping batch). Extent traced 2026-09-13 from CULEBRACAMPS sheet 021 (LABOR CAMP rows, numbered quarters 44-61) into data/footprints.geojson. | 2026-09-14: start pre-1907 -&gt; by 1905-06 (2026-09-14): quarters rows on the 1905-06 Map No.3.</t>
  </si>
  <si>
    <t>CZ-153</t>
  </si>
  <si>
    <t>Pedro Miguel Shops / Roundhouse</t>
  </si>
  <si>
    <t>Shops/roundhouse area SE of town, sheet 021 - labels only partially legible, identification tentative. Registered 2026-09-13 (infrastructure mapping batch). Complex extent traced 2026-09-13 (sheet 021; labels faint) into data/footprints.geojson - extent of the shops group, not one building. | 2026-09-14: start pre-1907 -&gt; by 1905-06 (2026-09-14): PEDRO MIGUEL YARD lettered on the 1905-06 Map No.3.</t>
  </si>
  <si>
    <t>CZ-154</t>
  </si>
  <si>
    <t>Paraiso Police Station</t>
  </si>
  <si>
    <t>Labeled 'Police Sta.' in Paraiso town, CULEBRACAMPS sheet 019 - found 2026-09-13 while tracing the shops footprint (the 2026-09-08 harvest missed it). Registered (infrastructure mapping batch). Coordinate corrected 2026-09-13: register script had stored a point ~135 m ESE of the drawn building; now set to the traced bldg-21 centroid. Building outline traced into data/footprints.geojson.</t>
  </si>
  <si>
    <t>CZ-155</t>
  </si>
  <si>
    <t>Buena Vista (Pacific camp)</t>
  </si>
  <si>
    <t>SPLIT from CZ-031 2026-09-13: the Pacific-side camp between Buena Vista hill and Las Cascadas, a namesake of the drowned Atlantic PRR-station village. Drawn building-level on CULEBRACAMPS sheet 005 (1907), labeled on ICC1909 ('marks; erased' read) and ICC1911. Dates modeled on the other Culebra-cut camps (Corosita, Cunette, Cerro, Lirio).</t>
  </si>
  <si>
    <t>CZ-156</t>
  </si>
  <si>
    <t>Guachapali</t>
  </si>
  <si>
    <t>Village de Guachapali</t>
  </si>
  <si>
    <t>Not removed</t>
  </si>
  <si>
    <t>pre-1890</t>
  </si>
  <si>
    <t>Panama City arrabal, subject of the georeferenced 1890 French plan (S-026, +-50 m fit to the surviving Av Central). Registered 2026-09-13 - the plan waited a week for its own town to exist. Persists within modern Calidonia/Guachapali. Identity CONFIRMED as the Panama City district 2026-09-14; Canal Record (33 page hits, 1907-16, incl. the 1909-11 sanitary demolitions and the West Indian churches) and Evening Star 1910 imported from the variant-name probe.</t>
  </si>
  <si>
    <t>Neighbourhood on the edge of Panama City, drawn in detail on an 1890 French plan and partly demolished in the sanitation works of 1909–11. Survives within the Calidonia district.</t>
  </si>
  <si>
    <t>CZ-157</t>
  </si>
  <si>
    <t>Cansaloma</t>
  </si>
  <si>
    <t>1862 village opposite Gorgona on the PRR land-claims plano (S-028): village marks + label. On no later sheet consulted. Registered 2026-09-13. | lifespan extended to dated evidence 2026-09-14 (the cluster is drawn 1857) [was: pre-1862]</t>
  </si>
  <si>
    <t>CZ-158</t>
  </si>
  <si>
    <t>Silver City</t>
  </si>
  <si>
    <t>Rainbow City (later); Rainbow City (from 1961)</t>
  </si>
  <si>
    <t>Named silver-roll town on the 1947 sheet (S-031), adjacent to Mount Hope; later Rainbow City. Founding c.1919-20 VERIFIED in the Canal Record: page hits from Vol XIV (1920-21), 'Grading at Silver City, Mount Hope' recurring through Vol XV 1921-22 (A-1390, variant-name probe). Start set c.1920 2026-09-14. Registered 2026-09-13 at sub-town scale under CZ-040. | 2026-09-14: CZ-211 'Silver City' merged in (2026-09-14) - same place registered twice.</t>
  </si>
  <si>
    <t>Town for Silver Roll workers (mostly West Indian and Black) beside Mount Hope, founded around 1920; later renamed Rainbow City.</t>
  </si>
  <si>
    <t>CZ-159</t>
  </si>
  <si>
    <t>Culebra Baptist Mission Church</t>
  </si>
  <si>
    <t>Baptist Mission church 164A</t>
  </si>
  <si>
    <t>by 1907?</t>
  </si>
  <si>
    <t>Building 164A on the official 1910 Map of Culebra (S-023) - a West Indian congregation ON the official map, counterpoint to the Colored School's textual silence. Registered 2026-09-13. Police Station 147 / Penitentiary 173 / Pumping Station 146 from the same sheet remain unregistered in CULEBRA1910_features.csv. | 2026-09-14: start pre-1910 -&gt; by 1909 (2026-09-14): Canal Record 'Culebra Baptist' 1909 (Low, unverified OCR). | lifespan extended 2026-09-15 (retro audit National Archives leg): a 1907-1909 marriage-license volume carries 'Culebra Baptist' (Low, not read at item level) [was: by 1909]</t>
  </si>
  <si>
    <t>CZ-160</t>
  </si>
  <si>
    <t>Mt Zion (Culebra)</t>
  </si>
  <si>
    <t>Zion Hill (Record Group 185)</t>
  </si>
  <si>
    <t>pre-1905</t>
  </si>
  <si>
    <t>Labeled on the 1905-06 survey (S-027) SE of Culebra - church/reserve; likely West Indian congregation. Registered 2026-09-13.</t>
  </si>
  <si>
    <t>CZ-161</t>
  </si>
  <si>
    <t>Ancon Hospital</t>
  </si>
  <si>
    <t>Complex labeled on the 1905-06 survey Map No.3 (S-027; French-era foundation, later Gorgas). Coordinates await the Map No.3 second pass - registered unlocated 2026-09-13 rather than given a guessed point. | 2026-09-14: start pre-1904 -&gt; pre-1886 (2026-09-14): 'Hopital' building group on the 1886 Plan General.</t>
  </si>
  <si>
    <t>Hospital founded during the French canal period, later Gorgas Hospital.</t>
  </si>
  <si>
    <t>CZ-162</t>
  </si>
  <si>
    <t>Ancon Cemetery</t>
  </si>
  <si>
    <t>Labeled on the 1905-06 survey Map No.3 (S-027). Coordinates await the Map No.3 second pass. Registered 2026-09-13. | LOCATION LEAD 2026-09-14 (Butcher letter v00025, S-036): 'the cemetery... was on the site of the present Administration Building'; removal of the dead began 1912, reburied at Corozal. Landmark-derived coordinate read queued (Admin Building is a fixed modern landmark); a dated erasure event in its own right. | LOCATED 2026-09-14 by landmark identification - see the S-036 geometry attestation. | RULING 2026-09-16: spatial certainty Unknown -&gt; Medium, radius 200 m. The S-027 map label (8.95876, -79.553928, +/-200 m) and the S-036 landmark fix (8.95968, -79.554833, +/-150 m) lie ~140 m apart, inside both uncertainties - two independent sources agreeing, not a conflict. Neither point moved.</t>
  </si>
  <si>
    <t>CZ-163</t>
  </si>
  <si>
    <t>Chinese Cemetery (Ancon)</t>
  </si>
  <si>
    <t>Labeled on the 1905-06 survey Map No.3 (S-027); pairs with the Museo del Canal Chinese-presence attestations (S-032) - a non-US, non-West-Indian community trace. Coordinates await the Map No.3 second pass. Registered 2026-09-13. | lifespan extended 2026-09-14 (-31): the Chinese Cemetery is drawn on the 1905-06 survey and read back to 1895; predates the 1904 claim [was: pre-1904]</t>
  </si>
  <si>
    <t>CZ-164</t>
  </si>
  <si>
    <t>New Empire</t>
  </si>
  <si>
    <t>c.1910?</t>
  </si>
  <si>
    <t>c.1913-1916?</t>
  </si>
  <si>
    <t>Label + dots by Empire Sta. on the 1911 property map (S-005) - a relocated Empire settlement distinct from the town core. Registered 2026-09-13.</t>
  </si>
  <si>
    <t>CZ-165</t>
  </si>
  <si>
    <t>Cerro Gordo camp</t>
  </si>
  <si>
    <t>CERRO GORDO + camp dots on the 1911 property map (S-005); distinct from CZ-079 Cerro. Registered 2026-09-13. | lifespan extended 2026-09-14 (-31): Cerro Gordo camp read to 1914 on the property map; just past the 1913 claim [was: c.1913?]</t>
  </si>
  <si>
    <t>CZ-166</t>
  </si>
  <si>
    <t>Curundu</t>
  </si>
  <si>
    <t>Curundú</t>
  </si>
  <si>
    <t>Labeled on the 1947 sheet (S-031); persists as a Panama City district. Registered 2026-09-13 (1947 civilian settlements; military bases stay in the CSV). | 2026-09-14: coordinate re-fixed from lettering on PACIFIC1947, moved 1799 m (2026-09-14). | lifespan extended 2026-09-15 (retro audit National Archives leg): 'Curundu' in La Estrella from 1904 and in the US press 1913 - probably the river, so the start is marked uncertain [was: pre-1947?]</t>
  </si>
  <si>
    <t>Named on the 1947 Canal Zone map; today a district of Panama City.</t>
  </si>
  <si>
    <t>CZ-167</t>
  </si>
  <si>
    <t>Coco Solito</t>
  </si>
  <si>
    <t>by 1942</t>
  </si>
  <si>
    <t>Labeled on the 1947 sheet (S-031) near Coco Solo; community identity (likely West Indian) unverified - chase in the Silver Men archive. Registered 2026-09-13. | lifespan extended 2026-09-15 (retro audit National Archives leg): Coco Solito given as residence in 1942-1966 marriage-license volumes [was: pre-1947?]</t>
  </si>
  <si>
    <t>CZ-168</t>
  </si>
  <si>
    <t>New Cristobal</t>
  </si>
  <si>
    <t>by 1914</t>
  </si>
  <si>
    <t>Labeled on the 1947 sheet (S-031), beside Colon. Registered 2026-09-13. | lifespan extended 2026-09-14 (-31): New Cristobal attested from 1917 (predates the 1947-sheet claim - the town existed decades before the census map) [was: pre-1947?] | lifespan extended 2026-09-15 (retro audit National Archives leg): 16 US newspaper pages for 'New Cristobal' from 1914-10-11 [was: c.1917]</t>
  </si>
  <si>
    <t>CZ-169</t>
  </si>
  <si>
    <t>Lacona</t>
  </si>
  <si>
    <t>Labeled on the 1947 sheet (S-031); CSV note reads 'housing area near Cocoli?'. Low confidence. Registered 2026-09-13. | lifespan extended 2026-09-15 (retro audit National Archives leg): Lacona given as residence in 1942-1955 marriage-license volumes [was: pre-1947?]</t>
  </si>
  <si>
    <t>CZ-170</t>
  </si>
  <si>
    <t>Cartagenita (La Boca)</t>
  </si>
  <si>
    <t>Cartasenita</t>
  </si>
  <si>
    <t>CARTAGENITA label + black buildings near the Rio Curundu on the 1895 French Panama sheet (S-029, sheet 3). Ruling 2026-09-13: registered as a separate place - namesake of CZ-062 Cartagenita unless relocation evidence appears (a dated relation can tie them later). | IDENTITY LEAD 2026-09-14 (Suazo letter v00004, S-036): La Boca's multi-ethnic commercial quarter (industrial gate to Pier 17; Chinese shops) 'le llamaban Cartasenita' - plausibly the same place the 1895 sheet draws near the Rio Curundu. Ruling queued: identify CZ-170 with Suazo's quarter? | IDENTITY RULED 2026-09-14: one place - the 1895 sheet's drawn CARTAGENITA (~1.1 km up the Curundu from La Boca's point) and Suazo's lived commercial quarter are the same barrio; renamed 'Cartagenita (La Boca)'; namesake note vs CZ-062 stands.</t>
  </si>
  <si>
    <t>CZ-171</t>
  </si>
  <si>
    <t>Cocoli (townsite)</t>
  </si>
  <si>
    <t>pre-1947?</t>
  </si>
  <si>
    <t>Ruling 2026-09-13: Cocoli is two places. This is the late-era US townsite the 1947 sheet labels (Third Locks era); the S-031 geometry read is repointed here from CZ-064, which keeps the old village (incl. its 1911 property-map claim).</t>
  </si>
  <si>
    <t>US townsite of the 1940s Third Locks project. The older village of Cocolí is recorded as a separate place.</t>
  </si>
  <si>
    <t>CZ-172</t>
  </si>
  <si>
    <t>Pedro Miguel (as-built)</t>
  </si>
  <si>
    <t>Ruling 2026-09-13: Pedro Miguel splits old/new (like Culebra). This is the as-built canal-era town whose property blocks the 1911 sheet draws ~1.2 km W of the old CZ-020 dot. Coordinates await the ICC1911 pixel read - registered unlocated rather than guessed.</t>
  </si>
  <si>
    <t>CZ-173</t>
  </si>
  <si>
    <t>New Frijoles</t>
  </si>
  <si>
    <t>Frijoles (relocated station)</t>
  </si>
  <si>
    <t>Ruling 2026-09-13: Frijoles splits old/new (pattern of Pedro Miguel CZ-172 and Cocoli CZ-171). This is the relocated PRR-line station above Gatun Lake level - 'New Frijoles' in the Canal Record 1909-10, the ICC1911 new-line station read, the 1940 census ED map; persists as the Barro Colorado access halt. CZ-023 keeps the drowned old-line village. Undated both-era aggregates (PI-91 A-0273, Smithsonian A-0321) stay on CZ-023.</t>
  </si>
  <si>
    <t>Station on the relocated railroad above the level of Gatún Lake. The original village of Frijoles, now under the lake, is recorded as a separate place.</t>
  </si>
  <si>
    <t>CZ-174</t>
  </si>
  <si>
    <t>Jamaica Town (Gorgona)</t>
  </si>
  <si>
    <t>Jamaica Town</t>
  </si>
  <si>
    <t>West Indian quarter of Gorgona on no map held: McDonald (Silver People letter v00072) - 'the Gorgona Shops South of Gorgona near Jamaica Town a colored section'; repair shops 'North of Jamaica town'. Registered 2026-09-14, honestly unlocated; directed re-read of the 1908 saloon map's southern quarter queued. | POSITION CANDIDATE 2026-09-14 from the queued saloon-map re-read: the drawn-but-unnamed south-of-rail cluster (A-1367, Low, +-200 m). The official map's silence on the quarter's name is itself the finding - the name survives only in McDonald's letter. | 2026-09-16 Internet Archive leg: start pre-1908 -&gt; by 1905. The 1905 annual report has the Gorgona reservoir supplying Gorgona, Jamaica Town and Matachin.</t>
  </si>
  <si>
    <t>CZ-175</t>
  </si>
  <si>
    <t>Camacho (Empire)</t>
  </si>
  <si>
    <t>Big Camacho; Small Camacho; Camacha</t>
  </si>
  <si>
    <t>Empire satellite section: commissary delivery districts 'Big Camacho, Small Camacho' (McDonald v00072); Gard worked 'Camacha kitchen' under Mr J Poole, 1907 (v00048). One place 2026-09-14; Big/Small split awaits a drawn source.</t>
  </si>
  <si>
    <t>CZ-176</t>
  </si>
  <si>
    <t>Bishop's Hollow (Ancon)</t>
  </si>
  <si>
    <t>pre-1906</t>
  </si>
  <si>
    <t>c.1913-1915?</t>
  </si>
  <si>
    <t>Butcher (v00025), 1906 Ancon: toward Gorgas lay 'the community then known as Bishop's Hollow where the U.S. citizens resided'. Absorbed in the Balboa Heights build-out. Registered 2026-09-14.</t>
  </si>
  <si>
    <t>CZ-177</t>
  </si>
  <si>
    <t>Banana Walk (Matachin)</t>
  </si>
  <si>
    <t>pre-1911</t>
  </si>
  <si>
    <t>White (v00112), April 1911: lodged at 'a little place called Banana Walk' in crowded Matachin. Registered 2026-09-14.</t>
  </si>
  <si>
    <t>CZ-178</t>
  </si>
  <si>
    <t>Rio Grande works (Culebra)</t>
  </si>
  <si>
    <t>Culebra Rio Grandi; Rio Grande</t>
  </si>
  <si>
    <t>Works area SW of Culebra: Gard's 1906 'Culebra Rio Grandi' camp (3-tier bunks, v00048), Hodges' 'Rio Grande Car Repairing' (v00057), De la Rosa breaking rock (v00040). Ties to CULEBRACAMPS sheet 017 (Rock Crusher, quarters 325-328) - that sheet's deferred georef now has a customer. Registered 2026-09-14.</t>
  </si>
  <si>
    <t>CZ-179</t>
  </si>
  <si>
    <t>Culebra Police Station (145)</t>
  </si>
  <si>
    <t>Building 145 on the official 1910 Map of Culebra (S-023); first registered as 147, corrected 2026-09-14 from an 8x read of the sheet label. Pairs with Paraiso's police station (CZ-154). Registered 2026-09-14. | lifespan extended 2026-09-15 (retro audit National Archives leg): La Estrella names a police station at Culebra, 1907-03-03 (Low, page not read) [was: pre-1910]</t>
  </si>
  <si>
    <t>CZ-180</t>
  </si>
  <si>
    <t>Culebra Penitentiary (173)</t>
  </si>
  <si>
    <t>Building 173 on the 1910 town map (S-023) - the Zone's confinement rendered as a building at its administrative heart; pairs with Palo Seco (CZ-048). Registered 2026-09-14. | lifespan extended 2026-09-14 (-31): Culebra Penitentiary in the Canal Record 1907-1914, before the 1910 town-map claim [was: pre-1910] | lifespan extended 2026-09-15 (retro audit National Archives leg): photograph 'Canal Zone Penitentiary at Culebra CZ 1905' [was: c.1907]</t>
  </si>
  <si>
    <t>CZ-181</t>
  </si>
  <si>
    <t>Culebra Pumping Station (146)</t>
  </si>
  <si>
    <t>pre-1910</t>
  </si>
  <si>
    <t>Building 146 on the 1910 town map (S-023). Registered 2026-09-14. | lifespan extended 2026-09-14 (triaged by session -31): the pumping station outlasts the town's 1912-15 depopulation - Canal Record names it 1919 (A-2119); infrastructure persists past removal [was: 1912-1915]</t>
  </si>
  <si>
    <t>CZ-182</t>
  </si>
  <si>
    <t>Diablo Heights</t>
  </si>
  <si>
    <t>c.1939?</t>
  </si>
  <si>
    <t>2026-09-14: Diablo splits old/new (pattern of Frijoles CZ-173, Cocoli CZ-171, Pedro Miguel CZ-172). This is the 1940s US successor townsite on the heights - earliest 'Diablo Heights' in the Canal Record 1939-40, PACIFIC1947 letters + Club House + named streets (Davis, Endicott, Walker Ave...), 1947 zone-sheet label. CZ-055 keeps the old village/camp (by 1905-06 - 1913/14). Also closes the pending 1947 'Diablo Heights' feature question.</t>
  </si>
  <si>
    <t>US townsite built from the late 1930s. The earlier village and camp of Diablo is recorded as a separate place.</t>
  </si>
  <si>
    <t>CZ-183</t>
  </si>
  <si>
    <t>Barro Colorado (village)</t>
  </si>
  <si>
    <t>Barro Colorado Abajo (1857)</t>
  </si>
  <si>
    <t>1857 Totten map draws 'Barro Colorado Abajo' with village dots on the Chagres left bank - the pre-lake village whose hill later names Barro Colorado Island (CZ-073). On no later sheet consulted; drowned by Gatun Lake. Registered 2026-09-14 (pattern of Cansaloma CZ-157). Uncertainty +-800 m per the sheet's interior accuracy (0.4-1.5 km). | 2026-09-16 Internet Archive leg: end 1911-1914 -&gt; 1913-1914. The Canal Record's 1913 condemnation award for the estate of Barro Colorado Abajo shows the estate still being taken in 1913.</t>
  </si>
  <si>
    <t>CZ-184</t>
  </si>
  <si>
    <t>Rio Indio Settlement</t>
  </si>
  <si>
    <t>c.1844</t>
  </si>
  <si>
    <t>Drawn/labeled on the 1857 Totten map (S-042) - single-source 1857 name; on no later sheet consulted. End date and fate UNKNOWN by design: an 1857-only read must not claim survival to the canal era. Registered 2026-09-14 (PRR1857). 'Rio Indio Settlement' label W of the river, toward the Caribbean coast. | lifespan extended 2026-09-14 (triaged by session -31): 'Casa Rio de Indio' existence mention 1844 (A-2061, S-048) - a real pre-canal settlement attestation, not a Name-type row; start predates the 1857 claim [was: pre-1857]</t>
  </si>
  <si>
    <t>CZ-185</t>
  </si>
  <si>
    <t>Palo Matias Nuevo</t>
  </si>
  <si>
    <t>Drawn/labeled on the 1857 Totten map (S-042) - single-source 1857 name; on no later sheet consulted. End date and fate UNKNOWN by design: an 1857-only read must not claim survival to the canal era. Registered 2026-09-14 (PRR1857). Label + symbol downstream of Palo Matias Viejo (CZ-085, also drawn 1857): the Viejo/Nuevo pair existed by 1857, and the 1862 plano's Palo Matias Nuevo tract gives the name a second source. Site falls in/near the Gatun flood pool.</t>
  </si>
  <si>
    <t>CZ-186</t>
  </si>
  <si>
    <t>Palo Horqueta</t>
  </si>
  <si>
    <t>Drawn/labeled on the 1857 Totten map (S-042) - single-source 1857 name; on no later sheet consulted. End date and fate UNKNOWN by design: an 1857-only read must not claim survival to the canal era. Registered 2026-09-14 (PRR1857). Riverside LABEL ONLY - no dots or symbol; the weakest registration of this set, kept reviewable. Site falls in/near the Gatun flood pool.</t>
  </si>
  <si>
    <t>CZ-187</t>
  </si>
  <si>
    <t>Palenquillo</t>
  </si>
  <si>
    <t>Palenquilla</t>
  </si>
  <si>
    <t>Drawn/labeled on the 1857 Totten map (S-042) - single-source 1857 name; on no later sheet consulted. End date and fate UNKNOWN by design: an 1857-only read must not claim survival to the canal era. Registered 2026-09-14 (PRR1857). Village dots + 'Qua./Sierra de Palenquillo'. Site falls in/near the Gatun flood pool. | 2026-09-14: CZ-217 'Palenquilla' merged in (2026-09-14) - same place registered twice. POSITION CONFLICT kept as candidate points: the 1857 read sits by Palo Matias, ~11 km downstream of the 1886 kilometrage point near Frijoles; 1844 'Loma de Palenquilla' and the Canal Record estate 'Palenquilla and Frijol Grande near the village of Frijoles' side with the Frijoles position. | RULING 2026-09-16: keep both candidate positions, no primary. A third name was found and is NOT adopted as a position - see the S-021 Name attestation for Palenquilla Point, a coastal feature near Corozo Island.</t>
  </si>
  <si>
    <t>CZ-188</t>
  </si>
  <si>
    <t>Pedro Bernal's Settlement</t>
  </si>
  <si>
    <t>Pedro Bernal</t>
  </si>
  <si>
    <t>Drawn/labeled on the 1857 Totten map (S-042) - single-source 1857 name; on no later sheet consulted. End date and fate UNKNOWN by design: an 1857-only read must not claim survival to the canal era. Registered 2026-09-14 (PRR1857). Named settlement S of Tabernilla (CZ-026, drowned) - in the Gatun flood basin if it persisted. | 2026-09-14: CZ-220 'Pedro Bernal' merged in (2026-09-14) - same place registered twice.</t>
  </si>
  <si>
    <t>CZ-189</t>
  </si>
  <si>
    <t>Mari Posa</t>
  </si>
  <si>
    <t>Mariposa?</t>
  </si>
  <si>
    <t>Drawn/labeled on the 1857 Totten map (S-042) - single-source 1857 name; on no later sheet consulted. End date and fate UNKNOWN by design: an 1857-only read must not claim survival to the canal era. Registered 2026-09-14 (PRR1857). Settlement label W of the Obispo valley.</t>
  </si>
  <si>
    <t>CZ-190</t>
  </si>
  <si>
    <t>Noreza</t>
  </si>
  <si>
    <t>Drawn/labeled on the 1857 Totten map (S-042) - single-source 1857 name; on no later sheet consulted. End date and fate UNKNOWN by design: an 1857-only read must not claim survival to the canal era. Registered 2026-09-14 (PRR1857). Settlement label + dots.</t>
  </si>
  <si>
    <t>CZ-191</t>
  </si>
  <si>
    <t>Dominica</t>
  </si>
  <si>
    <t>Drawn/labeled on the 1857 Totten map (S-042) - single-source 1857 name; on no later sheet consulted. End date and fate UNKNOWN by design: an 1857-only read must not claim survival to the canal era. Registered 2026-09-14 (PRR1857). Settlement E of the Rio Caimitillo.</t>
  </si>
  <si>
    <t>CZ-192</t>
  </si>
  <si>
    <t>Cardenas</t>
  </si>
  <si>
    <t>Cárdenas</t>
  </si>
  <si>
    <t>Drawn/labeled on the 1857 Totten map (S-042) - single-source 1857 name; on no later sheet consulted. End date and fate UNKNOWN by design: an 1857-only read must not claim survival to the canal era. Registered 2026-09-14 (PRR1857). Village label at the sheet edge; a Cardenas village exists in the same sector today - POSSIBLE continuity, verify before claiming Persists.</t>
  </si>
  <si>
    <t>CZ-193</t>
  </si>
  <si>
    <t>La Vuella (Half Way House)</t>
  </si>
  <si>
    <t>La Vuella; Half way house</t>
  </si>
  <si>
    <t>Drawn/labeled on the 1857 Totten map (S-042) - single-source 1857 name; on no later sheet consulted. End date and fate UNKNOWN by design: an 1857-only read must not claim survival to the canal era. Registered 2026-09-14 (PRR1857). Named waypoint/roadhouse on the Gorgona lower road - road infrastructure with a settlement name.</t>
  </si>
  <si>
    <t>CZ-194</t>
  </si>
  <si>
    <t>Miraflores (Atlantic)</t>
  </si>
  <si>
    <t>Miraflores (Chagres)</t>
  </si>
  <si>
    <t>Drawn/labeled on the 1857 Totten map (S-042) - single-source 1857 name; on no later sheet consulted. End date and fate UNKNOWN by design: an 1857-only read must not claim survival to the canal era. Registered 2026-09-14 (PRR1857). Village label near Gatun on the lower Chagres - a SECOND Miraflores. NEVER conflate with CZ-028 Miraflores (Pacific, US-era). | 2026-09-14: CZ-210 'Miraflores (Chagres)' merged in (2026-09-14) - same place registered twice.</t>
  </si>
  <si>
    <t>CZ-195</t>
  </si>
  <si>
    <t>Marañón</t>
  </si>
  <si>
    <t>Maranon</t>
  </si>
  <si>
    <t>Registered 2026-09-14. MARANON district label on the 1904 Panamanian plan (S-038) - the West Indian tenement district beside Guachapali (CZ-156). Persists as a Calidonia sector - verify modern extent before citing. | demoted to Neighborhood under CZ-199 2026-09-14: the quarters were the barrios of the arrabal de Santa Ana - nested so the Pacific corner reads at town zoom; reachable from the features toggle and the CZ-199 card.</t>
  </si>
  <si>
    <t>CZ-199</t>
  </si>
  <si>
    <t>Neighbourhood of West Indian tenements beside Guachapali, named on a 1904 Panamanian map. Survives within the Calidonia district.</t>
  </si>
  <si>
    <t>CZ-196</t>
  </si>
  <si>
    <t>Cocoa Grove</t>
  </si>
  <si>
    <t>Cocoagrove</t>
  </si>
  <si>
    <t>pre-1889</t>
  </si>
  <si>
    <t>Registered 2026-09-14. COCOAGROVE label on the 1904 plan - the famous district on the Zone-boundary edge (site of the 1912/1915 riots that drove US liquor/vice policy - dates from secondary literature, verify before citing). Fate after the 1910s unknown - absorbed into Santa Ana/El Chorrillo. | demoted to Neighborhood under CZ-199 2026-09-14: the quarters were the barrios of the arrabal de Santa Ana - nested so the Pacific corner reads at town zoom; reachable from the features toggle and the CZ-199 card. | lifespan extended 2026-09-15 (retro audit National Archives leg): the US press 1889-02-15 places Panama's five cemeteries 'at Cocoa Grove' - the district is named 15 years before the 1904 city plan [was: pre-1904]</t>
  </si>
  <si>
    <t>CZ-197</t>
  </si>
  <si>
    <t>Chorrillo del Rey</t>
  </si>
  <si>
    <t>Registered 2026-09-14. Chorrillo del Rey label + spring/stream on the 1904 plan - the spring site whose name the later El Chorrillo district takes (canal-labor housing built after 1906; name-and-site continuity, verify). Persists as El Chorrillo. | demoted to Neighborhood under CZ-199 2026-09-14: the quarters were the barrios of the arrabal de Santa Ana - nested so the Pacific corner reads at town zoom; reachable from the features toggle and the CZ-199 card.</t>
  </si>
  <si>
    <t>Spring and neighbourhood named on a 1904 map. It gave its name to the later El Chorrillo district.</t>
  </si>
  <si>
    <t>CZ-198</t>
  </si>
  <si>
    <t>Cementerios (Camino de La Boca)</t>
  </si>
  <si>
    <t>La Boca Road cemetery row</t>
  </si>
  <si>
    <t>Registered 2026-09-14. The municipal cemetery row on the Camino de La Boca: Catolico nuevo / de Estrangeros / Hebreo antiguo / Militar / Crematorio (1904, S-038), with the Cementerio Chino (CZ-163) one enclosure within it (R-19). Start pre-1857? via the 'Burial Ground (Enclosed)' ~330 m S on the same corridor (S-043) - the row's ancestor site, recorded as mention not position. Genealogy: burial ground 1857 -&gt; Cementerio Chino labeled 1904 -&gt; Map No.3 label 1906 -&gt; unlabeled on the 1947 city sheet. | parented under CZ-199 2026-09-14 (with the quarter demotions): gates with the arrabal set; scale stays Site/Institution.</t>
  </si>
  <si>
    <t>Santa Ana (arrabal)</t>
  </si>
  <si>
    <t>Faubourg de Santa Ana</t>
  </si>
  <si>
    <t>Registered 2026-09-14. FAUBOURG DE SANTA ANA + Plaza of Santa Anna + named calles (Pescaderias, Agua, Maladero), drawn house-by-house on the 1857 company plan (S-043). The arrabal's core; persists as the Santa Ana district. | 2026-09-14: anchors the arrabal set - the other eight quarters are now Neighborhood-scale children of this place. | 2026-09-14: coordinate re-fixed from lettering on PRRLANDS1857, moved 639 m (2026-09-14).</t>
  </si>
  <si>
    <t>The Santa Ana quarter just outside old Panama City, drawn house by house on an 1857 railroad company plan. Survives as the Santa Ana district.</t>
  </si>
  <si>
    <t>CZ-200</t>
  </si>
  <si>
    <t>La Ciénega</t>
  </si>
  <si>
    <t>The Cienega</t>
  </si>
  <si>
    <t>Registered 2026-09-14. THE CIENEGA lettering + shoreline quarter drawn in 'Bamboo &amp; Palmetto' (vernacular-material) houses on the 1857 company plan - the popular tidal quarter, house-by-house with building-material coding. Shore later filled; fate unknown. | demoted to Neighborhood under CZ-199 2026-09-14: the quarters were the barrios of the arrabal de Santa Ana - nested so the Pacific corner reads at town zoom; reachable from the features toggle and the CZ-199 card. | 2026-09-14: coordinate re-fixed from lettering on PRRLANDS1857, moved 455 m (2026-09-14).</t>
  </si>
  <si>
    <t>CZ-203</t>
  </si>
  <si>
    <t>Malambo</t>
  </si>
  <si>
    <t>Registered 2026-09-14. Church of Malambo + Calle de Malambo + district on the 1857 company plan. The name persists in the city - continuity unverified. | demoted to Neighborhood under CZ-199 2026-09-14: the quarters were the barrios of the arrabal de Santa Ana - nested so the Pacific corner reads at town zoom; reachable from the features toggle and the CZ-199 card. | 2026-09-14: coordinate re-fixed from lettering on PRRLANDS1857 + BERTONCINI1904, moved 731 m (2026-09-14).</t>
  </si>
  <si>
    <t>CZ-204</t>
  </si>
  <si>
    <t>Salsipuedes</t>
  </si>
  <si>
    <t>Registered 2026-09-14. Salsipuedes street label on the 1857 company plan - LABEL-ONLY read; the street and its market persist famously today (verify extent). | demoted to Neighborhood under CZ-199 2026-09-14: the quarters were the barrios of the arrabal de Santa Ana - nested so the Pacific corner reads at town zoom; reachable from the features toggle and the CZ-199 card. | 2026-09-14: coordinate re-fixed from lettering on PRRLANDS1857, moved 578 m (2026-09-14).</t>
  </si>
  <si>
    <t>Street named on an 1857 railroad company plan; the street and its market survive today.</t>
  </si>
  <si>
    <t>CZ-205</t>
  </si>
  <si>
    <t>Guinea</t>
  </si>
  <si>
    <t>Guinea Grove; Guinea Creek; Guinea Point</t>
  </si>
  <si>
    <t>Declined</t>
  </si>
  <si>
    <t>Registered 2026-09-14. Guinea Grove / Guinea Creek shore district W of the walls on the 1857 company plan; PRR1857 adds Guinea Point (2 sheets). The African toponym cluster names a colonial Afro-Panamanian shore district - counter-archive geography predating the canal by half a century. | demoted to Neighborhood under CZ-199 2026-09-14: the quarters were the barrios of the arrabal de Santa Ana - nested so the Pacific corner reads at town zoom; reachable from the features toggle and the CZ-199 card. | 2026-09-14 FLAG (2026-09-14): the 1857 plan's 'Guinea' lettering near La Huerta de Jaramillo reads 'Guinea Grass' (a pasture label), so the arrabal-quarter reading may be a misread. The toponym otherwise names a SHORE POINT: 1844 'Punta Guinea', 1857 'Guinea Point', Canal Record 1916 'Line joining Guinea Point with inner end of causeway'. Point NOT moved - identity unresolved. | DECLINED 2026-09-14: disregarded - registration rested on a misread ('Guinea Grass'); Guinea Point is a shore toponym, not a place in this model. Row kept for id stability - do not use.</t>
  </si>
  <si>
    <t>CZ-206</t>
  </si>
  <si>
    <t>Tivoli Hotel</t>
  </si>
  <si>
    <t>The ICC/PanCanal hotel at the E foot of Ancon hill: building + vertical TIVOLI label on the 1905-06 Map No.3, 'TIVOLI HOTEL' on PACIFIC1947 - two-source register. (Demolished 1971 per secondary literature - end left open pending an attested source.) Registered 2026-09-14. | lifespan extended 2026-09-15 (retro audit National Archives leg): 561 La Estrella pages for the Tivoli from 1905-02-16 - the hotel is in the press before its 1906 opening (construction and planning) [was: c.1906]</t>
  </si>
  <si>
    <t>CZ-207</t>
  </si>
  <si>
    <t>Mt. Zion Reservoir</t>
  </si>
  <si>
    <t>Zion Hill Reservoir (Record Group 185)</t>
  </si>
  <si>
    <t>Waterworks</t>
  </si>
  <si>
    <t>The Culebra town reservoir hill, NAMED 'Mt. Zion Reservoir' on the 1910 waterworks map - the West Indian congregation's toponym migrated onto official infrastructure. SPLIT from CZ-160 2026-09-14: the 1905-06 Mt Zion feature (likely the chapel) sits 1.1 km NW. Registered 2026-09-14. | 2026-09-16 Internet Archive leg: start pre-1910 -&gt; by 1907. The 1907 annual report records the pumping station installed that year to the Mount Zion reservoir at 545 feet.</t>
  </si>
  <si>
    <t>CZ-208</t>
  </si>
  <si>
    <t>Gerig (La Boca shore camp)</t>
  </si>
  <si>
    <t>Gerig</t>
  </si>
  <si>
    <t>The residential shore cluster below Sosa Low on the 1905-06 Map No.3 - the only drawn La Boca-area housing on that sheet, labeled GERIG (after ICC division engineer Wm. Gerig) while La Boca itself appears only as wharf/dump labels. Buried under the Balboa fill (R-20 replaced_by CZ-039). Registered 2026-09-14.</t>
  </si>
  <si>
    <t>CZ-209</t>
  </si>
  <si>
    <t>W. Culebra</t>
  </si>
  <si>
    <t>West Culebra</t>
  </si>
  <si>
    <t>by 1908</t>
  </si>
  <si>
    <t>'W. Culebra' label + dots on the 1911 property map (western Culebra settlement cluster); named with Golden Green and Cowpens in the Canal Record's displaced-lot-holders offer (KWIC 2026-09-13) - land offered TO the displaced. Registered 2026-09-14. | lifespan extended 2026-09-14 (triaged by session -31): Canal Record names 'West Culebra' 1909 (A-2112), before the 1911 property-map claim [was: c.1911?] | lifespan extended 2026-09-15 (retro audit National Archives leg): 5 US newspaper pages for 'West Culebra' from 1908-02-14 [was: c.1909]</t>
  </si>
  <si>
    <t>CZ-210</t>
  </si>
  <si>
    <t>A SECOND Miraflores: village labeled on the 1857 Totten map on the lower Chagres left bank near Gatun - distinct from CZ-028 (Pacific). Single-source 1857 name; end/fate UNKNOWN by design. Registered 2026-09-14. | MERGED into CZ-194 2026-09-14 (2026-09-14). Row kept for id stability - do not use.</t>
  </si>
  <si>
    <t>CZ-211</t>
  </si>
  <si>
    <t>Rainbow City (from 1961)</t>
  </si>
  <si>
    <t>Labor settlement</t>
  </si>
  <si>
    <t>The Atlantic silver-rate town, drawn building-by-building on the 1947 city sheet with its street grid named for the islands: ST. KITTS, BARBADOS, MARTINIQUE, ST. LUCIA, TRINIDAD - the exact Atlantic mirror of La Boca's Caribbean street plan. Renamed Rainbow City 1961 (secondary literature). Registered 2026-09-14. Extent traced to footprints.geojson. | MERGED into CZ-158 2026-09-14 (2026-09-14). Row kept for id stability - do not use.</t>
  </si>
  <si>
    <t>CZ-212</t>
  </si>
  <si>
    <t>Camp Bierd</t>
  </si>
  <si>
    <t>CAMP BIERD labeled barracks rows between the Cristobal yards and Silver City - the silver labor camp (named for a PRR official). Registered 2026-09-14. Extent traced. | lifespan extended 2026-09-14 (triaged by session -31): Camp Bierd in the Canal Record 1907-1914 (A-2113) - the construction-era camp predates the 1919 claim (the 1947 reads may be a later reuse of the name; kept as-is) [was: c.1919?]</t>
  </si>
  <si>
    <t>CZ-213</t>
  </si>
  <si>
    <t>Mount Hope Cemetery</t>
  </si>
  <si>
    <t>Monkey Hill Cemetery</t>
  </si>
  <si>
    <t>Shortlist</t>
  </si>
  <si>
    <t>The Atlantic burial ground at Mt. Hope (the old Monkey Hill cemetery - see the 1857 'Monkey Hill' name ancestry on CZ-040), labeled CEMETERY on the 1947 sheet. Where the silver dead went. Registered 2026-09-14. Extent TRACED 2026-09-16 (the earlier tank-farm skip was over-cautious: the southern cemetery drive is itself the tank-farm boundary and the enclosure closes).</t>
  </si>
  <si>
    <t>CZ-214</t>
  </si>
  <si>
    <t>Fort de Lesseps</t>
  </si>
  <si>
    <t>Military post</t>
  </si>
  <si>
    <t>Militarization</t>
  </si>
  <si>
    <t>c.1911?</t>
  </si>
  <si>
    <t>DE LESSEPS labeled on the Colon point by the Cristobal tennis courts - matches the unmatched 'Fort de Lesseps' name from the 1940 census sweep. Registered 2026-09-14. CORRECTED 2026-09-16: the registration read had anchored on De Lesseps PARK (tennis courts, Manzanillo shore); the fort itself is the NW Limon Bay point beside the Washington Hotel (1947 'FT. DE LESSEPS' + Post HQ/Provost Marshal labels; 1940 census ED-47 stamp; Battery Morgan site).</t>
  </si>
  <si>
    <t>CZ-215</t>
  </si>
  <si>
    <t>Jamaica Town (Gatún)</t>
  </si>
  <si>
    <t>1908-1913</t>
  </si>
  <si>
    <t>Gatún's West Indian quarter, distinct from the Gorgona Jamaica Town (CZ-174): Clarke (Silver People letter v00032) arrived Dec 1906 and 'got off the train at Gatun NORTH of Jamaica town, a section where people lived east of the Panama Rail Road track'; v00075 records that when the railroad was moved 'there was a town of colored people residing there, so called Jamaica Town, THE CEMETERY WAS DUG UP &amp; the remains carried away' to fill elsewhere. 'Jamaica Town' was the generic name for the colored section town-to-town - the recurrence is itself the finding. Unlocated; submerged under Gatún Lake. Registered 2026-09-14. | 2026-09-15: the Canal Record 1913-14 names it 'the former village known as Jamaica-town', its site a borrow pit west of Gatun Locks where foundations of French-era workers' buildings still stood (A-2306) - a second, official account of its erasure, and a hint that the quarter began in the French period (start not changed).</t>
  </si>
  <si>
    <t>CZ-216</t>
  </si>
  <si>
    <t>Dos Hermanas</t>
  </si>
  <si>
    <t>Chagres-valley hamlet on the 1886 Plan General profile at PK ~16.0 (Gallica S-051); drowned by Gatun Lake 1913-14. Added 2026-09-14 from the French Compagnie map - not in the US record. Not yet georeferenced to lat/long. French-only: searched-absent from the US corpora (S-003/S-009/S-021/S-004).</t>
  </si>
  <si>
    <t>CZ-217</t>
  </si>
  <si>
    <t>Chagres-valley hamlet on the 1886 Plan General profile at PK ~30.0 (Gallica S-051); drowned by Gatun Lake 1913-14. Added 2026-09-14 from the French Compagnie map - not in the US record. Not yet georeferenced to lat/long. ALSO in the US Canal Record land condemnations (S-003) - not French-only. | MERGED into CZ-187 2026-09-14 (2026-09-14). Row kept for id stability - do not use.</t>
  </si>
  <si>
    <t>CZ-218</t>
  </si>
  <si>
    <t>Juan Maria</t>
  </si>
  <si>
    <t>Juana Maria (ICC 1911 tract 5090)</t>
  </si>
  <si>
    <t>Chagres-valley hamlet on the 1886 Plan General profile at PK ~31.0 (Gallica S-051); drowned by Gatun Lake 1913-14. Added 2026-09-14 from the French Compagnie map - not in the US record. Not yet georeferenced to lat/long. ALSO in the US Canal Record land condemnations (S-003) - not French-only. | 2026-09-16 retro audit: the ICC 1911 property map carries the name as land tract 5090 JUANA MARIA - the village is not drawn, the name survives only in the land register, and the official spelling is Juana, not Juan.</t>
  </si>
  <si>
    <t>CZ-219</t>
  </si>
  <si>
    <t>Agua Bendita</t>
  </si>
  <si>
    <t>Chagres-valley hamlet on the 1886 Plan General profile at PK ~34.5 (Gallica S-051); drowned by Gatun Lake 1913-14. Added 2026-09-14 from the French Compagnie map - not in the US record. Not yet georeferenced to lat/long. French-only: searched-absent from the US corpora (S-003/S-009/S-021/S-004).</t>
  </si>
  <si>
    <t>CZ-220</t>
  </si>
  <si>
    <t>Chagres-valley hamlet on the 1886 Plan General profile at PK ~33.0 (Gallica S-051); drowned by Gatun Lake 1913-14. Added 2026-09-14 from the French Compagnie map - not in the US record. Not yet georeferenced to lat/long. French-only: searched-absent from the US corpora (S-003/S-009/S-021/S-004). | MERGED into CZ-188 2026-09-14 (2026-09-14). Row kept for id stability - do not use.</t>
  </si>
  <si>
    <t>CZ-221</t>
  </si>
  <si>
    <t>Jamaica Town (Pacific)</t>
  </si>
  <si>
    <t>by 1915</t>
  </si>
  <si>
    <t>A THIRD 'Jamaica Town': a West Indian quarter of Paraiso, listed under the PARAISO district beside Spanish Town in the Canal Record's 1915-16 population table (v00008/p476) - distinct from Gorgona's (CZ-174) and Gatun's (CZ-215). Single source; unlocated; end and fate unknown. Registered 2026-09-14; corrected 2026-09-15 after a full-page read (the 1913 page first attached here is Gatun's former village, now on CZ-215; start by 1913 -&gt; by 1915; parent CZ-024).</t>
  </si>
  <si>
    <t>CZ-222</t>
  </si>
  <si>
    <t>Culebra White School</t>
  </si>
  <si>
    <t>Registered 2026-09-16 by user ruling, from the retroactive audit. Named by a West Indian writer in his own words - Isthmian Historical Society letter v00072 group, v00037: 'janitor at the Culebra white school' - and carried in the 1914 enrolment tables ('White schools: ... Culebra 61'). Registered as the counterpart that makes the segregated pair legible: CZ-139 is the colored school, which the same corpus of letters never names.</t>
  </si>
  <si>
    <t>CZ-223</t>
  </si>
  <si>
    <t>Culebra Ball Park</t>
  </si>
  <si>
    <t>pre-1912</t>
  </si>
  <si>
    <t>Registered 2026-09-16 by user ruling. Isthmian Historical Society letter v00044: 'I knew the ball park in Culebra in front of the Railroad Station.' Position lead, not yet read off a sheet: in front of Culebra Station (CZ-146). Queued in data/georef/MISSING_TOWNS_ON_MAPS.md. | DECLINED 2026-09-16 by user ruling: a place named in only one document is a citation, not yet a place. only the Isthmian Historical Society letters (v00044) name it. Evidence preserved in data/FLAGGED_FOR_FUTURE.md for when the project expands; the row stays on disk and can be reinstated.</t>
  </si>
  <si>
    <t>CZ-224</t>
  </si>
  <si>
    <t>Gorgona Railroad Shops</t>
  </si>
  <si>
    <t>Gorgona Shops</t>
  </si>
  <si>
    <t>1913</t>
  </si>
  <si>
    <t>Registered 2026-09-16 by user ruling. Lettered GORGONA SHOPS on Map No.2 of the 1905-06 surveys, a shop complex with a fan of sidings on the Panama Railroad south-east of the town. Canal Record 1907: 'The large mechanical shops on the Isthmus are located at Empire, Gorgona, and Cristobal.' Letter v00068: an air brake man worked 'on the cylinders of all the railroad cars that came in the shop' at Gorgona before transfer to Pedro Miguel. Footprint not yet traced - queued in data/georef/MISSING_TOWNS_ON_MAPS.md. | 2026-09-16: end tightened from the town's 1912-1915 to 1913. The Canal Record: 'when it was decided that the shops should be moved to Balboa in 1913, the history of Gorgona shops was a record of the concentration of [work]' - the works were moved, not closed with the town. Letter v00072 places them: 'the Gorgona Shops South of Gorgona near Jamaica Town', which corroborates the 1905-06 survey read and puts the works beside the West Indian quarter (CZ-174).</t>
  </si>
  <si>
    <t>CZ-225</t>
  </si>
  <si>
    <t>Cerro Salado</t>
  </si>
  <si>
    <t>pre-1913</t>
  </si>
  <si>
    <t>Registered 2026-09-16 by user ruling. Named in the Canal Record's 1913 depopulation canvass among the places 'completely depopulated' in under five months, beside Cartagenita, Cerro Gordo, Buena Vista, Caballo Viejo and the Pedro Miguel rural districts. Unlocated - queued in data/georef/MISSING_TOWNS_ON_MAPS.md. | DECLINED 2026-09-16 by user ruling: a place named in only one document is a citation, not yet a place. only the Canal Record's 1913 depopulation canvass names it; the S-003 and S-021 rows are the same passage in two digitisations. Evidence preserved in data/FLAGGED_FOR_FUTURE.md for when the project expands; the row stays on disk and can be reinstated.</t>
  </si>
  <si>
    <t>CZ-226</t>
  </si>
  <si>
    <t>Japanese Village</t>
  </si>
  <si>
    <t>Registered 2026-09-16 by user ruling. Named in the Canal Record's 1913 depopulation canvass. The name is the Commission's own and marks a labour settlement the model held no record of; the canvass is the only mention found in any corpus. Unlocated - queued in data/georef/MISSING_TOWNS_ON_MAPS.md. | DECLINED 2026-09-16 by user ruling: a place named in only one document is a citation, not yet a place. only the Canal Record's 1913 depopulation canvass names it. Evidence preserved in data/FLAGGED_FOR_FUTURE.md for when the project expands; the row stays on disk and can be reinstated.</t>
  </si>
  <si>
    <t>CZ-227</t>
  </si>
  <si>
    <t>Hongkong</t>
  </si>
  <si>
    <t>Hong Kong</t>
  </si>
  <si>
    <t>Registered 2026-09-16 by user ruling. Named in the Canal Record's 1913 depopulation canvass, beside Japanese Village - two settlements named for the origins of the people in them, both emptied in 1913. Unlocated - queued in data/georef/MISSING_TOWNS_ON_MAPS.md. | DECLINED 2026-09-16 by user ruling: a place named in only one document is a citation, not yet a place. only the Canal Record's 1913 depopulation canvass names it; every other hit in every corpus is the port of Hong Kong. Evidence preserved in data/FLAGGED_FOR_FUTURE.md for when the project expands; the row stays on disk and can be reinstated.</t>
  </si>
  <si>
    <t>CZ-228</t>
  </si>
  <si>
    <t>Virgin</t>
  </si>
  <si>
    <t>Registered 2026-09-16 by user ruling. Named in the Canal Record's 1913 depopulation canvass. Unlocated - queued in data/georef/MISSING_TOWNS_ON_MAPS.md. | DECLINED 2026-09-16 by user ruling: a place named in only one document is a citation, not yet a place. only the Canal Record's 1913 depopulation canvass names it; every other hit is the Virgin Islands or a botanical name. Evidence preserved in data/FLAGGED_FOR_FUTURE.md for when the project expands; the row stays on disk and can be reinstated.</t>
  </si>
  <si>
    <t>CZ-229</t>
  </si>
  <si>
    <t>Waterloo</t>
  </si>
  <si>
    <t>None</t>
  </si>
  <si>
    <t>pre-1919</t>
  </si>
  <si>
    <t>Registered 2026-09-16 by user ruling. An estate name from the 1919 annual report of the Governor, in a Joint Land Commission case: a map was prepared of 'the adjacent estate of Santa Cruz, Cansaloma and Waterloo'. Like Cansaloma (CZ-157), a place surviving only inside a land title. Unlocated - queued in data/georef/MISSING_TOWNS_ON_MAPS.md.</t>
  </si>
  <si>
    <t>CZ-230</t>
  </si>
  <si>
    <t>Cerro Pelado Ammunition Depot</t>
  </si>
  <si>
    <t>by 1950</t>
  </si>
  <si>
    <t>Registered 2026-09-16 by user ruling. Enumeration district 1-32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</si>
  <si>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CZ-231</t>
  </si>
  <si>
    <t>Cerro Tigre Ordnance Depot</t>
  </si>
  <si>
    <t>Registered 2026-09-16 by user ruling. Enumeration district 1-20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</si>
  <si>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CZ-232</t>
  </si>
  <si>
    <t>Escondido</t>
  </si>
  <si>
    <t>Escondido Rural</t>
  </si>
  <si>
    <t>Registered 2026-09-16 by user ruling. Enumeration district 2-3 on the 1950 census map (S-034), one of six rural districts that between them covered the countryside of the Zone. Unlocated - queued in data/georef/MISSING_TOWNS_ON_MAPS.md.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(this conversation: "record la chinima, escondido, coco solito" - ED modifiers kept as mention-info only). Still unlocated: the 2-3 code mark was not found in a five-quadrant sweep (likely under the Gatun-area annotation cluster); the district is plausibly the northwest Zone strip (Rio Escondido country, Pina-Lagarto side).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Still unlocated (2-3 code not found in the five-quadrant sweep; plausibly the NW Zone strip).</t>
  </si>
  <si>
    <t>CZ-233</t>
  </si>
  <si>
    <t>La Chinina</t>
  </si>
  <si>
    <t>La Chinina Rural</t>
  </si>
  <si>
    <t>Registered 2026-09-16 by user ruling. Enumeration district 2-30 on the 1950 census map (S-034). Unlocated - queued in data/georef/MISSING_TOWNS_ON_MAPS.md.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(this conversation: "record la chinima, escondido, coco solito" - ED modifiers kept as mention-info only). Coordinate set from the red ED 2-30 code mark E of Gatun on the office map (district scale, +-2 km).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Coordinate stands (ED 2-30 code mark, +-2 km).</t>
  </si>
  <si>
    <t>CZ-234</t>
  </si>
  <si>
    <t>Trinidad</t>
  </si>
  <si>
    <t>Trinidad Rural</t>
  </si>
  <si>
    <t>Registered 2026-09-16 by user ruling. Enumeration district 2-34 on the 1950 census map (S-034). Unlocated - queued in data/georef/MISSING_TOWNS_ON_MAPS.md.</t>
  </si>
  <si>
    <t>CZ-235</t>
  </si>
  <si>
    <t>Escobal</t>
  </si>
  <si>
    <t>Escobal Rural</t>
  </si>
  <si>
    <t>Registered 2026-09-16 by user ruling. Enumeration district 2-1 on the 1950 census map (S-034). Unlocated - queued in data/georef/MISSING_TOWNS_ON_MAPS.md.</t>
  </si>
  <si>
    <t>CZ-236</t>
  </si>
  <si>
    <t>Madden Dam Town</t>
  </si>
  <si>
    <t>Registered 2026-09-16 by user ruling. Enumeration district 1-43 on the 1950 census map (S-034) - a dam-builders' town of the 1930s, enumerated separately from its rural district.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</si>
  <si>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CZ-237</t>
  </si>
  <si>
    <t>Madden Dam Rural</t>
  </si>
  <si>
    <t>Registered 2026-09-16 by user ruling. Enumeration district 1-42 on the 1950 census map (S-034), the rural district around Madden Dam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</si>
  <si>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CZ-238</t>
  </si>
  <si>
    <t>North Gamboa Town</t>
  </si>
  <si>
    <t>Registered 2026-09-16 by user ruling. Enumeration districts 1-33 to 1-35 on the 1950 census map (S-034). Gamboa was enumerated as two towns, north and south, with the prison in the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</si>
  <si>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CZ-239</t>
  </si>
  <si>
    <t>South Gamboa Town</t>
  </si>
  <si>
    <t>Registered 2026-09-16 by user ruling. Enumeration district 1-21 on the 1950 census map (S-034), the southern half of the divided Gamboa.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</si>
  <si>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CZ-240</t>
  </si>
  <si>
    <t>Guarapo Islands Military Reservation</t>
  </si>
  <si>
    <t>Registered 2026-09-16 by user ruling. Enumeration district 2-2 on the 1950 census map (S-034).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</si>
  <si>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CZ-241</t>
  </si>
  <si>
    <t>France Air Force Base</t>
  </si>
  <si>
    <t>France Field</t>
  </si>
  <si>
    <t>Registered 2026-09-16 by user ruling. Enumeration district 2-13 on the 1950 census map (S-034); the same installation the corpus elsewhere calls France Field.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</si>
  <si>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CZ-242</t>
  </si>
  <si>
    <t>Curundu Heights</t>
  </si>
  <si>
    <t>by 1964</t>
  </si>
  <si>
    <t>Registered 2026-09-16 by user ruling. Listed among the Pacific-sector housing areas in a 1964 report: 'Ancon, Balboa, Balboa Heights, Curundu Heights, Diablo Heights, Gamboa, La Boca, Lacona, Los Rios, Paraiso, and Pedro Miguel. These areas are used mostly by Panama Canal Company employees.'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</si>
  <si>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CZ-243</t>
  </si>
  <si>
    <t>Los Rios</t>
  </si>
  <si>
    <t>Registered 2026-09-16 by user ruling. Listed in the same 1964 roster of Pacific-sector housing areas as Curundu Heights and Lacona.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</si>
  <si>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CZ-244</t>
  </si>
  <si>
    <t>Pennsylvania Hotel (Empire)</t>
  </si>
  <si>
    <t>Hotel Empire</t>
  </si>
  <si>
    <t>Registered 2026-09-16 by user ruling (Empire hotels: TWO places). A Canal Zone guidebook advertisement: 'PENNSYLVANIA HOTEL, EMPIRE, CANAL ZONE. A. Rome, Proprietor. ONLY hotel in Empire where travelers can obtain strictly first-class accommodation.' A private house, distinct from the I.C.C. hotel (CZ-121) that the workers' letters describe; the advertisement's claim to be the only one is a commercial claim, not a survey. Unlocated - queued in data/georef/MISSING_TOWNS_ON_MAPS.md. | DECLINED 2026-09-16 by user ruling: a place named in only one document is a citation, not yet a place. only a guidebook advertisement names it. Evidence preserved in data/FLAGGED_FOR_FUTURE.md for when the project expands; the row stays on disk and can be reinstated.</t>
  </si>
  <si>
    <t>source_id (PK)</t>
  </si>
  <si>
    <t>medium</t>
  </si>
  <si>
    <t>title</t>
  </si>
  <si>
    <t>creator / author</t>
  </si>
  <si>
    <t>source_date</t>
  </si>
  <si>
    <t>repository</t>
  </si>
  <si>
    <t>archive_ref</t>
  </si>
  <si>
    <t>url</t>
  </si>
  <si>
    <t>source_origin</t>
  </si>
  <si>
    <t>reliability</t>
  </si>
  <si>
    <t>georeferenced</t>
  </si>
  <si>
    <t>rms_error_m</t>
  </si>
  <si>
    <t>ext_uri (Wikidata/GeoNames)</t>
  </si>
  <si>
    <t>archive_id</t>
  </si>
  <si>
    <t>S-001</t>
  </si>
  <si>
    <t>Web compilation</t>
  </si>
  <si>
    <t>czbrats "Villages Underwater" pages</t>
  </si>
  <si>
    <t>Canal Zone Brats</t>
  </si>
  <si>
    <t>n.d.</t>
  </si>
  <si>
    <t>czbrats.com</t>
  </si>
  <si>
    <t>-</t>
  </si>
  <si>
    <t>https://www.czbrats.com/Builders/earlytowns.htm</t>
  </si>
  <si>
    <t>NA</t>
  </si>
  <si>
    <t>Lead-generator; verify every name.</t>
  </si>
  <si>
    <t>ARC-06</t>
  </si>
  <si>
    <t>S-002</t>
  </si>
  <si>
    <t>Secondary</t>
  </si>
  <si>
    <t>Erased: The Untold Story of the Panama Canal</t>
  </si>
  <si>
    <t>Marixa Lasso</t>
  </si>
  <si>
    <t>2019</t>
  </si>
  <si>
    <t>Harvard University Press</t>
  </si>
  <si>
    <t>ISBN 9780674984448</t>
  </si>
  <si>
    <t>Depopulation as policy. Maps by T. Stallman.</t>
  </si>
  <si>
    <t>ARC-20</t>
  </si>
  <si>
    <t>S-003</t>
  </si>
  <si>
    <t>Report</t>
  </si>
  <si>
    <t>The Canal Record (official weekly)</t>
  </si>
  <si>
    <t>Isthmian Canal Commission</t>
  </si>
  <si>
    <t>1907-1941</t>
  </si>
  <si>
    <t>UF Smathers / Internet Archive</t>
  </si>
  <si>
    <t>https://ufdc.ufl.edu/UF00097368</t>
  </si>
  <si>
    <t>US official</t>
  </si>
  <si>
    <t>Week-by-week relocations. Full-text searchable at UFDC (bibid UF00097368, 28 digitized volumes 1907-1941); also on Internet Archive. Page-level harvest 2026-09: data/ufdc/.</t>
  </si>
  <si>
    <t>ARC-03</t>
  </si>
  <si>
    <t>S-004</t>
  </si>
  <si>
    <t>Administrative</t>
  </si>
  <si>
    <t>Records of the Panama Canal (Record Group 185)</t>
  </si>
  <si>
    <t>US National Archives</t>
  </si>
  <si>
    <t>1904-1979</t>
  </si>
  <si>
    <t>NARA, College Park</t>
  </si>
  <si>
    <t>RG 185</t>
  </si>
  <si>
    <t>https://www.archives.gov</t>
  </si>
  <si>
    <t>Maps, ICC records, labor series.</t>
  </si>
  <si>
    <t>ARC-01</t>
  </si>
  <si>
    <t>S-005</t>
  </si>
  <si>
    <t>Map</t>
  </si>
  <si>
    <t>Property Map of the Canal Zone</t>
  </si>
  <si>
    <t>ICC, Dept. of Law</t>
  </si>
  <si>
    <t>1911</t>
  </si>
  <si>
    <t>Library of Congress G&amp;M</t>
  </si>
  <si>
    <t>g4872c.pcc00006</t>
  </si>
  <si>
    <t>https://www.loc.gov/item/2...</t>
  </si>
  <si>
    <t>Y</t>
  </si>
  <si>
    <t>Who was dispossessed.</t>
  </si>
  <si>
    <t>ARC-02</t>
  </si>
  <si>
    <t>S-006</t>
  </si>
  <si>
    <t>Isthmian Canal Commission Map of the Canal Zone (Annual Report)</t>
  </si>
  <si>
    <t>1910</t>
  </si>
  <si>
    <t>LOC / NARA</t>
  </si>
  <si>
    <t>Towns + topography; georeference.</t>
  </si>
  <si>
    <t>S-007</t>
  </si>
  <si>
    <t>Museo del Canal Interoceánico de Panamá — Centro de Documentación y Archivo (including the Archivo de Historia Oral)</t>
  </si>
  <si>
    <t>Museo del Canal Interoceánico de Panamá</t>
  </si>
  <si>
    <t>c.1850-present</t>
  </si>
  <si>
    <t>Museo del Canal, Casco Antiguo, Panama City</t>
  </si>
  <si>
    <t>Koha OPAC (biblio); reserve + oral archive onsite</t>
  </si>
  <si>
    <t>typismuci.museodelcanal.com</t>
  </si>
  <si>
    <t>Panamanian</t>
  </si>
  <si>
    <t>Panamanian-side counter-archive. Documentary Center holds &gt;150 linear m of books, &gt;32,000 archival folios, and an Archivo de Historia Oral (interviews with protagonistas de la historia de Panamá; UNESCO Memory of the World for the postal collection). Swept 2026-09-13 via the Koha OPAC (Spanish: Emperador, Gorgona, poblados, Chagres, + town names). CRITICAL ACCESS NOTE: catalog is metadata-only; ZERO digital objects served (cover images come from Amazon). Reserve cartography/photos/postcards and oral-history transcripts are ONSITE ONLY. Remote use beyond catalog metadata would require an email scan request to the Centro de Documentación or an on-site visit — not yet made. See data/museo/.</t>
  </si>
  <si>
    <t>ARC-04</t>
  </si>
  <si>
    <t>S-008</t>
  </si>
  <si>
    <t>Silver Men: West Indian Labourers archive</t>
  </si>
  <si>
    <t>UNESCO Memory of the World</t>
  </si>
  <si>
    <t>1880-1914</t>
  </si>
  <si>
    <t>Multi-repository</t>
  </si>
  <si>
    <t>https://www.unesco.org/en/memory-world</t>
  </si>
  <si>
    <t>Caribbean community</t>
  </si>
  <si>
    <t>Silver Roll labor geography.</t>
  </si>
  <si>
    <t>ARC-05</t>
  </si>
  <si>
    <t>S-009</t>
  </si>
  <si>
    <t>Newspaper</t>
  </si>
  <si>
    <t>Chronicling America digitized newspapers (searched in full text)</t>
  </si>
  <si>
    <t>various U.S. newspapers</t>
  </si>
  <si>
    <t>1880-1920</t>
  </si>
  <si>
    <t>Library of Congress</t>
  </si>
  <si>
    <t>https://www.loc.gov/collections/chronicling-america/</t>
  </si>
  <si>
    <t>US press</t>
  </si>
  <si>
    <t>Umbrella source for harvested newspaper mentions (2026-09); per-issue LOC URL in each attestation note. Harvest files: data/chronicling-america/.</t>
  </si>
  <si>
    <t>ARC-10</t>
  </si>
  <si>
    <t>S-010</t>
  </si>
  <si>
    <t>Post offices in the Canal Zone (list), Evening Star, 16 February 1906, page 2</t>
  </si>
  <si>
    <t>Evening Star (Washington, D.C.)</t>
  </si>
  <si>
    <t>1906-02-16</t>
  </si>
  <si>
    <t>LOC Chronicling America</t>
  </si>
  <si>
    <t>sn83045462</t>
  </si>
  <si>
    <t>https://www.loc.gov/resource/sn83045462/1906-02-16/ed-1/?sp=2</t>
  </si>
  <si>
    <t>Official list of CZ post offices in operation 5 Feb 1906.</t>
  </si>
  <si>
    <t>S-011</t>
  </si>
  <si>
    <t>Commissary-closure chronology, Der Sonntagsbote und der Seebote, 18 May 1913, page 1</t>
  </si>
  <si>
    <t>Der Sonntagsbote und der Seebote (Milwaukee)</t>
  </si>
  <si>
    <t>1913-05-18</t>
  </si>
  <si>
    <t>sn87082456</t>
  </si>
  <si>
    <t>https://www.loc.gov/resource/sn87082456/1913-05-18/ed-1/?sp=1</t>
  </si>
  <si>
    <t>German-language. Dates the closure of ten commissary settlements 1911-1913.</t>
  </si>
  <si>
    <t>S-012</t>
  </si>
  <si>
    <t>Canal Record 'vanishing villages' syndication (December 1911 - April 1912)</t>
  </si>
  <si>
    <t>The Canal Record via U.S. wire services</t>
  </si>
  <si>
    <t>sn92070417 et al.</t>
  </si>
  <si>
    <t>https://www.loc.gov/resource/sn92070417/1912-01-10/ed-1/?sp=2</t>
  </si>
  <si>
    <t>Names all Gatun Lake drowned villages; &gt;=10 printings found. Richest: Las Vegas Optic 1912-01-10 p.2 (includes etymologies).</t>
  </si>
  <si>
    <t>S-013</t>
  </si>
  <si>
    <t>St. Croix Avis French-era canal reports (1882-1887)</t>
  </si>
  <si>
    <t>St. Croix Avis (Christiansted)</t>
  </si>
  <si>
    <t>1882-1887</t>
  </si>
  <si>
    <t>sn84037526</t>
  </si>
  <si>
    <t>https://www.loc.gov/resource/sn84037526/1887-06-18/ed-1/?sp=4</t>
  </si>
  <si>
    <t>Brigade list 1882-06-10 p.2; per-site excavation table 1887-06-18 p.4.</t>
  </si>
  <si>
    <t>S-014</t>
  </si>
  <si>
    <t>Photograph</t>
  </si>
  <si>
    <t>Record Group 185 digitized photographs (United States National Archives catalog)</t>
  </si>
  <si>
    <t>Isthmian Canal Commission / The Panama Canal</t>
  </si>
  <si>
    <t>1887-1960</t>
  </si>
  <si>
    <t>NARA, College Park (Still Pictures)</t>
  </si>
  <si>
    <t>RG 185 (185-G, 185-CZ et al.)</t>
  </si>
  <si>
    <t>https://catalog.archives.gov/search?q=panama%20canal&amp;recordGroupNumber=185</t>
  </si>
  <si>
    <t>Digitized items in catalog.archives.gov; series 185-G 'Photographs of the Construction of the Panama Canal 1887-1940' partially digitized. Harvest 2026-09: data/nara/.</t>
  </si>
  <si>
    <t>S-015</t>
  </si>
  <si>
    <t>Preliminary Inventory of the Cartographic Records of The Panama Canal (Preliminary Inventory 91, 1956)</t>
  </si>
  <si>
    <t>James Berton Rhoads / National Archives</t>
  </si>
  <si>
    <t>1956</t>
  </si>
  <si>
    <t>NARA, College Park (Cartographic)</t>
  </si>
  <si>
    <t>RG 185, ~9,240 items / 125 cu. ft.</t>
  </si>
  <si>
    <t>https://www.archives.gov/files/research/cartographic/pi-91-panama-canal.pdf</t>
  </si>
  <si>
    <t>Finding aid, read cover-to-cover 2026-09. Appendix II is a place-name index; attestations cite its file designations. The maps themselves are PAPER, onsite-only - not full-text searchable.</t>
  </si>
  <si>
    <t>S-016</t>
  </si>
  <si>
    <t>Smithsonian Open Access collections</t>
  </si>
  <si>
    <t>Smithsonian Institution (NMNH, NPM, SIL et al.)</t>
  </si>
  <si>
    <t>1850-1940s</t>
  </si>
  <si>
    <t>Smithsonian Institution</t>
  </si>
  <si>
    <t>EDAN edanmdm records</t>
  </si>
  <si>
    <t>https://collections.si.edu/search/</t>
  </si>
  <si>
    <t>20,798 town-name matches in 45,040 records (2026-09 harvest, data/smithsonian/). Mostly NMNH specimens whose collecting locality is a Zone town - type-locality attestations. Dates in notes are year_guess only (may be taxon-description year); verify per record before citing as attested time.</t>
  </si>
  <si>
    <t>ARC-08</t>
  </si>
  <si>
    <t>S-017</t>
  </si>
  <si>
    <t>W. A. Fishbaugh Panama Canal Photograph Album</t>
  </si>
  <si>
    <t>W. A. Fishbaugh (Empire, C.Z.); assembled by A. Bruce Minear</t>
  </si>
  <si>
    <t>1905-1908</t>
  </si>
  <si>
    <t>Archives Center, NMAH (NMAH.AC.1021)</t>
  </si>
  <si>
    <t>27 of 100 views digitized</t>
  </si>
  <si>
    <t>https://sova.si.edu/record/nmah.ac.1021</t>
  </si>
  <si>
    <t>Commercial construction-era views, captions printed in the negative; all 27 digitized views read 2026-09. Fishbaugh's studio imprint 'Empire C.Z.' on every print.</t>
  </si>
  <si>
    <t>S-018</t>
  </si>
  <si>
    <t>The Panama Canal, plate from Shepherd's Historical Atlas (1911)</t>
  </si>
  <si>
    <t>William R. Shepherd</t>
  </si>
  <si>
    <t>PCL Map Collection, UT Austin</t>
  </si>
  <si>
    <t>shepherd-c-216 / panama_canal_shepherd.jpg</t>
  </si>
  <si>
    <t>https://maps.lib.utexas.edu/maps/historical/shepherd/panama_canal_shepherd.jpg</t>
  </si>
  <si>
    <t>N</t>
  </si>
  <si>
    <t>1:400,000 map + canal profile placing each line settlement at its statute mile. Tertiary source but the full village sequence on one sheet; read 2026-09, saved to ~/Desktop/PCL Canal Zone Maps.</t>
  </si>
  <si>
    <t>ARC-13</t>
  </si>
  <si>
    <t>S-019</t>
  </si>
  <si>
    <t>Eastern Reflector (Greenville, North Carolina)</t>
  </si>
  <si>
    <t>1879-1919</t>
  </si>
  <si>
    <t>ECU Digital Collections (Joyner Library)</t>
  </si>
  <si>
    <t>digital.lib.ecu.edu</t>
  </si>
  <si>
    <t>https://digital.lib.ecu.edu/</t>
  </si>
  <si>
    <t>Greenville NC weekly; full-text OCR embedded in ECU item pages. Carries window-era canal coverage incl. Old Gatun removal (1 May 1908). Harvest: data/ecu/ (2026-09-07).</t>
  </si>
  <si>
    <t>ARC-12</t>
  </si>
  <si>
    <t>S-020</t>
  </si>
  <si>
    <t>East Carolina University Digital Collections: Canal Zone material (Daily Reflector, oral histories, yearbooks)</t>
  </si>
  <si>
    <t>1920-1990</t>
  </si>
  <si>
    <t>Umbrella source for post-window ECU material: Daily Reflector, Navy/veteran oral histories, university records. 1,026 items scanned; 196 canal-context mentions. Harvest: data/ecu/.</t>
  </si>
  <si>
    <t>S-021</t>
  </si>
  <si>
    <t>Internet Archive canal-era texts (1,315 digitized volumes)</t>
  </si>
  <si>
    <t>1880-1980</t>
  </si>
  <si>
    <t>Internet Archive</t>
  </si>
  <si>
    <t>archive.org</t>
  </si>
  <si>
    <t>https://archive.org/</t>
  </si>
  <si>
    <t>Umbrella source for IA full-text harvest (data/internet-archive/): ICC hearings, Governor annual reports, Canal Zone pilot 1908, memoirs, natural-history surveys. Each attestation names its text in page/plate. Overlaps Canal Record (S-003) for official serials; picks prefer non-duplicate texts.</t>
  </si>
  <si>
    <t>ARC-11</t>
  </si>
  <si>
    <t>S-022</t>
  </si>
  <si>
    <t>General map of Empire (pcc00020)</t>
  </si>
  <si>
    <t>Office of Res. Engr., Empire</t>
  </si>
  <si>
    <t>c.1907-08</t>
  </si>
  <si>
    <t>g4872e.pcc00020</t>
  </si>
  <si>
    <t>https://www.loc.gov/item/2007627522/</t>
  </si>
  <si>
    <t>Empire pilot-town plan, 1:992 fitted; chained via ICC1911</t>
  </si>
  <si>
    <t>S-023</t>
  </si>
  <si>
    <t>Map of Culebra (pcc00016)</t>
  </si>
  <si>
    <t>ICC Central Division, Office of Res. Engr.</t>
  </si>
  <si>
    <t>g4874c.pcc00016</t>
  </si>
  <si>
    <t>https://www.loc.gov/item/2007627520/</t>
  </si>
  <si>
    <t>Faint photostat; along-canal anchor = K.54 arrow reading (corroborated by 1895 sheet)</t>
  </si>
  <si>
    <t>S-024</t>
  </si>
  <si>
    <t>Map of new town near Culebra, 1:1000 (pcc00015)</t>
  </si>
  <si>
    <t>ICC</t>
  </si>
  <si>
    <t>g4874c.pcc00015</t>
  </si>
  <si>
    <t>https://www.loc.gov/item/2007627519/</t>
  </si>
  <si>
    <t>Planned New Culebra grid; centerline monuments Sta 1740/1750; fitted 1:996</t>
  </si>
  <si>
    <t>S-025</t>
  </si>
  <si>
    <t>Map of Gorgona saloon-licensing areas, 1:2000 (pcc00017)</t>
  </si>
  <si>
    <t>g4874g.pcc00017</t>
  </si>
  <si>
    <t>https://www.loc.gov/item/2007627521/</t>
  </si>
  <si>
    <t>Building-level Gorgona; Tier-1 anchored</t>
  </si>
  <si>
    <t>S-026</t>
  </si>
  <si>
    <t>Plan du village de Guachapali, 1:500 (pcc00018)</t>
  </si>
  <si>
    <t>Cie Universelle du Canal</t>
  </si>
  <si>
    <t>g4874g.pcc00018</t>
  </si>
  <si>
    <t>https://www.loc.gov/item/2007627523/</t>
  </si>
  <si>
    <t>French company</t>
  </si>
  <si>
    <t>Guachapali village plan; anchored to surviving Av Central / old PRR station</t>
  </si>
  <si>
    <t>S-027</t>
  </si>
  <si>
    <t>Surveys of the Panama Canal, Maps Numbers 1-2 (Isthmian Canal Commission 1905-06, published 1908)</t>
  </si>
  <si>
    <t>(2 sheets, 1:12,000)</t>
  </si>
  <si>
    <t>https://www.loc.gov/</t>
  </si>
  <si>
    <t>Pre-flood village survey Colon-Gorgona; Map No.3 (Pacific reach) not held - hunt at LOC</t>
  </si>
  <si>
    <t>S-028</t>
  </si>
  <si>
    <t>Plano de tierras del Rio Chagres (pcc00023, dated May 1862)</t>
  </si>
  <si>
    <t>Panama Rail Road land survey</t>
  </si>
  <si>
    <t>g4872c.pcc00023</t>
  </si>
  <si>
    <t>https://www.loc.gov/item/2007627526/</t>
  </si>
  <si>
    <t>PRR company</t>
  </si>
  <si>
    <t>Land-claims plano; lower river compressed ~45% - per-region honesty in GEOREF_LOG</t>
  </si>
  <si>
    <t>S-029</t>
  </si>
  <si>
    <t>Maps of proposed canal, Gorgona to Panama, 1895 (3 sheets)</t>
  </si>
  <si>
    <t>Cie Nouvelle du Canal de Panama</t>
  </si>
  <si>
    <t>https://www.loc.gov/item/93680805/</t>
  </si>
  <si>
    <t>French K-posts drawn; K.54 corroborates CULEBRA1910 anchor</t>
  </si>
  <si>
    <t>S-030</t>
  </si>
  <si>
    <t>Plans showing location of buildings in the encampments, Culebra Division (21 sheets, 1:1000)</t>
  </si>
  <si>
    <t>https://www.loc.gov/item/83694727/</t>
  </si>
  <si>
    <t>Building-level camp/town plans Bas Obispo-Pedro Miguel; 20 of 21 sheets fitted via K-datum stationing</t>
  </si>
  <si>
    <t>S-031</t>
  </si>
  <si>
    <t>Canal Zone and Vicinity, 1:100,000 (pcc00002)</t>
  </si>
  <si>
    <t>Panama Canal / Corps of Engineers</t>
  </si>
  <si>
    <t>g4872c.pcc00002</t>
  </si>
  <si>
    <t>https://www.loc.gov/item/2007626685/</t>
  </si>
  <si>
    <t>Epilogue-era zone sheet; graticule affine RMS 21-31 m; locks check 50-130 m</t>
  </si>
  <si>
    <t>S-032</t>
  </si>
  <si>
    <t>Presencia china en las construcciones del ferrocarril y del Canal de Panamá (1852-1914)</t>
  </si>
  <si>
    <t>Chen, Berta Alicia</t>
  </si>
  <si>
    <t>2014</t>
  </si>
  <si>
    <t>Museo del Canal Interoceánico (BiblioMUCI, biblio 6326)</t>
  </si>
  <si>
    <t>L 972.875 / ISBN 978-9962-633-39-6</t>
  </si>
  <si>
    <t>http://typismuci.museodelcanal.com/cgi-bin/koha/opac-detail.pl?biblionumber=6326</t>
  </si>
  <si>
    <t>Panamanian scholarship (MDC, 2014) documenting the Chinese community in the railroad and canal construction zones. Cited via its catalogued contents/figure list at Museo del Canal (physical book, no digital copy). Includes Cuadro 2: 'Censo de la población china en la Zona del Canal por pueblo (1908)' and captioned images of Chinese commerce in Emperador, Gorgona, Matachín, Cerro Paraíso. Counter-archive to the US official record's silence on the Asian population of these towns.</t>
  </si>
  <si>
    <t>S-033</t>
  </si>
  <si>
    <t>1940 Census Enumeration District Maps - Panama Canal Zone (A3378)</t>
  </si>
  <si>
    <t>U.S. Census Bureau</t>
  </si>
  <si>
    <t>1940</t>
  </si>
  <si>
    <t>NARA (RG 29, via catalog.archives.gov)</t>
  </si>
  <si>
    <t>A3378/PC; naIds 5838606-5838626</t>
  </si>
  <si>
    <t>https://catalog.archives.gov/id/5838606</t>
  </si>
  <si>
    <t>Building-level photostat town plans, hand-stamped 1940, one item per town/ED (Balboa + Cristobal counties). Downloaded 2026-09-05 into the NARA Desktop folder; recognised and mined 2026-09-13 (data/census/). Georeferencing candidates.</t>
  </si>
  <si>
    <t>ARC-14</t>
  </si>
  <si>
    <t>S-034</t>
  </si>
  <si>
    <t>1950 Census Enumeration District Maps - Panama Canal Zone</t>
  </si>
  <si>
    <t>naId 75639631</t>
  </si>
  <si>
    <t>https://catalog.archives.gov/id/75639631</t>
  </si>
  <si>
    <t>Zone-wide ED map set (ED 1-1..1-55, 2-1..2-52); no single-place items - registered for era context, attests no individual place yet.</t>
  </si>
  <si>
    <t>S-035</t>
  </si>
  <si>
    <t>Digital Library of the Caribbean, searched in full text (Caribbean Newspaper Digital Library and related collections)</t>
  </si>
  <si>
    <t>Digital Library of the Caribbean (UF/FIU consortium)</t>
  </si>
  <si>
    <t>1880-1950</t>
  </si>
  <si>
    <t>dLOC (open patron API, aggregation dloc1)</t>
  </si>
  <si>
    <t>aggregation dloc1</t>
  </si>
  <si>
    <t>https://dloc.com</t>
  </si>
  <si>
    <t>Bridgetown/Nassau/Hamilton/Kingston press + Caribbean serials, full-text. Swept 2026-09-13 (data/silvermen/): item-level probe, name + panama co-occurrence; KWIC verification pending per name. The Silver Men consortium's registers themselves are NOT online - see ARC-05.</t>
  </si>
  <si>
    <t>ARC-09</t>
  </si>
  <si>
    <t>S-036</t>
  </si>
  <si>
    <t>Isthmian Historical Society competition letters ('Silver People', 1963)</t>
  </si>
  <si>
    <t>West Indian canal workers (85+ first-person accounts); IHS</t>
  </si>
  <si>
    <t>1963 (recalling 1904-14)</t>
  </si>
  <si>
    <t>dLOC (Digital Library of the Caribbean)</t>
  </si>
  <si>
    <t>bibid AA00016037</t>
  </si>
  <si>
    <t>https://dloc.com/AA00016037</t>
  </si>
  <si>
    <t>THE first-person counter-archive: competition for 'best true stories of life and work' by surviving West Indian canal workers, full-text searchable on dLOC. Found 2026-09-13 during the Silver Men KWIC pass. Follow-up queued: probe all 157 place names against this bibid's page text. | Full-roster probe run 2026-09-13 (data/silvermen/silverpeople_probe.csv): 122 names, 62 present / 60 absent; positives + town-scale expected-absences imported as attestations. Building-scale absences NOT claimed (phrase-brittle: letters say 'comsy of Empire'); 'Cerro' excluded as generic Spanish. | Scope 2026-09-14: Colon-fringe places the letters name (Coolie Town, Pueblo Nuevo) DECLINED as outside the Zone model - documented in LETTER_GEOMETRY_NOTES.md; testimony preserved in town notes.</t>
  </si>
  <si>
    <t>S-037</t>
  </si>
  <si>
    <t>Map of Pacific Terminal Cities (Engineer Base Reproduction Plant, Panama Canal Department)</t>
  </si>
  <si>
    <t>Office of the Department Engineer; reprinted 7465th AU Engineers, Corozal C.Z.</t>
  </si>
  <si>
    <t>1947-10 (printed 1952-53)</t>
  </si>
  <si>
    <t>pcc00008</t>
  </si>
  <si>
    <t>US military</t>
  </si>
  <si>
    <t>Yes</t>
  </si>
  <si>
    <t>S-038</t>
  </si>
  <si>
    <t>Plano de la Ciudad de Panama en 1904 (C. Bertoncini, 1:5000)</t>
  </si>
  <si>
    <t>C. Bertoncini</t>
  </si>
  <si>
    <t>1904</t>
  </si>
  <si>
    <t>pcc00019</t>
  </si>
  <si>
    <t>S-039</t>
  </si>
  <si>
    <t>Note sur la constitution geologique de l'isthme de Panama, au point de vue de l'execution du canal interoceanique</t>
  </si>
  <si>
    <t>Boutan, E.</t>
  </si>
  <si>
    <t>1880</t>
  </si>
  <si>
    <t>Bibliotheque nationale de France (Gallica)</t>
  </si>
  <si>
    <t>ark:/12148/bd6t5777148r</t>
  </si>
  <si>
    <t>https://gallica.bnf.fr/ark:/12148/bd6t5777148r</t>
  </si>
  <si>
    <t>Harvested 2026-09-14 via Gallica open APIs (SRU + ContentSearch); French canal-era (pre-US) attestation. See data/gallica/.</t>
  </si>
  <si>
    <t>ARC-17</t>
  </si>
  <si>
    <t>S-040</t>
  </si>
  <si>
    <t>A travers l'isthme de Panama: Trace interoceanique de L. N. B. Wyse et A. Reclus</t>
  </si>
  <si>
    <t>Verbrugghe, Louis</t>
  </si>
  <si>
    <t>1879</t>
  </si>
  <si>
    <t>ark:/12148/bpt6k5400855p</t>
  </si>
  <si>
    <t>https://gallica.bnf.fr/ark:/12148/bpt6k5400855p</t>
  </si>
  <si>
    <t>S-041</t>
  </si>
  <si>
    <t>Le Canal de Panama en 1886, rapport presente par M. Jules-Charles Roux</t>
  </si>
  <si>
    <t>Charles-Roux, Jules</t>
  </si>
  <si>
    <t>1886</t>
  </si>
  <si>
    <t>ark:/12148/bpt6k1092498c</t>
  </si>
  <si>
    <t>https://gallica.bnf.fr/ark:/12148/bpt6k1092498c</t>
  </si>
  <si>
    <t>S-042</t>
  </si>
  <si>
    <t>Map of the Isthmus of Panama representing the line of the Panama Rail Road (G.M. Totten, Chief Engineer, 1857; 8000ft/in = 1:96,000)</t>
  </si>
  <si>
    <t>George M. Totten / Panama Rail Road Co.</t>
  </si>
  <si>
    <t>1857</t>
  </si>
  <si>
    <t>pcc00004</t>
  </si>
  <si>
    <t>US corporate (PRR)</t>
  </si>
  <si>
    <t>S-043</t>
  </si>
  <si>
    <t>Lands belonging to the Panama Rail Road Co., Panama City and environs (200 ft/in = 1:2,400)</t>
  </si>
  <si>
    <t>Panama Rail Road Company</t>
  </si>
  <si>
    <t>1857 (c.)</t>
  </si>
  <si>
    <t>pcc00013</t>
  </si>
  <si>
    <t>S-044</t>
  </si>
  <si>
    <t>La estrella de Panama (LOC World Newspapers, full-text)</t>
  </si>
  <si>
    <t>La Estrella de Panama</t>
  </si>
  <si>
    <t>1849-current (digitized run at LOC)</t>
  </si>
  <si>
    <t>Library of Congress, Serial &amp; Govt Publications</t>
  </si>
  <si>
    <t>lccn 2010225009</t>
  </si>
  <si>
    <t>https://www.loc.gov/item/2010225009/</t>
  </si>
  <si>
    <t>THE Panamanian newspaper of record, full-text searchable at LOC - found 2026-09-14 during the Matachin hunt; the first Panamanian full-text corpus in the model. Roster probe 2026-09-14 in data/estrella/ (163 names, page-context queries per the Cloudflare recipe). KWIC/page-level verification pending per name; Spanish OCR quality varies.</t>
  </si>
  <si>
    <t>ARC-18</t>
  </si>
  <si>
    <t>S-045</t>
  </si>
  <si>
    <t>Cristobal-Colon-Mt. Hope (Engineer Base Reproduction Plant, Panama Canal Department, June 1947, 1:8,000)</t>
  </si>
  <si>
    <t>Office of the Department Engineer</t>
  </si>
  <si>
    <t>1947-06</t>
  </si>
  <si>
    <t>UF Smathers (Panama Canal Museum Collection)</t>
  </si>
  <si>
    <t>AA00038126</t>
  </si>
  <si>
    <t>ARC-19</t>
  </si>
  <si>
    <t>S-046</t>
  </si>
  <si>
    <t>Map of the United States Canal Zone showing the completed Panama Canal (C.S. Hammond &amp; Co. atlas page)</t>
  </si>
  <si>
    <t>C.S. Hammond &amp; Co., N.Y.</t>
  </si>
  <si>
    <t>1927 (base ~1912)</t>
  </si>
  <si>
    <t>UF Smathers (PCM AA00038443)</t>
  </si>
  <si>
    <t>AA00038443</t>
  </si>
  <si>
    <t>US commercial</t>
  </si>
  <si>
    <t>No</t>
  </si>
  <si>
    <t>S-047</t>
  </si>
  <si>
    <t>Map of the Canal Zone and Vicinity 1:100,000, 1927 base revised 1973</t>
  </si>
  <si>
    <t>The Panama Canal</t>
  </si>
  <si>
    <t>1973 (rev. of 1927 base)</t>
  </si>
  <si>
    <t>ECU Digital Collections (Robert Morgan Papers, 56832)</t>
  </si>
  <si>
    <t>56832</t>
  </si>
  <si>
    <t>S-048</t>
  </si>
  <si>
    <t>Carte topographique de l'Isthme de Panama entre Panama et Chagres, avec le trace du canal maritime (Napoleon Garella, dressee 1844, pub. 1845, 1:200,000)</t>
  </si>
  <si>
    <t>Napoleon Garella / Corps Royal des Mines</t>
  </si>
  <si>
    <t>1844 (pub. 1845)</t>
  </si>
  <si>
    <t>UF Smathers (UF00100942)</t>
  </si>
  <si>
    <t>UF00100942</t>
  </si>
  <si>
    <t>French state survey</t>
  </si>
  <si>
    <t>S-049</t>
  </si>
  <si>
    <t>Chart of the Harbour of Chagres, surveyed 1829 (J.A. Lloyd; Phil. Trans. 1829 Plate V)</t>
  </si>
  <si>
    <t>J.A. Lloyd / Royal Society</t>
  </si>
  <si>
    <t>1829 (surveyed)</t>
  </si>
  <si>
    <t>Wikimedia Commons (Phil. Trans. plates)</t>
  </si>
  <si>
    <t>107889_0028 (+0027 Limon Bay, 0011/0017 isthmus)</t>
  </si>
  <si>
    <t>British survey</t>
  </si>
  <si>
    <t>ARC-16</t>
  </si>
  <si>
    <t>S-050</t>
  </si>
  <si>
    <t>Plans des principaux chantiers au 1er juin 1883 (Compagnie Universelle du Canal Interoceanique de Panama)</t>
  </si>
  <si>
    <t>Compagnie Universelle du Canal Interoceanique; grave par Erhard, Paris</t>
  </si>
  <si>
    <t>1883</t>
  </si>
  <si>
    <t>ark:/12148/btv1b8439064m; BnF Ge D 152/153</t>
  </si>
  <si>
    <t>https://gallica.bnf.fr/ark:/12148/btv1b8439064m</t>
  </si>
  <si>
    <t>Compagnie worksite plan, 1:20,000, 7 insets (Colon, Buhio-Soldado, San-Pablo, Gorgona, Matachin, Bas-Obispo, Emperador-Culebra). Canal/tracks/installations in RED; labor camps (campements) drawn as building clusters. Read 2026-09-14; towns recorded as Existence/mention with descriptive positions - NOT georeferenced to lat/lng (no unified graticule; GCP extraction is a follow-up). Full-res at data/georef/gallica_maps/.</t>
  </si>
  <si>
    <t>S-051</t>
  </si>
  <si>
    <t>Plan general du Canal (juillet 1886) + Profil geologique suivant l'axe du canal (Compagnie Universelle)</t>
  </si>
  <si>
    <t>ark:/12148/btv1b53060301n; BnF Ge C 3134</t>
  </si>
  <si>
    <t>https://gallica.bnf.fr/ark:/12148/btv1b53060301n</t>
  </si>
  <si>
    <t>1:50,000 map of the whole canal line + a geological profile along the axis giving each town's kilometer position (PK) from Colon (PK 0) to Panama (PK 74.5). Read 2026-09-14; town PKs recorded as the French survey-grid positions (lat/long conversion via the canal alignment is a follow-up). Full-res at data/georef/gallica_maps/ (20045x7767).</t>
  </si>
  <si>
    <t>S-052</t>
  </si>
  <si>
    <t>Map of the Canal Zone and Vicinity, January 1927, 1:100,000 (The Panama Canal; NARA 185-G-2220 photo print)</t>
  </si>
  <si>
    <t>The Panama Canal (compiled under O.E. Malsbury, Section of Surveys)</t>
  </si>
  <si>
    <t>1927-01</t>
  </si>
  <si>
    <t>NARA (RG 185-G, naId 100999006; via catalog IIIF)</t>
  </si>
  <si>
    <t>185-G-2220</t>
  </si>
  <si>
    <t>https://catalog.archives.gov/id/100999006</t>
  </si>
  <si>
    <t>S-053</t>
  </si>
  <si>
    <t>Map of the Canal route at the beginning of American occupation (manuscript topographic compilation, c.1904; LOC pcc00001)</t>
  </si>
  <si>
    <t>Isthmian Canal Commission (compilation)</t>
  </si>
  <si>
    <t>pcc00001 (82690134); local file 4.tif</t>
  </si>
  <si>
    <t>https://www.loc.gov/item/82690134/</t>
  </si>
  <si>
    <t>S-054</t>
  </si>
  <si>
    <t>The Panama Canal - Map of the Canal Zone, Aug. 1, 1920 (Governor; Raggi-file copy with manuscript route annotations)</t>
  </si>
  <si>
    <t>The Panama Canal (Governor Chester Harding)</t>
  </si>
  <si>
    <t>1920-08-01</t>
  </si>
  <si>
    <t>NARA (RG 185, Historical Files of Arthur Raggi, naId 6861830)</t>
  </si>
  <si>
    <t>RG185RaggiFilesFolder1-CanalZone</t>
  </si>
  <si>
    <t>https://catalog.archives.gov/id/6861830</t>
  </si>
  <si>
    <t>Colonial power - US official</t>
  </si>
  <si>
    <t>S-055</t>
  </si>
  <si>
    <t>Planta y Perspectiva de la Ciudad de Panama y su Fortificacion, 1688 (1891 photographic copy)</t>
  </si>
  <si>
    <t>anon. (1688); 1891 copy</t>
  </si>
  <si>
    <t>1688 (copy 1891)</t>
  </si>
  <si>
    <t>NARA (185-G-2156, naId 100998878)</t>
  </si>
  <si>
    <t>185-G-2156</t>
  </si>
  <si>
    <t>https://catalog.archives.gov/id/100998878</t>
  </si>
  <si>
    <t>Colonized - Spanish colonial (via US archive)</t>
  </si>
  <si>
    <t>S-056</t>
  </si>
  <si>
    <t>Historical Map of Canal Zone and Vicinity: Routes, Settlements etc. between 1502 and 1855 (Section of Surveys, Feb 1 1934)</t>
  </si>
  <si>
    <t>The Panama Canal, Section of Surveys</t>
  </si>
  <si>
    <t>1934-02-01</t>
  </si>
  <si>
    <t>NARA (185-G-211, naId 100995004)</t>
  </si>
  <si>
    <t>185-G-211 / 26-A-1-(11)</t>
  </si>
  <si>
    <t>https://catalog.archives.gov/id/100995004</t>
  </si>
  <si>
    <t>Colonial power - US official (memory cartography)</t>
  </si>
  <si>
    <t>S-057</t>
  </si>
  <si>
    <t>Planos de las tierras baldias cuya adjudicacion pide la Compania Universal del Canal Interoceanico (3 lots, 1888: Tucuti, Darien, 204,500 ha; Catabella y San Pedro, Bocas del Toro, 109,200 ha; Sigsola y Robalo, Bocas del Toro, 190,500 ha)</t>
  </si>
  <si>
    <t>Compagnie Universelle du Canal Interoceanique</t>
  </si>
  <si>
    <t>1888</t>
  </si>
  <si>
    <t>ark:/12148/btv1b52525881g, btv1b52525883c, btv1b525258801</t>
  </si>
  <si>
    <t>https://gallica.bnf.fr/ark:/12148/btv1b52525881g</t>
  </si>
  <si>
    <t>French canal company</t>
  </si>
  <si>
    <t>The company's petitions to Colombia for 504,200 hectares of 'tierras baldias' (vacant lands) - NONE on the canal line (the sweep registry's 'French line towns' expectation was wrong). The maps refute their own legal category: villages, named smallholder ranchos (M. Gonzales, Florencio Leon, J.B. Torres), an explicit CASERIO INDIO on Punta Bluefield, plantations and the Camino Real are all drawn INSIDE the lots, under 'FORETS VIERGES' lettering. Vacancy-declaration as erasure, 1888 - the mechanism the dissertation tracks in the Zone, a generation early and at territorial scale. Longitudes on the Bogota meridian; stated Escala 1/20.000 on the Bocas sheets (Tucuti scale digit uncertain, ~1/50.000 by graticule span). Out of the study frame: no attestations (PRRLANDS1857 precedent); inventory in TIERRAS1888_features.csv.</t>
  </si>
  <si>
    <t>attestation_id (PK)</t>
  </si>
  <si>
    <t>place_id (FK)</t>
  </si>
  <si>
    <t>source_id (FK)</t>
  </si>
  <si>
    <t>attestation_type</t>
  </si>
  <si>
    <t>name_as_recorded</t>
  </si>
  <si>
    <t>name_lang</t>
  </si>
  <si>
    <t>att_lat</t>
  </si>
  <si>
    <t>att_lng</t>
  </si>
  <si>
    <t>positional_method</t>
  </si>
  <si>
    <t>positional_uncertainty_m</t>
  </si>
  <si>
    <t>when_start</t>
  </si>
  <si>
    <t>when_end</t>
  </si>
  <si>
    <t>temporal_confidence</t>
  </si>
  <si>
    <t>confidence</t>
  </si>
  <si>
    <t>medium (auto)</t>
  </si>
  <si>
    <t>medium_group (auto)</t>
  </si>
  <si>
    <t>source_origin (auto)</t>
  </si>
  <si>
    <t>A-0001</t>
  </si>
  <si>
    <t>Name</t>
  </si>
  <si>
    <t>Cruces (Venta Cruz)</t>
  </si>
  <si>
    <t>es</t>
  </si>
  <si>
    <t>A-0002</t>
  </si>
  <si>
    <t>Las Cruces</t>
  </si>
  <si>
    <t>1530</t>
  </si>
  <si>
    <t>1855</t>
  </si>
  <si>
    <t>A-0003</t>
  </si>
  <si>
    <t>Geometry (Setting)</t>
  </si>
  <si>
    <t>Georeferenced map GCP</t>
  </si>
  <si>
    <t>A-0004</t>
  </si>
  <si>
    <t>Existence / mention</t>
  </si>
  <si>
    <t>A-0005</t>
  </si>
  <si>
    <t>Erasure event</t>
  </si>
  <si>
    <t>Gatun (old village)</t>
  </si>
  <si>
    <t>A-0006</t>
  </si>
  <si>
    <t>Gatun</t>
  </si>
  <si>
    <t>A-0007</t>
  </si>
  <si>
    <t>A-0008</t>
  </si>
  <si>
    <t>en</t>
  </si>
  <si>
    <t>A-0009</t>
  </si>
  <si>
    <t>A-0010</t>
  </si>
  <si>
    <t>A-0011</t>
  </si>
  <si>
    <t>A-0012</t>
  </si>
  <si>
    <t>A-0013</t>
  </si>
  <si>
    <t>A-0014</t>
  </si>
  <si>
    <t>A-0015</t>
  </si>
  <si>
    <t>1915</t>
  </si>
  <si>
    <t>A-0016</t>
  </si>
  <si>
    <t>A-0017</t>
  </si>
  <si>
    <t>A-0018</t>
  </si>
  <si>
    <t>A-0019</t>
  </si>
  <si>
    <t>A-0020</t>
  </si>
  <si>
    <t>A-0021</t>
  </si>
  <si>
    <t>A-0022</t>
  </si>
  <si>
    <t>A-0023</t>
  </si>
  <si>
    <t>A-0024</t>
  </si>
  <si>
    <t>A-0025</t>
  </si>
  <si>
    <t>A-0026</t>
  </si>
  <si>
    <t>Type</t>
  </si>
  <si>
    <t>town</t>
  </si>
  <si>
    <t>A-0027</t>
  </si>
  <si>
    <t>station / landing</t>
  </si>
  <si>
    <t>A-0028</t>
  </si>
  <si>
    <t>Implied / inferred</t>
  </si>
  <si>
    <t>A-0029</t>
  </si>
  <si>
    <t>A-0030</t>
  </si>
  <si>
    <t>A-0031</t>
  </si>
  <si>
    <t>A-0032</t>
  </si>
  <si>
    <t>Negative (searched-absent)</t>
  </si>
  <si>
    <t>A-0040</t>
  </si>
  <si>
    <t>A-0041</t>
  </si>
  <si>
    <t>A-0042</t>
  </si>
  <si>
    <t>Silver quarters</t>
  </si>
  <si>
    <t>A-0043</t>
  </si>
  <si>
    <t>A-0044</t>
  </si>
  <si>
    <t>Clubhouse</t>
  </si>
  <si>
    <t>A-0045</t>
  </si>
  <si>
    <t>Gold quarters</t>
  </si>
  <si>
    <t>A-0046</t>
  </si>
  <si>
    <t>Plaza</t>
  </si>
  <si>
    <t>A-0047</t>
  </si>
  <si>
    <t>Chapel</t>
  </si>
  <si>
    <t>A-0048</t>
  </si>
  <si>
    <t>A-0049</t>
  </si>
  <si>
    <t>A-0050</t>
  </si>
  <si>
    <t>A-0051</t>
  </si>
  <si>
    <t>A-0052</t>
  </si>
  <si>
    <t>A-0053</t>
  </si>
  <si>
    <t>de</t>
  </si>
  <si>
    <t>A-0054</t>
  </si>
  <si>
    <t>A-0055</t>
  </si>
  <si>
    <t>A-0056</t>
  </si>
  <si>
    <t>1897</t>
  </si>
  <si>
    <t>A-0057</t>
  </si>
  <si>
    <t>A-0058</t>
  </si>
  <si>
    <t>1887</t>
  </si>
  <si>
    <t>A-0059</t>
  </si>
  <si>
    <t>A-0060</t>
  </si>
  <si>
    <t>Corozal (appears as: Corvzal)</t>
  </si>
  <si>
    <t>A-0061</t>
  </si>
  <si>
    <t>A-0062</t>
  </si>
  <si>
    <t>1882</t>
  </si>
  <si>
    <t>A-0063</t>
  </si>
  <si>
    <t>A-0064</t>
  </si>
  <si>
    <t>A-0065</t>
  </si>
  <si>
    <t>A-0066</t>
  </si>
  <si>
    <t>A-0067</t>
  </si>
  <si>
    <t>A-0068</t>
  </si>
  <si>
    <t>A-0069</t>
  </si>
  <si>
    <t>Tavernilla</t>
  </si>
  <si>
    <t>A-0070</t>
  </si>
  <si>
    <t>A-0071</t>
  </si>
  <si>
    <t>Matachin (appears as: Matachina, Mathachin)</t>
  </si>
  <si>
    <t>A-0072</t>
  </si>
  <si>
    <t>Barbacoas (appears as: Barbacos)</t>
  </si>
  <si>
    <t>A-0073</t>
  </si>
  <si>
    <t>Cruces, or Venta Cruz</t>
  </si>
  <si>
    <t>A-0074</t>
  </si>
  <si>
    <t>A-0075</t>
  </si>
  <si>
    <t>A-0076</t>
  </si>
  <si>
    <t>A-0077</t>
  </si>
  <si>
    <t>Bailamonos (appears as: Ballamonos, Baila monos)</t>
  </si>
  <si>
    <t>A-0078</t>
  </si>
  <si>
    <t>Cruz de Juan Gallego (appears as: Juan Galgo)</t>
  </si>
  <si>
    <t>A-0079</t>
  </si>
  <si>
    <t>A-0080</t>
  </si>
  <si>
    <t>A-0081</t>
  </si>
  <si>
    <t>Bas Obispo (appears as: Bas Obispos)</t>
  </si>
  <si>
    <t>A-0082</t>
  </si>
  <si>
    <t>Cascadas</t>
  </si>
  <si>
    <t>A-0083</t>
  </si>
  <si>
    <t>A-0084</t>
  </si>
  <si>
    <t>Bohio Soldado</t>
  </si>
  <si>
    <t>A-0085</t>
  </si>
  <si>
    <t>A-0086</t>
  </si>
  <si>
    <t>A-0087</t>
  </si>
  <si>
    <t>A-0088</t>
  </si>
  <si>
    <t>A-0089</t>
  </si>
  <si>
    <t>A-0090</t>
  </si>
  <si>
    <t>A-0091</t>
  </si>
  <si>
    <t>A-0092</t>
  </si>
  <si>
    <t>A-0093</t>
  </si>
  <si>
    <t>A-0094</t>
  </si>
  <si>
    <t>Juan Grande (stream)</t>
  </si>
  <si>
    <t>A-0095</t>
  </si>
  <si>
    <t>Gatuncillo (river)</t>
  </si>
  <si>
    <t>1884</t>
  </si>
  <si>
    <t>A-0096</t>
  </si>
  <si>
    <t>A-0097</t>
  </si>
  <si>
    <t>A-0098</t>
  </si>
  <si>
    <t>A-0099</t>
  </si>
  <si>
    <t>A-0100</t>
  </si>
  <si>
    <t>A-0101</t>
  </si>
  <si>
    <t>A-0102</t>
  </si>
  <si>
    <t>A-0103</t>
  </si>
  <si>
    <t>A-0104</t>
  </si>
  <si>
    <t>A-0105</t>
  </si>
  <si>
    <t>A-0106</t>
  </si>
  <si>
    <t>A-0107</t>
  </si>
  <si>
    <t>A-0108</t>
  </si>
  <si>
    <t>A-0109</t>
  </si>
  <si>
    <t>A-0110</t>
  </si>
  <si>
    <t>A-0111</t>
  </si>
  <si>
    <t>A-0112</t>
  </si>
  <si>
    <t>A-0113</t>
  </si>
  <si>
    <t>A-0114</t>
  </si>
  <si>
    <t>A-0115</t>
  </si>
  <si>
    <t>A-0116</t>
  </si>
  <si>
    <t>A-0117</t>
  </si>
  <si>
    <t>A-0118</t>
  </si>
  <si>
    <t>A-0119</t>
  </si>
  <si>
    <t>A-0120</t>
  </si>
  <si>
    <t>A-0121</t>
  </si>
  <si>
    <t>A-0122</t>
  </si>
  <si>
    <t>A-0123</t>
  </si>
  <si>
    <t>A-0124</t>
  </si>
  <si>
    <t>1909</t>
  </si>
  <si>
    <t>A-0125</t>
  </si>
  <si>
    <t>1919</t>
  </si>
  <si>
    <t>1920</t>
  </si>
  <si>
    <t>A-0126</t>
  </si>
  <si>
    <t>A-0127</t>
  </si>
  <si>
    <t>A-0128</t>
  </si>
  <si>
    <t>A-0129</t>
  </si>
  <si>
    <t>A-0130</t>
  </si>
  <si>
    <t>A-0131</t>
  </si>
  <si>
    <t>A-0132</t>
  </si>
  <si>
    <t>A-0133</t>
  </si>
  <si>
    <t>A-0134</t>
  </si>
  <si>
    <t>A-0135</t>
  </si>
  <si>
    <t>1930</t>
  </si>
  <si>
    <t>1931</t>
  </si>
  <si>
    <t>A-0136</t>
  </si>
  <si>
    <t>A-0137</t>
  </si>
  <si>
    <t>A-0138</t>
  </si>
  <si>
    <t>A-0139</t>
  </si>
  <si>
    <t>1941</t>
  </si>
  <si>
    <t>A-0140</t>
  </si>
  <si>
    <t>A-0141</t>
  </si>
  <si>
    <t>1939</t>
  </si>
  <si>
    <t>A-0142</t>
  </si>
  <si>
    <t>A-0143</t>
  </si>
  <si>
    <t>A-0144</t>
  </si>
  <si>
    <t>A-0145</t>
  </si>
  <si>
    <t>1938</t>
  </si>
  <si>
    <t>A-0146</t>
  </si>
  <si>
    <t>A-0147</t>
  </si>
  <si>
    <t>A-0148</t>
  </si>
  <si>
    <t>A-0149</t>
  </si>
  <si>
    <t>A-0150</t>
  </si>
  <si>
    <t>A-0151</t>
  </si>
  <si>
    <t>A-0152</t>
  </si>
  <si>
    <t>A-0153</t>
  </si>
  <si>
    <t>1933</t>
  </si>
  <si>
    <t>1934</t>
  </si>
  <si>
    <t>A-0154</t>
  </si>
  <si>
    <t>A-0155</t>
  </si>
  <si>
    <t>A-0156</t>
  </si>
  <si>
    <t>A-0157</t>
  </si>
  <si>
    <t>A-0158</t>
  </si>
  <si>
    <t>A-0159</t>
  </si>
  <si>
    <t>A-0160</t>
  </si>
  <si>
    <t>A-0161</t>
  </si>
  <si>
    <t>A-0162</t>
  </si>
  <si>
    <t>A-0163</t>
  </si>
  <si>
    <t>A-0164</t>
  </si>
  <si>
    <t>A-0165</t>
  </si>
  <si>
    <t>A-0166</t>
  </si>
  <si>
    <t>A-0167</t>
  </si>
  <si>
    <t>A-0168</t>
  </si>
  <si>
    <t>A-0169</t>
  </si>
  <si>
    <t>A-0170</t>
  </si>
  <si>
    <t>A-0171</t>
  </si>
  <si>
    <t>A-0172</t>
  </si>
  <si>
    <t>A-0173</t>
  </si>
  <si>
    <t>A-0174</t>
  </si>
  <si>
    <t>A-0175</t>
  </si>
  <si>
    <t>1914</t>
  </si>
  <si>
    <t>A-0176</t>
  </si>
  <si>
    <t>A-0177</t>
  </si>
  <si>
    <t>A-0178</t>
  </si>
  <si>
    <t>A-0179</t>
  </si>
  <si>
    <t>A-0180</t>
  </si>
  <si>
    <t>A-0181</t>
  </si>
  <si>
    <t>A-0182</t>
  </si>
  <si>
    <t>A-0183</t>
  </si>
  <si>
    <t>A-0184</t>
  </si>
  <si>
    <t>A-0185</t>
  </si>
  <si>
    <t>1929</t>
  </si>
  <si>
    <t>A-0186</t>
  </si>
  <si>
    <t>A-0187</t>
  </si>
  <si>
    <t>A-0188</t>
  </si>
  <si>
    <t>A-0189</t>
  </si>
  <si>
    <t>A-0190</t>
  </si>
  <si>
    <t>A-0191</t>
  </si>
  <si>
    <t>A-0192</t>
  </si>
  <si>
    <t>A-0193</t>
  </si>
  <si>
    <t>A-0194</t>
  </si>
  <si>
    <t>A-0195</t>
  </si>
  <si>
    <t>Chagres (village)</t>
  </si>
  <si>
    <t>A-0196</t>
  </si>
  <si>
    <t>A-0197</t>
  </si>
  <si>
    <t>Darien (station)</t>
  </si>
  <si>
    <t>A-0198</t>
  </si>
  <si>
    <t>Summit (New Culebra renamed)</t>
  </si>
  <si>
    <t>1917</t>
  </si>
  <si>
    <t>1918</t>
  </si>
  <si>
    <t>A-0199</t>
  </si>
  <si>
    <t>A-0200</t>
  </si>
  <si>
    <t>A-0201</t>
  </si>
  <si>
    <t>A-0202</t>
  </si>
  <si>
    <t>A-0203</t>
  </si>
  <si>
    <t>A-0204</t>
  </si>
  <si>
    <t>A-0205</t>
  </si>
  <si>
    <t>Camp Gaillard</t>
  </si>
  <si>
    <t>A-0206</t>
  </si>
  <si>
    <t>New Gorgona</t>
  </si>
  <si>
    <t>A-0207</t>
  </si>
  <si>
    <t>A-0208</t>
  </si>
  <si>
    <t>A-0209</t>
  </si>
  <si>
    <t>Matachin Post Office - Dec 1904</t>
  </si>
  <si>
    <t>A-0210</t>
  </si>
  <si>
    <t>Barbacoas Bridge (#44), October 27, 1907</t>
  </si>
  <si>
    <t>A-0211</t>
  </si>
  <si>
    <t>Village of Cruces, CZ A street scene 1912</t>
  </si>
  <si>
    <t>A-0212</t>
  </si>
  <si>
    <t>Looking North from Caimito Jan 31, 1908</t>
  </si>
  <si>
    <t>A-0213</t>
  </si>
  <si>
    <t>Street Scene, Santa Cruz, Panama, December, 1908</t>
  </si>
  <si>
    <t>A-0214</t>
  </si>
  <si>
    <t>Old Village of Gatun and Chagres Riv Feb 1907</t>
  </si>
  <si>
    <t>A-0215</t>
  </si>
  <si>
    <t>Looking East showing Gatun and New Gatun Villages and a Portion of Fort Davis in the distance-left 6/19/24</t>
  </si>
  <si>
    <t>A-0216</t>
  </si>
  <si>
    <t>ICC Hospital - Empire</t>
  </si>
  <si>
    <t>A-0217</t>
  </si>
  <si>
    <t>The Village of Gorgona View looking northeast during period of removal July 16, 1913</t>
  </si>
  <si>
    <t>A-0218</t>
  </si>
  <si>
    <t>Culebra Village, from Reservoir Hill Looking North - August, 1911</t>
  </si>
  <si>
    <t>A-0219</t>
  </si>
  <si>
    <t>The Cut at Bas Obispo, Nov 1906</t>
  </si>
  <si>
    <t>A-0220</t>
  </si>
  <si>
    <t>Village of Las Cascadas View from East Bank of Canal-June, 1908</t>
  </si>
  <si>
    <t>A-0221</t>
  </si>
  <si>
    <t>Bohio Village Street Scene - Jan, 1912</t>
  </si>
  <si>
    <t>A-0222</t>
  </si>
  <si>
    <t>Cristobal Drydock</t>
  </si>
  <si>
    <t>A-0223</t>
  </si>
  <si>
    <t>Ancon Hill, showing Balboa town site Aug 1912</t>
  </si>
  <si>
    <t>A-0224</t>
  </si>
  <si>
    <t>Rio Grande Superior Station</t>
  </si>
  <si>
    <t>A-0225</t>
  </si>
  <si>
    <t>Pedro Miguel Village, Looking North, 1912</t>
  </si>
  <si>
    <t>A-0226</t>
  </si>
  <si>
    <t>Old Village of La Boca from Sosa Hill</t>
  </si>
  <si>
    <t>A-0227</t>
  </si>
  <si>
    <t>Photograph of Corozal Townsite</t>
  </si>
  <si>
    <t>A-0228</t>
  </si>
  <si>
    <t>Remains of the Village of Frijoles on old line of Panama Railroad - Jan, 1912</t>
  </si>
  <si>
    <t>A-0229</t>
  </si>
  <si>
    <t>Gaillard Cut: View of Dredging Division Headquarters; Paraiso Village in background 6/9/24</t>
  </si>
  <si>
    <t>A-0230</t>
  </si>
  <si>
    <t>Photograph of U.S. Tug, "SAN PABLO"</t>
  </si>
  <si>
    <t>A-0231</t>
  </si>
  <si>
    <t>Village of Tabernilla, CZ</t>
  </si>
  <si>
    <t>A-0232</t>
  </si>
  <si>
    <t>Photograph of Town of Gamboa</t>
  </si>
  <si>
    <t>A-0233</t>
  </si>
  <si>
    <t>Photograph of Miraflores</t>
  </si>
  <si>
    <t>A-0234</t>
  </si>
  <si>
    <t>View looking south from Contractor's Hill, showing old line of Panama RR and village of Cucaracha 1897</t>
  </si>
  <si>
    <t>A-0235</t>
  </si>
  <si>
    <t>Photograph of Dredge "MINDI"</t>
  </si>
  <si>
    <t>A-0236</t>
  </si>
  <si>
    <t>Opening of the Panama Canal SS Ancon on Gatun Lake Near Mamei Aug 15, 1914</t>
  </si>
  <si>
    <t>A-0237</t>
  </si>
  <si>
    <t>Relocation Panama Railroad New Town of Monte Lirio, looking North - June, 1912</t>
  </si>
  <si>
    <t>A-0238</t>
  </si>
  <si>
    <t>Porto Bello, Loading Large Rock for Toro Point Breakwater, June 28, 1913</t>
  </si>
  <si>
    <t>A-0239</t>
  </si>
  <si>
    <t>Balboa, CZ - View from Ancon Hill showing town of Balboa, Administration Building and Harbor 1937</t>
  </si>
  <si>
    <t>1937</t>
  </si>
  <si>
    <t>A-0240</t>
  </si>
  <si>
    <t>Mount Hope Cemetery - 1910</t>
  </si>
  <si>
    <t>A-0241</t>
  </si>
  <si>
    <t>Taboga Island The Village Feb 22, 1925</t>
  </si>
  <si>
    <t>1925</t>
  </si>
  <si>
    <t>A-0242</t>
  </si>
  <si>
    <t>Porto Bello, the Old Town, from Old Spanish Fort, September 1910</t>
  </si>
  <si>
    <t>A-0243</t>
  </si>
  <si>
    <t>Alhajuela dam Site Feb 1925</t>
  </si>
  <si>
    <t>A-0244</t>
  </si>
  <si>
    <t>Typical Camp for European Laborers - Juan Grande</t>
  </si>
  <si>
    <t>A-0245</t>
  </si>
  <si>
    <t>Photograph of Balboa Heights</t>
  </si>
  <si>
    <t>A-0246</t>
  </si>
  <si>
    <t>A-0247</t>
  </si>
  <si>
    <t>Photograph of Palo Seco Leper Colony</t>
  </si>
  <si>
    <t>A-0248</t>
  </si>
  <si>
    <t>Darien Radio Station Looking West December 1917</t>
  </si>
  <si>
    <t>A-0249</t>
  </si>
  <si>
    <t>Photograph of Summit Townsite model</t>
  </si>
  <si>
    <t>A-0250</t>
  </si>
  <si>
    <t>Panama Canal Club House for Silver Employees Red Tank, CZ June 1922</t>
  </si>
  <si>
    <t>1922</t>
  </si>
  <si>
    <t>A-0251</t>
  </si>
  <si>
    <t>Camacho Reservoir, showing Concrete Spillway under Construction - May, 1907</t>
  </si>
  <si>
    <t>A-0252</t>
  </si>
  <si>
    <t>Naos Island Breakwater - October, 1908</t>
  </si>
  <si>
    <t>A-0253</t>
  </si>
  <si>
    <t>Photograph of Diablo Heights</t>
  </si>
  <si>
    <t>A-0254</t>
  </si>
  <si>
    <t>The Agua Clara Reservoir, Gatun - July, 1910</t>
  </si>
  <si>
    <t>A-0255</t>
  </si>
  <si>
    <t>(PI-91 place index)</t>
  </si>
  <si>
    <t>A-0256</t>
  </si>
  <si>
    <t>A-0257</t>
  </si>
  <si>
    <t>A-0258</t>
  </si>
  <si>
    <t>A-0259</t>
  </si>
  <si>
    <t>A-0260</t>
  </si>
  <si>
    <t>A-0261</t>
  </si>
  <si>
    <t>A-0262</t>
  </si>
  <si>
    <t>A-0263</t>
  </si>
  <si>
    <t>A-0264</t>
  </si>
  <si>
    <t>A-0265</t>
  </si>
  <si>
    <t>A-0266</t>
  </si>
  <si>
    <t>A-0267</t>
  </si>
  <si>
    <t>A-0268</t>
  </si>
  <si>
    <t>A-0269</t>
  </si>
  <si>
    <t>A-0270</t>
  </si>
  <si>
    <t>A-0271</t>
  </si>
  <si>
    <t>A-0272</t>
  </si>
  <si>
    <t>A-0273</t>
  </si>
  <si>
    <t>A-0274</t>
  </si>
  <si>
    <t>A-0275</t>
  </si>
  <si>
    <t>A-0276</t>
  </si>
  <si>
    <t>A-0277</t>
  </si>
  <si>
    <t>A-0278</t>
  </si>
  <si>
    <t>A-0279</t>
  </si>
  <si>
    <t>A-0280</t>
  </si>
  <si>
    <t>A-0281</t>
  </si>
  <si>
    <t>A-0282</t>
  </si>
  <si>
    <t>A-0283</t>
  </si>
  <si>
    <t>A-0284</t>
  </si>
  <si>
    <t>A-0285</t>
  </si>
  <si>
    <t>A-0286</t>
  </si>
  <si>
    <t>A-0287</t>
  </si>
  <si>
    <t>A-0288</t>
  </si>
  <si>
    <t>A-0289</t>
  </si>
  <si>
    <t>A-0290</t>
  </si>
  <si>
    <t>A-0291</t>
  </si>
  <si>
    <t>A-0292</t>
  </si>
  <si>
    <t>A-0293</t>
  </si>
  <si>
    <t>A-0294</t>
  </si>
  <si>
    <t>A-0295</t>
  </si>
  <si>
    <t>A-0296</t>
  </si>
  <si>
    <t>A-0297</t>
  </si>
  <si>
    <t>A-0298</t>
  </si>
  <si>
    <t>A-0299</t>
  </si>
  <si>
    <t>A-0300</t>
  </si>
  <si>
    <t>A-0301</t>
  </si>
  <si>
    <t>A-0302</t>
  </si>
  <si>
    <t>A-0303</t>
  </si>
  <si>
    <t>A-0304</t>
  </si>
  <si>
    <t>A-0305</t>
  </si>
  <si>
    <t>A-0306</t>
  </si>
  <si>
    <t>A-0307</t>
  </si>
  <si>
    <t>A-0308</t>
  </si>
  <si>
    <t>A-0309</t>
  </si>
  <si>
    <t>A-0310</t>
  </si>
  <si>
    <t>A-0311</t>
  </si>
  <si>
    <t>A-0312</t>
  </si>
  <si>
    <t>A-0313</t>
  </si>
  <si>
    <t>A-0314</t>
  </si>
  <si>
    <t>A-0315</t>
  </si>
  <si>
    <t>A-0316</t>
  </si>
  <si>
    <t>A-0317</t>
  </si>
  <si>
    <t>A-0318</t>
  </si>
  <si>
    <t>A-0319</t>
  </si>
  <si>
    <t>A-0320</t>
  </si>
  <si>
    <t>A-0321</t>
  </si>
  <si>
    <t>A-0322</t>
  </si>
  <si>
    <t>A-0323</t>
  </si>
  <si>
    <t>A-0324</t>
  </si>
  <si>
    <t>A-0325</t>
  </si>
  <si>
    <t>A-0326</t>
  </si>
  <si>
    <t>A-0327</t>
  </si>
  <si>
    <t>A-0328</t>
  </si>
  <si>
    <t>A-0329</t>
  </si>
  <si>
    <t>A-0330</t>
  </si>
  <si>
    <t>A-0331</t>
  </si>
  <si>
    <t>A-0332</t>
  </si>
  <si>
    <t>A-0333</t>
  </si>
  <si>
    <t>A-0334</t>
  </si>
  <si>
    <t>A-0335</t>
  </si>
  <si>
    <t>A-0336</t>
  </si>
  <si>
    <t>A-0337</t>
  </si>
  <si>
    <t>A-0338</t>
  </si>
  <si>
    <t>A-0339</t>
  </si>
  <si>
    <t>A-0340</t>
  </si>
  <si>
    <t>A-0341</t>
  </si>
  <si>
    <t>A-0342</t>
  </si>
  <si>
    <t>A-0343</t>
  </si>
  <si>
    <t>A-0344</t>
  </si>
  <si>
    <t>A-0345</t>
  </si>
  <si>
    <t>A-0346</t>
  </si>
  <si>
    <t>A-0347</t>
  </si>
  <si>
    <t>A-0348</t>
  </si>
  <si>
    <t>A-0349</t>
  </si>
  <si>
    <t>A-0350</t>
  </si>
  <si>
    <t>A-0351</t>
  </si>
  <si>
    <t>A-0352</t>
  </si>
  <si>
    <t>A-0353</t>
  </si>
  <si>
    <t>A-0354</t>
  </si>
  <si>
    <t>A-0355</t>
  </si>
  <si>
    <t>A-0356</t>
  </si>
  <si>
    <t>A-0357</t>
  </si>
  <si>
    <t>A-0358</t>
  </si>
  <si>
    <t>A-0359</t>
  </si>
  <si>
    <t>A-0360</t>
  </si>
  <si>
    <t>A-0361</t>
  </si>
  <si>
    <t>A-0362</t>
  </si>
  <si>
    <t>A-0363</t>
  </si>
  <si>
    <t>A-0364</t>
  </si>
  <si>
    <t>A-0365</t>
  </si>
  <si>
    <t>A-0366</t>
  </si>
  <si>
    <t>Ferry and Village at Gatun C.Z., Feb 1907</t>
  </si>
  <si>
    <t>A-0367</t>
  </si>
  <si>
    <t>Panama Railway under water near Gatun C.Z.</t>
  </si>
  <si>
    <t>A-0368</t>
  </si>
  <si>
    <t>Moving at Empire 1905</t>
  </si>
  <si>
    <t>A-0369</t>
  </si>
  <si>
    <t>Steam drills working at Empire C.Z.</t>
  </si>
  <si>
    <t>A-0370</t>
  </si>
  <si>
    <t>Photographer's imprint: 'Photo by Fishbaugh, Empire C.Z.'</t>
  </si>
  <si>
    <t>A-0371</t>
  </si>
  <si>
    <t>Scene at Bas Obispo, Feb. 1907</t>
  </si>
  <si>
    <t>A-0372</t>
  </si>
  <si>
    <t>Old French Machinery at Gorgona C.Z.</t>
  </si>
  <si>
    <t>A-0373</t>
  </si>
  <si>
    <t>I.C.C. Hospital at Cristobal C.Z.</t>
  </si>
  <si>
    <t>A-0374</t>
  </si>
  <si>
    <t>De Lesseps' Old House at Cristobal C.Z.</t>
  </si>
  <si>
    <t>A-0375</t>
  </si>
  <si>
    <t>I.C.C. Sanitarium, Taboga Island</t>
  </si>
  <si>
    <t>A-0376</t>
  </si>
  <si>
    <t>A-0377</t>
  </si>
  <si>
    <t>A-0378</t>
  </si>
  <si>
    <t>A-0379</t>
  </si>
  <si>
    <t>A-0380</t>
  </si>
  <si>
    <t>A-0381</t>
  </si>
  <si>
    <t>A-0382</t>
  </si>
  <si>
    <t>A-0383</t>
  </si>
  <si>
    <t>A-0384</t>
  </si>
  <si>
    <t>A-0385</t>
  </si>
  <si>
    <t>A-0386</t>
  </si>
  <si>
    <t>A-0387</t>
  </si>
  <si>
    <t>A-0388</t>
  </si>
  <si>
    <t>Obispo</t>
  </si>
  <si>
    <t>A-0389</t>
  </si>
  <si>
    <t>A-0390</t>
  </si>
  <si>
    <t>A-0391</t>
  </si>
  <si>
    <t>A-0392</t>
  </si>
  <si>
    <t>A-0393</t>
  </si>
  <si>
    <t>A-0394</t>
  </si>
  <si>
    <t>A-0395</t>
  </si>
  <si>
    <t>A-0396</t>
  </si>
  <si>
    <t>A-0397</t>
  </si>
  <si>
    <t>A-0398</t>
  </si>
  <si>
    <t>A-0399</t>
  </si>
  <si>
    <t>Monkey Hill</t>
  </si>
  <si>
    <t>A-0400</t>
  </si>
  <si>
    <t>Noas I. [Naos Island]</t>
  </si>
  <si>
    <t>A-0401</t>
  </si>
  <si>
    <t>1908-05-01</t>
  </si>
  <si>
    <t>A-0402</t>
  </si>
  <si>
    <t>1906-05-21</t>
  </si>
  <si>
    <t>A-0403</t>
  </si>
  <si>
    <t>1913-10-03</t>
  </si>
  <si>
    <t>A-0404</t>
  </si>
  <si>
    <t>A-0405</t>
  </si>
  <si>
    <t>Gatun Lake</t>
  </si>
  <si>
    <t>A-0406</t>
  </si>
  <si>
    <t>1962-09-11</t>
  </si>
  <si>
    <t>A-0407</t>
  </si>
  <si>
    <t>A-0408</t>
  </si>
  <si>
    <t>A-0409</t>
  </si>
  <si>
    <t>A-0410</t>
  </si>
  <si>
    <t>A-0411</t>
  </si>
  <si>
    <t>Baila Monos</t>
  </si>
  <si>
    <t>A-0412</t>
  </si>
  <si>
    <t>A-0413</t>
  </si>
  <si>
    <t>A-0414</t>
  </si>
  <si>
    <t>A-0415</t>
  </si>
  <si>
    <t>A-0416</t>
  </si>
  <si>
    <t>A-0417</t>
  </si>
  <si>
    <t>A-0418</t>
  </si>
  <si>
    <t>A-0419</t>
  </si>
  <si>
    <t>A-0420</t>
  </si>
  <si>
    <t>A-0421</t>
  </si>
  <si>
    <t>A-0422</t>
  </si>
  <si>
    <t>A-0423</t>
  </si>
  <si>
    <t>A-0424</t>
  </si>
  <si>
    <t>A-0425</t>
  </si>
  <si>
    <t>A-0426</t>
  </si>
  <si>
    <t>A-0427</t>
  </si>
  <si>
    <t>A-0428</t>
  </si>
  <si>
    <t>A-0429</t>
  </si>
  <si>
    <t>A-0430</t>
  </si>
  <si>
    <t>A-0431</t>
  </si>
  <si>
    <t>A-0432</t>
  </si>
  <si>
    <t>A-0433</t>
  </si>
  <si>
    <t>A-0434</t>
  </si>
  <si>
    <t>A-0435</t>
  </si>
  <si>
    <t>A-0436</t>
  </si>
  <si>
    <t>A-0437</t>
  </si>
  <si>
    <t>A-0438</t>
  </si>
  <si>
    <t>A-0439</t>
  </si>
  <si>
    <t>A-0440</t>
  </si>
  <si>
    <t>A-0441</t>
  </si>
  <si>
    <t>1901</t>
  </si>
  <si>
    <t>A-0442</t>
  </si>
  <si>
    <t>1891</t>
  </si>
  <si>
    <t>A-0443</t>
  </si>
  <si>
    <t>A-0444</t>
  </si>
  <si>
    <t>A-0445</t>
  </si>
  <si>
    <t>A-0446</t>
  </si>
  <si>
    <t>A-0447</t>
  </si>
  <si>
    <t>A-0448</t>
  </si>
  <si>
    <t>A-0449</t>
  </si>
  <si>
    <t>A-0450</t>
  </si>
  <si>
    <t>A-0451</t>
  </si>
  <si>
    <t>A-0452</t>
  </si>
  <si>
    <t>A-0453</t>
  </si>
  <si>
    <t>A-0454</t>
  </si>
  <si>
    <t>A-0455</t>
  </si>
  <si>
    <t>A-0456</t>
  </si>
  <si>
    <t>A-0457</t>
  </si>
  <si>
    <t>A-0458</t>
  </si>
  <si>
    <t>A-0459</t>
  </si>
  <si>
    <t>A-0460</t>
  </si>
  <si>
    <t>A-0461</t>
  </si>
  <si>
    <t>A-0462</t>
  </si>
  <si>
    <t>A-0463</t>
  </si>
  <si>
    <t>A-0464</t>
  </si>
  <si>
    <t>A-0465</t>
  </si>
  <si>
    <t>A-0466</t>
  </si>
  <si>
    <t>1951</t>
  </si>
  <si>
    <t>A-0467</t>
  </si>
  <si>
    <t>1972</t>
  </si>
  <si>
    <t>A-0468</t>
  </si>
  <si>
    <t>A-0469</t>
  </si>
  <si>
    <t>A-0470</t>
  </si>
  <si>
    <t>A-0471</t>
  </si>
  <si>
    <t>1921</t>
  </si>
  <si>
    <t>A-0472</t>
  </si>
  <si>
    <t>1935</t>
  </si>
  <si>
    <t>A-0473</t>
  </si>
  <si>
    <t>1944</t>
  </si>
  <si>
    <t>A-0474</t>
  </si>
  <si>
    <t>1946</t>
  </si>
  <si>
    <t>A-0475</t>
  </si>
  <si>
    <t>A-0476</t>
  </si>
  <si>
    <t>Colorado Island</t>
  </si>
  <si>
    <t>A-0477</t>
  </si>
  <si>
    <t>1963</t>
  </si>
  <si>
    <t>A-0478</t>
  </si>
  <si>
    <t>1970</t>
  </si>
  <si>
    <t>A-0479</t>
  </si>
  <si>
    <t>1942</t>
  </si>
  <si>
    <t>A-0480</t>
  </si>
  <si>
    <t>A-0481</t>
  </si>
  <si>
    <t>1971</t>
  </si>
  <si>
    <t>A-0482</t>
  </si>
  <si>
    <t>A-0483</t>
  </si>
  <si>
    <t>A-0484</t>
  </si>
  <si>
    <t>A-0485</t>
  </si>
  <si>
    <t>A-0486</t>
  </si>
  <si>
    <t>A-0487</t>
  </si>
  <si>
    <t>A-0488</t>
  </si>
  <si>
    <t>A-0489</t>
  </si>
  <si>
    <t>A-0490</t>
  </si>
  <si>
    <t>A-0491</t>
  </si>
  <si>
    <t>A-0492</t>
  </si>
  <si>
    <t>Ancon (district)</t>
  </si>
  <si>
    <t>A-0493</t>
  </si>
  <si>
    <t>La Boca (site, labeled BALBOA by 1911)</t>
  </si>
  <si>
    <t>A-0494</t>
  </si>
  <si>
    <t>A-0495</t>
  </si>
  <si>
    <t>Frijoles (relocated-line station)</t>
  </si>
  <si>
    <t>A-0496</t>
  </si>
  <si>
    <t>Frijoles (old-line site)</t>
  </si>
  <si>
    <t>A-0497</t>
  </si>
  <si>
    <t>A-0498</t>
  </si>
  <si>
    <t>A-0499</t>
  </si>
  <si>
    <t>A-0500</t>
  </si>
  <si>
    <t>Miraflores (camp block)</t>
  </si>
  <si>
    <t>A-0501</t>
  </si>
  <si>
    <t>A-0502</t>
  </si>
  <si>
    <t>Buena Vista (Atlantic, old line)</t>
  </si>
  <si>
    <t>A-0503</t>
  </si>
  <si>
    <t>Buena Vista (Pacific)</t>
  </si>
  <si>
    <t>A-0504</t>
  </si>
  <si>
    <t>A-0505</t>
  </si>
  <si>
    <t>A-0506</t>
  </si>
  <si>
    <t>A-0507</t>
  </si>
  <si>
    <t>A-0508</t>
  </si>
  <si>
    <t>A-0509</t>
  </si>
  <si>
    <t>A-0510</t>
  </si>
  <si>
    <t>A-0511</t>
  </si>
  <si>
    <t>A-0512</t>
  </si>
  <si>
    <t>A-0513</t>
  </si>
  <si>
    <t>A-0514</t>
  </si>
  <si>
    <t>A-0515</t>
  </si>
  <si>
    <t>A-0516</t>
  </si>
  <si>
    <t>Cocoli (Cerro Cocoli)</t>
  </si>
  <si>
    <t>A-0517</t>
  </si>
  <si>
    <t>A-0518</t>
  </si>
  <si>
    <t>A-0519</t>
  </si>
  <si>
    <t>A-0520</t>
  </si>
  <si>
    <t>A-0521</t>
  </si>
  <si>
    <t>Gatun (old town)</t>
  </si>
  <si>
    <t>A-0522</t>
  </si>
  <si>
    <t>A-0523</t>
  </si>
  <si>
    <t>A-0524</t>
  </si>
  <si>
    <t>A-0525</t>
  </si>
  <si>
    <t>A-0526</t>
  </si>
  <si>
    <t>A-0527</t>
  </si>
  <si>
    <t>A-0528</t>
  </si>
  <si>
    <t>A-0529</t>
  </si>
  <si>
    <t>Rio Grande (village)</t>
  </si>
  <si>
    <t>A-0530</t>
  </si>
  <si>
    <t>Pedro Miguel (town)</t>
  </si>
  <si>
    <t>A-0531</t>
  </si>
  <si>
    <t>A-0532</t>
  </si>
  <si>
    <t>A-0533</t>
  </si>
  <si>
    <t>A-0534</t>
  </si>
  <si>
    <t>A-0535</t>
  </si>
  <si>
    <t>A-0536</t>
  </si>
  <si>
    <t>A-0537</t>
  </si>
  <si>
    <t>Miraflores (village)</t>
  </si>
  <si>
    <t>A-0538</t>
  </si>
  <si>
    <t>A-0539</t>
  </si>
  <si>
    <t>Buena Vista (Atlantic)</t>
  </si>
  <si>
    <t>A-0540</t>
  </si>
  <si>
    <t>A-0541</t>
  </si>
  <si>
    <t>Lion Hill (station)</t>
  </si>
  <si>
    <t>A-0542</t>
  </si>
  <si>
    <t>A-0543</t>
  </si>
  <si>
    <t>A-0544</t>
  </si>
  <si>
    <t>A-0545</t>
  </si>
  <si>
    <t>Balboa (La Boca site)</t>
  </si>
  <si>
    <t>A-0546</t>
  </si>
  <si>
    <t>Taboga (village)</t>
  </si>
  <si>
    <t>A-0547</t>
  </si>
  <si>
    <t>A-0548</t>
  </si>
  <si>
    <t>A-0549</t>
  </si>
  <si>
    <t>A-0550</t>
  </si>
  <si>
    <t>A-0551</t>
  </si>
  <si>
    <t>A-0552</t>
  </si>
  <si>
    <t>EMPIRE</t>
  </si>
  <si>
    <t>A-0553</t>
  </si>
  <si>
    <t>A-0554</t>
  </si>
  <si>
    <t>Empire Plaza (band stand)</t>
  </si>
  <si>
    <t>A-0555</t>
  </si>
  <si>
    <t>A-0556</t>
  </si>
  <si>
    <t>A-0557</t>
  </si>
  <si>
    <t>A-0558</t>
  </si>
  <si>
    <t>GORGONA</t>
  </si>
  <si>
    <t>A-0559</t>
  </si>
  <si>
    <t>Barbacoas (bridge site)</t>
  </si>
  <si>
    <t>A-0560</t>
  </si>
  <si>
    <t>A-0561</t>
  </si>
  <si>
    <t>A-0562</t>
  </si>
  <si>
    <t>Old Gatun (village + Gatun Island)</t>
  </si>
  <si>
    <t>A-0563</t>
  </si>
  <si>
    <t>A-0564</t>
  </si>
  <si>
    <t>Gorgona (1905-06, building-level)</t>
  </si>
  <si>
    <t>A-0565</t>
  </si>
  <si>
    <t>A-0566</t>
  </si>
  <si>
    <t>Frijoles (occupied village)</t>
  </si>
  <si>
    <t>A-0567</t>
  </si>
  <si>
    <t>Frijoles (abandoned site)</t>
  </si>
  <si>
    <t>A-0568</t>
  </si>
  <si>
    <t>San Pablo (probable)</t>
  </si>
  <si>
    <t>A-0569</t>
  </si>
  <si>
    <t>A-0570</t>
  </si>
  <si>
    <t>Mindi (Boca Mindi)</t>
  </si>
  <si>
    <t>A-0571</t>
  </si>
  <si>
    <t>A-0572</t>
  </si>
  <si>
    <t>A-0573</t>
  </si>
  <si>
    <t>Barbacoas (bridge, 1862)</t>
  </si>
  <si>
    <t>A-0574</t>
  </si>
  <si>
    <t>Bailamonos (tract, 1862)</t>
  </si>
  <si>
    <t>A-0575</t>
  </si>
  <si>
    <t>Juan Gallegos (creek label, 1862)</t>
  </si>
  <si>
    <t>A-0576</t>
  </si>
  <si>
    <t>Gatun (pueblo, 1862)</t>
  </si>
  <si>
    <t>A-0577</t>
  </si>
  <si>
    <t>Buhio Soldado (Bohio, 1862)</t>
  </si>
  <si>
    <t>A-0578</t>
  </si>
  <si>
    <t>Frijol Grande/Frijolillo (tracts, 1862)</t>
  </si>
  <si>
    <t>A-0579</t>
  </si>
  <si>
    <t>San Pablo station (1862)</t>
  </si>
  <si>
    <t>Estacion de San Pablo</t>
  </si>
  <si>
    <t>A-0580</t>
  </si>
  <si>
    <t>Tabernilla (1862)</t>
  </si>
  <si>
    <t>A-0581</t>
  </si>
  <si>
    <t>Cerro de Lion station (1862)</t>
  </si>
  <si>
    <t>A-0582</t>
  </si>
  <si>
    <t>Mamei station (1862)</t>
  </si>
  <si>
    <t>A-0583</t>
  </si>
  <si>
    <t>Monte Lirio (Gatun river, 1862)</t>
  </si>
  <si>
    <t>A-0584</t>
  </si>
  <si>
    <t>Pena Blanca (tract, 1862)</t>
  </si>
  <si>
    <t>A-0585</t>
  </si>
  <si>
    <t>A-0586</t>
  </si>
  <si>
    <t>Emperador (1895)</t>
  </si>
  <si>
    <t>A-0587</t>
  </si>
  <si>
    <t>Gorgona (1895)</t>
  </si>
  <si>
    <t>A-0588</t>
  </si>
  <si>
    <t>A-0589</t>
  </si>
  <si>
    <t>A-0590</t>
  </si>
  <si>
    <t>A-0591</t>
  </si>
  <si>
    <t>Rio Grande Superieur (1895)</t>
  </si>
  <si>
    <t>A-0592</t>
  </si>
  <si>
    <t>Rio Grande village (1895)</t>
  </si>
  <si>
    <t>A-0593</t>
  </si>
  <si>
    <t>A-0594</t>
  </si>
  <si>
    <t>A-0595</t>
  </si>
  <si>
    <t>Corozal (1895)</t>
  </si>
  <si>
    <t>A-0596</t>
  </si>
  <si>
    <t>A-0597</t>
  </si>
  <si>
    <t>Miraflores (1895)</t>
  </si>
  <si>
    <t>A-0598</t>
  </si>
  <si>
    <t>Cucaracha (1895)</t>
  </si>
  <si>
    <t>A-0599</t>
  </si>
  <si>
    <t>Empire on Hill quarters (1907)</t>
  </si>
  <si>
    <t>A-0600</t>
  </si>
  <si>
    <t>Empire-Sabana Base Ball Grounds</t>
  </si>
  <si>
    <t>A-0601</t>
  </si>
  <si>
    <t>NEW Culebra as built (1907)</t>
  </si>
  <si>
    <t>A-0602</t>
  </si>
  <si>
    <t>OLD Culebra town (June 1907)</t>
  </si>
  <si>
    <t>A-0603</t>
  </si>
  <si>
    <t>Bas Obispo village (June 1907)</t>
  </si>
  <si>
    <t>A-0604</t>
  </si>
  <si>
    <t>Las Cascadas hillside town (June 1907)</t>
  </si>
  <si>
    <t>A-0605</t>
  </si>
  <si>
    <t>Pedro Miguel LABOR CAMP rows (June 1907)</t>
  </si>
  <si>
    <t>A-0606</t>
  </si>
  <si>
    <t>Pedro Miguel NE quarters street</t>
  </si>
  <si>
    <t>A-0607</t>
  </si>
  <si>
    <t>Paraiso town - hillside quarters (June 1907)</t>
  </si>
  <si>
    <t>A-0608</t>
  </si>
  <si>
    <t>Cucaracha village (June 1907)</t>
  </si>
  <si>
    <t>A-0609</t>
  </si>
  <si>
    <t>Buena Vista camp (1907, Pacific)</t>
  </si>
  <si>
    <t>A-0610</t>
  </si>
  <si>
    <t>Camp Elliott (1907)</t>
  </si>
  <si>
    <t>A-0611</t>
  </si>
  <si>
    <t>Enterprise (1907)</t>
  </si>
  <si>
    <t>A-0612</t>
  </si>
  <si>
    <t>Gatun town (1947)</t>
  </si>
  <si>
    <t>A-0613</t>
  </si>
  <si>
    <t>Palo Seco leper colony (1947)</t>
  </si>
  <si>
    <t>A-0614</t>
  </si>
  <si>
    <t>Darien station (1947)</t>
  </si>
  <si>
    <t>A-0615</t>
  </si>
  <si>
    <t>Summit (1947)</t>
  </si>
  <si>
    <t>A-0616</t>
  </si>
  <si>
    <t>Red Tank (1947)</t>
  </si>
  <si>
    <t>A-0617</t>
  </si>
  <si>
    <t>Diablo Heights (1947)</t>
  </si>
  <si>
    <t>A-0618</t>
  </si>
  <si>
    <t>Cocoli (1947)</t>
  </si>
  <si>
    <t>A-0619</t>
  </si>
  <si>
    <t>Margarita (1947)</t>
  </si>
  <si>
    <t>A-0620</t>
  </si>
  <si>
    <t>Coco Solo (1947)</t>
  </si>
  <si>
    <t>A-0621</t>
  </si>
  <si>
    <t>Fort Clayton (1947)</t>
  </si>
  <si>
    <t>A-0622</t>
  </si>
  <si>
    <t>Fort Davis (1947)</t>
  </si>
  <si>
    <t>A-0623</t>
  </si>
  <si>
    <t>Fort Sherman (1947)</t>
  </si>
  <si>
    <t>A-0624</t>
  </si>
  <si>
    <t>Fort Amador (1947)</t>
  </si>
  <si>
    <t>A-0625</t>
  </si>
  <si>
    <t>Albrook Field (1947)</t>
  </si>
  <si>
    <t>A-0626</t>
  </si>
  <si>
    <t>Barro Colorado Island (1947)</t>
  </si>
  <si>
    <t>A-0627</t>
  </si>
  <si>
    <t>A-0628</t>
  </si>
  <si>
    <t>A-0629</t>
  </si>
  <si>
    <t>A-0630</t>
  </si>
  <si>
    <t>A-0631</t>
  </si>
  <si>
    <t>A-0632</t>
  </si>
  <si>
    <t>A-0633</t>
  </si>
  <si>
    <t>A-0634</t>
  </si>
  <si>
    <t>A-0635</t>
  </si>
  <si>
    <t>A-0636</t>
  </si>
  <si>
    <t>A-0637</t>
  </si>
  <si>
    <t>A-0638</t>
  </si>
  <si>
    <t>A-0639</t>
  </si>
  <si>
    <t>A-0640</t>
  </si>
  <si>
    <t>A-0641</t>
  </si>
  <si>
    <t>Haut Obispo (1895)</t>
  </si>
  <si>
    <t>A-0642</t>
  </si>
  <si>
    <t>A-0643</t>
  </si>
  <si>
    <t>A-0644</t>
  </si>
  <si>
    <t>A-0645</t>
  </si>
  <si>
    <t>Naos I.</t>
  </si>
  <si>
    <t>A-0646</t>
  </si>
  <si>
    <t>A-0647</t>
  </si>
  <si>
    <t>EL VIGIA</t>
  </si>
  <si>
    <t>A-0648</t>
  </si>
  <si>
    <t>A-0649</t>
  </si>
  <si>
    <t>fr</t>
  </si>
  <si>
    <t>A-0650</t>
  </si>
  <si>
    <t>A-0651</t>
  </si>
  <si>
    <t>A-0652</t>
  </si>
  <si>
    <t>Camp Diablo</t>
  </si>
  <si>
    <t>A-0653</t>
  </si>
  <si>
    <t>A-0654</t>
  </si>
  <si>
    <t>A-0655</t>
  </si>
  <si>
    <t>A-0656</t>
  </si>
  <si>
    <t>A-0657</t>
  </si>
  <si>
    <t>A-0658</t>
  </si>
  <si>
    <t>A-0659</t>
  </si>
  <si>
    <t>A-0660</t>
  </si>
  <si>
    <t>A-0661</t>
  </si>
  <si>
    <t>A-0662</t>
  </si>
  <si>
    <t>A-0663</t>
  </si>
  <si>
    <t>A-0664</t>
  </si>
  <si>
    <t>A-0665</t>
  </si>
  <si>
    <t>A-0666</t>
  </si>
  <si>
    <t>A-0667</t>
  </si>
  <si>
    <t>A-0668</t>
  </si>
  <si>
    <t>A-0669</t>
  </si>
  <si>
    <t>A-0670</t>
  </si>
  <si>
    <t>A-0671</t>
  </si>
  <si>
    <t>A-0672</t>
  </si>
  <si>
    <t>A-0673</t>
  </si>
  <si>
    <t>A-0674</t>
  </si>
  <si>
    <t>A-0675</t>
  </si>
  <si>
    <t>Whitehouse (camp)</t>
  </si>
  <si>
    <t>A-0676</t>
  </si>
  <si>
    <t>A-0677</t>
  </si>
  <si>
    <t>A-0678</t>
  </si>
  <si>
    <t>A-0679</t>
  </si>
  <si>
    <t>A-0680</t>
  </si>
  <si>
    <t>A-0681</t>
  </si>
  <si>
    <t>A-0682</t>
  </si>
  <si>
    <t>A-0683</t>
  </si>
  <si>
    <t>AHORCA LAGARTO</t>
  </si>
  <si>
    <t>A-0684</t>
  </si>
  <si>
    <t>SANTA CRUZ</t>
  </si>
  <si>
    <t>A-0685</t>
  </si>
  <si>
    <t>NEW GATUN</t>
  </si>
  <si>
    <t>A-0686</t>
  </si>
  <si>
    <t>A-0687</t>
  </si>
  <si>
    <t>CULEBRA / NEW CULEBRA</t>
  </si>
  <si>
    <t>A-0688</t>
  </si>
  <si>
    <t>RIO GRANDE</t>
  </si>
  <si>
    <t>A-0689</t>
  </si>
  <si>
    <t>PEDRO MIGUEL</t>
  </si>
  <si>
    <t>A-0690</t>
  </si>
  <si>
    <t>PARAISO</t>
  </si>
  <si>
    <t>A-0691</t>
  </si>
  <si>
    <t>CAMPO ELLIOTT</t>
  </si>
  <si>
    <t>A-0692</t>
  </si>
  <si>
    <t>Toro Pt.</t>
  </si>
  <si>
    <t>A-0693</t>
  </si>
  <si>
    <t>ALHAJUELA</t>
  </si>
  <si>
    <t>A-0694</t>
  </si>
  <si>
    <t>CAMACHO</t>
  </si>
  <si>
    <t>A-0695</t>
  </si>
  <si>
    <t>JUAN MINA</t>
  </si>
  <si>
    <t>A-0696</t>
  </si>
  <si>
    <t>WHITE HOUSE</t>
  </si>
  <si>
    <t>A-0697</t>
  </si>
  <si>
    <t>PENA BLANCA</t>
  </si>
  <si>
    <t>A-0698</t>
  </si>
  <si>
    <t>CARTAGENITA</t>
  </si>
  <si>
    <t>A-0699</t>
  </si>
  <si>
    <t>PALO GRANDE</t>
  </si>
  <si>
    <t>A-0700</t>
  </si>
  <si>
    <t>HAUT OBISPO</t>
  </si>
  <si>
    <t>A-0701</t>
  </si>
  <si>
    <t>CUNETTE</t>
  </si>
  <si>
    <t>A-0702</t>
  </si>
  <si>
    <t>CERRO</t>
  </si>
  <si>
    <t>A-0703</t>
  </si>
  <si>
    <t>LIRIO</t>
  </si>
  <si>
    <t>A-0704</t>
  </si>
  <si>
    <t>CABALLO VIEJO</t>
  </si>
  <si>
    <t>A-0705</t>
  </si>
  <si>
    <t>LAS PENITAS</t>
  </si>
  <si>
    <t>A-0706</t>
  </si>
  <si>
    <t>PALO MATIAS VIEJO</t>
  </si>
  <si>
    <t>A-0707</t>
  </si>
  <si>
    <t>A-0708</t>
  </si>
  <si>
    <t>Juan Gallegos</t>
  </si>
  <si>
    <t>A-0709</t>
  </si>
  <si>
    <t>A-0710</t>
  </si>
  <si>
    <t>A-0711</t>
  </si>
  <si>
    <t>BOHIO</t>
  </si>
  <si>
    <t>A-0712</t>
  </si>
  <si>
    <t>A-0713</t>
  </si>
  <si>
    <t>A-0714</t>
  </si>
  <si>
    <t>A-0715</t>
  </si>
  <si>
    <t>Palo Seco (leper colony)</t>
  </si>
  <si>
    <t>A-0716</t>
  </si>
  <si>
    <t>palo seco</t>
  </si>
  <si>
    <t>A-0717</t>
  </si>
  <si>
    <t>A-0718</t>
  </si>
  <si>
    <t>A-0719</t>
  </si>
  <si>
    <t>A-0720</t>
  </si>
  <si>
    <t>A-0721</t>
  </si>
  <si>
    <t>VAMOS [VAMOS]</t>
  </si>
  <si>
    <t>A-0722</t>
  </si>
  <si>
    <t>A-0723</t>
  </si>
  <si>
    <t>A-0724</t>
  </si>
  <si>
    <t>A-0725</t>
  </si>
  <si>
    <t>A-0726</t>
  </si>
  <si>
    <t>A-0727</t>
  </si>
  <si>
    <t>A-0728</t>
  </si>
  <si>
    <t>A-0729</t>
  </si>
  <si>
    <t>A-0730</t>
  </si>
  <si>
    <t>A-0731</t>
  </si>
  <si>
    <t>A-0732</t>
  </si>
  <si>
    <t>A-0733</t>
  </si>
  <si>
    <t>A-0734</t>
  </si>
  <si>
    <t>CRISTOBAL</t>
  </si>
  <si>
    <t>A-0735</t>
  </si>
  <si>
    <t>ANCON</t>
  </si>
  <si>
    <t>A-0736</t>
  </si>
  <si>
    <t>A-0737</t>
  </si>
  <si>
    <t>COROZAL</t>
  </si>
  <si>
    <t>A-0738</t>
  </si>
  <si>
    <t>A-0739</t>
  </si>
  <si>
    <t>A-0740</t>
  </si>
  <si>
    <t>A-0741</t>
  </si>
  <si>
    <t>BALBOA</t>
  </si>
  <si>
    <t>A-0742</t>
  </si>
  <si>
    <t>Mt. Hope</t>
  </si>
  <si>
    <t>A-0743</t>
  </si>
  <si>
    <t>Naos I</t>
  </si>
  <si>
    <t>A-0744</t>
  </si>
  <si>
    <t>A-0745</t>
  </si>
  <si>
    <t>A-0746</t>
  </si>
  <si>
    <t>A-0747</t>
  </si>
  <si>
    <t>A-0748</t>
  </si>
  <si>
    <t>A-0749</t>
  </si>
  <si>
    <t>A-0750</t>
  </si>
  <si>
    <t>A-0751</t>
  </si>
  <si>
    <t>A-0752</t>
  </si>
  <si>
    <t>A-0753</t>
  </si>
  <si>
    <t>A-0754</t>
  </si>
  <si>
    <t>A-0755</t>
  </si>
  <si>
    <t>A-0756</t>
  </si>
  <si>
    <t>A-0757</t>
  </si>
  <si>
    <t>A-0758</t>
  </si>
  <si>
    <t>A-0759</t>
  </si>
  <si>
    <t>A-0760</t>
  </si>
  <si>
    <t>A-0761</t>
  </si>
  <si>
    <t>A-0762</t>
  </si>
  <si>
    <t>A-0763</t>
  </si>
  <si>
    <t>SPANISH TOWN</t>
  </si>
  <si>
    <t>A-0764</t>
  </si>
  <si>
    <t>GOLDEN GREEN</t>
  </si>
  <si>
    <t>A-0765</t>
  </si>
  <si>
    <t>CARABALI RESERV[ATION]</t>
  </si>
  <si>
    <t>A-0766</t>
  </si>
  <si>
    <t>Emperador (Pueblo de Emperador)</t>
  </si>
  <si>
    <t>1900</t>
  </si>
  <si>
    <t>A-0767</t>
  </si>
  <si>
    <t>A-0768</t>
  </si>
  <si>
    <t>Matachín</t>
  </si>
  <si>
    <t>A-0769</t>
  </si>
  <si>
    <t>Cerro Paraíso</t>
  </si>
  <si>
    <t>A-0770</t>
  </si>
  <si>
    <t>A-0771</t>
  </si>
  <si>
    <t>A-0772</t>
  </si>
  <si>
    <t>A-0773</t>
  </si>
  <si>
    <t>A-0774</t>
  </si>
  <si>
    <t>A-0775</t>
  </si>
  <si>
    <t>A-0776</t>
  </si>
  <si>
    <t>A-0777</t>
  </si>
  <si>
    <t>A-0778</t>
  </si>
  <si>
    <t>A-0779</t>
  </si>
  <si>
    <t>A-0780</t>
  </si>
  <si>
    <t>A-0781</t>
  </si>
  <si>
    <t>Empire Machine Shop</t>
  </si>
  <si>
    <t>A-0782</t>
  </si>
  <si>
    <t>Empire Boiler Shop</t>
  </si>
  <si>
    <t>A-0783</t>
  </si>
  <si>
    <t>Empire Blacksmith's Shop</t>
  </si>
  <si>
    <t>A-0784</t>
  </si>
  <si>
    <t>Empire Erecting Shed</t>
  </si>
  <si>
    <t>A-0785</t>
  </si>
  <si>
    <t>Empire Transfer Table</t>
  </si>
  <si>
    <t>A-0786</t>
  </si>
  <si>
    <t>Empire Storehouse</t>
  </si>
  <si>
    <t>A-0787</t>
  </si>
  <si>
    <t>A-0788</t>
  </si>
  <si>
    <t>A-0789</t>
  </si>
  <si>
    <t>A-0790</t>
  </si>
  <si>
    <t>A-0791</t>
  </si>
  <si>
    <t>A-0792</t>
  </si>
  <si>
    <t>A-0793</t>
  </si>
  <si>
    <t>A-0794</t>
  </si>
  <si>
    <t>A-0795</t>
  </si>
  <si>
    <t>A-0796</t>
  </si>
  <si>
    <t>A-0797</t>
  </si>
  <si>
    <t>A-0798</t>
  </si>
  <si>
    <t>A-0799</t>
  </si>
  <si>
    <t>A-0800</t>
  </si>
  <si>
    <t>A-0801</t>
  </si>
  <si>
    <t>A-0802</t>
  </si>
  <si>
    <t>A-0803</t>
  </si>
  <si>
    <t>A-0804</t>
  </si>
  <si>
    <t>A-0805</t>
  </si>
  <si>
    <t>A-0806</t>
  </si>
  <si>
    <t>A-0807</t>
  </si>
  <si>
    <t>A-0808</t>
  </si>
  <si>
    <t>A-0809</t>
  </si>
  <si>
    <t>A-0810</t>
  </si>
  <si>
    <t>A-0811</t>
  </si>
  <si>
    <t>A-0812</t>
  </si>
  <si>
    <t>A-0813</t>
  </si>
  <si>
    <t>A-0814</t>
  </si>
  <si>
    <t>A-0815</t>
  </si>
  <si>
    <t>A-0816</t>
  </si>
  <si>
    <t>Empire-Sabana Corral</t>
  </si>
  <si>
    <t>A-0817</t>
  </si>
  <si>
    <t>Empire-Sabana SE loop quarters</t>
  </si>
  <si>
    <t>A-0818</t>
  </si>
  <si>
    <t>Culebra W hill quarters block</t>
  </si>
  <si>
    <t>A-0819</t>
  </si>
  <si>
    <t>Bas Obispo W cluster</t>
  </si>
  <si>
    <t>A-0820</t>
  </si>
  <si>
    <t>Bas Obispo E hillside cluster</t>
  </si>
  <si>
    <t>A-0821</t>
  </si>
  <si>
    <t>Las Cascadas NE quarters rows</t>
  </si>
  <si>
    <t>A-0822</t>
  </si>
  <si>
    <t>Cucaracha ICC camp (highlighted buildings)</t>
  </si>
  <si>
    <t>A-0823</t>
  </si>
  <si>
    <t>Cucaracha W outlier cluster</t>
  </si>
  <si>
    <t>A-0824</t>
  </si>
  <si>
    <t>'To be filled' lagoon at Paraiso</t>
  </si>
  <si>
    <t>A-0825</t>
  </si>
  <si>
    <t>Pedro Miguel main-street buildings</t>
  </si>
  <si>
    <t>A-0826</t>
  </si>
  <si>
    <t>Cunette SOUTH end quarters rows</t>
  </si>
  <si>
    <t>A-0827</t>
  </si>
  <si>
    <t>Cunette S central building</t>
  </si>
  <si>
    <t>A-0828</t>
  </si>
  <si>
    <t>Cunette S far-SE pair</t>
  </si>
  <si>
    <t>A-0829</t>
  </si>
  <si>
    <t>Police Sta.</t>
  </si>
  <si>
    <t>A-0830</t>
  </si>
  <si>
    <t>Paraiso Storehouse</t>
  </si>
  <si>
    <t>A-0831</t>
  </si>
  <si>
    <t>Paraiso Carpenter Shop</t>
  </si>
  <si>
    <t>A-0832</t>
  </si>
  <si>
    <t>Paraiso Iron Rack</t>
  </si>
  <si>
    <t>A-0833</t>
  </si>
  <si>
    <t>Paraiso Machine Shop</t>
  </si>
  <si>
    <t>A-0834</t>
  </si>
  <si>
    <t>Paraiso Boiler + Blacksmith Shop</t>
  </si>
  <si>
    <t>A-0835</t>
  </si>
  <si>
    <t>A-0836</t>
  </si>
  <si>
    <t>A-0837</t>
  </si>
  <si>
    <t>MACHINE SHOPS</t>
  </si>
  <si>
    <t>A-0838</t>
  </si>
  <si>
    <t>Culebra (rim town)</t>
  </si>
  <si>
    <t>A-0839</t>
  </si>
  <si>
    <t>A-0840</t>
  </si>
  <si>
    <t>A-0841</t>
  </si>
  <si>
    <t>A-0842</t>
  </si>
  <si>
    <t>A-0843</t>
  </si>
  <si>
    <t>A-0844</t>
  </si>
  <si>
    <t>MATACHIN</t>
  </si>
  <si>
    <t>A-0845</t>
  </si>
  <si>
    <t>BAS OBISPO</t>
  </si>
  <si>
    <t>A-0846</t>
  </si>
  <si>
    <t>LAS CASCADAS</t>
  </si>
  <si>
    <t>A-0847</t>
  </si>
  <si>
    <t>LAS CASADAS</t>
  </si>
  <si>
    <t>A-0848</t>
  </si>
  <si>
    <t>TAVERNILLA</t>
  </si>
  <si>
    <t>A-0849</t>
  </si>
  <si>
    <t>A-0850</t>
  </si>
  <si>
    <t>MAMEI</t>
  </si>
  <si>
    <t>A-0851</t>
  </si>
  <si>
    <t>A-0852</t>
  </si>
  <si>
    <t>Baila[monos]</t>
  </si>
  <si>
    <t>A-0853</t>
  </si>
  <si>
    <t>CRISTOBAL / COLON</t>
  </si>
  <si>
    <t>A-0854</t>
  </si>
  <si>
    <t>MOUNT HOPE</t>
  </si>
  <si>
    <t>A-0855</t>
  </si>
  <si>
    <t>A-0856</t>
  </si>
  <si>
    <t>A-0857</t>
  </si>
  <si>
    <t>A-0858</t>
  </si>
  <si>
    <t>East La Boca</t>
  </si>
  <si>
    <t>A-0859</t>
  </si>
  <si>
    <t>A-0860</t>
  </si>
  <si>
    <t>A-0861</t>
  </si>
  <si>
    <t>A-0862</t>
  </si>
  <si>
    <t>A-0863</t>
  </si>
  <si>
    <t>Paraiso shops</t>
  </si>
  <si>
    <t>A-0864</t>
  </si>
  <si>
    <t>B.B. FIELD</t>
  </si>
  <si>
    <t>A-0865</t>
  </si>
  <si>
    <t>A-0866</t>
  </si>
  <si>
    <t>Palo Grande (rio)</t>
  </si>
  <si>
    <t>A-0867</t>
  </si>
  <si>
    <t>A-0868</t>
  </si>
  <si>
    <t>A-0869</t>
  </si>
  <si>
    <t>A-0870</t>
  </si>
  <si>
    <t>A-0871</t>
  </si>
  <si>
    <t>A-0872</t>
  </si>
  <si>
    <t>A-0873</t>
  </si>
  <si>
    <t>A-0874</t>
  </si>
  <si>
    <t>A-0875</t>
  </si>
  <si>
    <t>A-0876</t>
  </si>
  <si>
    <t>A-0877</t>
  </si>
  <si>
    <t>A-0878</t>
  </si>
  <si>
    <t>A-0879</t>
  </si>
  <si>
    <t>A-0880</t>
  </si>
  <si>
    <t>A-0881</t>
  </si>
  <si>
    <t>A-0882</t>
  </si>
  <si>
    <t>A-0883</t>
  </si>
  <si>
    <t>A-0884</t>
  </si>
  <si>
    <t>A-0885</t>
  </si>
  <si>
    <t>A-0886</t>
  </si>
  <si>
    <t>El Pueblo de Matachin</t>
  </si>
  <si>
    <t>A-0887</t>
  </si>
  <si>
    <t>CRUCES</t>
  </si>
  <si>
    <t>A-0888</t>
  </si>
  <si>
    <t>A-0889</t>
  </si>
  <si>
    <t>A-0890</t>
  </si>
  <si>
    <t>El Pueblo de [Buena] Vista</t>
  </si>
  <si>
    <t>A-0891</t>
  </si>
  <si>
    <t>A-0892</t>
  </si>
  <si>
    <t>A-0893</t>
  </si>
  <si>
    <t>A-0894</t>
  </si>
  <si>
    <t>el Pueblo de Chagres</t>
  </si>
  <si>
    <t>A-0895</t>
  </si>
  <si>
    <t>Estacion de Obispo</t>
  </si>
  <si>
    <t>A-0896</t>
  </si>
  <si>
    <t>Palo Matias (las tierras llamadas)</t>
  </si>
  <si>
    <t>A-0897</t>
  </si>
  <si>
    <t>BailaMonos (las tierras de los herederos de Tomas Dutari)</t>
  </si>
  <si>
    <t>A-0898</t>
  </si>
  <si>
    <t>Buhio Soldado</t>
  </si>
  <si>
    <t>A-0899</t>
  </si>
  <si>
    <t>Pena Blanca (Abajo / El Medio / Arriba)</t>
  </si>
  <si>
    <t>A-0900</t>
  </si>
  <si>
    <t>Juan Grande (rio/tierras)</t>
  </si>
  <si>
    <t>A-0901</t>
  </si>
  <si>
    <t>Rio Juan Gallegos</t>
  </si>
  <si>
    <t>A-0902</t>
  </si>
  <si>
    <t>Qa Agua Clara</t>
  </si>
  <si>
    <t>A-0903</t>
  </si>
  <si>
    <t>Rio Mindi</t>
  </si>
  <si>
    <t>A-0904</t>
  </si>
  <si>
    <t>A-0905</t>
  </si>
  <si>
    <t>A-0906</t>
  </si>
  <si>
    <t>A-0907</t>
  </si>
  <si>
    <t>A-0908</t>
  </si>
  <si>
    <t>A-0909</t>
  </si>
  <si>
    <t>A-0910</t>
  </si>
  <si>
    <t>A-0911</t>
  </si>
  <si>
    <t>A-0912</t>
  </si>
  <si>
    <t>Cath. Church</t>
  </si>
  <si>
    <t>A-0913</t>
  </si>
  <si>
    <t>Whitehouse E cluster</t>
  </si>
  <si>
    <t>A-0914</t>
  </si>
  <si>
    <t>A-0915</t>
  </si>
  <si>
    <t>GAMBOA</t>
  </si>
  <si>
    <t>A-0916</t>
  </si>
  <si>
    <t>A-0917</t>
  </si>
  <si>
    <t>Campement de Caballo Viejo</t>
  </si>
  <si>
    <t>A-0918</t>
  </si>
  <si>
    <t>A-0919</t>
  </si>
  <si>
    <t>Ancon (Cerro Ancon / Hopital)</t>
  </si>
  <si>
    <t>A-0920</t>
  </si>
  <si>
    <t>Cerro de Casa Blanca</t>
  </si>
  <si>
    <t>A-0921</t>
  </si>
  <si>
    <t>Rio Carabali</t>
  </si>
  <si>
    <t>A-0922</t>
  </si>
  <si>
    <t>A-0923</t>
  </si>
  <si>
    <t>A-0924</t>
  </si>
  <si>
    <t>A-0925</t>
  </si>
  <si>
    <t>Carabali (settlement)</t>
  </si>
  <si>
    <t>A-0926</t>
  </si>
  <si>
    <t>A-0927</t>
  </si>
  <si>
    <t>New Commissary 163</t>
  </si>
  <si>
    <t>A-0928</t>
  </si>
  <si>
    <t>A-0929</t>
  </si>
  <si>
    <t>A-0930</t>
  </si>
  <si>
    <t>A-0931</t>
  </si>
  <si>
    <t>A-0932</t>
  </si>
  <si>
    <t>A-0933</t>
  </si>
  <si>
    <t>A-0934</t>
  </si>
  <si>
    <t>A-0935</t>
  </si>
  <si>
    <t>A-0936</t>
  </si>
  <si>
    <t>A-0937</t>
  </si>
  <si>
    <t>A-0938</t>
  </si>
  <si>
    <t>A-0939</t>
  </si>
  <si>
    <t>A-0940</t>
  </si>
  <si>
    <t>A-0941</t>
  </si>
  <si>
    <t>A-0942</t>
  </si>
  <si>
    <t>A-0943</t>
  </si>
  <si>
    <t>A-0944</t>
  </si>
  <si>
    <t>A-0945</t>
  </si>
  <si>
    <t>A-0946</t>
  </si>
  <si>
    <t>A-0947</t>
  </si>
  <si>
    <t>A-0948</t>
  </si>
  <si>
    <t>A-0949</t>
  </si>
  <si>
    <t>A-0950</t>
  </si>
  <si>
    <t>A-0951</t>
  </si>
  <si>
    <t>A-0952</t>
  </si>
  <si>
    <t>A-0953</t>
  </si>
  <si>
    <t>A-0954</t>
  </si>
  <si>
    <t>A-0955</t>
  </si>
  <si>
    <t>A-0956</t>
  </si>
  <si>
    <t>A-0957</t>
  </si>
  <si>
    <t>A-0958</t>
  </si>
  <si>
    <t>A-0959</t>
  </si>
  <si>
    <t>A-0960</t>
  </si>
  <si>
    <t>A-0961</t>
  </si>
  <si>
    <t>A-0962</t>
  </si>
  <si>
    <t>A-0963</t>
  </si>
  <si>
    <t>A-0964</t>
  </si>
  <si>
    <t>A-0965</t>
  </si>
  <si>
    <t>A-0966</t>
  </si>
  <si>
    <t>A-0967</t>
  </si>
  <si>
    <t>A-0968</t>
  </si>
  <si>
    <t>A-0969</t>
  </si>
  <si>
    <t>A-0970</t>
  </si>
  <si>
    <t>A-0971</t>
  </si>
  <si>
    <t>A-0972</t>
  </si>
  <si>
    <t>A-0973</t>
  </si>
  <si>
    <t>Caimito Mulato</t>
  </si>
  <si>
    <t>A-0974</t>
  </si>
  <si>
    <t>San Juan de Pequeni</t>
  </si>
  <si>
    <t>A-0975</t>
  </si>
  <si>
    <t>Empire silver quarters</t>
  </si>
  <si>
    <t>A-0976</t>
  </si>
  <si>
    <t>Empire gold quarters</t>
  </si>
  <si>
    <t>A-0977</t>
  </si>
  <si>
    <t>plaza at Empire</t>
  </si>
  <si>
    <t>A-0978</t>
  </si>
  <si>
    <t>church at Empire</t>
  </si>
  <si>
    <t>A-0979</t>
  </si>
  <si>
    <t>cemetery at Empire</t>
  </si>
  <si>
    <t>A-0980</t>
  </si>
  <si>
    <t>Empire court house</t>
  </si>
  <si>
    <t>A-0981</t>
  </si>
  <si>
    <t>Empire freight house</t>
  </si>
  <si>
    <t>A-0982</t>
  </si>
  <si>
    <t>Empire base ball</t>
  </si>
  <si>
    <t>A-0983</t>
  </si>
  <si>
    <t>hotel at Empire</t>
  </si>
  <si>
    <t>A-0984</t>
  </si>
  <si>
    <t>police station at Empire</t>
  </si>
  <si>
    <t>A-0985</t>
  </si>
  <si>
    <t>municipal building at Empire</t>
  </si>
  <si>
    <t>A-0986</t>
  </si>
  <si>
    <t>machine shops at Empire</t>
  </si>
  <si>
    <t>A-0987</t>
  </si>
  <si>
    <t>Y. M. C. A. at Empire</t>
  </si>
  <si>
    <t>A-0988</t>
  </si>
  <si>
    <t>fire station at Empire</t>
  </si>
  <si>
    <t>A-0989</t>
  </si>
  <si>
    <t>bank at Empire</t>
  </si>
  <si>
    <t>A-0990</t>
  </si>
  <si>
    <t>post office at Empire</t>
  </si>
  <si>
    <t>A-0991</t>
  </si>
  <si>
    <t>dispensary at Empire</t>
  </si>
  <si>
    <t>A-0992</t>
  </si>
  <si>
    <t>market at Gorgona</t>
  </si>
  <si>
    <t>A-0993</t>
  </si>
  <si>
    <t>Y. M. C. A. at Gorgona</t>
  </si>
  <si>
    <t>A-0994</t>
  </si>
  <si>
    <t>band stand at Gorgona</t>
  </si>
  <si>
    <t>A-0995</t>
  </si>
  <si>
    <t>hotel at Gorgona</t>
  </si>
  <si>
    <t>A-0996</t>
  </si>
  <si>
    <t>Gorgona hotel</t>
  </si>
  <si>
    <t>A-0997</t>
  </si>
  <si>
    <t>Y. M. C. A. at Culebra</t>
  </si>
  <si>
    <t>A-0998</t>
  </si>
  <si>
    <t>hotel at Culebra</t>
  </si>
  <si>
    <t>A-0999</t>
  </si>
  <si>
    <t>post office at Culebra</t>
  </si>
  <si>
    <t>A-1000</t>
  </si>
  <si>
    <t>church at Culebra</t>
  </si>
  <si>
    <t>A-1001</t>
  </si>
  <si>
    <t>colored school at Culebra</t>
  </si>
  <si>
    <t>A-1002</t>
  </si>
  <si>
    <t>commissary at Culebra</t>
  </si>
  <si>
    <t>A-1003</t>
  </si>
  <si>
    <t>fire station at Culebra</t>
  </si>
  <si>
    <t>A-1004</t>
  </si>
  <si>
    <t>dispensary at Culebra</t>
  </si>
  <si>
    <t>A-1005</t>
  </si>
  <si>
    <t>planing mill at Culebra</t>
  </si>
  <si>
    <t>A-1006</t>
  </si>
  <si>
    <t>corral at Culebra</t>
  </si>
  <si>
    <t>A-1007</t>
  </si>
  <si>
    <t>lumber mill at Culebra</t>
  </si>
  <si>
    <t>A-1008</t>
  </si>
  <si>
    <t>depot at Culebra</t>
  </si>
  <si>
    <t>A-1009</t>
  </si>
  <si>
    <t>magazine at Culebra</t>
  </si>
  <si>
    <t>A-1010</t>
  </si>
  <si>
    <t>engine house at Las Cascadas</t>
  </si>
  <si>
    <t>A-1011</t>
  </si>
  <si>
    <t>post office at Las Cascadas</t>
  </si>
  <si>
    <t>A-1012</t>
  </si>
  <si>
    <t>shops at Paraiso</t>
  </si>
  <si>
    <t>A-1013</t>
  </si>
  <si>
    <t>hotel at Paraiso</t>
  </si>
  <si>
    <t>A-1014</t>
  </si>
  <si>
    <t>labor camp at Pedro Miguel</t>
  </si>
  <si>
    <t>A-1015</t>
  </si>
  <si>
    <t>roundhouse at Pedro Miguel</t>
  </si>
  <si>
    <t>A-1016</t>
  </si>
  <si>
    <t>police station at Paraiso</t>
  </si>
  <si>
    <t>A-1017</t>
  </si>
  <si>
    <t>A-1018</t>
  </si>
  <si>
    <t>A-1019</t>
  </si>
  <si>
    <t>A-1020</t>
  </si>
  <si>
    <t>A-1021</t>
  </si>
  <si>
    <t>A-1022</t>
  </si>
  <si>
    <t>A-1023</t>
  </si>
  <si>
    <t>A-1024</t>
  </si>
  <si>
    <t>A-1025</t>
  </si>
  <si>
    <t>A-1026</t>
  </si>
  <si>
    <t>A-1027</t>
  </si>
  <si>
    <t>A-1028</t>
  </si>
  <si>
    <t>A-1029</t>
  </si>
  <si>
    <t>A-1030</t>
  </si>
  <si>
    <t>A-1031</t>
  </si>
  <si>
    <t>A-1032</t>
  </si>
  <si>
    <t>A-1033</t>
  </si>
  <si>
    <t>A-1034</t>
  </si>
  <si>
    <t>A-1035</t>
  </si>
  <si>
    <t>A-1036</t>
  </si>
  <si>
    <t>A-1037</t>
  </si>
  <si>
    <t>A-1038</t>
  </si>
  <si>
    <t>A-1039</t>
  </si>
  <si>
    <t>A-1040</t>
  </si>
  <si>
    <t>A-1041</t>
  </si>
  <si>
    <t>A-1042</t>
  </si>
  <si>
    <t>A-1043</t>
  </si>
  <si>
    <t>A-1044</t>
  </si>
  <si>
    <t>A-1045</t>
  </si>
  <si>
    <t>A-1046</t>
  </si>
  <si>
    <t>A-1047</t>
  </si>
  <si>
    <t>A-1048</t>
  </si>
  <si>
    <t>A-1049</t>
  </si>
  <si>
    <t>A-1050</t>
  </si>
  <si>
    <t>A-1051</t>
  </si>
  <si>
    <t>A-1052</t>
  </si>
  <si>
    <t>A-1053</t>
  </si>
  <si>
    <t>A-1054</t>
  </si>
  <si>
    <t>A-1055</t>
  </si>
  <si>
    <t>A-1056</t>
  </si>
  <si>
    <t>A-1057</t>
  </si>
  <si>
    <t>A-1058</t>
  </si>
  <si>
    <t>A-1059</t>
  </si>
  <si>
    <t>A-1060</t>
  </si>
  <si>
    <t>A-1061</t>
  </si>
  <si>
    <t>A-1062</t>
  </si>
  <si>
    <t>A-1063</t>
  </si>
  <si>
    <t>A-1064</t>
  </si>
  <si>
    <t>A-1065</t>
  </si>
  <si>
    <t>A-1066</t>
  </si>
  <si>
    <t>A-1067</t>
  </si>
  <si>
    <t>A-1068</t>
  </si>
  <si>
    <t>A-1069</t>
  </si>
  <si>
    <t>A-1070</t>
  </si>
  <si>
    <t>A-1071</t>
  </si>
  <si>
    <t>A-1072</t>
  </si>
  <si>
    <t>A-1073</t>
  </si>
  <si>
    <t>A-1074</t>
  </si>
  <si>
    <t>A-1075</t>
  </si>
  <si>
    <t>A-1076</t>
  </si>
  <si>
    <t>A-1077</t>
  </si>
  <si>
    <t>A-1078</t>
  </si>
  <si>
    <t>A-1079</t>
  </si>
  <si>
    <t>A-1080</t>
  </si>
  <si>
    <t>A-1081</t>
  </si>
  <si>
    <t>A-1082</t>
  </si>
  <si>
    <t>A-1083</t>
  </si>
  <si>
    <t>A-1084</t>
  </si>
  <si>
    <t>A-1085</t>
  </si>
  <si>
    <t>A-1086</t>
  </si>
  <si>
    <t>A-1087</t>
  </si>
  <si>
    <t>A-1088</t>
  </si>
  <si>
    <t>A-1089</t>
  </si>
  <si>
    <t>A-1090</t>
  </si>
  <si>
    <t>A-1091</t>
  </si>
  <si>
    <t>A-1092</t>
  </si>
  <si>
    <t>A-1093</t>
  </si>
  <si>
    <t>A-1094</t>
  </si>
  <si>
    <t>A-1095</t>
  </si>
  <si>
    <t>A-1096</t>
  </si>
  <si>
    <t>A-1097</t>
  </si>
  <si>
    <t>A-1098</t>
  </si>
  <si>
    <t>A-1099</t>
  </si>
  <si>
    <t>A-1100</t>
  </si>
  <si>
    <t>A-1101</t>
  </si>
  <si>
    <t>A-1102</t>
  </si>
  <si>
    <t>A-1103</t>
  </si>
  <si>
    <t>A-1104</t>
  </si>
  <si>
    <t>A-1105</t>
  </si>
  <si>
    <t>A-1106</t>
  </si>
  <si>
    <t>A-1107</t>
  </si>
  <si>
    <t>A-1108</t>
  </si>
  <si>
    <t>A-1109</t>
  </si>
  <si>
    <t>A-1110</t>
  </si>
  <si>
    <t>A-1111</t>
  </si>
  <si>
    <t>A-1112</t>
  </si>
  <si>
    <t>A-1113</t>
  </si>
  <si>
    <t>A-1114</t>
  </si>
  <si>
    <t>A-1115</t>
  </si>
  <si>
    <t>A-1116</t>
  </si>
  <si>
    <t>A-1117</t>
  </si>
  <si>
    <t>A-1118</t>
  </si>
  <si>
    <t>A-1119</t>
  </si>
  <si>
    <t>A-1120</t>
  </si>
  <si>
    <t>A-1121</t>
  </si>
  <si>
    <t>A-1122</t>
  </si>
  <si>
    <t>A-1123</t>
  </si>
  <si>
    <t>A-1124</t>
  </si>
  <si>
    <t>A-1125</t>
  </si>
  <si>
    <t>A-1126</t>
  </si>
  <si>
    <t>A-1127</t>
  </si>
  <si>
    <t>A-1128</t>
  </si>
  <si>
    <t>A-1129</t>
  </si>
  <si>
    <t>A-1130</t>
  </si>
  <si>
    <t>A-1131</t>
  </si>
  <si>
    <t>A-1132</t>
  </si>
  <si>
    <t>A-1133</t>
  </si>
  <si>
    <t>A-1134</t>
  </si>
  <si>
    <t>A-1135</t>
  </si>
  <si>
    <t>A-1136</t>
  </si>
  <si>
    <t>A-1137</t>
  </si>
  <si>
    <t>A-1138</t>
  </si>
  <si>
    <t>A-1139</t>
  </si>
  <si>
    <t>Mt Zion</t>
  </si>
  <si>
    <t>A-1140</t>
  </si>
  <si>
    <t>ANCON HOSPITAL</t>
  </si>
  <si>
    <t>A-1141</t>
  </si>
  <si>
    <t>ANCON CEMETERY</t>
  </si>
  <si>
    <t>A-1142</t>
  </si>
  <si>
    <t>CHINESE CEMETERY</t>
  </si>
  <si>
    <t>A-1143</t>
  </si>
  <si>
    <t>A-1144</t>
  </si>
  <si>
    <t>CERRO GORDO</t>
  </si>
  <si>
    <t>A-1145</t>
  </si>
  <si>
    <t>A-1146</t>
  </si>
  <si>
    <t>A-1147</t>
  </si>
  <si>
    <t>A-1148</t>
  </si>
  <si>
    <t>A-1149</t>
  </si>
  <si>
    <t>A-1150</t>
  </si>
  <si>
    <t>Pedro Miguel (property blocks)</t>
  </si>
  <si>
    <t>A-1151</t>
  </si>
  <si>
    <t>A-1152</t>
  </si>
  <si>
    <t>A-1153</t>
  </si>
  <si>
    <t>A-1154</t>
  </si>
  <si>
    <t>A-1155</t>
  </si>
  <si>
    <t>A-1156</t>
  </si>
  <si>
    <t>A-1157</t>
  </si>
  <si>
    <t>A-1158</t>
  </si>
  <si>
    <t>A-1159</t>
  </si>
  <si>
    <t>A-1160</t>
  </si>
  <si>
    <t>A-1161</t>
  </si>
  <si>
    <t>Fort William Davis Military Reservation</t>
  </si>
  <si>
    <t>A-1162</t>
  </si>
  <si>
    <t>A-1163</t>
  </si>
  <si>
    <t>A-1164</t>
  </si>
  <si>
    <t>A-1165</t>
  </si>
  <si>
    <t>A-1166</t>
  </si>
  <si>
    <t>A-1167</t>
  </si>
  <si>
    <t>A-1168</t>
  </si>
  <si>
    <t>A-1169</t>
  </si>
  <si>
    <t>A-1170</t>
  </si>
  <si>
    <t>A-1171</t>
  </si>
  <si>
    <t>A-1172</t>
  </si>
  <si>
    <t>A-1173</t>
  </si>
  <si>
    <t>A-1174</t>
  </si>
  <si>
    <t>A-1175</t>
  </si>
  <si>
    <t>A-1176</t>
  </si>
  <si>
    <t>A-1177</t>
  </si>
  <si>
    <t>A-1178</t>
  </si>
  <si>
    <t>A-1179</t>
  </si>
  <si>
    <t>A-1180</t>
  </si>
  <si>
    <t>A-1181</t>
  </si>
  <si>
    <t>A-1182</t>
  </si>
  <si>
    <t>A-1183</t>
  </si>
  <si>
    <t>A-1184</t>
  </si>
  <si>
    <t>A-1185</t>
  </si>
  <si>
    <t>A-1186</t>
  </si>
  <si>
    <t>A-1187</t>
  </si>
  <si>
    <t>A-1188</t>
  </si>
  <si>
    <t>A-1189</t>
  </si>
  <si>
    <t>Guachapali, Panama, R.P.</t>
  </si>
  <si>
    <t>A-1190</t>
  </si>
  <si>
    <t>A-1191</t>
  </si>
  <si>
    <t>A-1192</t>
  </si>
  <si>
    <t>A-1193</t>
  </si>
  <si>
    <t>A-1194</t>
  </si>
  <si>
    <t>A-1195</t>
  </si>
  <si>
    <t>A-1196</t>
  </si>
  <si>
    <t>A-1197</t>
  </si>
  <si>
    <t>A-1198</t>
  </si>
  <si>
    <t>A-1199</t>
  </si>
  <si>
    <t>A-1200</t>
  </si>
  <si>
    <t>A-1201</t>
  </si>
  <si>
    <t>A-1202</t>
  </si>
  <si>
    <t>A-1203</t>
  </si>
  <si>
    <t>A-1204</t>
  </si>
  <si>
    <t>A-1205</t>
  </si>
  <si>
    <t>A-1206</t>
  </si>
  <si>
    <t>Albrook</t>
  </si>
  <si>
    <t>A-1207</t>
  </si>
  <si>
    <t>A-1208</t>
  </si>
  <si>
    <t>A-1209</t>
  </si>
  <si>
    <t>A-1210</t>
  </si>
  <si>
    <t>A-1211</t>
  </si>
  <si>
    <t>A-1212</t>
  </si>
  <si>
    <t>A-1213</t>
  </si>
  <si>
    <t>A-1214</t>
  </si>
  <si>
    <t>A-1215</t>
  </si>
  <si>
    <t>A-1216</t>
  </si>
  <si>
    <t>A-1217</t>
  </si>
  <si>
    <t>A-1218</t>
  </si>
  <si>
    <t>A-1219</t>
  </si>
  <si>
    <t>A-1220</t>
  </si>
  <si>
    <t>A-1221</t>
  </si>
  <si>
    <t>A-1222</t>
  </si>
  <si>
    <t>Empire plaza</t>
  </si>
  <si>
    <t>A-1223</t>
  </si>
  <si>
    <t>Empire church</t>
  </si>
  <si>
    <t>A-1224</t>
  </si>
  <si>
    <t>Empire cemetery</t>
  </si>
  <si>
    <t>A-1225</t>
  </si>
  <si>
    <t>A-1226</t>
  </si>
  <si>
    <t>A-1227</t>
  </si>
  <si>
    <t>A-1228</t>
  </si>
  <si>
    <t>A-1229</t>
  </si>
  <si>
    <t>A-1230</t>
  </si>
  <si>
    <t>A-1231</t>
  </si>
  <si>
    <t>A-1232</t>
  </si>
  <si>
    <t>A-1233</t>
  </si>
  <si>
    <t>A-1234</t>
  </si>
  <si>
    <t>Empire ball</t>
  </si>
  <si>
    <t>A-1235</t>
  </si>
  <si>
    <t>Empire hotel</t>
  </si>
  <si>
    <t>A-1236</t>
  </si>
  <si>
    <t>Empire police</t>
  </si>
  <si>
    <t>A-1237</t>
  </si>
  <si>
    <t>Empire shops</t>
  </si>
  <si>
    <t>A-1238</t>
  </si>
  <si>
    <t>Empire clubhouse</t>
  </si>
  <si>
    <t>A-1239</t>
  </si>
  <si>
    <t>Empire post office</t>
  </si>
  <si>
    <t>A-1240</t>
  </si>
  <si>
    <t>Empire dispensary</t>
  </si>
  <si>
    <t>A-1241</t>
  </si>
  <si>
    <t>Gorgona market</t>
  </si>
  <si>
    <t>A-1242</t>
  </si>
  <si>
    <t>Gorgona clubhouse</t>
  </si>
  <si>
    <t>A-1243</t>
  </si>
  <si>
    <t>A-1244</t>
  </si>
  <si>
    <t>Culebra clubhouse</t>
  </si>
  <si>
    <t>A-1245</t>
  </si>
  <si>
    <t>Culebra hotel</t>
  </si>
  <si>
    <t>A-1246</t>
  </si>
  <si>
    <t>Culebra post office</t>
  </si>
  <si>
    <t>A-1247</t>
  </si>
  <si>
    <t>Culebra church</t>
  </si>
  <si>
    <t>A-1248</t>
  </si>
  <si>
    <t>Colored school Culebra</t>
  </si>
  <si>
    <t>A-1249</t>
  </si>
  <si>
    <t>Culebra commissary</t>
  </si>
  <si>
    <t>A-1250</t>
  </si>
  <si>
    <t>Culebra depot</t>
  </si>
  <si>
    <t>A-1251</t>
  </si>
  <si>
    <t>A-1252</t>
  </si>
  <si>
    <t>Pedro Miguel labor camp</t>
  </si>
  <si>
    <t>A-1253</t>
  </si>
  <si>
    <t>Pedro Miguel roundhouse</t>
  </si>
  <si>
    <t>A-1254</t>
  </si>
  <si>
    <t>Buena Vista camp</t>
  </si>
  <si>
    <t>A-1255</t>
  </si>
  <si>
    <t>A-1256</t>
  </si>
  <si>
    <t>A-1257</t>
  </si>
  <si>
    <t>A-1258</t>
  </si>
  <si>
    <t>A-1259</t>
  </si>
  <si>
    <t>A-1260</t>
  </si>
  <si>
    <t>A-1261</t>
  </si>
  <si>
    <t>A-1262</t>
  </si>
  <si>
    <t>A-1263</t>
  </si>
  <si>
    <t>A-1264</t>
  </si>
  <si>
    <t>A-1265</t>
  </si>
  <si>
    <t>A-1266</t>
  </si>
  <si>
    <t>A-1267</t>
  </si>
  <si>
    <t>A-1268</t>
  </si>
  <si>
    <t>A-1269</t>
  </si>
  <si>
    <t>A-1270</t>
  </si>
  <si>
    <t>A-1271</t>
  </si>
  <si>
    <t>A-1272</t>
  </si>
  <si>
    <t>A-1273</t>
  </si>
  <si>
    <t>A-1274</t>
  </si>
  <si>
    <t>A-1275</t>
  </si>
  <si>
    <t>A-1276</t>
  </si>
  <si>
    <t>A-1277</t>
  </si>
  <si>
    <t>A-1278</t>
  </si>
  <si>
    <t>A-1279</t>
  </si>
  <si>
    <t>A-1280</t>
  </si>
  <si>
    <t>A-1281</t>
  </si>
  <si>
    <t>A-1282</t>
  </si>
  <si>
    <t>A-1283</t>
  </si>
  <si>
    <t>A-1284</t>
  </si>
  <si>
    <t>A-1285</t>
  </si>
  <si>
    <t>A-1286</t>
  </si>
  <si>
    <t>A-1287</t>
  </si>
  <si>
    <t>A-1288</t>
  </si>
  <si>
    <t>A-1289</t>
  </si>
  <si>
    <t>A-1290</t>
  </si>
  <si>
    <t>A-1291</t>
  </si>
  <si>
    <t>A-1292</t>
  </si>
  <si>
    <t>A-1293</t>
  </si>
  <si>
    <t>A-1294</t>
  </si>
  <si>
    <t>A-1295</t>
  </si>
  <si>
    <t>A-1296</t>
  </si>
  <si>
    <t>A-1297</t>
  </si>
  <si>
    <t>A-1298</t>
  </si>
  <si>
    <t>A-1299</t>
  </si>
  <si>
    <t>A-1300</t>
  </si>
  <si>
    <t>A-1301</t>
  </si>
  <si>
    <t>A-1302</t>
  </si>
  <si>
    <t>A-1303</t>
  </si>
  <si>
    <t>A-1304</t>
  </si>
  <si>
    <t>A-1305</t>
  </si>
  <si>
    <t>A-1306</t>
  </si>
  <si>
    <t>A-1307</t>
  </si>
  <si>
    <t>A-1308</t>
  </si>
  <si>
    <t>A-1309</t>
  </si>
  <si>
    <t>A-1310</t>
  </si>
  <si>
    <t>A-1311</t>
  </si>
  <si>
    <t>A-1312</t>
  </si>
  <si>
    <t>A-1313</t>
  </si>
  <si>
    <t>A-1314</t>
  </si>
  <si>
    <t>A-1315</t>
  </si>
  <si>
    <t>A-1316</t>
  </si>
  <si>
    <t>A-1317</t>
  </si>
  <si>
    <t>A-1318</t>
  </si>
  <si>
    <t>A-1319</t>
  </si>
  <si>
    <t>A-1320</t>
  </si>
  <si>
    <t>A-1321</t>
  </si>
  <si>
    <t>A-1322</t>
  </si>
  <si>
    <t>A-1323</t>
  </si>
  <si>
    <t>A-1324</t>
  </si>
  <si>
    <t>A-1325</t>
  </si>
  <si>
    <t>A-1326</t>
  </si>
  <si>
    <t>A-1327</t>
  </si>
  <si>
    <t>A-1328</t>
  </si>
  <si>
    <t>A-1329</t>
  </si>
  <si>
    <t>A-1330</t>
  </si>
  <si>
    <t>A-1331</t>
  </si>
  <si>
    <t>A-1332</t>
  </si>
  <si>
    <t>A-1333</t>
  </si>
  <si>
    <t>A-1334</t>
  </si>
  <si>
    <t>A-1335</t>
  </si>
  <si>
    <t>A-1336</t>
  </si>
  <si>
    <t>A-1337</t>
  </si>
  <si>
    <t>A-1338</t>
  </si>
  <si>
    <t>A-1339</t>
  </si>
  <si>
    <t>A-1340</t>
  </si>
  <si>
    <t>A-1341</t>
  </si>
  <si>
    <t>A-1342</t>
  </si>
  <si>
    <t>A-1343</t>
  </si>
  <si>
    <t>A-1344</t>
  </si>
  <si>
    <t>A-1345</t>
  </si>
  <si>
    <t>A-1346</t>
  </si>
  <si>
    <t>A-1347</t>
  </si>
  <si>
    <t>Boilers</t>
  </si>
  <si>
    <t>A-1348</t>
  </si>
  <si>
    <t>Electric Plant</t>
  </si>
  <si>
    <t>A-1349</t>
  </si>
  <si>
    <t>Compressed Air</t>
  </si>
  <si>
    <t>A-1350</t>
  </si>
  <si>
    <t>Temporary Storehouse</t>
  </si>
  <si>
    <t>A-1351</t>
  </si>
  <si>
    <t>Time keeping</t>
  </si>
  <si>
    <t>A-1352</t>
  </si>
  <si>
    <t>Georeferenced map read</t>
  </si>
  <si>
    <t>A-1353</t>
  </si>
  <si>
    <t>A-1354</t>
  </si>
  <si>
    <t>A-1355</t>
  </si>
  <si>
    <t>LA BOCA WHARF / LA BOCA DUMP</t>
  </si>
  <si>
    <t>A-1356</t>
  </si>
  <si>
    <t>A-1357</t>
  </si>
  <si>
    <t>A-1358</t>
  </si>
  <si>
    <t>Big Camacho / Small Camacho</t>
  </si>
  <si>
    <t>A-1359</t>
  </si>
  <si>
    <t>Bishop's Hollow</t>
  </si>
  <si>
    <t>A-1360</t>
  </si>
  <si>
    <t>Banana Walk</t>
  </si>
  <si>
    <t>A-1361</t>
  </si>
  <si>
    <t>Culebra Rio Grandi / Rio Grande</t>
  </si>
  <si>
    <t>A-1362</t>
  </si>
  <si>
    <t>Police Sta. 145</t>
  </si>
  <si>
    <t>A-1363</t>
  </si>
  <si>
    <t>Penitentiary 173</t>
  </si>
  <si>
    <t>A-1364</t>
  </si>
  <si>
    <t>Pumping Station 146</t>
  </si>
  <si>
    <t>A-1365</t>
  </si>
  <si>
    <t>A-1366</t>
  </si>
  <si>
    <t>the cemetery (Ancon)</t>
  </si>
  <si>
    <t>Modern landmark identification (testimony + OSM)</t>
  </si>
  <si>
    <t>A-1367</t>
  </si>
  <si>
    <t>(unlabeled quarter, S of rail)</t>
  </si>
  <si>
    <t>Morphological identification (unlabeled cluster + testimony)</t>
  </si>
  <si>
    <t>A-1368</t>
  </si>
  <si>
    <t>BALBOA HEIGHTS</t>
  </si>
  <si>
    <t>A-1369</t>
  </si>
  <si>
    <t>QUARRY HEIGHTS</t>
  </si>
  <si>
    <t>A-1370</t>
  </si>
  <si>
    <t>A-1371</t>
  </si>
  <si>
    <t>GORGAS HOSP.</t>
  </si>
  <si>
    <t>A-1372</t>
  </si>
  <si>
    <t>A-1373</t>
  </si>
  <si>
    <t>LA BOCA</t>
  </si>
  <si>
    <t>A-1374</t>
  </si>
  <si>
    <t>A-1375</t>
  </si>
  <si>
    <t>A-1376</t>
  </si>
  <si>
    <t>ALBROOK FIELD</t>
  </si>
  <si>
    <t>A-1377</t>
  </si>
  <si>
    <t>A-1378</t>
  </si>
  <si>
    <t>Chinese Cemetery</t>
  </si>
  <si>
    <t>A-1379</t>
  </si>
  <si>
    <t>Bas Matachin</t>
  </si>
  <si>
    <t>A-1380</t>
  </si>
  <si>
    <t>A-1381</t>
  </si>
  <si>
    <t>A-1382</t>
  </si>
  <si>
    <t>A-1383</t>
  </si>
  <si>
    <t>A-1384</t>
  </si>
  <si>
    <t>Spanish-town (at Paraiso)</t>
  </si>
  <si>
    <t>A-1385</t>
  </si>
  <si>
    <t>A-1386</t>
  </si>
  <si>
    <t>A-1387</t>
  </si>
  <si>
    <t>Cerro Camp</t>
  </si>
  <si>
    <t>A-1388</t>
  </si>
  <si>
    <t>Lirio Camp</t>
  </si>
  <si>
    <t>A-1389</t>
  </si>
  <si>
    <t>A-1390</t>
  </si>
  <si>
    <t>A-1391</t>
  </si>
  <si>
    <t>A-1392</t>
  </si>
  <si>
    <t>A-1393</t>
  </si>
  <si>
    <t>Casa Blanca</t>
  </si>
  <si>
    <t>A-1394</t>
  </si>
  <si>
    <t>A-1395</t>
  </si>
  <si>
    <t>A-1396</t>
  </si>
  <si>
    <t>De Lesseps City</t>
  </si>
  <si>
    <t>A-1397</t>
  </si>
  <si>
    <t>Nuevo Gatun</t>
  </si>
  <si>
    <t>A-1398</t>
  </si>
  <si>
    <t>Portobelo</t>
  </si>
  <si>
    <t>A-1399</t>
  </si>
  <si>
    <t>Alto Obispo</t>
  </si>
  <si>
    <t>A-1400</t>
  </si>
  <si>
    <t>A-1401</t>
  </si>
  <si>
    <t>A-1402</t>
  </si>
  <si>
    <t>A-1403</t>
  </si>
  <si>
    <t>Rainbow City</t>
  </si>
  <si>
    <t>A-1404</t>
  </si>
  <si>
    <t>A-1405</t>
  </si>
  <si>
    <t>Big Camacho / Small Camacho / Camacha</t>
  </si>
  <si>
    <t>A-1406</t>
  </si>
  <si>
    <t>Culebra Rio Grandi</t>
  </si>
  <si>
    <t>A-1407</t>
  </si>
  <si>
    <t>ANCON-HOSPITAL</t>
  </si>
  <si>
    <t>A-1408</t>
  </si>
  <si>
    <t>Cementerio Chino</t>
  </si>
  <si>
    <t>A-1409</t>
  </si>
  <si>
    <t>CERRO DEL ANCON</t>
  </si>
  <si>
    <t>A-1410</t>
  </si>
  <si>
    <t>CAMINO DE LA BOCA</t>
  </si>
  <si>
    <t>A-1411</t>
  </si>
  <si>
    <t>A-1412</t>
  </si>
  <si>
    <t>rio Obispo</t>
  </si>
  <si>
    <t>A-1413</t>
  </si>
  <si>
    <t>station d'Emperador</t>
  </si>
  <si>
    <t>A-1414</t>
  </si>
  <si>
    <t>la Gorgona</t>
  </si>
  <si>
    <t>A-1415</t>
  </si>
  <si>
    <t>A-1416</t>
  </si>
  <si>
    <t>A-1417</t>
  </si>
  <si>
    <t>station de Paraiso</t>
  </si>
  <si>
    <t>A-1418</t>
  </si>
  <si>
    <t>Pedro-Miguel</t>
  </si>
  <si>
    <t>A-1419</t>
  </si>
  <si>
    <t>Ahorca-Lagarto</t>
  </si>
  <si>
    <t>A-1420</t>
  </si>
  <si>
    <t>Vamos-Vamos</t>
  </si>
  <si>
    <t>A-1421</t>
  </si>
  <si>
    <t>San-Pablo</t>
  </si>
  <si>
    <t>A-1422</t>
  </si>
  <si>
    <t>Loma del Tigre</t>
  </si>
  <si>
    <t>A-1423</t>
  </si>
  <si>
    <t>A-1424</t>
  </si>
  <si>
    <t>Monkey-Hill</t>
  </si>
  <si>
    <t>A-1425</t>
  </si>
  <si>
    <t>rio Mindi</t>
  </si>
  <si>
    <t>A-1426</t>
  </si>
  <si>
    <t>Buhio-Soldado</t>
  </si>
  <si>
    <t>A-1427</t>
  </si>
  <si>
    <t>Cerro de la Culebra</t>
  </si>
  <si>
    <t>A-1428</t>
  </si>
  <si>
    <t>A-1429</t>
  </si>
  <si>
    <t>A-1430</t>
  </si>
  <si>
    <t>A-1431</t>
  </si>
  <si>
    <t>A-1432</t>
  </si>
  <si>
    <t>A-1433</t>
  </si>
  <si>
    <t>A-1434</t>
  </si>
  <si>
    <t>A-1435</t>
  </si>
  <si>
    <t>A-1436</t>
  </si>
  <si>
    <t>A-1437</t>
  </si>
  <si>
    <t>A-1438</t>
  </si>
  <si>
    <t>A-1439</t>
  </si>
  <si>
    <t>A-1440</t>
  </si>
  <si>
    <t>A-1441</t>
  </si>
  <si>
    <t>Rios-Frijoles</t>
  </si>
  <si>
    <t>A-1442</t>
  </si>
  <si>
    <t>A-1443</t>
  </si>
  <si>
    <t>las Cruces</t>
  </si>
  <si>
    <t>A-1444</t>
  </si>
  <si>
    <t>A-1445</t>
  </si>
  <si>
    <t>A-1446</t>
  </si>
  <si>
    <t>A-1447</t>
  </si>
  <si>
    <t>A-1448</t>
  </si>
  <si>
    <t>New Culebra</t>
  </si>
  <si>
    <t>A-1449</t>
  </si>
  <si>
    <t>A-1450</t>
  </si>
  <si>
    <t>A-1451</t>
  </si>
  <si>
    <t>A-1452</t>
  </si>
  <si>
    <t>A-1453</t>
  </si>
  <si>
    <t>A-1454</t>
  </si>
  <si>
    <t>A-1455</t>
  </si>
  <si>
    <t>A-1456</t>
  </si>
  <si>
    <t>district of Guachapali</t>
  </si>
  <si>
    <t>A-1457</t>
  </si>
  <si>
    <t>Guachapali (West Indian churches)</t>
  </si>
  <si>
    <t>A-1458</t>
  </si>
  <si>
    <t>A-1459</t>
  </si>
  <si>
    <t>City of Aspinwall or Colon</t>
  </si>
  <si>
    <t>A-1460</t>
  </si>
  <si>
    <t>A-1461</t>
  </si>
  <si>
    <t>Rio Mindi / Sierra Mindi</t>
  </si>
  <si>
    <t>A-1462</t>
  </si>
  <si>
    <t>Village of GATUN (+ Old Fort)</t>
  </si>
  <si>
    <t>A-1463</t>
  </si>
  <si>
    <t>A-1464</t>
  </si>
  <si>
    <t>A-1465</t>
  </si>
  <si>
    <t>A-1466</t>
  </si>
  <si>
    <t>A-1467</t>
  </si>
  <si>
    <t>A-1468</t>
  </si>
  <si>
    <t>Pena Blanca (or Honda)</t>
  </si>
  <si>
    <t>A-1469</t>
  </si>
  <si>
    <t>A-1470</t>
  </si>
  <si>
    <t>A-1471</t>
  </si>
  <si>
    <t>Barro Colorado (Abajo)</t>
  </si>
  <si>
    <t>A-1472</t>
  </si>
  <si>
    <t>Frijol Station</t>
  </si>
  <si>
    <t>A-1473</t>
  </si>
  <si>
    <t>A-1474</t>
  </si>
  <si>
    <t>A-1475</t>
  </si>
  <si>
    <t>San Pablo Station</t>
  </si>
  <si>
    <t>A-1476</t>
  </si>
  <si>
    <t>A-1477</t>
  </si>
  <si>
    <t>A-1478</t>
  </si>
  <si>
    <t>Juan Grande Station</t>
  </si>
  <si>
    <t>A-1479</t>
  </si>
  <si>
    <t>A-1480</t>
  </si>
  <si>
    <t>Matachim</t>
  </si>
  <si>
    <t>A-1481</t>
  </si>
  <si>
    <t>A-1482</t>
  </si>
  <si>
    <t>Lower Obispo</t>
  </si>
  <si>
    <t>A-1483</t>
  </si>
  <si>
    <t>Upper Obispo</t>
  </si>
  <si>
    <t>A-1484</t>
  </si>
  <si>
    <t>Co Culebra / The Summit</t>
  </si>
  <si>
    <t>A-1485</t>
  </si>
  <si>
    <t>Paraison Station</t>
  </si>
  <si>
    <t>A-1486</t>
  </si>
  <si>
    <t>A-1487</t>
  </si>
  <si>
    <t>Rio Grande Station</t>
  </si>
  <si>
    <t>A-1488</t>
  </si>
  <si>
    <t>Ca[i]muito Mulato</t>
  </si>
  <si>
    <t>A-1489</t>
  </si>
  <si>
    <t>Rio Cocodi</t>
  </si>
  <si>
    <t>A-1490</t>
  </si>
  <si>
    <t>Rio Caravali / Co Caravali</t>
  </si>
  <si>
    <t>A-1491</t>
  </si>
  <si>
    <t>A-1492</t>
  </si>
  <si>
    <t>A-1493</t>
  </si>
  <si>
    <t>A-1494</t>
  </si>
  <si>
    <t>A-1495</t>
  </si>
  <si>
    <t>A-1496</t>
  </si>
  <si>
    <t>A-1497</t>
  </si>
  <si>
    <t>A-1498</t>
  </si>
  <si>
    <t>cerro Ancon</t>
  </si>
  <si>
    <t>A-1499</t>
  </si>
  <si>
    <t>A-1500</t>
  </si>
  <si>
    <t>Porto-Bello</t>
  </si>
  <si>
    <t>A-1501</t>
  </si>
  <si>
    <t>A-1502</t>
  </si>
  <si>
    <t>A-1503</t>
  </si>
  <si>
    <t>A-1504</t>
  </si>
  <si>
    <t>A-1505</t>
  </si>
  <si>
    <t>A-1506</t>
  </si>
  <si>
    <t>A-1507</t>
  </si>
  <si>
    <t>A-1508</t>
  </si>
  <si>
    <t>A-1509</t>
  </si>
  <si>
    <t>A-1510</t>
  </si>
  <si>
    <t>A-1511</t>
  </si>
  <si>
    <t>A-1512</t>
  </si>
  <si>
    <t>A-1513</t>
  </si>
  <si>
    <t>A-1514</t>
  </si>
  <si>
    <t>A-1515</t>
  </si>
  <si>
    <t>A-1516</t>
  </si>
  <si>
    <t>A-1517</t>
  </si>
  <si>
    <t>A-1518</t>
  </si>
  <si>
    <t>A-1519</t>
  </si>
  <si>
    <t>A-1520</t>
  </si>
  <si>
    <t>DIABLO HEIGHTS (letters + Club House + streets)</t>
  </si>
  <si>
    <t>A-1521</t>
  </si>
  <si>
    <t>Rio Indio Settlement (1857)</t>
  </si>
  <si>
    <t>A-1522</t>
  </si>
  <si>
    <t>Palo Matias Nuevo (1857)</t>
  </si>
  <si>
    <t>A-1523</t>
  </si>
  <si>
    <t>Palo Horqueta (1857)</t>
  </si>
  <si>
    <t>A-1524</t>
  </si>
  <si>
    <t>Palenquillo (1857)</t>
  </si>
  <si>
    <t>A-1525</t>
  </si>
  <si>
    <t>Pedro Bernal's Settlement (1857)</t>
  </si>
  <si>
    <t>A-1526</t>
  </si>
  <si>
    <t>Mari Posa (1857)</t>
  </si>
  <si>
    <t>A-1527</t>
  </si>
  <si>
    <t>Noreza (1857)</t>
  </si>
  <si>
    <t>A-1528</t>
  </si>
  <si>
    <t>Dominica (1857)</t>
  </si>
  <si>
    <t>A-1529</t>
  </si>
  <si>
    <t>Cardenas (1857)</t>
  </si>
  <si>
    <t>A-1530</t>
  </si>
  <si>
    <t>La Vuella (Half Way House) (1857)</t>
  </si>
  <si>
    <t>A-1531</t>
  </si>
  <si>
    <t>Miraflores (Atlantic) (1857)</t>
  </si>
  <si>
    <t>A-1532</t>
  </si>
  <si>
    <t>Consaloma / Waterloo / La Penita</t>
  </si>
  <si>
    <t>A-1533</t>
  </si>
  <si>
    <t>La Penita (1857 form)</t>
  </si>
  <si>
    <t>A-1534</t>
  </si>
  <si>
    <t>MARANON</t>
  </si>
  <si>
    <t>A-1535</t>
  </si>
  <si>
    <t>COCOAGROVE</t>
  </si>
  <si>
    <t>A-1536</t>
  </si>
  <si>
    <t>A-1537</t>
  </si>
  <si>
    <t>CEMENTERIOS (Catolico nuevo / de Estrangeros / Hebreo antiguo / Militar / Crematorio)</t>
  </si>
  <si>
    <t>A-1538</t>
  </si>
  <si>
    <t>FAUBOURG DE SANTA ANA</t>
  </si>
  <si>
    <t>A-1539</t>
  </si>
  <si>
    <t>THE CIENEGA</t>
  </si>
  <si>
    <t>A-1540</t>
  </si>
  <si>
    <t>Malambo (church + calle)</t>
  </si>
  <si>
    <t>A-1541</t>
  </si>
  <si>
    <t>A-1542</t>
  </si>
  <si>
    <t>Guinea Grove / Guinea Creek</t>
  </si>
  <si>
    <t>A-1543</t>
  </si>
  <si>
    <t>Burial Ground (Enclosed), 1857</t>
  </si>
  <si>
    <t>A-1544</t>
  </si>
  <si>
    <t>Guinea Point</t>
  </si>
  <si>
    <t>A-1545</t>
  </si>
  <si>
    <t>A-1546</t>
  </si>
  <si>
    <t>A-1547</t>
  </si>
  <si>
    <t>A-1548</t>
  </si>
  <si>
    <t>A-1549</t>
  </si>
  <si>
    <t>A-1550</t>
  </si>
  <si>
    <t>A-1551</t>
  </si>
  <si>
    <t>A-1552</t>
  </si>
  <si>
    <t>A-1553</t>
  </si>
  <si>
    <t>A-1554</t>
  </si>
  <si>
    <t>A-1555</t>
  </si>
  <si>
    <t>A-1556</t>
  </si>
  <si>
    <t>A-1557</t>
  </si>
  <si>
    <t>A-1558</t>
  </si>
  <si>
    <t>A-1559</t>
  </si>
  <si>
    <t>A-1560</t>
  </si>
  <si>
    <t>A-1561</t>
  </si>
  <si>
    <t>A-1562</t>
  </si>
  <si>
    <t>A-1563</t>
  </si>
  <si>
    <t>A-1564</t>
  </si>
  <si>
    <t>A-1565</t>
  </si>
  <si>
    <t>A-1566</t>
  </si>
  <si>
    <t>A-1567</t>
  </si>
  <si>
    <t>A-1568</t>
  </si>
  <si>
    <t>A-1569</t>
  </si>
  <si>
    <t>A-1570</t>
  </si>
  <si>
    <t>A-1571</t>
  </si>
  <si>
    <t>A-1572</t>
  </si>
  <si>
    <t>A-1573</t>
  </si>
  <si>
    <t>A-1574</t>
  </si>
  <si>
    <t>A-1575</t>
  </si>
  <si>
    <t>A-1576</t>
  </si>
  <si>
    <t>A-1577</t>
  </si>
  <si>
    <t>A-1578</t>
  </si>
  <si>
    <t>A-1579</t>
  </si>
  <si>
    <t>Gatún</t>
  </si>
  <si>
    <t>A-1580</t>
  </si>
  <si>
    <t>A-1581</t>
  </si>
  <si>
    <t>A-1582</t>
  </si>
  <si>
    <t>Juan Gallego</t>
  </si>
  <si>
    <t>A-1583</t>
  </si>
  <si>
    <t>A-1584</t>
  </si>
  <si>
    <t>A-1585</t>
  </si>
  <si>
    <t>A-1586</t>
  </si>
  <si>
    <t>A-1587</t>
  </si>
  <si>
    <t>A-1588</t>
  </si>
  <si>
    <t>A-1589</t>
  </si>
  <si>
    <t>A-1590</t>
  </si>
  <si>
    <t>A-1591</t>
  </si>
  <si>
    <t>A-1592</t>
  </si>
  <si>
    <t>A-1593</t>
  </si>
  <si>
    <t>A-1594</t>
  </si>
  <si>
    <t>A-1595</t>
  </si>
  <si>
    <t>A-1596</t>
  </si>
  <si>
    <t>A-1597</t>
  </si>
  <si>
    <t>A-1598</t>
  </si>
  <si>
    <t>A-1599</t>
  </si>
  <si>
    <t>A-1600</t>
  </si>
  <si>
    <t>A-1601</t>
  </si>
  <si>
    <t>A-1602</t>
  </si>
  <si>
    <t>A-1603</t>
  </si>
  <si>
    <t>A-1604</t>
  </si>
  <si>
    <t>A-1605</t>
  </si>
  <si>
    <t>A-1606</t>
  </si>
  <si>
    <t>A-1607</t>
  </si>
  <si>
    <t>A-1608</t>
  </si>
  <si>
    <t>A-1609</t>
  </si>
  <si>
    <t>A-1610</t>
  </si>
  <si>
    <t>TIVOLI</t>
  </si>
  <si>
    <t>A-1611</t>
  </si>
  <si>
    <t>TIVOLI HOTEL</t>
  </si>
  <si>
    <t>A-1612</t>
  </si>
  <si>
    <t>A-1613</t>
  </si>
  <si>
    <t>GERIG</t>
  </si>
  <si>
    <t>A-1614</t>
  </si>
  <si>
    <t>A-1615</t>
  </si>
  <si>
    <t>A-1616</t>
  </si>
  <si>
    <t>I.C.C. Club House</t>
  </si>
  <si>
    <t>A-1617</t>
  </si>
  <si>
    <t>C.C. Culebra Hotel</t>
  </si>
  <si>
    <t>A-1618</t>
  </si>
  <si>
    <t>Post Office 13</t>
  </si>
  <si>
    <t>A-1619</t>
  </si>
  <si>
    <t>Church and Lodge Hall</t>
  </si>
  <si>
    <t>A-1620</t>
  </si>
  <si>
    <t>Corral 41 / Corral 35</t>
  </si>
  <si>
    <t>A-1621</t>
  </si>
  <si>
    <t>Numbered labor quarters 226-279 (SE grid)</t>
  </si>
  <si>
    <t>A-1622</t>
  </si>
  <si>
    <t>130 School</t>
  </si>
  <si>
    <t>A-1623</t>
  </si>
  <si>
    <t>NUEVO EMPERADOR, Panama (AP)</t>
  </si>
  <si>
    <t>A-1624</t>
  </si>
  <si>
    <t>SILVER CITY</t>
  </si>
  <si>
    <t>A-1625</t>
  </si>
  <si>
    <t>CAMP BIERD</t>
  </si>
  <si>
    <t>A-1626</t>
  </si>
  <si>
    <t>CEMETERY</t>
  </si>
  <si>
    <t>A-1627</t>
  </si>
  <si>
    <t>DE LESSEPS</t>
  </si>
  <si>
    <t>A-1628</t>
  </si>
  <si>
    <t>NEW CRISTOBAL / COLON</t>
  </si>
  <si>
    <t>A-1629</t>
  </si>
  <si>
    <t>MT. HOPE</t>
  </si>
  <si>
    <t>A-1630</t>
  </si>
  <si>
    <t>unlabeled housing at sheet edge (Margarita)</t>
  </si>
  <si>
    <t>A-1631</t>
  </si>
  <si>
    <t>A-1632</t>
  </si>
  <si>
    <t>A-1633</t>
  </si>
  <si>
    <t>A-1634</t>
  </si>
  <si>
    <t>Las Campanas</t>
  </si>
  <si>
    <t>A-1635</t>
  </si>
  <si>
    <t>A-1636</t>
  </si>
  <si>
    <t>A-1637</t>
  </si>
  <si>
    <t>A-1638</t>
  </si>
  <si>
    <t>A-1639</t>
  </si>
  <si>
    <t>Palo Seco (Leper Colony)</t>
  </si>
  <si>
    <t>A-1640</t>
  </si>
  <si>
    <t>A-1641</t>
  </si>
  <si>
    <t>A-1642</t>
  </si>
  <si>
    <t>A-1643</t>
  </si>
  <si>
    <t>A-1644</t>
  </si>
  <si>
    <t>A-1645</t>
  </si>
  <si>
    <t>COCO SOLO</t>
  </si>
  <si>
    <t>A-1646</t>
  </si>
  <si>
    <t>le Gatun</t>
  </si>
  <si>
    <t>A-1647</t>
  </si>
  <si>
    <t>A-1648</t>
  </si>
  <si>
    <t>Vamos-vamos</t>
  </si>
  <si>
    <t>A-1649</t>
  </si>
  <si>
    <t>Bajo Soldado</t>
  </si>
  <si>
    <t>A-1650</t>
  </si>
  <si>
    <t>A-1651</t>
  </si>
  <si>
    <t>Barbacoa</t>
  </si>
  <si>
    <t>A-1652</t>
  </si>
  <si>
    <t>Baila Mono</t>
  </si>
  <si>
    <t>A-1653</t>
  </si>
  <si>
    <t>A-1654</t>
  </si>
  <si>
    <t>A-1655</t>
  </si>
  <si>
    <t>A-1656</t>
  </si>
  <si>
    <t>Marais d'Agua Clara</t>
  </si>
  <si>
    <t>A-1657</t>
  </si>
  <si>
    <t>Cerro Caravali</t>
  </si>
  <si>
    <t>A-1658</t>
  </si>
  <si>
    <t>Col de Paraiso</t>
  </si>
  <si>
    <t>A-1659</t>
  </si>
  <si>
    <t>R. Mindi</t>
  </si>
  <si>
    <t>A-1660</t>
  </si>
  <si>
    <t>A-1661</t>
  </si>
  <si>
    <t>Village de Guachapali (lot-by-lot)</t>
  </si>
  <si>
    <t>A-1662</t>
  </si>
  <si>
    <t>Colon</t>
  </si>
  <si>
    <t>A-1663</t>
  </si>
  <si>
    <t>A-1664</t>
  </si>
  <si>
    <t>A-1665</t>
  </si>
  <si>
    <t>Poste de Barbacoas</t>
  </si>
  <si>
    <t>A-1666</t>
  </si>
  <si>
    <t>Rio Baila Monos</t>
  </si>
  <si>
    <t>A-1667</t>
  </si>
  <si>
    <t>A-1668</t>
  </si>
  <si>
    <t>A-1669</t>
  </si>
  <si>
    <t>Bas-Obispo</t>
  </si>
  <si>
    <t>A-1670</t>
  </si>
  <si>
    <t>C. Corosita</t>
  </si>
  <si>
    <t>A-1671</t>
  </si>
  <si>
    <t>A-1672</t>
  </si>
  <si>
    <t>A-1673</t>
  </si>
  <si>
    <t>C. Lirio / Plaine del Lirio</t>
  </si>
  <si>
    <t>A-1674</t>
  </si>
  <si>
    <t>Jamaica town (Gatún)</t>
  </si>
  <si>
    <t>A-1675</t>
  </si>
  <si>
    <t>A-1676</t>
  </si>
  <si>
    <t>A-1677</t>
  </si>
  <si>
    <t>A-1678</t>
  </si>
  <si>
    <t>A-1679</t>
  </si>
  <si>
    <t>A-1680</t>
  </si>
  <si>
    <t>A-1681</t>
  </si>
  <si>
    <t>A-1682</t>
  </si>
  <si>
    <t>A-1683</t>
  </si>
  <si>
    <t>A-1684</t>
  </si>
  <si>
    <t>A-1685</t>
  </si>
  <si>
    <t>A-1686</t>
  </si>
  <si>
    <t>A-1687</t>
  </si>
  <si>
    <t>A-1688</t>
  </si>
  <si>
    <t>A-1689</t>
  </si>
  <si>
    <t>A-1690</t>
  </si>
  <si>
    <t>A-1691</t>
  </si>
  <si>
    <t>A-1692</t>
  </si>
  <si>
    <t>A-1693</t>
  </si>
  <si>
    <t>A-1694</t>
  </si>
  <si>
    <t>A-1695</t>
  </si>
  <si>
    <t>A-1696</t>
  </si>
  <si>
    <t>A-1697</t>
  </si>
  <si>
    <t>Tiger-Hill</t>
  </si>
  <si>
    <t>A-1698</t>
  </si>
  <si>
    <t>A-1699</t>
  </si>
  <si>
    <t>A-1700</t>
  </si>
  <si>
    <t>A-1701</t>
  </si>
  <si>
    <t>A-1702</t>
  </si>
  <si>
    <t>A-1703</t>
  </si>
  <si>
    <t>A-1704</t>
  </si>
  <si>
    <t>A-1705</t>
  </si>
  <si>
    <t>Buena-Vista</t>
  </si>
  <si>
    <t>A-1706</t>
  </si>
  <si>
    <t>A-1707</t>
  </si>
  <si>
    <t>A-1708</t>
  </si>
  <si>
    <t>A-1709</t>
  </si>
  <si>
    <t>A-1710</t>
  </si>
  <si>
    <t>A-1711</t>
  </si>
  <si>
    <t>A-1712</t>
  </si>
  <si>
    <t>A-1713</t>
  </si>
  <si>
    <t>A-1714</t>
  </si>
  <si>
    <t>A-1715</t>
  </si>
  <si>
    <t>A-1716</t>
  </si>
  <si>
    <t>A-1717</t>
  </si>
  <si>
    <t>A-1718</t>
  </si>
  <si>
    <t>A-1719</t>
  </si>
  <si>
    <t>A-1720</t>
  </si>
  <si>
    <t>A-1721</t>
  </si>
  <si>
    <t>A-1722</t>
  </si>
  <si>
    <t>A-1723</t>
  </si>
  <si>
    <t>A-1724</t>
  </si>
  <si>
    <t>A-1725</t>
  </si>
  <si>
    <t>A-1726</t>
  </si>
  <si>
    <t>A-1727</t>
  </si>
  <si>
    <t>A-1728</t>
  </si>
  <si>
    <t>COLON / New Cristobal</t>
  </si>
  <si>
    <t>A-1729</t>
  </si>
  <si>
    <t>A-1730</t>
  </si>
  <si>
    <t>A-1731</t>
  </si>
  <si>
    <t>A-1732</t>
  </si>
  <si>
    <t>CAMP GAILLARD</t>
  </si>
  <si>
    <t>A-1733</t>
  </si>
  <si>
    <t>A-1734</t>
  </si>
  <si>
    <t>A-1735</t>
  </si>
  <si>
    <t>A-1736</t>
  </si>
  <si>
    <t>FORT CLAYTON</t>
  </si>
  <si>
    <t>A-1737</t>
  </si>
  <si>
    <t>FORT AMADOR</t>
  </si>
  <si>
    <t>A-1738</t>
  </si>
  <si>
    <t>A-1739</t>
  </si>
  <si>
    <t>A-1740</t>
  </si>
  <si>
    <t>A-1741</t>
  </si>
  <si>
    <t>A-1742</t>
  </si>
  <si>
    <t>A-1743</t>
  </si>
  <si>
    <t>A-1744</t>
  </si>
  <si>
    <t>A-1745</t>
  </si>
  <si>
    <t>A-1746</t>
  </si>
  <si>
    <t>A-1747</t>
  </si>
  <si>
    <t>A-1748</t>
  </si>
  <si>
    <t>A-1749</t>
  </si>
  <si>
    <t>A-1750</t>
  </si>
  <si>
    <t>A-1751</t>
  </si>
  <si>
    <t>A-1752</t>
  </si>
  <si>
    <t>A-1753</t>
  </si>
  <si>
    <t>A-1754</t>
  </si>
  <si>
    <t>CHAGRES</t>
  </si>
  <si>
    <t>A-1755</t>
  </si>
  <si>
    <t>A-1756</t>
  </si>
  <si>
    <t>A-1757</t>
  </si>
  <si>
    <t>A-1758</t>
  </si>
  <si>
    <t>A-1759</t>
  </si>
  <si>
    <t>A-1760</t>
  </si>
  <si>
    <t>A-1761</t>
  </si>
  <si>
    <t>A-1762</t>
  </si>
  <si>
    <t>Mir[aflores] (tract)</t>
  </si>
  <si>
    <t>A-1763</t>
  </si>
  <si>
    <t>A-1764</t>
  </si>
  <si>
    <t>A-1765</t>
  </si>
  <si>
    <t>A-1766</t>
  </si>
  <si>
    <t>A-1767</t>
  </si>
  <si>
    <t>El Ajuste de S. Pedro Bernal</t>
  </si>
  <si>
    <t>A-1768</t>
  </si>
  <si>
    <t>A-1769</t>
  </si>
  <si>
    <t>A-1770</t>
  </si>
  <si>
    <t>A-1771</t>
  </si>
  <si>
    <t>A-1772</t>
  </si>
  <si>
    <t>A-1773</t>
  </si>
  <si>
    <t>Rio Mariposa</t>
  </si>
  <si>
    <t>A-1774</t>
  </si>
  <si>
    <t>A-1775</t>
  </si>
  <si>
    <t>A-1776</t>
  </si>
  <si>
    <t>A-1777</t>
  </si>
  <si>
    <t>(Paraiso works, unlabeled)</t>
  </si>
  <si>
    <t>A-1778</t>
  </si>
  <si>
    <t>A-1779</t>
  </si>
  <si>
    <t>A-1780</t>
  </si>
  <si>
    <t>HOPITAL</t>
  </si>
  <si>
    <t>A-1781</t>
  </si>
  <si>
    <t>(two cross-marked enclosures, unlabeled)</t>
  </si>
  <si>
    <t>A-1782</t>
  </si>
  <si>
    <t>(cemetery enclosure, undesignated)</t>
  </si>
  <si>
    <t>A-1783</t>
  </si>
  <si>
    <t>A-1784</t>
  </si>
  <si>
    <t>(Guachapali quarter, unlabeled)</t>
  </si>
  <si>
    <t>A-1785</t>
  </si>
  <si>
    <t>A-1786</t>
  </si>
  <si>
    <t>(arrabal fabric, unlabeled)</t>
  </si>
  <si>
    <t>A-1787</t>
  </si>
  <si>
    <t>La Cienega</t>
  </si>
  <si>
    <t>A-1788</t>
  </si>
  <si>
    <t>A-1789</t>
  </si>
  <si>
    <t>A-1790</t>
  </si>
  <si>
    <t>A-1791</t>
  </si>
  <si>
    <t>A-1792</t>
  </si>
  <si>
    <t>A-1793</t>
  </si>
  <si>
    <t>GUACHAPALI</t>
  </si>
  <si>
    <t>A-1794</t>
  </si>
  <si>
    <t>A-1795</t>
  </si>
  <si>
    <t>MALAMBO</t>
  </si>
  <si>
    <t>A-1796</t>
  </si>
  <si>
    <t>(Plaza de Santa Ana + arrabal blocks)</t>
  </si>
  <si>
    <t>A-1797</t>
  </si>
  <si>
    <t>A-1798</t>
  </si>
  <si>
    <t>A-1799</t>
  </si>
  <si>
    <t>(building marks along the line, unlabeled)</t>
  </si>
  <si>
    <t>A-1800</t>
  </si>
  <si>
    <t>A-1801</t>
  </si>
  <si>
    <t>A-1802</t>
  </si>
  <si>
    <t>(building marks at Paraiso, unlabeled)</t>
  </si>
  <si>
    <t>A-1803</t>
  </si>
  <si>
    <t>(building marks, unlabeled)</t>
  </si>
  <si>
    <t>A-1804</t>
  </si>
  <si>
    <t>A-1805</t>
  </si>
  <si>
    <t>A-1806</t>
  </si>
  <si>
    <t>(camp building marks, unlabeled)</t>
  </si>
  <si>
    <t>A-1807</t>
  </si>
  <si>
    <t>A-1808</t>
  </si>
  <si>
    <t>A-1809</t>
  </si>
  <si>
    <t>CARABALI RESERVOIR</t>
  </si>
  <si>
    <t>A-1810</t>
  </si>
  <si>
    <t>A-1811</t>
  </si>
  <si>
    <t>A-1812</t>
  </si>
  <si>
    <t>A-1813</t>
  </si>
  <si>
    <t>A-1814</t>
  </si>
  <si>
    <t>A-1815</t>
  </si>
  <si>
    <t>A-1816</t>
  </si>
  <si>
    <t>A-1817</t>
  </si>
  <si>
    <t>(shore building marks, unlabeled)</t>
  </si>
  <si>
    <t>A-1818</t>
  </si>
  <si>
    <t>A-1819</t>
  </si>
  <si>
    <t>A-1820</t>
  </si>
  <si>
    <t>A-1821</t>
  </si>
  <si>
    <t>A-1822</t>
  </si>
  <si>
    <t>A-1823</t>
  </si>
  <si>
    <t>A-1824</t>
  </si>
  <si>
    <t>A-1825</t>
  </si>
  <si>
    <t>A-1826</t>
  </si>
  <si>
    <t>A-1827</t>
  </si>
  <si>
    <t>A-1828</t>
  </si>
  <si>
    <t>A-1829</t>
  </si>
  <si>
    <t>A-1830</t>
  </si>
  <si>
    <t>A-1831</t>
  </si>
  <si>
    <t>A-1832</t>
  </si>
  <si>
    <t>A-1833</t>
  </si>
  <si>
    <t>A-1834</t>
  </si>
  <si>
    <t>A-1835</t>
  </si>
  <si>
    <t>NAOS I.</t>
  </si>
  <si>
    <t>A-1836</t>
  </si>
  <si>
    <t>(quarters rows, unlabeled)</t>
  </si>
  <si>
    <t>A-1837</t>
  </si>
  <si>
    <t>PEDRO MIGUEL YARD</t>
  </si>
  <si>
    <t>A-1838</t>
  </si>
  <si>
    <t>A-1839</t>
  </si>
  <si>
    <t>A-1840</t>
  </si>
  <si>
    <t>A-1841</t>
  </si>
  <si>
    <t>A-1842</t>
  </si>
  <si>
    <t>A-1843</t>
  </si>
  <si>
    <t>NEW CEMETERIES / CEMETERIES</t>
  </si>
  <si>
    <t>A-1844</t>
  </si>
  <si>
    <t>A-1845</t>
  </si>
  <si>
    <t>Santa Ana (arrabal) [name]</t>
  </si>
  <si>
    <t>A-1846</t>
  </si>
  <si>
    <t>A-1847</t>
  </si>
  <si>
    <t>A-1848</t>
  </si>
  <si>
    <t>A-1849</t>
  </si>
  <si>
    <t>A-1850</t>
  </si>
  <si>
    <t>A-1851</t>
  </si>
  <si>
    <t>A-1852</t>
  </si>
  <si>
    <t>A-1853</t>
  </si>
  <si>
    <t>A-1854</t>
  </si>
  <si>
    <t>A-1855</t>
  </si>
  <si>
    <t>A-1856</t>
  </si>
  <si>
    <t>A-1857</t>
  </si>
  <si>
    <t>A-1858</t>
  </si>
  <si>
    <t>A-1859</t>
  </si>
  <si>
    <t>A-1860</t>
  </si>
  <si>
    <t>A-1861</t>
  </si>
  <si>
    <t>A-1862</t>
  </si>
  <si>
    <t>A-1863</t>
  </si>
  <si>
    <t>A-1864</t>
  </si>
  <si>
    <t>A-1865</t>
  </si>
  <si>
    <t>A-1866</t>
  </si>
  <si>
    <t>A-1867</t>
  </si>
  <si>
    <t>A-1868</t>
  </si>
  <si>
    <t>A-1869</t>
  </si>
  <si>
    <t>(city extension grid, unnamed)</t>
  </si>
  <si>
    <t>A-1870</t>
  </si>
  <si>
    <t>A-1871</t>
  </si>
  <si>
    <t>A-1872</t>
  </si>
  <si>
    <t>A-1873</t>
  </si>
  <si>
    <t>A-1874</t>
  </si>
  <si>
    <t>A-1875</t>
  </si>
  <si>
    <t>A-1876</t>
  </si>
  <si>
    <t>A-1877</t>
  </si>
  <si>
    <t>A-1878</t>
  </si>
  <si>
    <t>Rio Marinosa</t>
  </si>
  <si>
    <t>A-1879</t>
  </si>
  <si>
    <t>A-1880</t>
  </si>
  <si>
    <t>A-1881</t>
  </si>
  <si>
    <t>Carabali Reservoir / Rio Carabali</t>
  </si>
  <si>
    <t>A-1882</t>
  </si>
  <si>
    <t>A-1883</t>
  </si>
  <si>
    <t>A-1884</t>
  </si>
  <si>
    <t>A-1885</t>
  </si>
  <si>
    <t>A-1886</t>
  </si>
  <si>
    <t>A-1887</t>
  </si>
  <si>
    <t>183 Market (western building)</t>
  </si>
  <si>
    <t>A-1888</t>
  </si>
  <si>
    <t>A-1889</t>
  </si>
  <si>
    <t>A-1890</t>
  </si>
  <si>
    <t>A-1891</t>
  </si>
  <si>
    <t>A-1892</t>
  </si>
  <si>
    <t>PLAZA SANTA ANA</t>
  </si>
  <si>
    <t>A-1893</t>
  </si>
  <si>
    <t>A-1894</t>
  </si>
  <si>
    <t>A-1895</t>
  </si>
  <si>
    <t>A-1896</t>
  </si>
  <si>
    <t>A-1897</t>
  </si>
  <si>
    <t>A-1898</t>
  </si>
  <si>
    <t>A-1899</t>
  </si>
  <si>
    <t>A-1900</t>
  </si>
  <si>
    <t>Cemeteries</t>
  </si>
  <si>
    <t>A-1901</t>
  </si>
  <si>
    <t>Chorrillo</t>
  </si>
  <si>
    <t>A-1902</t>
  </si>
  <si>
    <t>A-1903</t>
  </si>
  <si>
    <t>A-1904</t>
  </si>
  <si>
    <t>A-1905</t>
  </si>
  <si>
    <t>A-1906</t>
  </si>
  <si>
    <t>A-1907</t>
  </si>
  <si>
    <t>A-1908</t>
  </si>
  <si>
    <t>A-1909</t>
  </si>
  <si>
    <t>A-1910</t>
  </si>
  <si>
    <t>A-1911</t>
  </si>
  <si>
    <t>A-1912</t>
  </si>
  <si>
    <t>A-1913</t>
  </si>
  <si>
    <t>A-1914</t>
  </si>
  <si>
    <t>A-1915</t>
  </si>
  <si>
    <t>A-1916</t>
  </si>
  <si>
    <t>A-1917</t>
  </si>
  <si>
    <t>(dot rows at Cunette, unlabeled)</t>
  </si>
  <si>
    <t>A-1918</t>
  </si>
  <si>
    <t>A-1919</t>
  </si>
  <si>
    <t>(building dots, unlabeled)</t>
  </si>
  <si>
    <t>A-1920</t>
  </si>
  <si>
    <t>A-1921</t>
  </si>
  <si>
    <t>A-1922</t>
  </si>
  <si>
    <t>A-1923</t>
  </si>
  <si>
    <t>(building dots at Paraiso, unlabeled)</t>
  </si>
  <si>
    <t>A-1924</t>
  </si>
  <si>
    <t>A-1925</t>
  </si>
  <si>
    <t>A-1926</t>
  </si>
  <si>
    <t>A-1927</t>
  </si>
  <si>
    <t>A-1928</t>
  </si>
  <si>
    <t>A-1929</t>
  </si>
  <si>
    <t>A-1930</t>
  </si>
  <si>
    <t>A-1931</t>
  </si>
  <si>
    <t>A-1932</t>
  </si>
  <si>
    <t>A-1933</t>
  </si>
  <si>
    <t>Palo Matias (tract)</t>
  </si>
  <si>
    <t>A-1934</t>
  </si>
  <si>
    <t>Horqueta (tract)</t>
  </si>
  <si>
    <t>A-1935</t>
  </si>
  <si>
    <t>A-1936</t>
  </si>
  <si>
    <t>A-1937</t>
  </si>
  <si>
    <t>R. Mariposa</t>
  </si>
  <si>
    <t>A-1938</t>
  </si>
  <si>
    <t>Mari Posa (settlement)</t>
  </si>
  <si>
    <t>A-1939</t>
  </si>
  <si>
    <t>A-1940</t>
  </si>
  <si>
    <t>A-1941</t>
  </si>
  <si>
    <t>CARDENAS (tract)</t>
  </si>
  <si>
    <t>A-1942</t>
  </si>
  <si>
    <t>A-1943</t>
  </si>
  <si>
    <t>Cocoli (village)</t>
  </si>
  <si>
    <t>A-1944</t>
  </si>
  <si>
    <t>(building marks on Ancon Hill, unlabeled)</t>
  </si>
  <si>
    <t>A-1945</t>
  </si>
  <si>
    <t>A-1946</t>
  </si>
  <si>
    <t>A-1947</t>
  </si>
  <si>
    <t>A-1948</t>
  </si>
  <si>
    <t>(arrabal building marks, unlabeled)</t>
  </si>
  <si>
    <t>A-1949</t>
  </si>
  <si>
    <t>A-1950</t>
  </si>
  <si>
    <t>A-1951</t>
  </si>
  <si>
    <t>A-1952</t>
  </si>
  <si>
    <t>A-1953</t>
  </si>
  <si>
    <t>A-1954</t>
  </si>
  <si>
    <t>A-1955</t>
  </si>
  <si>
    <t>A-1956</t>
  </si>
  <si>
    <t>A-1957</t>
  </si>
  <si>
    <t>A-1958</t>
  </si>
  <si>
    <t>A-1959</t>
  </si>
  <si>
    <t>A-1960</t>
  </si>
  <si>
    <t>A-1961</t>
  </si>
  <si>
    <t>A-1962</t>
  </si>
  <si>
    <t>A-1963</t>
  </si>
  <si>
    <t>A-1964</t>
  </si>
  <si>
    <t>A-1965</t>
  </si>
  <si>
    <t>A-1966</t>
  </si>
  <si>
    <t>A-1967</t>
  </si>
  <si>
    <t>(built-up tint, unlabeled)</t>
  </si>
  <si>
    <t>A-1968</t>
  </si>
  <si>
    <t>A-1969</t>
  </si>
  <si>
    <t>A-1970</t>
  </si>
  <si>
    <t>A-1971</t>
  </si>
  <si>
    <t>A-1972</t>
  </si>
  <si>
    <t>A-1973</t>
  </si>
  <si>
    <t>A-1974</t>
  </si>
  <si>
    <t>A-1975</t>
  </si>
  <si>
    <t>A-1976</t>
  </si>
  <si>
    <t>A-1977</t>
  </si>
  <si>
    <t>A-1978</t>
  </si>
  <si>
    <t>A-1979</t>
  </si>
  <si>
    <t>A-1980</t>
  </si>
  <si>
    <t>A-1981</t>
  </si>
  <si>
    <t>A-1982</t>
  </si>
  <si>
    <t>A-1983</t>
  </si>
  <si>
    <t>(within the Cemeteries parcel)</t>
  </si>
  <si>
    <t>A-1984</t>
  </si>
  <si>
    <t>A-1985</t>
  </si>
  <si>
    <t>NEW CRISTOBAL</t>
  </si>
  <si>
    <t>A-1986</t>
  </si>
  <si>
    <t>A-1987</t>
  </si>
  <si>
    <t>A-1988</t>
  </si>
  <si>
    <t>A-1989</t>
  </si>
  <si>
    <t>A-1990</t>
  </si>
  <si>
    <t>A-1991</t>
  </si>
  <si>
    <t>A-1992</t>
  </si>
  <si>
    <t>A-1993</t>
  </si>
  <si>
    <t>A-1994</t>
  </si>
  <si>
    <t>A-1995</t>
  </si>
  <si>
    <t>A-1996</t>
  </si>
  <si>
    <t>A-1997</t>
  </si>
  <si>
    <t>A-1998</t>
  </si>
  <si>
    <t>A-1999</t>
  </si>
  <si>
    <t>A-2000</t>
  </si>
  <si>
    <t>Hopital</t>
  </si>
  <si>
    <t>A-2001</t>
  </si>
  <si>
    <t>C. Ancon</t>
  </si>
  <si>
    <t>A-2002</t>
  </si>
  <si>
    <t>A-2003</t>
  </si>
  <si>
    <t>A-2004</t>
  </si>
  <si>
    <t>Rio Mari Posa</t>
  </si>
  <si>
    <t>A-2005</t>
  </si>
  <si>
    <t>A-2006</t>
  </si>
  <si>
    <t>Rio Dominica</t>
  </si>
  <si>
    <t>A-2007</t>
  </si>
  <si>
    <t>Dominica (settlement)</t>
  </si>
  <si>
    <t>A-2008</t>
  </si>
  <si>
    <t>Rio Cardenas</t>
  </si>
  <si>
    <t>A-2009</t>
  </si>
  <si>
    <t>Cardenas (settlement)</t>
  </si>
  <si>
    <t>A-2010</t>
  </si>
  <si>
    <t>A-2011</t>
  </si>
  <si>
    <t>A-2012</t>
  </si>
  <si>
    <t>A-2013</t>
  </si>
  <si>
    <t>Gatuncillo (settlement)</t>
  </si>
  <si>
    <t>A-2014</t>
  </si>
  <si>
    <t>C. Sta Cruz</t>
  </si>
  <si>
    <t>A-2015</t>
  </si>
  <si>
    <t>(red works blocks at Paraiso, unlabeled)</t>
  </si>
  <si>
    <t>A-2016</t>
  </si>
  <si>
    <t>(arrabal blocks, unlabeled)</t>
  </si>
  <si>
    <t>A-2017</t>
  </si>
  <si>
    <t>A-2018</t>
  </si>
  <si>
    <t>A-2019</t>
  </si>
  <si>
    <t>A-2020</t>
  </si>
  <si>
    <t>A-2021</t>
  </si>
  <si>
    <t>A-2022</t>
  </si>
  <si>
    <t>A-2023</t>
  </si>
  <si>
    <t>A-2024</t>
  </si>
  <si>
    <t>A-2025</t>
  </si>
  <si>
    <t>A-2026</t>
  </si>
  <si>
    <t>A-2027</t>
  </si>
  <si>
    <t>A-2028</t>
  </si>
  <si>
    <t>A-2029</t>
  </si>
  <si>
    <t>A-2030</t>
  </si>
  <si>
    <t>A-2031</t>
  </si>
  <si>
    <t>A-2032</t>
  </si>
  <si>
    <t>A-2033</t>
  </si>
  <si>
    <t>A-2034</t>
  </si>
  <si>
    <t>A-2035</t>
  </si>
  <si>
    <t>A-2036</t>
  </si>
  <si>
    <t>A-2037</t>
  </si>
  <si>
    <t>A-2038</t>
  </si>
  <si>
    <t>A-2039</t>
  </si>
  <si>
    <t>A-2040</t>
  </si>
  <si>
    <t>A-2041</t>
  </si>
  <si>
    <t>A-2042</t>
  </si>
  <si>
    <t>A-2043</t>
  </si>
  <si>
    <t>A-2044</t>
  </si>
  <si>
    <t>A-2045</t>
  </si>
  <si>
    <t>Cerrito</t>
  </si>
  <si>
    <t>A-2046</t>
  </si>
  <si>
    <t>A-2047</t>
  </si>
  <si>
    <t>A-2048</t>
  </si>
  <si>
    <t>A-2049</t>
  </si>
  <si>
    <t>A-2050</t>
  </si>
  <si>
    <t>A-2051</t>
  </si>
  <si>
    <t>A-2052</t>
  </si>
  <si>
    <t>las dos Hermanas</t>
  </si>
  <si>
    <t>A-2053</t>
  </si>
  <si>
    <t>Palo horqueto</t>
  </si>
  <si>
    <t>A-2054</t>
  </si>
  <si>
    <t>Varro colorado</t>
  </si>
  <si>
    <t>A-2055</t>
  </si>
  <si>
    <t>Pena blanca</t>
  </si>
  <si>
    <t>A-2056</t>
  </si>
  <si>
    <t>Marais de Juan Gallegua</t>
  </si>
  <si>
    <t>A-2057</t>
  </si>
  <si>
    <t>Mame</t>
  </si>
  <si>
    <t>A-2058</t>
  </si>
  <si>
    <t>A-2059</t>
  </si>
  <si>
    <t>A-2060</t>
  </si>
  <si>
    <t>Frijol</t>
  </si>
  <si>
    <t>A-2061</t>
  </si>
  <si>
    <t>Casa Rio de Indio</t>
  </si>
  <si>
    <t>A-2062</t>
  </si>
  <si>
    <t>A-2063</t>
  </si>
  <si>
    <t>I. Taboga</t>
  </si>
  <si>
    <t>A-2064</t>
  </si>
  <si>
    <t>Cocoli (river)</t>
  </si>
  <si>
    <t>A-2065</t>
  </si>
  <si>
    <t>Punta Guinea</t>
  </si>
  <si>
    <t>A-2066</t>
  </si>
  <si>
    <t>Cerro Lancon</t>
  </si>
  <si>
    <t>A-2067</t>
  </si>
  <si>
    <t>A-2068</t>
  </si>
  <si>
    <t>A-2069</t>
  </si>
  <si>
    <t>A-2070</t>
  </si>
  <si>
    <t>A-2071</t>
  </si>
  <si>
    <t>A-2072</t>
  </si>
  <si>
    <t>Cansa-Loma</t>
  </si>
  <si>
    <t>A-2073</t>
  </si>
  <si>
    <t>A-2074</t>
  </si>
  <si>
    <t>A-2075</t>
  </si>
  <si>
    <t>Ancon cemetery</t>
  </si>
  <si>
    <t>A-2076</t>
  </si>
  <si>
    <t>A-2077</t>
  </si>
  <si>
    <t>A-2078</t>
  </si>
  <si>
    <t>Cerro Gordo</t>
  </si>
  <si>
    <t>A-2079</t>
  </si>
  <si>
    <t>Curundu River</t>
  </si>
  <si>
    <t>A-2080</t>
  </si>
  <si>
    <t>A-2081</t>
  </si>
  <si>
    <t>A-2082</t>
  </si>
  <si>
    <t>A-2083</t>
  </si>
  <si>
    <t>A-2084</t>
  </si>
  <si>
    <t>Jamaica Town (Gatun)</t>
  </si>
  <si>
    <t>A-2085</t>
  </si>
  <si>
    <t>A-2086</t>
  </si>
  <si>
    <t>A-2087</t>
  </si>
  <si>
    <t>Culebra penitentiary</t>
  </si>
  <si>
    <t>A-2088</t>
  </si>
  <si>
    <t>Barro Colorado Abajo</t>
  </si>
  <si>
    <t>A-2089</t>
  </si>
  <si>
    <t>A-2090</t>
  </si>
  <si>
    <t>A-2091</t>
  </si>
  <si>
    <t>Palo Horqueta y Matias</t>
  </si>
  <si>
    <t>A-2092</t>
  </si>
  <si>
    <t>Palenquilla and Frijol Grande</t>
  </si>
  <si>
    <t>A-2093</t>
  </si>
  <si>
    <t>A-2094</t>
  </si>
  <si>
    <t>Mari Posa / Mariposa</t>
  </si>
  <si>
    <t>A-2095</t>
  </si>
  <si>
    <t>A-2096</t>
  </si>
  <si>
    <t>Dominica River</t>
  </si>
  <si>
    <t>A-2097</t>
  </si>
  <si>
    <t>Cardenas Hill / Rio Cardenas</t>
  </si>
  <si>
    <t>A-2098</t>
  </si>
  <si>
    <t>Half Way House / La Vuella</t>
  </si>
  <si>
    <t>A-2099</t>
  </si>
  <si>
    <t>A-2100</t>
  </si>
  <si>
    <t>A-2101</t>
  </si>
  <si>
    <t>A-2102</t>
  </si>
  <si>
    <t>Panamanian cemetery</t>
  </si>
  <si>
    <t>A-2103</t>
  </si>
  <si>
    <t>Santa Ana plaza</t>
  </si>
  <si>
    <t>A-2104</t>
  </si>
  <si>
    <t>Cienega</t>
  </si>
  <si>
    <t>A-2105</t>
  </si>
  <si>
    <t>Malambo district</t>
  </si>
  <si>
    <t>A-2106</t>
  </si>
  <si>
    <t>A-2107</t>
  </si>
  <si>
    <t>A-2108</t>
  </si>
  <si>
    <t>Tivoli</t>
  </si>
  <si>
    <t>A-2109</t>
  </si>
  <si>
    <t>Mount Zion reservoir</t>
  </si>
  <si>
    <t>A-2110</t>
  </si>
  <si>
    <t>Mount Zion Hill</t>
  </si>
  <si>
    <t>A-2111</t>
  </si>
  <si>
    <t>A-2112</t>
  </si>
  <si>
    <t>A-2113</t>
  </si>
  <si>
    <t>A-2114</t>
  </si>
  <si>
    <t>Mount Hope cemetery</t>
  </si>
  <si>
    <t>A-2115</t>
  </si>
  <si>
    <t>A-2116</t>
  </si>
  <si>
    <t>A-2117</t>
  </si>
  <si>
    <t>Baptist church at Culebra</t>
  </si>
  <si>
    <t>A-2118</t>
  </si>
  <si>
    <t>Culebra police station</t>
  </si>
  <si>
    <t>A-2119</t>
  </si>
  <si>
    <t>Culebra pumping station</t>
  </si>
  <si>
    <t>A-2120</t>
  </si>
  <si>
    <t>A-2121</t>
  </si>
  <si>
    <t>A-2122</t>
  </si>
  <si>
    <t>A-2123</t>
  </si>
  <si>
    <t>A-2124</t>
  </si>
  <si>
    <t>Mount Zion</t>
  </si>
  <si>
    <t>A-2125</t>
  </si>
  <si>
    <t>A-2126</t>
  </si>
  <si>
    <t>A-2127</t>
  </si>
  <si>
    <t>A-2128</t>
  </si>
  <si>
    <t>New Empire Road</t>
  </si>
  <si>
    <t>A-2129</t>
  </si>
  <si>
    <t>A-2130</t>
  </si>
  <si>
    <t>A-2131</t>
  </si>
  <si>
    <t>A-2132</t>
  </si>
  <si>
    <t>A-2133</t>
  </si>
  <si>
    <t>A-2134</t>
  </si>
  <si>
    <t>A-2135</t>
  </si>
  <si>
    <t>A-2136</t>
  </si>
  <si>
    <t>A-2137</t>
  </si>
  <si>
    <t>Big Camacho</t>
  </si>
  <si>
    <t>A-2138</t>
  </si>
  <si>
    <t>A-2139</t>
  </si>
  <si>
    <t>A-2140</t>
  </si>
  <si>
    <t>Culebra Rio Grande</t>
  </si>
  <si>
    <t>A-2141</t>
  </si>
  <si>
    <t>A-2142</t>
  </si>
  <si>
    <t>A-2143</t>
  </si>
  <si>
    <t>A-2144</t>
  </si>
  <si>
    <t>A-2145</t>
  </si>
  <si>
    <t>A-2146</t>
  </si>
  <si>
    <t>Rio Indio settlement</t>
  </si>
  <si>
    <t>A-2147</t>
  </si>
  <si>
    <t>A-2148</t>
  </si>
  <si>
    <t>A-2149</t>
  </si>
  <si>
    <t>A-2150</t>
  </si>
  <si>
    <t>A-2151</t>
  </si>
  <si>
    <t>A-2152</t>
  </si>
  <si>
    <t>A-2153</t>
  </si>
  <si>
    <t>A-2154</t>
  </si>
  <si>
    <t>A-2155</t>
  </si>
  <si>
    <t>Half Way House</t>
  </si>
  <si>
    <t>A-2156</t>
  </si>
  <si>
    <t>A-2157</t>
  </si>
  <si>
    <t>A-2158</t>
  </si>
  <si>
    <t>A-2159</t>
  </si>
  <si>
    <t>Catholic cemetery</t>
  </si>
  <si>
    <t>A-2160</t>
  </si>
  <si>
    <t>Santa Ana</t>
  </si>
  <si>
    <t>A-2161</t>
  </si>
  <si>
    <t>A-2162</t>
  </si>
  <si>
    <t>A-2163</t>
  </si>
  <si>
    <t>A-2164</t>
  </si>
  <si>
    <t>A-2165</t>
  </si>
  <si>
    <t>A-2166</t>
  </si>
  <si>
    <t>A-2167</t>
  </si>
  <si>
    <t>A-2168</t>
  </si>
  <si>
    <t>A-2169</t>
  </si>
  <si>
    <t>A-2170</t>
  </si>
  <si>
    <t>A-2171</t>
  </si>
  <si>
    <t>A-2172</t>
  </si>
  <si>
    <t>A-2173</t>
  </si>
  <si>
    <t>A-2174</t>
  </si>
  <si>
    <t>A-2175</t>
  </si>
  <si>
    <t>A-2176</t>
  </si>
  <si>
    <t>A-2177</t>
  </si>
  <si>
    <t>A-2178</t>
  </si>
  <si>
    <t>A-2179</t>
  </si>
  <si>
    <t>A-2180</t>
  </si>
  <si>
    <t>A-2181</t>
  </si>
  <si>
    <t>A-2182</t>
  </si>
  <si>
    <t>A-2183</t>
  </si>
  <si>
    <t>A-2184</t>
  </si>
  <si>
    <t>A-2185</t>
  </si>
  <si>
    <t>A-2186</t>
  </si>
  <si>
    <t>A-2187</t>
  </si>
  <si>
    <t>A-2188</t>
  </si>
  <si>
    <t>A-2189</t>
  </si>
  <si>
    <t>A-2190</t>
  </si>
  <si>
    <t>A-2191</t>
  </si>
  <si>
    <t>A-2192</t>
  </si>
  <si>
    <t>A-2193</t>
  </si>
  <si>
    <t>A-2194</t>
  </si>
  <si>
    <t>A-2195</t>
  </si>
  <si>
    <t>A-2196</t>
  </si>
  <si>
    <t>A-2197</t>
  </si>
  <si>
    <t>A-2198</t>
  </si>
  <si>
    <t>A-2199</t>
  </si>
  <si>
    <t>A-2200</t>
  </si>
  <si>
    <t>A-2201</t>
  </si>
  <si>
    <t>A-2202</t>
  </si>
  <si>
    <t>A-2203</t>
  </si>
  <si>
    <t>A-2204</t>
  </si>
  <si>
    <t>A-2205</t>
  </si>
  <si>
    <t>A-2206</t>
  </si>
  <si>
    <t>A-2207</t>
  </si>
  <si>
    <t>A-2208</t>
  </si>
  <si>
    <t>A-2209</t>
  </si>
  <si>
    <t>A-2210</t>
  </si>
  <si>
    <t>A-2211</t>
  </si>
  <si>
    <t>A-2212</t>
  </si>
  <si>
    <t>A-2213</t>
  </si>
  <si>
    <t>A-2214</t>
  </si>
  <si>
    <t>A-2215</t>
  </si>
  <si>
    <t>A-2216</t>
  </si>
  <si>
    <t>A-2217</t>
  </si>
  <si>
    <t>A-2218</t>
  </si>
  <si>
    <t>A-2219</t>
  </si>
  <si>
    <t>A-2220</t>
  </si>
  <si>
    <t>A-2221</t>
  </si>
  <si>
    <t>A-2222</t>
  </si>
  <si>
    <t>A-2223</t>
  </si>
  <si>
    <t>A-2224</t>
  </si>
  <si>
    <t>A-2225</t>
  </si>
  <si>
    <t>A-2226</t>
  </si>
  <si>
    <t>A-2227</t>
  </si>
  <si>
    <t>A-2228</t>
  </si>
  <si>
    <t>A-2229</t>
  </si>
  <si>
    <t>A-2230</t>
  </si>
  <si>
    <t>A-2231</t>
  </si>
  <si>
    <t>A-2232</t>
  </si>
  <si>
    <t>A-2233</t>
  </si>
  <si>
    <t>A-2234</t>
  </si>
  <si>
    <t>A-2235</t>
  </si>
  <si>
    <t>A-2236</t>
  </si>
  <si>
    <t>A-2237</t>
  </si>
  <si>
    <t>A-2238</t>
  </si>
  <si>
    <t>A-2239</t>
  </si>
  <si>
    <t>A-2240</t>
  </si>
  <si>
    <t>A-2241</t>
  </si>
  <si>
    <t>A-2242</t>
  </si>
  <si>
    <t>A-2243</t>
  </si>
  <si>
    <t>A-2244</t>
  </si>
  <si>
    <t>A-2245</t>
  </si>
  <si>
    <t>A-2246</t>
  </si>
  <si>
    <t>A-2247</t>
  </si>
  <si>
    <t>A-2248</t>
  </si>
  <si>
    <t>A-2249</t>
  </si>
  <si>
    <t>A-2250</t>
  </si>
  <si>
    <t>A-2251</t>
  </si>
  <si>
    <t>A-2252</t>
  </si>
  <si>
    <t>A-2253</t>
  </si>
  <si>
    <t>A-2254</t>
  </si>
  <si>
    <t>A-2255</t>
  </si>
  <si>
    <t>A-2256</t>
  </si>
  <si>
    <t>A-2257</t>
  </si>
  <si>
    <t>A-2258</t>
  </si>
  <si>
    <t>A-2259</t>
  </si>
  <si>
    <t>A-2260</t>
  </si>
  <si>
    <t>A-2261</t>
  </si>
  <si>
    <t>A-2262</t>
  </si>
  <si>
    <t>A-2263</t>
  </si>
  <si>
    <t>A-2264</t>
  </si>
  <si>
    <t>A-2265</t>
  </si>
  <si>
    <t>A-2266</t>
  </si>
  <si>
    <t>A-2267</t>
  </si>
  <si>
    <t>A-2268</t>
  </si>
  <si>
    <t>A-2269</t>
  </si>
  <si>
    <t>A-2270</t>
  </si>
  <si>
    <t>A-2271</t>
  </si>
  <si>
    <t>A-2272</t>
  </si>
  <si>
    <t>A-2273</t>
  </si>
  <si>
    <t>A-2274</t>
  </si>
  <si>
    <t>A-2275</t>
  </si>
  <si>
    <t>A-2276</t>
  </si>
  <si>
    <t>A-2277</t>
  </si>
  <si>
    <t>A-2278</t>
  </si>
  <si>
    <t>A-2279</t>
  </si>
  <si>
    <t>A-2280</t>
  </si>
  <si>
    <t>A-2281</t>
  </si>
  <si>
    <t>A-2282</t>
  </si>
  <si>
    <t>A-2283</t>
  </si>
  <si>
    <t>A-2284</t>
  </si>
  <si>
    <t>A-2285</t>
  </si>
  <si>
    <t>A-2286</t>
  </si>
  <si>
    <t>A-2287</t>
  </si>
  <si>
    <t>A-2288</t>
  </si>
  <si>
    <t>A-2289</t>
  </si>
  <si>
    <t>A-2290</t>
  </si>
  <si>
    <t>A-2291</t>
  </si>
  <si>
    <t>A-2292</t>
  </si>
  <si>
    <t>A-2293</t>
  </si>
  <si>
    <t>A-2294</t>
  </si>
  <si>
    <t>A-2295</t>
  </si>
  <si>
    <t>A-2296</t>
  </si>
  <si>
    <t>A-2297</t>
  </si>
  <si>
    <t>A-2298</t>
  </si>
  <si>
    <t>A-2299</t>
  </si>
  <si>
    <t>A-2300</t>
  </si>
  <si>
    <t>A-2301</t>
  </si>
  <si>
    <t>A-2302</t>
  </si>
  <si>
    <t>A-2303</t>
  </si>
  <si>
    <t>A-2304</t>
  </si>
  <si>
    <t>PARAISO (ED 1-33/1-34 base quad)</t>
  </si>
  <si>
    <t>A-2305</t>
  </si>
  <si>
    <t>CHURCH 359</t>
  </si>
  <si>
    <t>A-2306</t>
  </si>
  <si>
    <t>former village known as Jamaica-town</t>
  </si>
  <si>
    <t>A-2307</t>
  </si>
  <si>
    <t>A-2308</t>
  </si>
  <si>
    <t>CURUNDU (+ Curundu Clubhouse)</t>
  </si>
  <si>
    <t>A-2309</t>
  </si>
  <si>
    <t>PEDRO MIGUEL (as-built, ED 1-34)</t>
  </si>
  <si>
    <t>A-2310</t>
  </si>
  <si>
    <t>Commissary (182)</t>
  </si>
  <si>
    <t>A-2311</t>
  </si>
  <si>
    <t>RED TANK (ED 1-37)</t>
  </si>
  <si>
    <t>A-2312</t>
  </si>
  <si>
    <t>ANCON (ED 1-1/1-2)</t>
  </si>
  <si>
    <t>A-2313</t>
  </si>
  <si>
    <t>BALBOA HEIGHTS (ED 1-2/1-3)</t>
  </si>
  <si>
    <t>A-2314</t>
  </si>
  <si>
    <t>GORGAS HOSPITAL</t>
  </si>
  <si>
    <t>A-2315</t>
  </si>
  <si>
    <t>CEMETERY row (6 enclosures) + P.R.R. STABLES</t>
  </si>
  <si>
    <t>A-2316</t>
  </si>
  <si>
    <t>Cementerio Chino (designation)</t>
  </si>
  <si>
    <t>A-2317</t>
  </si>
  <si>
    <t>SILVER CITY TOWNSITE (ED 2-14 quad)</t>
  </si>
  <si>
    <t>A-2318</t>
  </si>
  <si>
    <t>CHURCH (Silver City)</t>
  </si>
  <si>
    <t>A-2319</t>
  </si>
  <si>
    <t>SCHOOL (Silver City)</t>
  </si>
  <si>
    <t>A-2320</t>
  </si>
  <si>
    <t>BALL PARK (Silver City)</t>
  </si>
  <si>
    <t>A-2321</t>
  </si>
  <si>
    <t>Mount Hope yard (Yard Master Office, Scales, shops)</t>
  </si>
  <si>
    <t>A-2322</t>
  </si>
  <si>
    <t>CAMP BIERD (drawn barracks-by-barracks)</t>
  </si>
  <si>
    <t>A-2323</t>
  </si>
  <si>
    <t>A-2324</t>
  </si>
  <si>
    <t>A-2325</t>
  </si>
  <si>
    <t>A-2326</t>
  </si>
  <si>
    <t>Culebra Baptist</t>
  </si>
  <si>
    <t>A-2327</t>
  </si>
  <si>
    <t>A-2328</t>
  </si>
  <si>
    <t>A-2329</t>
  </si>
  <si>
    <t>A-2330</t>
  </si>
  <si>
    <t>A-2331</t>
  </si>
  <si>
    <t>A-2332</t>
  </si>
  <si>
    <t>A-2333</t>
  </si>
  <si>
    <t>A-2334</t>
  </si>
  <si>
    <t>A-2335</t>
  </si>
  <si>
    <t>A-2336</t>
  </si>
  <si>
    <t>A-2337</t>
  </si>
  <si>
    <t>A-2338</t>
  </si>
  <si>
    <t>A-2339</t>
  </si>
  <si>
    <t>Culebra Rio Grande / Rio Grande camp</t>
  </si>
  <si>
    <t>A-2340</t>
  </si>
  <si>
    <t>police station at Culebra</t>
  </si>
  <si>
    <t>A-2341</t>
  </si>
  <si>
    <t>Canal Zone Penitentiary at Culebra</t>
  </si>
  <si>
    <t>A-2342</t>
  </si>
  <si>
    <t>A-2343</t>
  </si>
  <si>
    <t>A-2344</t>
  </si>
  <si>
    <t>A-2345</t>
  </si>
  <si>
    <t>A-2346</t>
  </si>
  <si>
    <t>Horqueta</t>
  </si>
  <si>
    <t>A-2347</t>
  </si>
  <si>
    <t>Palenquilla / Palenquillo</t>
  </si>
  <si>
    <t>A-2348</t>
  </si>
  <si>
    <t>A-2349</t>
  </si>
  <si>
    <t>A-2350</t>
  </si>
  <si>
    <t>A-2351</t>
  </si>
  <si>
    <t>A-2352</t>
  </si>
  <si>
    <t>A-2353</t>
  </si>
  <si>
    <t>A-2354</t>
  </si>
  <si>
    <t>Catholic / foreign cemetery</t>
  </si>
  <si>
    <t>A-2355</t>
  </si>
  <si>
    <t>Santa Ana Plaza</t>
  </si>
  <si>
    <t>A-2356</t>
  </si>
  <si>
    <t>A-2357</t>
  </si>
  <si>
    <t>A-2358</t>
  </si>
  <si>
    <t>A-2359</t>
  </si>
  <si>
    <t>A-2360</t>
  </si>
  <si>
    <t>A-2361</t>
  </si>
  <si>
    <t>A-2362</t>
  </si>
  <si>
    <t>A-2363</t>
  </si>
  <si>
    <t>A-2364</t>
  </si>
  <si>
    <t>A-2365</t>
  </si>
  <si>
    <t>A-2366</t>
  </si>
  <si>
    <t>A-2367</t>
  </si>
  <si>
    <t>A-2368</t>
  </si>
  <si>
    <t>A-2369</t>
  </si>
  <si>
    <t>A-2370</t>
  </si>
  <si>
    <t>(buildings on Cerro Ancon)</t>
  </si>
  <si>
    <t>A-2371</t>
  </si>
  <si>
    <t>A-2372</t>
  </si>
  <si>
    <t>A-2373</t>
  </si>
  <si>
    <t>A-2374</t>
  </si>
  <si>
    <t>LaBoca</t>
  </si>
  <si>
    <t>A-2375</t>
  </si>
  <si>
    <t>A-2376</t>
  </si>
  <si>
    <t>A-2377</t>
  </si>
  <si>
    <t>A-2378</t>
  </si>
  <si>
    <t>A-2379</t>
  </si>
  <si>
    <t>A-2380</t>
  </si>
  <si>
    <t>A-2381</t>
  </si>
  <si>
    <t>A-2382</t>
  </si>
  <si>
    <t>A-2383</t>
  </si>
  <si>
    <t>A-2384</t>
  </si>
  <si>
    <t>A-2385</t>
  </si>
  <si>
    <t>A-2386</t>
  </si>
  <si>
    <t>A-2387</t>
  </si>
  <si>
    <t>A-2388</t>
  </si>
  <si>
    <t>A-2389</t>
  </si>
  <si>
    <t>A-2390</t>
  </si>
  <si>
    <t>A-2391</t>
  </si>
  <si>
    <t>A-2392</t>
  </si>
  <si>
    <t>A-2393</t>
  </si>
  <si>
    <t>A-2394</t>
  </si>
  <si>
    <t>A-2395</t>
  </si>
  <si>
    <t>Chagrecito</t>
  </si>
  <si>
    <t>A-2396</t>
  </si>
  <si>
    <t>A-2397</t>
  </si>
  <si>
    <t>A-2398</t>
  </si>
  <si>
    <t>A-2399</t>
  </si>
  <si>
    <t>A-2400</t>
  </si>
  <si>
    <t>A-2401</t>
  </si>
  <si>
    <t>(railroad-side dot rows)</t>
  </si>
  <si>
    <t>A-2402</t>
  </si>
  <si>
    <t>A-2403</t>
  </si>
  <si>
    <t>A-2404</t>
  </si>
  <si>
    <t>A-2405</t>
  </si>
  <si>
    <t>A-2406</t>
  </si>
  <si>
    <t>A-2407</t>
  </si>
  <si>
    <t>A-2408</t>
  </si>
  <si>
    <t>A-2409</t>
  </si>
  <si>
    <t>A-2410</t>
  </si>
  <si>
    <t>A-2411</t>
  </si>
  <si>
    <t>A-2412</t>
  </si>
  <si>
    <t>A-2413</t>
  </si>
  <si>
    <t>A-2414</t>
  </si>
  <si>
    <t>A-2415</t>
  </si>
  <si>
    <t>A-2416</t>
  </si>
  <si>
    <t>(house dots beside the railroad)</t>
  </si>
  <si>
    <t>A-2417</t>
  </si>
  <si>
    <t>A-2418</t>
  </si>
  <si>
    <t>A-2419</t>
  </si>
  <si>
    <t>CEMETERY (x4)</t>
  </si>
  <si>
    <t>A-2420</t>
  </si>
  <si>
    <t>A-2421</t>
  </si>
  <si>
    <t>A-2422</t>
  </si>
  <si>
    <t>(Quarry Heights house lots)</t>
  </si>
  <si>
    <t>A-2423</t>
  </si>
  <si>
    <t>A-2424</t>
  </si>
  <si>
    <t>A-2425</t>
  </si>
  <si>
    <t>A-2426</t>
  </si>
  <si>
    <t>A-2427</t>
  </si>
  <si>
    <t>A-2428</t>
  </si>
  <si>
    <t>A-2429</t>
  </si>
  <si>
    <t>A-2430</t>
  </si>
  <si>
    <t>A-2431</t>
  </si>
  <si>
    <t>(numbered yard buildings 310-317)</t>
  </si>
  <si>
    <t>A-2432</t>
  </si>
  <si>
    <t>(yard buildings 310-311 and tracks)</t>
  </si>
  <si>
    <t>A-2433</t>
  </si>
  <si>
    <t>A-2434</t>
  </si>
  <si>
    <t>A-2435</t>
  </si>
  <si>
    <t>Pedro Miguel (old village)</t>
  </si>
  <si>
    <t>A-2436</t>
  </si>
  <si>
    <t>A-2437</t>
  </si>
  <si>
    <t>A-2438</t>
  </si>
  <si>
    <t>GATUN (ED 2-12)</t>
  </si>
  <si>
    <t>A-2439</t>
  </si>
  <si>
    <t>silver quarters grid (NW rows)</t>
  </si>
  <si>
    <t>A-2440</t>
  </si>
  <si>
    <t>Commissary 138 / Police Station / R.R. station</t>
  </si>
  <si>
    <t>A-2441</t>
  </si>
  <si>
    <t>CHRIST MISSION CHURCH / SDA CHURCH / M.E. CHURCH (Colon, ED 2-6)</t>
  </si>
  <si>
    <t>A-2442</t>
  </si>
  <si>
    <t>Summit ED 1-16 (dispersed parcels)</t>
  </si>
  <si>
    <t>A-2443</t>
  </si>
  <si>
    <t>Albrook Flying Field (ED sheet annotation)</t>
  </si>
  <si>
    <t>A-2444</t>
  </si>
  <si>
    <t>Palo Seco Leper Colony Boundary</t>
  </si>
  <si>
    <t>A-2445</t>
  </si>
  <si>
    <t>FORT CLAYTON + Corozal Hospital Farm</t>
  </si>
  <si>
    <t>A-2446</t>
  </si>
  <si>
    <t>COLON R.P. / CRISTOBAL</t>
  </si>
  <si>
    <t>A-2447</t>
  </si>
  <si>
    <t>A-2448</t>
  </si>
  <si>
    <t>GATUN (+ Gatun Locks)</t>
  </si>
  <si>
    <t>A-2449</t>
  </si>
  <si>
    <t>A-2450</t>
  </si>
  <si>
    <t>A-2451</t>
  </si>
  <si>
    <t>A-2452</t>
  </si>
  <si>
    <t>A-2453</t>
  </si>
  <si>
    <t>A-2454</t>
  </si>
  <si>
    <t>A-2455</t>
  </si>
  <si>
    <t>A-2456</t>
  </si>
  <si>
    <t>A-2457</t>
  </si>
  <si>
    <t>Miraflores (locks/lake)</t>
  </si>
  <si>
    <t>A-2458</t>
  </si>
  <si>
    <t>A-2459</t>
  </si>
  <si>
    <t>A-2460</t>
  </si>
  <si>
    <t>A-2461</t>
  </si>
  <si>
    <t>A-2462</t>
  </si>
  <si>
    <t>A-2463</t>
  </si>
  <si>
    <t>A-2464</t>
  </si>
  <si>
    <t>A-2465</t>
  </si>
  <si>
    <t>A-2466</t>
  </si>
  <si>
    <t>A-2467</t>
  </si>
  <si>
    <t>A-2468</t>
  </si>
  <si>
    <t>A-2469</t>
  </si>
  <si>
    <t>A-2470</t>
  </si>
  <si>
    <t>A-2471</t>
  </si>
  <si>
    <t>A-2472</t>
  </si>
  <si>
    <t>A-2473</t>
  </si>
  <si>
    <t>A-2474</t>
  </si>
  <si>
    <t>A-2475</t>
  </si>
  <si>
    <t>Rio Cocoli</t>
  </si>
  <si>
    <t>A-2476</t>
  </si>
  <si>
    <t>A-2477</t>
  </si>
  <si>
    <t>A-2478</t>
  </si>
  <si>
    <t>A-2479</t>
  </si>
  <si>
    <t>San Juan (upper-Chagres site)</t>
  </si>
  <si>
    <t>A-2480</t>
  </si>
  <si>
    <t>Cruces (trail narrative)</t>
  </si>
  <si>
    <t>A-2481</t>
  </si>
  <si>
    <t>A-2482</t>
  </si>
  <si>
    <t>A-2483</t>
  </si>
  <si>
    <t>A-2484</t>
  </si>
  <si>
    <t>Baptist Mission</t>
  </si>
  <si>
    <t>A-2485</t>
  </si>
  <si>
    <t>A-2486</t>
  </si>
  <si>
    <t>Hospital de Ancón</t>
  </si>
  <si>
    <t>A-2487</t>
  </si>
  <si>
    <t>A-2488</t>
  </si>
  <si>
    <t>A-2489</t>
  </si>
  <si>
    <t>A-2490</t>
  </si>
  <si>
    <t>A-2491</t>
  </si>
  <si>
    <t>A-2492</t>
  </si>
  <si>
    <t>A-2493</t>
  </si>
  <si>
    <t>A-2494</t>
  </si>
  <si>
    <t>A-2495</t>
  </si>
  <si>
    <t>A-2496</t>
  </si>
  <si>
    <t>A-2497</t>
  </si>
  <si>
    <t>A-2498</t>
  </si>
  <si>
    <t>A-2499</t>
  </si>
  <si>
    <t>A-2500</t>
  </si>
  <si>
    <t>A-2501</t>
  </si>
  <si>
    <t>A-2502</t>
  </si>
  <si>
    <t>A-2503</t>
  </si>
  <si>
    <t>Penitenciaría de Culebra</t>
  </si>
  <si>
    <t>A-2504</t>
  </si>
  <si>
    <t>A-2505</t>
  </si>
  <si>
    <t>A-2506</t>
  </si>
  <si>
    <t>A-2507</t>
  </si>
  <si>
    <t>A-2508</t>
  </si>
  <si>
    <t>A-2509</t>
  </si>
  <si>
    <t>A-2510</t>
  </si>
  <si>
    <t>A-2511</t>
  </si>
  <si>
    <t>A-2512</t>
  </si>
  <si>
    <t>Mariposa</t>
  </si>
  <si>
    <t>A-2513</t>
  </si>
  <si>
    <t>A-2514</t>
  </si>
  <si>
    <t>A-2515</t>
  </si>
  <si>
    <t>A-2516</t>
  </si>
  <si>
    <t>Halfway House</t>
  </si>
  <si>
    <t>A-2517</t>
  </si>
  <si>
    <t>A-2518</t>
  </si>
  <si>
    <t>A-2519</t>
  </si>
  <si>
    <t>A-2520</t>
  </si>
  <si>
    <t>Cementerio Católico</t>
  </si>
  <si>
    <t>A-2521</t>
  </si>
  <si>
    <t>A-2522</t>
  </si>
  <si>
    <t>Ciénaga</t>
  </si>
  <si>
    <t>A-2523</t>
  </si>
  <si>
    <t>A-2524</t>
  </si>
  <si>
    <t>A-2525</t>
  </si>
  <si>
    <t>A-2526</t>
  </si>
  <si>
    <t>A-2527</t>
  </si>
  <si>
    <t>A-2528</t>
  </si>
  <si>
    <t>A-2529</t>
  </si>
  <si>
    <t>A-2530</t>
  </si>
  <si>
    <t>A-2531</t>
  </si>
  <si>
    <t>A-2532</t>
  </si>
  <si>
    <t>A-2533</t>
  </si>
  <si>
    <t>A-2534</t>
  </si>
  <si>
    <t>A-2535</t>
  </si>
  <si>
    <t>A-2536</t>
  </si>
  <si>
    <t>A-2537</t>
  </si>
  <si>
    <t>Mt. Zion</t>
  </si>
  <si>
    <t>A-2538</t>
  </si>
  <si>
    <t>A-2539</t>
  </si>
  <si>
    <t>A-2540</t>
  </si>
  <si>
    <t>A-2541</t>
  </si>
  <si>
    <t>A-2542</t>
  </si>
  <si>
    <t>A-2543</t>
  </si>
  <si>
    <t>A-2544</t>
  </si>
  <si>
    <t>A-2545</t>
  </si>
  <si>
    <t>A-2546</t>
  </si>
  <si>
    <t>A-2547</t>
  </si>
  <si>
    <t>A-2548</t>
  </si>
  <si>
    <t>A-2549</t>
  </si>
  <si>
    <t>A-2550</t>
  </si>
  <si>
    <t>A-2551</t>
  </si>
  <si>
    <t>A-2552</t>
  </si>
  <si>
    <t>Rio Grande camp</t>
  </si>
  <si>
    <t>A-2553</t>
  </si>
  <si>
    <t>A-2554</t>
  </si>
  <si>
    <t>penitentiary at Culebra</t>
  </si>
  <si>
    <t>A-2555</t>
  </si>
  <si>
    <t>A-2556</t>
  </si>
  <si>
    <t>A-2557</t>
  </si>
  <si>
    <t>A-2558</t>
  </si>
  <si>
    <t>A-2559</t>
  </si>
  <si>
    <t>A-2560</t>
  </si>
  <si>
    <t>A-2561</t>
  </si>
  <si>
    <t>A-2562</t>
  </si>
  <si>
    <t>A-2563</t>
  </si>
  <si>
    <t>A-2564</t>
  </si>
  <si>
    <t>A-2565</t>
  </si>
  <si>
    <t>A-2566</t>
  </si>
  <si>
    <t>A-2567</t>
  </si>
  <si>
    <t>A-2568</t>
  </si>
  <si>
    <t>A-2569</t>
  </si>
  <si>
    <t>A-2570</t>
  </si>
  <si>
    <t>A-2571</t>
  </si>
  <si>
    <t>A-2572</t>
  </si>
  <si>
    <t>A-2573</t>
  </si>
  <si>
    <t>A-2574</t>
  </si>
  <si>
    <t>A-2575</t>
  </si>
  <si>
    <t>A-2576</t>
  </si>
  <si>
    <t>A-2577</t>
  </si>
  <si>
    <t>A-2578</t>
  </si>
  <si>
    <t>A-2579</t>
  </si>
  <si>
    <t>A-2580</t>
  </si>
  <si>
    <t>A-2581</t>
  </si>
  <si>
    <t>A-2582</t>
  </si>
  <si>
    <t>Fort DeLesseps</t>
  </si>
  <si>
    <t>A-2583</t>
  </si>
  <si>
    <t>A-2584</t>
  </si>
  <si>
    <t>Dos Hermanos</t>
  </si>
  <si>
    <t>A-2585</t>
  </si>
  <si>
    <t>A-2586</t>
  </si>
  <si>
    <t>A-2587</t>
  </si>
  <si>
    <t>A-2588</t>
  </si>
  <si>
    <t>A-2589</t>
  </si>
  <si>
    <t>A-2590</t>
  </si>
  <si>
    <t>A-2591</t>
  </si>
  <si>
    <t>A-2592</t>
  </si>
  <si>
    <t>Colon + Cristobal (ED base)</t>
  </si>
  <si>
    <t>A-2593</t>
  </si>
  <si>
    <t>FORT DE LESSEPS (ED 47)</t>
  </si>
  <si>
    <t>A-2594</t>
  </si>
  <si>
    <t>New Cristobal + De Lesseps section (ED base)</t>
  </si>
  <si>
    <t>A-2595</t>
  </si>
  <si>
    <t>FORT CLAYTON (reservation, ED 1-21)</t>
  </si>
  <si>
    <t>A-2596</t>
  </si>
  <si>
    <t>POST OF COROZAL (ED 9) + Hospital Farm (ED 10)</t>
  </si>
  <si>
    <t>A-2597</t>
  </si>
  <si>
    <t>the cemeteries of Panama, five in all</t>
  </si>
  <si>
    <t>A-2598</t>
  </si>
  <si>
    <t>A-2599</t>
  </si>
  <si>
    <t>PALO SECO LEPER COLONY (boundary tract, ED 1-6)</t>
  </si>
  <si>
    <t>A-2600</t>
  </si>
  <si>
    <t>A-2601</t>
  </si>
  <si>
    <t>A-2602</t>
  </si>
  <si>
    <t>A-2603</t>
  </si>
  <si>
    <t>A-2604</t>
  </si>
  <si>
    <t>A-2605</t>
  </si>
  <si>
    <t>A-2606</t>
  </si>
  <si>
    <t>A-2607</t>
  </si>
  <si>
    <t>A-2608</t>
  </si>
  <si>
    <t>Cementerios</t>
  </si>
  <si>
    <t>A-2609</t>
  </si>
  <si>
    <t>A-2610</t>
  </si>
  <si>
    <t>A-2611</t>
  </si>
  <si>
    <t>A-2612</t>
  </si>
  <si>
    <t>A-2613</t>
  </si>
  <si>
    <t>A-2614</t>
  </si>
  <si>
    <t>A-2615</t>
  </si>
  <si>
    <t>A-2616</t>
  </si>
  <si>
    <t>A-2617</t>
  </si>
  <si>
    <t>Empire ball park</t>
  </si>
  <si>
    <t>A-2618</t>
  </si>
  <si>
    <t>A-2619</t>
  </si>
  <si>
    <t>Empire police station</t>
  </si>
  <si>
    <t>A-2620</t>
  </si>
  <si>
    <t>Empire municipal building</t>
  </si>
  <si>
    <t>A-2621</t>
  </si>
  <si>
    <t>Empire railroad shops</t>
  </si>
  <si>
    <t>A-2622</t>
  </si>
  <si>
    <t>Empire Y.M.C.A.</t>
  </si>
  <si>
    <t>A-2623</t>
  </si>
  <si>
    <t>Empire fire station</t>
  </si>
  <si>
    <t>A-2624</t>
  </si>
  <si>
    <t>A-2625</t>
  </si>
  <si>
    <t>A-2626</t>
  </si>
  <si>
    <t>hospital at Empire</t>
  </si>
  <si>
    <t>A-2627</t>
  </si>
  <si>
    <t>A-2628</t>
  </si>
  <si>
    <t>Y.M.C.A. at Gorgona</t>
  </si>
  <si>
    <t>A-2629</t>
  </si>
  <si>
    <t>Gorgona band stand</t>
  </si>
  <si>
    <t>A-2630</t>
  </si>
  <si>
    <t>Gorgona Hotel</t>
  </si>
  <si>
    <t>A-2631</t>
  </si>
  <si>
    <t>Culebra Y.M.C.A.</t>
  </si>
  <si>
    <t>A-2632</t>
  </si>
  <si>
    <t>A-2633</t>
  </si>
  <si>
    <t>A-2634</t>
  </si>
  <si>
    <t>A-2635</t>
  </si>
  <si>
    <t>Culebra colored school</t>
  </si>
  <si>
    <t>A-2636</t>
  </si>
  <si>
    <t>Commissary at Culebra</t>
  </si>
  <si>
    <t>A-2637</t>
  </si>
  <si>
    <t>Culebra fire station</t>
  </si>
  <si>
    <t>A-2638</t>
  </si>
  <si>
    <t>Culebra rest house</t>
  </si>
  <si>
    <t>A-2639</t>
  </si>
  <si>
    <t>Culebra planing mill</t>
  </si>
  <si>
    <t>A-2640</t>
  </si>
  <si>
    <t>Culebra corral</t>
  </si>
  <si>
    <t>A-2641</t>
  </si>
  <si>
    <t>Culebra Lumber Yard</t>
  </si>
  <si>
    <t>A-2642</t>
  </si>
  <si>
    <t>Culebra Station</t>
  </si>
  <si>
    <t>A-2643</t>
  </si>
  <si>
    <t>Culebra magazine</t>
  </si>
  <si>
    <t>A-2644</t>
  </si>
  <si>
    <t>Las Cascadas engine house</t>
  </si>
  <si>
    <t>A-2645</t>
  </si>
  <si>
    <t>Las Cascadas post office</t>
  </si>
  <si>
    <t>A-2646</t>
  </si>
  <si>
    <t>A-2647</t>
  </si>
  <si>
    <t>Hotel at Paraiso</t>
  </si>
  <si>
    <t>A-2648</t>
  </si>
  <si>
    <t>Pedro Miguel shops</t>
  </si>
  <si>
    <t>A-2649</t>
  </si>
  <si>
    <t>Paraiso police station</t>
  </si>
  <si>
    <t>A-2650</t>
  </si>
  <si>
    <t>A-2651</t>
  </si>
  <si>
    <t>A-2652</t>
  </si>
  <si>
    <t>A-2653</t>
  </si>
  <si>
    <t>A-2654</t>
  </si>
  <si>
    <t>A-2655</t>
  </si>
  <si>
    <t>A-2656</t>
  </si>
  <si>
    <t>A-2657</t>
  </si>
  <si>
    <t>A-2658</t>
  </si>
  <si>
    <t>A-2659</t>
  </si>
  <si>
    <t>Empire bank</t>
  </si>
  <si>
    <t>A-2660</t>
  </si>
  <si>
    <t>A-2661</t>
  </si>
  <si>
    <t>A-2662</t>
  </si>
  <si>
    <t>A-2663</t>
  </si>
  <si>
    <t>Gorgona Y.M.C.A.</t>
  </si>
  <si>
    <t>A-2664</t>
  </si>
  <si>
    <t>A-2665</t>
  </si>
  <si>
    <t>A-2666</t>
  </si>
  <si>
    <t>A-2667</t>
  </si>
  <si>
    <t>A-2668</t>
  </si>
  <si>
    <t>A-2669</t>
  </si>
  <si>
    <t>A-2670</t>
  </si>
  <si>
    <t>A-2671</t>
  </si>
  <si>
    <t>A-2672</t>
  </si>
  <si>
    <t>A-2673</t>
  </si>
  <si>
    <t>Culebra dispensary</t>
  </si>
  <si>
    <t>A-2674</t>
  </si>
  <si>
    <t>A-2675</t>
  </si>
  <si>
    <t>A-2676</t>
  </si>
  <si>
    <t>Culebra lumber yard</t>
  </si>
  <si>
    <t>A-2677</t>
  </si>
  <si>
    <t>A-2678</t>
  </si>
  <si>
    <t>A-2679</t>
  </si>
  <si>
    <t>A-2680</t>
  </si>
  <si>
    <t>A-2681</t>
  </si>
  <si>
    <t>A-2682</t>
  </si>
  <si>
    <t>Paraiso hotel</t>
  </si>
  <si>
    <t>A-2683</t>
  </si>
  <si>
    <t>A-2684</t>
  </si>
  <si>
    <t>A-2685</t>
  </si>
  <si>
    <t>A-2686</t>
  </si>
  <si>
    <t>A-2687</t>
  </si>
  <si>
    <t>A-2688</t>
  </si>
  <si>
    <t>A-2689</t>
  </si>
  <si>
    <t>A-2690</t>
  </si>
  <si>
    <t>A-2691</t>
  </si>
  <si>
    <t>A-2692</t>
  </si>
  <si>
    <t>A-2693</t>
  </si>
  <si>
    <t>A-2694</t>
  </si>
  <si>
    <t>A-2695</t>
  </si>
  <si>
    <t>A-2696</t>
  </si>
  <si>
    <t>A-2697</t>
  </si>
  <si>
    <t>A-2698</t>
  </si>
  <si>
    <t>A-2699</t>
  </si>
  <si>
    <t>A-2700</t>
  </si>
  <si>
    <t>A-2701</t>
  </si>
  <si>
    <t>I.C.C. camp at Pedro Miguel</t>
  </si>
  <si>
    <t>A-2702</t>
  </si>
  <si>
    <t>A-2703</t>
  </si>
  <si>
    <t>Corundo</t>
  </si>
  <si>
    <t>A-2704</t>
  </si>
  <si>
    <t>A-2705</t>
  </si>
  <si>
    <t>A-2706</t>
  </si>
  <si>
    <t>A-2707</t>
  </si>
  <si>
    <t>A-2708</t>
  </si>
  <si>
    <t>A-2709</t>
  </si>
  <si>
    <t>A-2710</t>
  </si>
  <si>
    <t>A-2711</t>
  </si>
  <si>
    <t>A-2712</t>
  </si>
  <si>
    <t>A-2713</t>
  </si>
  <si>
    <t>A-2714</t>
  </si>
  <si>
    <t>A-2715</t>
  </si>
  <si>
    <t>A-2716</t>
  </si>
  <si>
    <t>Juana Maria</t>
  </si>
  <si>
    <t>A-2717</t>
  </si>
  <si>
    <t>A-2718</t>
  </si>
  <si>
    <t>A-2719</t>
  </si>
  <si>
    <t>A-2720</t>
  </si>
  <si>
    <t>A-2721</t>
  </si>
  <si>
    <t>A-2722</t>
  </si>
  <si>
    <t>SUMMIT (gardens web + station, ED 1-16)</t>
  </si>
  <si>
    <t>A-2723</t>
  </si>
  <si>
    <t>Zion Hill Reservoir</t>
  </si>
  <si>
    <t>A-2724</t>
  </si>
  <si>
    <t>A-2725</t>
  </si>
  <si>
    <t>A-2726</t>
  </si>
  <si>
    <t>A-2727</t>
  </si>
  <si>
    <t>A-2728</t>
  </si>
  <si>
    <t>A-2729</t>
  </si>
  <si>
    <t>A-2730</t>
  </si>
  <si>
    <t>A-2731</t>
  </si>
  <si>
    <t>A-2732</t>
  </si>
  <si>
    <t>A-2733</t>
  </si>
  <si>
    <t>A-2734</t>
  </si>
  <si>
    <t>A-2735</t>
  </si>
  <si>
    <t>A-2736</t>
  </si>
  <si>
    <t>A-2737</t>
  </si>
  <si>
    <t>A-2738</t>
  </si>
  <si>
    <t>A-2739</t>
  </si>
  <si>
    <t>Zion Hill</t>
  </si>
  <si>
    <t>A-2740</t>
  </si>
  <si>
    <t>A-2741</t>
  </si>
  <si>
    <t>A-2742</t>
  </si>
  <si>
    <t>A-2743</t>
  </si>
  <si>
    <t>A-2744</t>
  </si>
  <si>
    <t>A-2745</t>
  </si>
  <si>
    <t>A-2746</t>
  </si>
  <si>
    <t>A-2747</t>
  </si>
  <si>
    <t>A-2748</t>
  </si>
  <si>
    <t>A-2749</t>
  </si>
  <si>
    <t>West Culebra Slide</t>
  </si>
  <si>
    <t>A-2750</t>
  </si>
  <si>
    <t>A-2751</t>
  </si>
  <si>
    <t>FORT DE LESSEPS MILITARY RESERVATION (1:1,000 plan)</t>
  </si>
  <si>
    <t>A-2752</t>
  </si>
  <si>
    <t>SILVER CITY TOWN</t>
  </si>
  <si>
    <t>A-2753</t>
  </si>
  <si>
    <t>COCO SOLITO TOWN</t>
  </si>
  <si>
    <t>A-2754</t>
  </si>
  <si>
    <t>COCOLI TOWN</t>
  </si>
  <si>
    <t>A-2755</t>
  </si>
  <si>
    <t>PEDRO MIGUEL TOWN</t>
  </si>
  <si>
    <t>A-2756</t>
  </si>
  <si>
    <t>FRIJOLES TOWN</t>
  </si>
  <si>
    <t>A-2757</t>
  </si>
  <si>
    <t>DIABLO HEIGHTS TOWN</t>
  </si>
  <si>
    <t>A-2758</t>
  </si>
  <si>
    <t>CAMP BIERD TOWN</t>
  </si>
  <si>
    <t>A-2759</t>
  </si>
  <si>
    <t>A-2760</t>
  </si>
  <si>
    <t>A-2761</t>
  </si>
  <si>
    <t>A-2762</t>
  </si>
  <si>
    <t>A-2763</t>
  </si>
  <si>
    <t>A-2764</t>
  </si>
  <si>
    <t>A-2765</t>
  </si>
  <si>
    <t>A-2766</t>
  </si>
  <si>
    <t>A-2767</t>
  </si>
  <si>
    <t>A-2768</t>
  </si>
  <si>
    <t>A-2769</t>
  </si>
  <si>
    <t>A-2770</t>
  </si>
  <si>
    <t>A-2771</t>
  </si>
  <si>
    <t>A-2772</t>
  </si>
  <si>
    <t>A-2773</t>
  </si>
  <si>
    <t>A-2774</t>
  </si>
  <si>
    <t>Mount Hope waterfront on the FRENCH CANAL (EDs 2-39/40)</t>
  </si>
  <si>
    <t>A-2775</t>
  </si>
  <si>
    <t>court house at Empire</t>
  </si>
  <si>
    <t>A-2776</t>
  </si>
  <si>
    <t>freight house at Empire</t>
  </si>
  <si>
    <t>A-2777</t>
  </si>
  <si>
    <t>A-2778</t>
  </si>
  <si>
    <t>Pennsylvania Hotel, Empire</t>
  </si>
  <si>
    <t>A-2779</t>
  </si>
  <si>
    <t>A-2780</t>
  </si>
  <si>
    <t>Municipal Building, Empire</t>
  </si>
  <si>
    <t>A-2781</t>
  </si>
  <si>
    <t>A-2782</t>
  </si>
  <si>
    <t>Commission Club House, Empire</t>
  </si>
  <si>
    <t>A-2783</t>
  </si>
  <si>
    <t>A-2784</t>
  </si>
  <si>
    <t>A-2785</t>
  </si>
  <si>
    <t>A-2786</t>
  </si>
  <si>
    <t>emergency hospital at Empire</t>
  </si>
  <si>
    <t>A-2787</t>
  </si>
  <si>
    <t>Empire market</t>
  </si>
  <si>
    <t>A-2788</t>
  </si>
  <si>
    <t>Commission Club House, Gorgona</t>
  </si>
  <si>
    <t>A-2789</t>
  </si>
  <si>
    <t>A-2790</t>
  </si>
  <si>
    <t>A-2791</t>
  </si>
  <si>
    <t>Commission Club House, Culebra</t>
  </si>
  <si>
    <t>A-2792</t>
  </si>
  <si>
    <t>A-2793</t>
  </si>
  <si>
    <t>A-2794</t>
  </si>
  <si>
    <t>Baptist clergyman at Culebra</t>
  </si>
  <si>
    <t>A-2795</t>
  </si>
  <si>
    <t>A-2796</t>
  </si>
  <si>
    <t>A-2797</t>
  </si>
  <si>
    <t>A-2798</t>
  </si>
  <si>
    <t>emergency hospital at Culebra</t>
  </si>
  <si>
    <t>A-2799</t>
  </si>
  <si>
    <t>Lirio planing mill at Culebra</t>
  </si>
  <si>
    <t>A-2800</t>
  </si>
  <si>
    <t>A-2801</t>
  </si>
  <si>
    <t>lumber yard at Culebra</t>
  </si>
  <si>
    <t>A-2802</t>
  </si>
  <si>
    <t>Culebra station</t>
  </si>
  <si>
    <t>A-2803</t>
  </si>
  <si>
    <t>dynamite magazine at Culebra</t>
  </si>
  <si>
    <t>A-2804</t>
  </si>
  <si>
    <t>A-2805</t>
  </si>
  <si>
    <t>A-2806</t>
  </si>
  <si>
    <t>Paraiso shops (former French)</t>
  </si>
  <si>
    <t>A-2807</t>
  </si>
  <si>
    <t>A-2808</t>
  </si>
  <si>
    <t>A-2809</t>
  </si>
  <si>
    <t>A-2810</t>
  </si>
  <si>
    <t>Baptist mission in Culebra</t>
  </si>
  <si>
    <t>A-2811</t>
  </si>
  <si>
    <t>A-2812</t>
  </si>
  <si>
    <t>A-2813</t>
  </si>
  <si>
    <t>A-2814</t>
  </si>
  <si>
    <t>Chinese cemetery</t>
  </si>
  <si>
    <t>A-2815</t>
  </si>
  <si>
    <t>new Empire</t>
  </si>
  <si>
    <t>A-2816</t>
  </si>
  <si>
    <t>A-2817</t>
  </si>
  <si>
    <t>A-2818</t>
  </si>
  <si>
    <t>A-2819</t>
  </si>
  <si>
    <t>A-2820</t>
  </si>
  <si>
    <t>A-2821</t>
  </si>
  <si>
    <t>A-2822</t>
  </si>
  <si>
    <t>A-2823</t>
  </si>
  <si>
    <t>A-2824</t>
  </si>
  <si>
    <t>A-2825</t>
  </si>
  <si>
    <t>A-2826</t>
  </si>
  <si>
    <t>A-2827</t>
  </si>
  <si>
    <t>A-2828</t>
  </si>
  <si>
    <t>A-2829</t>
  </si>
  <si>
    <t>A-2830</t>
  </si>
  <si>
    <t>A-2831</t>
  </si>
  <si>
    <t>A-2832</t>
  </si>
  <si>
    <t>A-2833</t>
  </si>
  <si>
    <t>A-2834</t>
  </si>
  <si>
    <t>foreign cemetery</t>
  </si>
  <si>
    <t>A-2835</t>
  </si>
  <si>
    <t>A-2836</t>
  </si>
  <si>
    <t>Malambo ward</t>
  </si>
  <si>
    <t>A-2837</t>
  </si>
  <si>
    <t>El Tivoli</t>
  </si>
  <si>
    <t>A-2838</t>
  </si>
  <si>
    <t>A-2839</t>
  </si>
  <si>
    <t>A-2840</t>
  </si>
  <si>
    <t>A-2841</t>
  </si>
  <si>
    <t>Mount Hope or Monkey Hill cemetery</t>
  </si>
  <si>
    <t>A-2842</t>
  </si>
  <si>
    <t>A-2843</t>
  </si>
  <si>
    <t>A-2844</t>
  </si>
  <si>
    <t>Pedro Miguel rural districts</t>
  </si>
  <si>
    <t>A-2845</t>
  </si>
  <si>
    <t>shops near Pedro Miguel</t>
  </si>
  <si>
    <t>A-2846</t>
  </si>
  <si>
    <t>A-2847</t>
  </si>
  <si>
    <t>A-2848</t>
  </si>
  <si>
    <t>A-2849</t>
  </si>
  <si>
    <t>A-2850</t>
  </si>
  <si>
    <t>A-2851</t>
  </si>
  <si>
    <t>A-2852</t>
  </si>
  <si>
    <t>A-2853</t>
  </si>
  <si>
    <t>A-2854</t>
  </si>
  <si>
    <t>A-2855</t>
  </si>
  <si>
    <t>A-2856</t>
  </si>
  <si>
    <t>A-2857</t>
  </si>
  <si>
    <t>A-2858</t>
  </si>
  <si>
    <t>A-2859</t>
  </si>
  <si>
    <t>A-2860</t>
  </si>
  <si>
    <t>A-2861</t>
  </si>
  <si>
    <t>A-2862</t>
  </si>
  <si>
    <t>A-2863</t>
  </si>
  <si>
    <t>A-2864</t>
  </si>
  <si>
    <t>Quebrada Agua Bendita</t>
  </si>
  <si>
    <t>A-2865</t>
  </si>
  <si>
    <t>A-2866</t>
  </si>
  <si>
    <t>A-2867</t>
  </si>
  <si>
    <t>A-2868</t>
  </si>
  <si>
    <t>A-2869</t>
  </si>
  <si>
    <t>Culebra white school</t>
  </si>
  <si>
    <t>A-2870</t>
  </si>
  <si>
    <t>A-2871</t>
  </si>
  <si>
    <t>ball park in Culebra</t>
  </si>
  <si>
    <t>A-2872</t>
  </si>
  <si>
    <t>GORGONA SHOPS</t>
  </si>
  <si>
    <t>A-2873</t>
  </si>
  <si>
    <t>Gorgona shops</t>
  </si>
  <si>
    <t>A-2874</t>
  </si>
  <si>
    <t>the shop at Gorgona</t>
  </si>
  <si>
    <t>A-2875</t>
  </si>
  <si>
    <t>A-2876</t>
  </si>
  <si>
    <t>A-2877</t>
  </si>
  <si>
    <t>A-2878</t>
  </si>
  <si>
    <t>A-2879</t>
  </si>
  <si>
    <t>A-2880</t>
  </si>
  <si>
    <t>A-2881</t>
  </si>
  <si>
    <t>A-2882</t>
  </si>
  <si>
    <t>A-2883</t>
  </si>
  <si>
    <t>A-2884</t>
  </si>
  <si>
    <t>CERRO PELADO AMMUNITION DEPOT</t>
  </si>
  <si>
    <t>A-2885</t>
  </si>
  <si>
    <t>CERRO TIGRE ORDNANCE DEPOT</t>
  </si>
  <si>
    <t>A-2886</t>
  </si>
  <si>
    <t>ESCONDIDO RURAL</t>
  </si>
  <si>
    <t>A-2887</t>
  </si>
  <si>
    <t>LA CHININA RURAL</t>
  </si>
  <si>
    <t>A-2888</t>
  </si>
  <si>
    <t>TRINIDAD RURAL</t>
  </si>
  <si>
    <t>A-2889</t>
  </si>
  <si>
    <t>ESCOBAL RURAL</t>
  </si>
  <si>
    <t>A-2890</t>
  </si>
  <si>
    <t>MADDEN DAM TOWN</t>
  </si>
  <si>
    <t>A-2891</t>
  </si>
  <si>
    <t>MADDEN DAM RURAL</t>
  </si>
  <si>
    <t>A-2892</t>
  </si>
  <si>
    <t>NORTH GAMBOA TOWN</t>
  </si>
  <si>
    <t>A-2893</t>
  </si>
  <si>
    <t>SOUTH GAMBOA TOWN</t>
  </si>
  <si>
    <t>A-2894</t>
  </si>
  <si>
    <t>GUARAPO ISLANDS MILITARY RESERVATION</t>
  </si>
  <si>
    <t>A-2895</t>
  </si>
  <si>
    <t>FRANCE AIR FORCE BASE</t>
  </si>
  <si>
    <t>A-2896</t>
  </si>
  <si>
    <t>A-2897</t>
  </si>
  <si>
    <t>A-2898</t>
  </si>
  <si>
    <t>A-2899</t>
  </si>
  <si>
    <t>Palenquilla Point</t>
  </si>
  <si>
    <t>A-2900</t>
  </si>
  <si>
    <t>A-2901</t>
  </si>
  <si>
    <t>A-2902</t>
  </si>
  <si>
    <t>A-2903</t>
  </si>
  <si>
    <t>A-2904</t>
  </si>
  <si>
    <t xml:space="preserve"> High</t>
  </si>
  <si>
    <t>A-2905</t>
  </si>
  <si>
    <t>A-2906</t>
  </si>
  <si>
    <t>A-2907</t>
  </si>
  <si>
    <t>Culebra ball park</t>
  </si>
  <si>
    <t>A-2908</t>
  </si>
  <si>
    <t>A-2909</t>
  </si>
  <si>
    <t>A-2910</t>
  </si>
  <si>
    <t>A-2911</t>
  </si>
  <si>
    <t>A-2912</t>
  </si>
  <si>
    <t>A-2913</t>
  </si>
  <si>
    <t>A-2914</t>
  </si>
  <si>
    <t>A-2915</t>
  </si>
  <si>
    <t>A-2916</t>
  </si>
  <si>
    <t>A-2917</t>
  </si>
  <si>
    <t>A-2918</t>
  </si>
  <si>
    <t>A-2919</t>
  </si>
  <si>
    <t>A-2920</t>
  </si>
  <si>
    <t>A-2921</t>
  </si>
  <si>
    <t>A-2922</t>
  </si>
  <si>
    <t>A-2923</t>
  </si>
  <si>
    <t>A-2924</t>
  </si>
  <si>
    <t>A-2925</t>
  </si>
  <si>
    <t>A-2926</t>
  </si>
  <si>
    <t>A-2927</t>
  </si>
  <si>
    <t>A-2928</t>
  </si>
  <si>
    <t>A-2929</t>
  </si>
  <si>
    <t>Cansa-Loma y Waterloo</t>
  </si>
  <si>
    <t>A-2930</t>
  </si>
  <si>
    <t>A-2931</t>
  </si>
  <si>
    <t>A-2932</t>
  </si>
  <si>
    <t>A-2933</t>
  </si>
  <si>
    <t>A-2934</t>
  </si>
  <si>
    <t>A-2935</t>
  </si>
  <si>
    <t>A-2936</t>
  </si>
  <si>
    <t>A-2937</t>
  </si>
  <si>
    <t>A-2938</t>
  </si>
  <si>
    <t>A-2939</t>
  </si>
  <si>
    <t>A-2940</t>
  </si>
  <si>
    <t>A-2941</t>
  </si>
  <si>
    <t>A-2942</t>
  </si>
  <si>
    <t>A-2943</t>
  </si>
  <si>
    <t>A-2944</t>
  </si>
  <si>
    <t>Trinidad River</t>
  </si>
  <si>
    <t xml:space="preserve"> Medium</t>
  </si>
  <si>
    <t>A-2945</t>
  </si>
  <si>
    <t>A-2946</t>
  </si>
  <si>
    <t>A-2947</t>
  </si>
  <si>
    <t>A-2948</t>
  </si>
  <si>
    <t>A-2949</t>
  </si>
  <si>
    <t>Pennsylvania Hotel</t>
  </si>
  <si>
    <t>A-2950</t>
  </si>
  <si>
    <t>A-2951</t>
  </si>
  <si>
    <t>A-2952</t>
  </si>
  <si>
    <t>A-2953</t>
  </si>
  <si>
    <t>New Frijoles (EDs 28/29, site plan)</t>
  </si>
  <si>
    <t>A-2954</t>
  </si>
  <si>
    <t>FORT DAVIS (reservation sheet)</t>
  </si>
  <si>
    <t>A-2955</t>
  </si>
  <si>
    <t>A-2956</t>
  </si>
  <si>
    <t>A-2957</t>
  </si>
  <si>
    <t>A-2958</t>
  </si>
  <si>
    <t>A-2959</t>
  </si>
  <si>
    <t>A-2960</t>
  </si>
  <si>
    <t>A-2961</t>
  </si>
  <si>
    <t>A-2962</t>
  </si>
  <si>
    <t>A-2963</t>
  </si>
  <si>
    <t>A-2964</t>
  </si>
  <si>
    <t>A-2965</t>
  </si>
  <si>
    <t>A-2966</t>
  </si>
  <si>
    <t>A-2967</t>
  </si>
  <si>
    <t>A-2968</t>
  </si>
  <si>
    <t>A-2969</t>
  </si>
  <si>
    <t>A-2970</t>
  </si>
  <si>
    <t>A-2971</t>
  </si>
  <si>
    <t>A-2972</t>
  </si>
  <si>
    <t>A-2973</t>
  </si>
  <si>
    <t>A-2974</t>
  </si>
  <si>
    <t>A-2975</t>
  </si>
  <si>
    <t>A-2976</t>
  </si>
  <si>
    <t>A-2977</t>
  </si>
  <si>
    <t>A-2978</t>
  </si>
  <si>
    <t>A-2979</t>
  </si>
  <si>
    <t>A-2980</t>
  </si>
  <si>
    <t>A-2981</t>
  </si>
  <si>
    <t>A-2982</t>
  </si>
  <si>
    <t>A-2983</t>
  </si>
  <si>
    <t>A-2984</t>
  </si>
  <si>
    <t>CAMP BIERD TOWN (ED 2-4)</t>
  </si>
  <si>
    <t>A-2985</t>
  </si>
  <si>
    <t>MONTE LIRIO RURAL (ED 2-32)</t>
  </si>
  <si>
    <t>A-2986</t>
  </si>
  <si>
    <t>SILVER CITY TOWN (EDs 2-21 to 2-27)</t>
  </si>
  <si>
    <t>A-2987</t>
  </si>
  <si>
    <t>FRIJOLES TOWN (2-33) + FRIJOLES RURAL (1-31)</t>
  </si>
  <si>
    <t>A-2988</t>
  </si>
  <si>
    <t>SUMMIT TOWN (1-23) + SUMMIT NAVAL RADIO STATION (1-24)</t>
  </si>
  <si>
    <t>A-2989</t>
  </si>
  <si>
    <t>PALO SECO LEPER COLONY (ED 1-11)</t>
  </si>
  <si>
    <t>A-2990</t>
  </si>
  <si>
    <t>PARAISO TOWN (ED 1-47)</t>
  </si>
  <si>
    <t>A-2991</t>
  </si>
  <si>
    <t>PEDRO MIGUEL TOWN (1-48) + RURAL (1-49)</t>
  </si>
  <si>
    <t>A-2992</t>
  </si>
  <si>
    <t>RED TANK TOWN (EDs 1-51 and 1-52)</t>
  </si>
  <si>
    <t>A-2993</t>
  </si>
  <si>
    <t>LAS CASCADAS RURAL (ED 1-41)</t>
  </si>
  <si>
    <t>A-2994</t>
  </si>
  <si>
    <t>Gamboa split: NORTH GAMBOA TOWN (1-34/35) + SOUTH GAMBOA TOWN (1-21) + GAMBOA PRISON (1-22)</t>
  </si>
  <si>
    <t>A-2995</t>
  </si>
  <si>
    <t>MOUNT HOPE TOWN (ED 2-20)</t>
  </si>
  <si>
    <t>A-2996</t>
  </si>
  <si>
    <t>MARGARITA TOWN (ED 2-19)</t>
  </si>
  <si>
    <t>A-2997</t>
  </si>
  <si>
    <t>Fort de Lesseps (roster search)</t>
  </si>
  <si>
    <t>A-2998</t>
  </si>
  <si>
    <t>Vigia Is. (Madden Lake)</t>
  </si>
  <si>
    <t>A-2999</t>
  </si>
  <si>
    <t>Campana I. (Madden Lake)</t>
  </si>
  <si>
    <t>A-3000</t>
  </si>
  <si>
    <t>New San Juan (Transisthmian Highway)</t>
  </si>
  <si>
    <t>A-3001</t>
  </si>
  <si>
    <t>A-3002</t>
  </si>
  <si>
    <t>GATUN TOWN (EDs 2-14 to 2-16)</t>
  </si>
  <si>
    <t>A-3003</t>
  </si>
  <si>
    <t>CRISTOBAL TOWN (ED 2-8)</t>
  </si>
  <si>
    <t>A-3004</t>
  </si>
  <si>
    <t>ANCON TOWN (EDs 1-2 and 1-3)</t>
  </si>
  <si>
    <t>A-3005</t>
  </si>
  <si>
    <t>LA BOCA TOWN (EDs 1-33 to 1-40)</t>
  </si>
  <si>
    <t>A-3006</t>
  </si>
  <si>
    <t>Corozal (Hospital 1-25 + Military Reservation 1-26)</t>
  </si>
  <si>
    <t>A-3007</t>
  </si>
  <si>
    <t>Mindi (Dyke + Dairy Farm)</t>
  </si>
  <si>
    <t>A-3008</t>
  </si>
  <si>
    <t>TORO POINT (Naval Radio Direction Finder Station, ED 2-29)</t>
  </si>
  <si>
    <t>A-3009</t>
  </si>
  <si>
    <t>BALBOA TOWN (EDs 1-12 to 1-16)</t>
  </si>
  <si>
    <t>A-3010</t>
  </si>
  <si>
    <t>BALBOA HEIGHTS TOWN (ED 1-17)</t>
  </si>
  <si>
    <t>A-3011</t>
  </si>
  <si>
    <t>Naos Island (in Fort Grant MR, ED 1-30)</t>
  </si>
  <si>
    <t>A-3012</t>
  </si>
  <si>
    <t>COCOLI TOWN (1-7) + Cocoli Magazine Area (1-8)</t>
  </si>
  <si>
    <t>A-3013</t>
  </si>
  <si>
    <t>Coco Solo (Naval Reservation 2-6, Hospital 2-5, Ammunition Depot 2-11)</t>
  </si>
  <si>
    <t>A-3014</t>
  </si>
  <si>
    <t>FORT CLAYTON MILITARY RESERVATION (ED 1-29)</t>
  </si>
  <si>
    <t>A-3015</t>
  </si>
  <si>
    <t>FORT WILLIAM D. DAVIS MILITARY RESERVATION (ED 2-12)</t>
  </si>
  <si>
    <t>A-3016</t>
  </si>
  <si>
    <t>FORT SHERMAN MILITARY RESERVATION (ED 2-28)</t>
  </si>
  <si>
    <t>A-3017</t>
  </si>
  <si>
    <t>FORT AMADOR MILITARY RESERVATION (ED 1-28)</t>
  </si>
  <si>
    <t>A-3018</t>
  </si>
  <si>
    <t>ALBROOK AIR FORCE BASE (ED 1-1)</t>
  </si>
  <si>
    <t>A-3019</t>
  </si>
  <si>
    <t>QUARRY HEIGHTS MILITARY RESERVATION (ED 1-50)</t>
  </si>
  <si>
    <t>A-3020</t>
  </si>
  <si>
    <t>Barro Colorado Island Reserve</t>
  </si>
  <si>
    <t>A-3021</t>
  </si>
  <si>
    <t>A-3022</t>
  </si>
  <si>
    <t>A-3023</t>
  </si>
  <si>
    <t>Darien (relocated-line station)</t>
  </si>
  <si>
    <t>A-3024</t>
  </si>
  <si>
    <t>A-3025</t>
  </si>
  <si>
    <t>A-3026</t>
  </si>
  <si>
    <t>A-3027</t>
  </si>
  <si>
    <t>A-3028</t>
  </si>
  <si>
    <t>A-3029</t>
  </si>
  <si>
    <t>A-3030</t>
  </si>
  <si>
    <t>Casa Larga (1950 sheet searched)</t>
  </si>
  <si>
    <t>A-3031</t>
  </si>
  <si>
    <t>Tranquilla (1950 sheet searched)</t>
  </si>
  <si>
    <t>A-3032</t>
  </si>
  <si>
    <t>Dos Bocas (1950 sheet searched)</t>
  </si>
  <si>
    <t>A-3033</t>
  </si>
  <si>
    <t>El Vigia (1950 sheet searched)</t>
  </si>
  <si>
    <t>A-3034</t>
  </si>
  <si>
    <t>Campanas (1950 sheet searched)</t>
  </si>
  <si>
    <t>A-3035</t>
  </si>
  <si>
    <t>San Juan (1950 sheet searched)</t>
  </si>
  <si>
    <t>Erasure type \ visibility</t>
  </si>
  <si>
    <t>TOTAL</t>
  </si>
  <si>
    <t>Renamed</t>
  </si>
  <si>
    <t>Per-place uncertainty typology + archival-visibility condition. All auto-derived from the evidence.</t>
  </si>
  <si>
    <t>spatial (where)</t>
  </si>
  <si>
    <t>temporal (when)</t>
  </si>
  <si>
    <t>attribute: type-claims</t>
  </si>
  <si>
    <t>name-claims</t>
  </si>
  <si>
    <t>source / archival condition</t>
  </si>
  <si>
    <t>n official</t>
  </si>
  <si>
    <t>n local</t>
  </si>
  <si>
    <t>n implied</t>
  </si>
  <si>
    <t>traces</t>
  </si>
  <si>
    <t>type-claims or name-claims &gt; 1 flags possible attribute / name uncertainty (sources differ). "Source uncertainty" = a Disputed spatial_certainty or disagreeing origins above.</t>
  </si>
  <si>
    <t>in_scope</t>
  </si>
  <si>
    <t>period_covered</t>
  </si>
  <si>
    <t>formats</t>
  </si>
  <si>
    <t>access</t>
  </si>
  <si>
    <t>digitization</t>
  </si>
  <si>
    <t>affiliation</t>
  </si>
  <si>
    <t>holdings_display</t>
  </si>
  <si>
    <t>institution</t>
  </si>
  <si>
    <t>United States National Archives, College Park, Maryland</t>
  </si>
  <si>
    <t>In scope - core</t>
  </si>
  <si>
    <t>Maps, administrative, labor series</t>
  </si>
  <si>
    <t>Onsite + partial online</t>
  </si>
  <si>
    <t>Partial</t>
  </si>
  <si>
    <t>US official; the dominant archive. PI-91 (1956) inventories the CARTOGRAPHIC series only: ~9,240 items / 125 cu. ft. as of 1955, on paper at College Park - searched 2026-09 via catalog metadata ONLY, never full text. Series: Cie Universelle general maps 1881-1900 (154 items) and detailed maps/plans incl. town-site plans 1881-97 (6,620 items); Cie Nouvelle cross sections/area/sectional maps 1889-99 (~730 items incl. Lago de Bohio and Alhajuela series); Nicaragua CC 1895-99 (447); ICC 1899-1913 (~1,000 incl. lock and dam plans, 1913 route plates); The Panama Canal post-1914 (6 items only - the working cartography stayed in Panama). Appendix II place-name index mined 2026-09 for variants (Bas Matachin, De Lesseps City=Gatun, Alto Emperador, Monkey Hill=Mt Hope, Balboa=La Boca) and settlements (Whitehouse, Vamos Vamos, Pena Blanca, Cartagenita, Palo Grande, Cocoli). Textual records separately inventoried (Giroux, unpublished). Digitized online: 185-G construction photos 1887-1940 (partial), 185-CZ operations c.1938-60, 185-CC color 1979-84, aerial (partial); plus digitized index-card and land/claims series (Indexes to Central Files, Land Transactions, Land Claims/Awards/Deeds, Marriage Licenses). Catalog harvest 2026-09: data/nara/ (10,456 records, 59 names).</t>
  </si>
  <si>
    <t>United States federal</t>
  </si>
  <si>
    <t>~9,240 cartographic items / 125 cubic feet on paper at College Park; Compagnie Universelle general and town-site maps 1881–97; Isthmian Canal Commission lock and dam plans, 1913 route plates; textual labor and administrative series; digitized: construction photographs (series 185-G), land and claims index cards</t>
  </si>
  <si>
    <t>United States National Archives</t>
  </si>
  <si>
    <t>Canal Zone maps including the 1911 Property Map</t>
  </si>
  <si>
    <t>Library of Congress, Geography and Map Division</t>
  </si>
  <si>
    <t>1904-1914</t>
  </si>
  <si>
    <t>Maps</t>
  </si>
  <si>
    <t>Digitized (selected)</t>
  </si>
  <si>
    <t>Official cartographic record.</t>
  </si>
  <si>
    <t>Canal Zone sheets in the Geography and Map Division, including the 1911 Property Map; Culebra town masters 1905–10; 1908–09 canal surveys; 64 catalog records, all relevant sheets fetched</t>
  </si>
  <si>
    <t>The Canal Record, digitized run</t>
  </si>
  <si>
    <t>University of Florida Smathers Libraries / Internet Archive</t>
  </si>
  <si>
    <t>Serial / text</t>
  </si>
  <si>
    <t>Fully digitized</t>
  </si>
  <si>
    <t>Full</t>
  </si>
  <si>
    <t>Text-searchable; relocation notices. Digitized at UFDC bibid UF00097368 (28 volumes) - page-level harvest 2026-09 in data/ufdc/.</t>
  </si>
  <si>
    <t>United States official record (digitized at the University of Florida)</t>
  </si>
  <si>
    <t>The Canal Record, official weekly of the Isthmian Canal Commission; 28 volumes 1907–41, full text online</t>
  </si>
  <si>
    <t>University of Florida</t>
  </si>
  <si>
    <t>Museo del Canal Interoceanico holdings</t>
  </si>
  <si>
    <t>Museo del Canal Interoceanico, Panama City</t>
  </si>
  <si>
    <t>In scope - counter-archive</t>
  </si>
  <si>
    <t>Books, oral history, cartography, photographs, postcards, memorabilia</t>
  </si>
  <si>
    <t>Onsite; catalog metadata online (Koha)</t>
  </si>
  <si>
    <t>None (catalog only)</t>
  </si>
  <si>
    <t>Panamanian-side counter-archive. Swept 2026-09-13 via typismuci.museodelcanal.com (Koha OPAC). ASYMMETRY FINDING: unlike LOC/UFDC/IA, the Museo serves NO digital objects remotely — only catalog metadata of physical holdings (the sole images are the site logo + Amazon cover thumbnails). Keyword counts (Zona del Canal 54, mapa 47, fotografía 115) are matches on book description fields, not standalone photo/map records; the reserve's own 4% cartography / 3% photos / 5% postcards are not cataloged online. Town-name recall depends on cataloguers' notes, not full text: Gatun 10, Culebra 7, Chagres 7, Gamboa 7, Paraíso 8, Bohío 4, Emperador 4, Gorgona 1, Matachín 1, Tabernilla 0. Oral History Archive exists but is onsite-only. Concrete yield: 1 record (Chen 2014, biblio 6326) documenting the Chinese-community dimension of Emperador, Gorgona, Matachín, Paraíso incl. a 1908 Chinese-population-by-town census. Also held (physical, undigitized): Tejeira, *Pueblos perdidos* (1962, novel); Araúz Torres, *Los mapas antiguos de Panamá y Darién 1503-1879* (2014). Next step to deepen: email scan request (remote) or on-site visit.</t>
  </si>
  <si>
    <t>Books; cartography (4% of the reserve); photographs (3%); postcards and memorabilia; Archivo de Historia Oral (onsite only); catalog metadata online, no digital objects served</t>
  </si>
  <si>
    <t>Silver Men consortium (UNESCO Memory of the World)</t>
  </si>
  <si>
    <t>Jamaica, Barbados, Saint Lucia, the United Kingdom (Kew), the University of Florida</t>
  </si>
  <si>
    <t>Admin / community</t>
  </si>
  <si>
    <t>Remote: catalogues only; components not full-text online</t>
  </si>
  <si>
    <t>Minimal</t>
  </si>
  <si>
    <t>Swept remotely 2026-09-13 (data/silvermen/): UNESCO nomination inventoried - Barbados Dept. of Archives (District A Emigrants Registers x3, Savings Bank Registers 1853-1918 x20, Official Gazettes 1891/1904/1906), Barbados Museum (Hutchinson postcards/stamps, Lady Carter Visitor Book), Jamaica Archives (Colonial Secretary + Central Govt re Panama, Jamaica Gazette 1905-15), St Lucia NA, UK NA + Mallet private, NARA II, UF. None of the registers are remotely searchable - the archival asymmetry extends to the counter-archive itself (finding, mirrors ARC-04). Digitized Caribbean voice lives in ARC-09/S-035. Onsite/reproduction routes documented in REPORT_SILVERMEN.md. | 2026-09-13: the consortium-adjacent WORKER VOICE (IHS 1963 letters) IS digitized on dLOC (S-036) - the institutional registers remain reading-room only; both facts now in evidence.</t>
  </si>
  <si>
    <t>West Indian / Caribbean (part held at the United Kingdom's colonial archive at Kew)</t>
  </si>
  <si>
    <t>Barbados: District A Emigrants Registers ×3, Savings Bank Registers 1853–1918 ×20, Official Gazettes; Jamaica: Colonial Secretary records on Panama, Jamaica Gazette 1905–15; Saint Lucia National Archives; Barbados Museum: Hutchinson postcards, Lady Carter Visitor Book; United Kingdom National Archives at Kew, Mallet family papers; none remotely searchable</t>
  </si>
  <si>
    <t>Silver Men consortium</t>
  </si>
  <si>
    <t>czbrats community compilation</t>
  </si>
  <si>
    <t>Reference only (not authority)</t>
  </si>
  <si>
    <t>Digitized</t>
  </si>
  <si>
    <t>Lead-generator; corroborate elsewhere.</t>
  </si>
  <si>
    <t>Zonian settler community</t>
  </si>
  <si>
    <t>Web compilation of Zonian memory: village pages, photographs, town lists; lead-generator, corroborate elsewhere</t>
  </si>
  <si>
    <t>czbrats.com (website of former Canal Zone residents)</t>
  </si>
  <si>
    <t>ARC-07</t>
  </si>
  <si>
    <t>Compagnie Universelle du Canal Interoceanique de Panama records (fonds 7 AQ)</t>
  </si>
  <si>
    <t>Archives nationales du monde du travail, Roubaix, France</t>
  </si>
  <si>
    <t>Registry only - not yet searched</t>
  </si>
  <si>
    <t>1879-1904</t>
  </si>
  <si>
    <t>Company administrative, technical, financial, liquidation records</t>
  </si>
  <si>
    <t>Onsite (microfilm); online finding aid only</t>
  </si>
  <si>
    <t>None online (cotes 7 AQ 1-13 microfilmed, onsite)</t>
  </si>
  <si>
    <t>CORRECTED 2026-09-14: previously mis-registered as ANOM (Aix). ANOM holds French COLONIAL administration records; Panama was never a French colony, and the Compagnie was a private company. Its archive is fonds 7 AQ at ANMT Roubaix (6 linear m; deposited by Lemarquis, vice-president of the Societe generale, 3 Oct 1930; cotes 7 AQ 1-13 microfilmed). ANMT research guide 'Le canal de Panama, Isthme americain' online (recherche-anmt.culture.gouv.fr). Catalog = metadata only; documents onsite/microfilm - same asymmetry as ARC-04 Museo. Not yet searched.</t>
  </si>
  <si>
    <t>French (private concession, Compagnie Universelle)</t>
  </si>
  <si>
    <t>Fonds 7 AQ, ~6 linear metres; technical studies, administrative and financial records, liquidation papers; cotes 7 AQ 1-13 microfilmed; ANMT online finding aid (metadata); documents consultable onsite only</t>
  </si>
  <si>
    <t>Archives nationales du monde du travail (France)</t>
  </si>
  <si>
    <t>Smithsonian collections</t>
  </si>
  <si>
    <t>Smithsonian Institution, Washington and Panama</t>
  </si>
  <si>
    <t>In scope - supporting</t>
  </si>
  <si>
    <t>Specimens, photographs, archives, maps</t>
  </si>
  <si>
    <t>Searchable in full text; partly online</t>
  </si>
  <si>
    <t>Three layers (2026-09 survey, data/smithsonian/): (1) Open Access API - 45k 'Canal Zone' records, NMNH specimen localities = independent scientific attestation corpus; drowned hamlets (Barbacoas, Bailamonos, Ahorca Lagarto, Cruz de Juan Gallego) score ZERO - absence extends to natural history. (2) NMAH Archives Center: Fishbaugh album (AC.1021, 27/100 views digitized, read); PCC photonegatives (AC.1116, 719 items, captions NOT transcribed digitally - EAD lists accession numbers only); related albums AC.0708/1015/1039/1040. (3) STRI Library map collection: 1,000+ maps, onsite-only, inventory (Jan 2018) covers cabinets 1-11 only; mostly mid-century AMS topographic sheets incl. 1:25k sheets named Gatun, Frijoles, Las Cruces, Barro Colorado. Sitewide search UIs are bot-walled; API + sirismm EADs are the machine route.</t>
  </si>
  <si>
    <t>United States institution</t>
  </si>
  <si>
    <t>45,000 'Canal Zone' records, searchable in full text (National Museum of Natural History specimen localities); Fishbaugh photograph album (27 of 100 views digitized); 719 Panama Canal Company photonegatives, captions untranscribed; Smithsonian Tropical Research Institute map library, 1,000+ sheets, onsite only</t>
  </si>
  <si>
    <t>Caribbean Newspaper Digital Library</t>
  </si>
  <si>
    <t>Digital Library of the Caribbean (University of Florida / Florida International University); Bridgetown, Nassau, Hamilton, Kingston presses</t>
  </si>
  <si>
    <t>Newspapers, serials, books</t>
  </si>
  <si>
    <t>Digitized (open, remote, searchable in full text)</t>
  </si>
  <si>
    <t>Full (for what is digitized)</t>
  </si>
  <si>
    <t>Added 2026-09-13 from the Silver Men sweep: the digitized Caribbean-press voice. Probe boundary: item-level, name+panama co-occurrence; KWIC pass pending. See S-035 + data/silvermen/. | Silver People letters probe 2026-09-13: the letters (AA00016037/S-036) sit in this corpus - 62/122 place names present; imports logged on S-036.</t>
  </si>
  <si>
    <t>Caribbean press (digitized at the University of Florida)</t>
  </si>
  <si>
    <t>Caribbean presses 1880–1950 — Bridgetown, Kingston, Nassau, Hamilton; newspapers, serials, books; Isthmian Historical Society 'Silver People' competition letters, 1963; open and searchable in full text</t>
  </si>
  <si>
    <t>Chronicling America digitized newspapers</t>
  </si>
  <si>
    <t>Library of Congress, Serial and Government Publications Division</t>
  </si>
  <si>
    <t>1777-1963 (searched 1880-1920)</t>
  </si>
  <si>
    <t>Newspapers</t>
  </si>
  <si>
    <t>Fully digitized (open in a browser; bulk downloads blocked)</t>
  </si>
  <si>
    <t>US press corpus behind S-009. Roster probe 2026-09-13 (data/chronicling-america/chronam_probe_20260913.csv): 64 never-queried places, page-level counts for "PLACE"+"Panama", 1880-1920. | 2026-09-13 (later): name/repository spelled out for the web archives section; sources S-009..S-013 linked via archive_id.</t>
  </si>
  <si>
    <t>United States federal (digitized United States press)</t>
  </si>
  <si>
    <t>Digitized United States and territorial newspapers; canal-era syndications including the Canal Record 'vanishing villages' notices; Saint Croix Avis French-era canal reports 1882–87; full text searchable; the searched window 1880–1920 spans the French era through construction</t>
  </si>
  <si>
    <t>Internet Archive canal-era texts</t>
  </si>
  <si>
    <t>Internet Archive, San Francisco</t>
  </si>
  <si>
    <t>1850-1979</t>
  </si>
  <si>
    <t>Books, reports, serials, map scans</t>
  </si>
  <si>
    <t>Fully digitized (open)</t>
  </si>
  <si>
    <t>Registered 2026-09-13 when sources gained archive links. 1,315 optical-character-read texts harvested (S-021); ~72 map scans also used for georeferencing (data/georef/ia_maps/).</t>
  </si>
  <si>
    <t>United States canal-era texts (nonprofit aggregator)</t>
  </si>
  <si>
    <t>1,315 digitized canal-era volumes; annual reports, memoirs, guidebooks; ~72 map scans copied from other repositories</t>
  </si>
  <si>
    <t>East Carolina University digital collections</t>
  </si>
  <si>
    <t>Joyner Library, East Carolina University, Greenville, North Carolina</t>
  </si>
  <si>
    <t>1880-1979</t>
  </si>
  <si>
    <t>Newspapers, oral histories, maps</t>
  </si>
  <si>
    <t>Swept 2026-09-07 (data/ecu/, SOURCES_SWEPT); row registered 2026-09-13 when sources gained archive links. One relevant map sheet; Greenville press corpus mostly outside the 1880-1920 window.</t>
  </si>
  <si>
    <t>United States press (university-held)</t>
  </si>
  <si>
    <t>Eastern Reflector and Daily Reflector newspaper runs; Navy oral histories; one 1927 Canal Zone map sheet (Robert Morgan Papers)</t>
  </si>
  <si>
    <t>East Carolina University</t>
  </si>
  <si>
    <t>Perry-Castañeda Library map collection</t>
  </si>
  <si>
    <t>University of Texas at Austin</t>
  </si>
  <si>
    <t>1911-1953</t>
  </si>
  <si>
    <t>Registered 2026-09-13 when sources gained archive links. 17 Canal Zone sheets fetched; Shepherd 1911 plate = S-018 (A-0376..A-0400).</t>
  </si>
  <si>
    <t>United States academic map collection</t>
  </si>
  <si>
    <t>17 Canal Zone map sheets; Shepherd's Historical Atlas 1911 Panama Canal plate</t>
  </si>
  <si>
    <t>Census enumeration-district maps (Record Group 29)</t>
  </si>
  <si>
    <t>1940-1950</t>
  </si>
  <si>
    <t>Digitized (catalog)</t>
  </si>
  <si>
    <t>Recognised 2026-09-13 as maps (data/census/, S-033/S-034); georeferencing candidates. Registered when sources gained archive links.</t>
  </si>
  <si>
    <t>1940 census enumeration-district maps of the Canal Zone (series A3378); 1950 counterpart; late street-level views of the towns</t>
  </si>
  <si>
    <t>ARC-15</t>
  </si>
  <si>
    <t>David Rumsey map collection</t>
  </si>
  <si>
    <t>David Rumsey Map Center, Stanford University</t>
  </si>
  <si>
    <t>c.1850-1953</t>
  </si>
  <si>
    <t>Registered 2026-09-13. 7 Canal Zone sheets fetched full-resolution via LUNA (data/georef/, SOURCES_SWEPT); a 1912 Panama plate was deleted as an Internet Archive duplicate. Georeferencing collection only - no source rows yet.</t>
  </si>
  <si>
    <t>United States private map collection (Stanford University)</t>
  </si>
  <si>
    <t>7 Canal Zone map sheets, fetched at full resolution; used as georeferencing and tracing bases, not yet as attestation sources</t>
  </si>
  <si>
    <t>Stanford University</t>
  </si>
  <si>
    <t>Wikimedia Commons Canal Zone maps</t>
  </si>
  <si>
    <t>Wikimedia Commons (volunteer-curated aggregator)</t>
  </si>
  <si>
    <t>1830-present (mirrored copies)</t>
  </si>
  <si>
    <t>Registered 2026-09-13. 87 files, sweep COMPLETE 2026-09-07 (data/georef/commons_maps/, SOURCES_SWEPT); all verified against declared sizes. Georeferencing collection only - no source rows yet.</t>
  </si>
  <si>
    <t>mirrored United States and European cartography (volunteer aggregator)</t>
  </si>
  <si>
    <t>87 Canal Zone map files; Lloyd 1830 charts; malaria and sanitation maps; a judicial-districts map mirrored from the United States National Archives; used as georeferencing and tracing bases, not yet as attestation sources</t>
  </si>
  <si>
    <t>Wikimedia Commons</t>
  </si>
  <si>
    <t>Gallica digital library (French canal-era material)</t>
  </si>
  <si>
    <t>Bibliotheque nationale de France, Paris</t>
  </si>
  <si>
    <t>In scope - core (French period)</t>
  </si>
  <si>
    <t>1843-1914</t>
  </si>
  <si>
    <t>Monographs, reports, periodicals, maps</t>
  </si>
  <si>
    <t>Fully digitized (open, remote, searchable in full text)</t>
  </si>
  <si>
    <t>French colonial-canal record; fills the Compagnie Universelle period (1879-1904) that the US archive predates. Swept 2026-09-14 via Gallica SRU + ContentSearch + IIIF (curl-open, User-Agent required). Anchor sources: Boutan 1880 geological survey (names the whole village chain as canal-line stations), Verbrugghe 1879 Wyse-Reclus route narrative, Charles-Roux 1886 progress report (Buhio-Soldado 'un beau campement'; Gorgona/Matachin/Mamei as km-marked route stations). ASYMMETRY: the French colonial-power archive is MORE openly accessible remotely than the Panamanian counter-archive (ARC-04 Museo = onsite/metadata-only). Harvest: data/gallica/. Still open: ANOM (Aix) Compagnie internal records; Gallica canal-era maps (23 cartes found, IIIF-downloadable) not yet pulled.</t>
  </si>
  <si>
    <t>French (Compagnie Universelle du Canal Interoceanique)</t>
  </si>
  <si>
    <t>Boutan 1880: geological survey naming the whole village chain as canal-line stations; Verbrugghe 1879: narrative of the Wyse-Reclus route reconnaissance; Charles-Roux 1886: official French canal-progress report (Buhio-Soldado "un beau campement"); 23 canal-era maps (cartes), downloadable in full resolution, not yet consulted; searchable in full text remotely</t>
  </si>
  <si>
    <t>Bibliothèque nationale de France</t>
  </si>
  <si>
    <t>La Estrella de Panamá, digitized newspaper run</t>
  </si>
  <si>
    <t>1849-current</t>
  </si>
  <si>
    <t>Newspaper (Spanish)</t>
  </si>
  <si>
    <t>Digitized (remote, full-text)</t>
  </si>
  <si>
    <t>Full (for the LOC run)</t>
  </si>
  <si>
    <t>Added 2026-09-14 (Matachin-hunt bycatch): the Panamanian press voice. Probe boundary: phrase search vs Spanish OCR, item=page; ambiguous generic-Spanish names excluded from claims. Renumbered ARC-10-&gt;ARC-15 2026-09-14 (id space taken by the archives-section batch). See S-044 + data/estrella/.</t>
  </si>
  <si>
    <t>Panamanian press (digitized at the Library of Congress)</t>
  </si>
  <si>
    <t>La Estrella de Panama, the Panamanian newspaper of record; digitized run 1849-current at the Library of Congress; searchable in full text; Spanish spellings need care, and names shared with other places more so</t>
  </si>
  <si>
    <t>University of Florida digital map collections (including the Panama Canal Museum Collection)</t>
  </si>
  <si>
    <t>George A. Smathers Libraries, University of Florida, Gainesville</t>
  </si>
  <si>
    <t>1844-1947</t>
  </si>
  <si>
    <t>Registered 2026-09-15 when the archives section was regrouped by institution: sources S-045 (1947 Cristobal-Colon-Mount Hope sheet, AA00038126), S-046 (Hammond atlas page, AA00038443) and S-048 (Garella 1845 map, UF00100942) had no archive link.</t>
  </si>
  <si>
    <t>United States university collection</t>
  </si>
  <si>
    <t>Maps from the former Panama Canal Museum, transferred to the University of Florida; 1845 Garella topographic map of the isthmus; 1947 Cristóbal–Colón–Mount Hope city sheet</t>
  </si>
  <si>
    <t>Published scholarship consulted for attestations</t>
  </si>
  <si>
    <t>Harvard University Press (print and electronic edition)</t>
  </si>
  <si>
    <t>Searched in full - read cover to cover for place attestations</t>
  </si>
  <si>
    <t>2019 (covering 1904-1921)</t>
  </si>
  <si>
    <t>Monograph</t>
  </si>
  <si>
    <t>Published book (print and electronic)</t>
  </si>
  <si>
    <t>Full (published monograph)</t>
  </si>
  <si>
    <t>Registered 2026-09-16 so the sources panel carries the model's one secondary-literature source (S-002). The corpus is otherwise archives; later scholarship is tagged separately in the panel.</t>
  </si>
  <si>
    <t>Secondary - later scholarship</t>
  </si>
  <si>
    <t>Erased: The Untold Story of the Panama Canal (Marixa Lasso, 2019) - the depopulation of the Zone towns 1912-1916 told from Panamanian records</t>
  </si>
  <si>
    <t>Published scholarship</t>
  </si>
  <si>
    <t>relation_id</t>
  </si>
  <si>
    <t>relation_type</t>
  </si>
  <si>
    <t>related_id (FK)</t>
  </si>
  <si>
    <t>note</t>
  </si>
  <si>
    <t>R-01</t>
  </si>
  <si>
    <t>part_of</t>
  </si>
  <si>
    <t>Hospital within Empire.</t>
  </si>
  <si>
    <t>R-02</t>
  </si>
  <si>
    <t>Commissary within Empire.</t>
  </si>
  <si>
    <t>R-03</t>
  </si>
  <si>
    <t>Clubhouse/YMCA within Empire. [repointed CZ-103 -&gt; CZ-125 2026-09-14, merge]</t>
  </si>
  <si>
    <t>R-04</t>
  </si>
  <si>
    <t>Silver quarters within Empire.</t>
  </si>
  <si>
    <t>R-05</t>
  </si>
  <si>
    <t>Gold quarters within Empire.</t>
  </si>
  <si>
    <t>R-06</t>
  </si>
  <si>
    <t>Plaza within Empire.</t>
  </si>
  <si>
    <t>replaced_by</t>
  </si>
  <si>
    <t>1955</t>
  </si>
  <si>
    <t>[R-07 RETRACTED 2026-09-14: target CZ-201/202 erased] Former Empire ground now present-day Emperador.</t>
  </si>
  <si>
    <t>[R-08 RETRACTED 2026-09-14: target CZ-201/202 erased] Commissary site now under a modern road (illustrative).</t>
  </si>
  <si>
    <t>near</t>
  </si>
  <si>
    <t xml:space="preserve"> </t>
  </si>
  <si>
    <t>[R-09 RETRACTED 2026-09-14: target CZ-201/202 erased] Adjacent present-day features.</t>
  </si>
  <si>
    <t>R-10</t>
  </si>
  <si>
    <t>La Boca renamed/absorbed into Balboa as Pacific terminal town.</t>
  </si>
  <si>
    <t>R-11</t>
  </si>
  <si>
    <t>Station relocated to the new PRR line above lake level; the old-line village drowned by Gatun Lake.</t>
  </si>
  <si>
    <t>R-12</t>
  </si>
  <si>
    <t>McDonald letter: colored section by the Gorgona Shops.</t>
  </si>
  <si>
    <t>R-13</t>
  </si>
  <si>
    <t>Commissary delivery district of Empire; Camacho kitchen 1907.</t>
  </si>
  <si>
    <t>R-14</t>
  </si>
  <si>
    <t>US citizens' quarter of early Ancon, toward Gorgas.</t>
  </si>
  <si>
    <t>R-15</t>
  </si>
  <si>
    <t>Lodging locality within Matachin (White, 1911).</t>
  </si>
  <si>
    <t>R-16</t>
  </si>
  <si>
    <t>Culebra's Rio Grande camp and works.</t>
  </si>
  <si>
    <t>R-17</t>
  </si>
  <si>
    <t>Old Diablo village erased by canal works c.1913; the US townsite Diablo Heights rises on the heights by 1939-40.</t>
  </si>
  <si>
    <t>R-18</t>
  </si>
  <si>
    <t>The village drowned under Gatun Lake; its hill persists as Barro Colorado Island (the island inherits the name).</t>
  </si>
  <si>
    <t>R-19</t>
  </si>
  <si>
    <t>The Cementerio Chino is one enclosure in the Camino de La Boca cemetery row.</t>
  </si>
  <si>
    <t>R-20</t>
  </si>
  <si>
    <t>The Gerig shore camp is buried under the Balboa fill; the townsite that rises on the made ground takes the new name.</t>
  </si>
  <si>
    <t>R-21</t>
  </si>
  <si>
    <t>West Indian quarter of Gatún; submerged with the town under the lake.</t>
  </si>
  <si>
    <t>City</t>
  </si>
  <si>
    <t>Region</t>
  </si>
  <si>
    <t>contains</t>
  </si>
  <si>
    <t>succeeds</t>
  </si>
  <si>
    <t>renamed_from</t>
  </si>
  <si>
    <t>adjacent_to</t>
  </si>
  <si>
    <t>Lock</t>
  </si>
  <si>
    <t>Dock/Pier</t>
  </si>
  <si>
    <t>Monument</t>
  </si>
  <si>
    <t>District</t>
  </si>
  <si>
    <t>record status</t>
  </si>
  <si>
    <t>Active</t>
  </si>
  <si>
    <t>Retracted</t>
  </si>
  <si>
    <t>first source (auto)</t>
  </si>
  <si>
    <t>n_sources (auto)</t>
  </si>
  <si>
    <t>Low: 1–2 sources. Medium: 3–8. High: 9 or more. Duplicate and declined places are excluded. Counts include labelled search leads; retracted attestations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</si>
</sst>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0"/>
      <name val="Arial"/>
      <family val="2"/>
    </font>
    <font>
      <sz val="10"/>
      <name val="Arial"/>
      <family val="2"/>
    </font>
    <font>
      <b/>
      <sz val="10"/>
      <color rgb="FFFFFFFF"/>
      <name val="Arial"/>
      <family val="2"/>
    </font>
    <font>
      <i/>
      <sz val="9"/>
      <color rgb="FF548235"/>
      <name val="Arial"/>
      <family val="2"/>
    </font>
    <font>
      <b/>
      <sz val="11"/>
      <name val="Arial"/>
      <family val="2"/>
    </font>
    <font>
      <i/>
      <sz val="9"/>
      <color rgb="FF595959"/>
      <name val="Arial"/>
      <family val="2"/>
    </font>
    <font>
      <sz val="11"/>
      <color theme="1"/>
      <name val="Calibri"/>
      <family val="2"/>
    </font>
    <font>
      <sz val="11"/>
      <name val="Calibri"/>
      <family val="2"/>
      <scheme val="minor"/>
    </font>
    <font>
      <sz val="11"/>
      <color theme="1"/>
      <name val="Calibri"/>
      <family val="2"/>
      <scheme val="minor"/>
    </font>
  </fonts>
  <fills count="8">
    <fill>
      <patternFill patternType="none"/>
    </fill>
    <fill>
      <patternFill patternType="gray125"/>
    </fill>
    <fill>
      <patternFill patternType="solid">
        <fgColor rgb="FF1F3864"/>
        <bgColor rgb="FF333333"/>
      </patternFill>
    </fill>
    <fill>
      <patternFill patternType="solid">
        <fgColor rgb="FFE2EFDA"/>
        <bgColor rgb="FFD9E1F2"/>
      </patternFill>
    </fill>
    <fill>
      <patternFill patternType="solid">
        <fgColor rgb="FFD9E1F2"/>
        <bgColor rgb="FFE2EFDA"/>
      </patternFill>
    </fill>
    <fill>
      <patternFill patternType="solid">
        <fgColor rgb="FFFFE7A9"/>
        <bgColor indexed="64"/>
      </patternFill>
    </fill>
    <fill>
      <patternFill patternType="solid">
        <fgColor rgb="FFFFE7A9"/>
        <bgColor rgb="FFFCE4D6"/>
      </patternFill>
    </fill>
    <fill>
      <patternFill patternType="solid">
        <fgColor rgb="FF002060"/>
        <bgColor rgb="FF333333"/>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top style="thin">
        <color rgb="FFBFBFBF"/>
      </top>
      <bottom style="thin">
        <color rgb="FFBFBFBF"/>
      </bottom>
      <diagonal/>
    </border>
    <border>
      <left/>
      <right style="thin">
        <color indexed="64"/>
      </right>
      <top/>
      <bottom style="thin">
        <color indexed="64"/>
      </bottom>
      <diagonal/>
    </border>
    <border>
      <left/>
      <right/>
      <top/>
      <bottom style="thin">
        <color indexed="64"/>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3" borderId="1" xfId="0" applyFont="1" applyFill="1" applyBorder="1"/>
    <xf numFmtId="0" fontId="2" fillId="0" borderId="1" xfId="0" applyFont="1" applyBorder="1" applyAlignment="1">
      <alignment vertical="top" wrapText="1"/>
    </xf>
    <xf numFmtId="0" fontId="5" fillId="4" borderId="1" xfId="0" applyFont="1" applyFill="1" applyBorder="1" applyAlignment="1">
      <alignment horizontal="center" vertical="center" wrapText="1"/>
    </xf>
    <xf numFmtId="0" fontId="1" fillId="4" borderId="1" xfId="0" applyFont="1" applyFill="1" applyBorder="1" applyAlignment="1">
      <alignment vertical="top" wrapText="1"/>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vertical="top" wrapText="1"/>
    </xf>
    <xf numFmtId="0" fontId="4" fillId="3" borderId="1" xfId="0" applyFont="1" applyFill="1" applyBorder="1" applyAlignment="1">
      <alignment vertical="top" wrapText="1"/>
    </xf>
    <xf numFmtId="0" fontId="4" fillId="3" borderId="12" xfId="0" applyFont="1" applyFill="1" applyBorder="1" applyAlignment="1">
      <alignment horizontal="center" vertical="center" wrapText="1"/>
    </xf>
    <xf numFmtId="0" fontId="7" fillId="5" borderId="11" xfId="0" applyFont="1" applyFill="1" applyBorder="1"/>
    <xf numFmtId="0" fontId="2" fillId="6" borderId="11" xfId="0" applyFont="1" applyFill="1" applyBorder="1" applyAlignment="1">
      <alignment horizontal="center" vertical="center" wrapText="1"/>
    </xf>
    <xf numFmtId="0" fontId="0" fillId="5" borderId="11" xfId="0" applyFill="1" applyBorder="1"/>
    <xf numFmtId="0" fontId="3" fillId="7" borderId="1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12" xfId="0" applyFont="1" applyFill="1" applyBorder="1" applyAlignment="1">
      <alignment horizontal="center" vertical="center" wrapText="1"/>
    </xf>
    <xf numFmtId="17" fontId="0" fillId="0" borderId="0" xfId="0" applyNumberFormat="1"/>
    <xf numFmtId="0" fontId="3" fillId="2" borderId="1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1" fillId="0" borderId="14" xfId="0" applyFont="1" applyBorder="1" applyAlignment="1">
      <alignment horizontal="center" vertical="top" wrapText="1"/>
    </xf>
    <xf numFmtId="0" fontId="1" fillId="0" borderId="13" xfId="0" applyFont="1" applyBorder="1" applyAlignment="1">
      <alignment horizontal="center" vertical="top" wrapText="1"/>
    </xf>
    <xf numFmtId="0" fontId="8" fillId="0" borderId="1" xfId="0" applyFont="1" applyBorder="1" applyAlignment="1">
      <alignment vertical="top" wrapText="1"/>
    </xf>
    <xf numFmtId="0" fontId="9" fillId="0" borderId="4" xfId="0" applyFont="1" applyBorder="1"/>
    <xf numFmtId="0" fontId="9" fillId="0" borderId="5" xfId="0" applyFont="1" applyBorder="1"/>
    <xf numFmtId="0" fontId="5" fillId="0" borderId="1" xfId="0" applyFont="1" applyBorder="1" applyAlignment="1">
      <alignment vertical="top" wrapText="1"/>
    </xf>
    <xf numFmtId="0" fontId="0" fillId="0" borderId="4" xfId="0" applyBorder="1"/>
    <xf numFmtId="0" fontId="0" fillId="0" borderId="5" xfId="0" applyBorder="1"/>
    <xf numFmtId="0" fontId="6" fillId="0" borderId="1" xfId="0" applyFont="1" applyBorder="1" applyAlignment="1">
      <alignment vertical="top" wrapText="1"/>
    </xf>
    <xf numFmtId="0" fontId="0" fillId="0" borderId="2" xfId="0" applyBorder="1"/>
    <xf numFmtId="0" fontId="0" fillId="0" borderId="3" xfId="0" applyBorder="1"/>
    <xf numFmtId="0" fontId="0" fillId="0" borderId="6" xfId="0" applyBorder="1"/>
    <xf numFmtId="0" fontId="0" fillId="0" borderId="0" xfId="0"/>
    <xf numFmtId="0" fontId="0" fillId="0" borderId="7" xfId="0" applyBorder="1"/>
    <xf numFmtId="0" fontId="0" fillId="0" borderId="8" xfId="0" applyBorder="1"/>
    <xf numFmtId="0" fontId="0" fillId="0" borderId="9" xfId="0" applyBorder="1"/>
    <xf numFmtId="0" fontId="0" fillId="0" borderId="10"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6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ED7D31"/>
      <rgbColor rgb="FF595959"/>
      <rgbColor rgb="FF969696"/>
      <rgbColor rgb="FF1F3864"/>
      <rgbColor rgb="FF548235"/>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G232"/>
  <sheetViews>
    <sheetView zoomScaleNormal="100" workbookViewId="0">
      <pane xSplit="3" ySplit="2" topLeftCell="D200" activePane="bottomRight" state="frozen"/>
      <selection pane="topRight" activeCell="D1" sqref="D1"/>
      <selection pane="bottomLeft" activeCell="A3" sqref="A3"/>
      <selection pane="bottomRight" activeCell="D28" sqref="D28:E28"/>
    </sheetView>
  </sheetViews>
  <sheetFormatPr baseColWidth="10" defaultColWidth="8.6640625" defaultRowHeight="15" x14ac:dyDescent="0.2"/>
  <cols>
    <col min="1" max="1" width="12" customWidth="1"/>
    <col min="2" max="2" width="22" customWidth="1"/>
    <col min="3" max="3" width="16" customWidth="1"/>
    <col min="4" max="5" width="11" style="14" customWidth="1"/>
    <col min="6" max="6" width="22" style="14" customWidth="1"/>
    <col min="7" max="7" width="13" style="14" customWidth="1"/>
  </cols>
  <sheetData>
    <row r="1" spans="1:7" ht="27.75" customHeight="1" x14ac:dyDescent="0.2">
      <c r="A1" s="21"/>
      <c r="B1" s="21"/>
      <c r="C1" s="21"/>
      <c r="D1" s="21"/>
      <c r="E1" s="21"/>
      <c r="F1" s="21"/>
      <c r="G1" s="22"/>
    </row>
    <row r="2" spans="1:7" ht="15" customHeight="1" x14ac:dyDescent="0.2">
      <c r="A2" s="16" t="s">
        <v>0</v>
      </c>
      <c r="B2" s="16" t="s">
        <v>1</v>
      </c>
      <c r="C2" s="17" t="s">
        <v>2</v>
      </c>
      <c r="D2" s="15" t="s">
        <v>3</v>
      </c>
      <c r="E2" s="15" t="s">
        <v>4</v>
      </c>
      <c r="F2" s="15" t="s">
        <v>5</v>
      </c>
      <c r="G2" s="15" t="s">
        <v>6</v>
      </c>
    </row>
    <row r="3" spans="1:7" ht="15" customHeight="1" x14ac:dyDescent="0.2">
      <c r="A3" s="2" t="str">
        <f>IF(places!$A2="","",places!$A2)</f>
        <v>CZ-001</v>
      </c>
      <c r="B3" s="3" t="str">
        <f>IF(places!$A2="","",places!$B2)</f>
        <v>Matachin</v>
      </c>
      <c r="C3" s="11" t="str">
        <f>IF(places!$A2="","",places!$Y2)</f>
        <v>Town</v>
      </c>
      <c r="D3" s="12">
        <v>9.10975</v>
      </c>
      <c r="E3" s="12">
        <v>-79.706990000000005</v>
      </c>
      <c r="F3" s="12" t="s">
        <v>7</v>
      </c>
      <c r="G3" s="12" t="s">
        <v>8</v>
      </c>
    </row>
    <row r="4" spans="1:7" ht="15" customHeight="1" x14ac:dyDescent="0.2">
      <c r="A4" s="2" t="str">
        <f>IF(places!$A3="","",places!$A3)</f>
        <v>CZ-002</v>
      </c>
      <c r="B4" s="3" t="str">
        <f>IF(places!$A3="","",places!$B3)</f>
        <v>Barbacoas</v>
      </c>
      <c r="C4" s="11" t="str">
        <f>IF(places!$A3="","",places!$Y3)</f>
        <v>Town</v>
      </c>
      <c r="D4" s="12">
        <v>9.1093799999999998</v>
      </c>
      <c r="E4" s="12">
        <v>-79.767650000000003</v>
      </c>
      <c r="F4" s="12" t="s">
        <v>9</v>
      </c>
      <c r="G4" s="12" t="s">
        <v>10</v>
      </c>
    </row>
    <row r="5" spans="1:7" ht="15" customHeight="1" x14ac:dyDescent="0.2">
      <c r="A5" s="2" t="str">
        <f>IF(places!$A4="","",places!$A4)</f>
        <v>CZ-003</v>
      </c>
      <c r="B5" s="3" t="str">
        <f>IF(places!$A4="","",places!$B4)</f>
        <v>Cruces</v>
      </c>
      <c r="C5" s="11" t="str">
        <f>IF(places!$A4="","",places!$Y4)</f>
        <v>Town</v>
      </c>
      <c r="D5" s="12">
        <v>9.1240000000000006</v>
      </c>
      <c r="E5" s="12">
        <v>-79.687650000000005</v>
      </c>
      <c r="F5" s="12" t="s">
        <v>9</v>
      </c>
      <c r="G5" s="12" t="s">
        <v>11</v>
      </c>
    </row>
    <row r="6" spans="1:7" ht="15" customHeight="1" x14ac:dyDescent="0.2">
      <c r="A6" s="2" t="str">
        <f>IF(places!$A5="","",places!$A5)</f>
        <v>CZ-004</v>
      </c>
      <c r="B6" s="3" t="str">
        <f>IF(places!$A5="","",places!$B5)</f>
        <v>Ahorca Lagarto</v>
      </c>
      <c r="C6" s="11" t="str">
        <f>IF(places!$A5="","",places!$Y5)</f>
        <v>Town</v>
      </c>
      <c r="D6" s="12">
        <v>9.2129100000000008</v>
      </c>
      <c r="E6" s="12">
        <v>-79.876000000000005</v>
      </c>
      <c r="F6" s="12" t="s">
        <v>12</v>
      </c>
      <c r="G6" s="12" t="s">
        <v>11</v>
      </c>
    </row>
    <row r="7" spans="1:7" ht="15" customHeight="1" x14ac:dyDescent="0.2">
      <c r="A7" s="2" t="str">
        <f>IF(places!$A6="","",places!$A6)</f>
        <v>CZ-005</v>
      </c>
      <c r="B7" s="3" t="str">
        <f>IF(places!$A6="","",places!$B6)</f>
        <v>Caimito</v>
      </c>
      <c r="C7" s="11" t="str">
        <f>IF(places!$A6="","",places!$Y6)</f>
        <v>Town</v>
      </c>
      <c r="D7" s="12">
        <v>9.1306700000000003</v>
      </c>
      <c r="E7" s="12">
        <v>-79.779839999999993</v>
      </c>
      <c r="F7" s="12" t="s">
        <v>7</v>
      </c>
      <c r="G7" s="12" t="s">
        <v>13</v>
      </c>
    </row>
    <row r="8" spans="1:7" ht="15" customHeight="1" x14ac:dyDescent="0.2">
      <c r="A8" s="2" t="str">
        <f>IF(places!$A7="","",places!$A7)</f>
        <v>CZ-006</v>
      </c>
      <c r="B8" s="3" t="str">
        <f>IF(places!$A7="","",places!$B7)</f>
        <v>Santa Cruz</v>
      </c>
      <c r="C8" s="11" t="str">
        <f>IF(places!$A7="","",places!$Y7)</f>
        <v>Town</v>
      </c>
      <c r="D8" s="12">
        <v>9.1168700000000005</v>
      </c>
      <c r="E8" s="12">
        <v>-79.697699999999998</v>
      </c>
      <c r="F8" s="12" t="s">
        <v>7</v>
      </c>
      <c r="G8" s="12" t="s">
        <v>14</v>
      </c>
    </row>
    <row r="9" spans="1:7" ht="15" customHeight="1" x14ac:dyDescent="0.2">
      <c r="A9" s="2" t="str">
        <f>IF(places!$A8="","",places!$A8)</f>
        <v>CZ-007</v>
      </c>
      <c r="B9" s="3" t="str">
        <f>IF(places!$A8="","",places!$B8)</f>
        <v>Bailamonos</v>
      </c>
      <c r="C9" s="11" t="str">
        <f>IF(places!$A8="","",places!$Y8)</f>
        <v>Town</v>
      </c>
      <c r="D9" s="12">
        <v>9.11008</v>
      </c>
      <c r="E9" s="12">
        <v>-79.764859999999999</v>
      </c>
      <c r="F9" s="12" t="s">
        <v>15</v>
      </c>
      <c r="G9" s="12" t="s">
        <v>16</v>
      </c>
    </row>
    <row r="10" spans="1:7" ht="15" customHeight="1" x14ac:dyDescent="0.2">
      <c r="A10" s="2" t="str">
        <f>IF(places!$A9="","",places!$A9)</f>
        <v>CZ-008</v>
      </c>
      <c r="B10" s="3" t="str">
        <f>IF(places!$A9="","",places!$B9)</f>
        <v>Cruz de Juan Gallego</v>
      </c>
      <c r="C10" s="11" t="str">
        <f>IF(places!$A9="","",places!$Y9)</f>
        <v>Town</v>
      </c>
      <c r="D10" s="12">
        <v>9.20472</v>
      </c>
      <c r="E10" s="12">
        <v>-79.867459999999994</v>
      </c>
      <c r="F10" s="12" t="s">
        <v>15</v>
      </c>
      <c r="G10" s="12" t="s">
        <v>17</v>
      </c>
    </row>
    <row r="11" spans="1:7" ht="15" customHeight="1" x14ac:dyDescent="0.2">
      <c r="A11" s="2" t="str">
        <f>IF(places!$A10="","",places!$A10)</f>
        <v>CZ-009</v>
      </c>
      <c r="B11" s="3" t="str">
        <f>IF(places!$A10="","",places!$B10)</f>
        <v>Old Gatun</v>
      </c>
      <c r="C11" s="11" t="str">
        <f>IF(places!$A10="","",places!$Y10)</f>
        <v>Town</v>
      </c>
      <c r="D11" s="12">
        <v>9.2687100000000004</v>
      </c>
      <c r="E11" s="12">
        <v>-79.929060000000007</v>
      </c>
      <c r="F11" s="12" t="s">
        <v>12</v>
      </c>
      <c r="G11" s="12" t="s">
        <v>18</v>
      </c>
    </row>
    <row r="12" spans="1:7" ht="15" customHeight="1" x14ac:dyDescent="0.2">
      <c r="A12" s="2" t="str">
        <f>IF(places!$A11="","",places!$A11)</f>
        <v>CZ-010</v>
      </c>
      <c r="B12" s="3" t="str">
        <f>IF(places!$A11="","",places!$B11)</f>
        <v>New Gatun</v>
      </c>
      <c r="C12" s="11" t="str">
        <f>IF(places!$A11="","",places!$Y11)</f>
        <v>Town</v>
      </c>
      <c r="D12" s="12">
        <v>9.2747100000000007</v>
      </c>
      <c r="E12" s="12">
        <v>-79.916210000000007</v>
      </c>
      <c r="F12" s="12" t="s">
        <v>7</v>
      </c>
      <c r="G12" s="12" t="s">
        <v>19</v>
      </c>
    </row>
    <row r="13" spans="1:7" ht="15" customHeight="1" x14ac:dyDescent="0.2">
      <c r="A13" s="2" t="str">
        <f>IF(places!$A12="","",places!$A12)</f>
        <v>CZ-011</v>
      </c>
      <c r="B13" s="3" t="str">
        <f>IF(places!$A12="","",places!$B12)</f>
        <v>Empire</v>
      </c>
      <c r="C13" s="11" t="str">
        <f>IF(places!$A12="","",places!$Y12)</f>
        <v>Town</v>
      </c>
      <c r="D13" s="12">
        <v>9.0618250000000007</v>
      </c>
      <c r="E13" s="12">
        <v>-79.671171000000001</v>
      </c>
      <c r="F13" s="12" t="s">
        <v>20</v>
      </c>
      <c r="G13" s="12" t="s">
        <v>21</v>
      </c>
    </row>
    <row r="14" spans="1:7" ht="15" customHeight="1" x14ac:dyDescent="0.2">
      <c r="A14" s="2" t="str">
        <f>IF(places!$A13="","",places!$A13)</f>
        <v>CZ-012</v>
      </c>
      <c r="B14" s="3" t="str">
        <f>IF(places!$A13="","",places!$B13)</f>
        <v>Gorgona</v>
      </c>
      <c r="C14" s="11" t="str">
        <f>IF(places!$A13="","",places!$Y13)</f>
        <v>Town</v>
      </c>
      <c r="D14" s="12">
        <v>9.1140100000000004</v>
      </c>
      <c r="E14" s="12">
        <v>-79.724149999999995</v>
      </c>
      <c r="F14" s="12" t="s">
        <v>22</v>
      </c>
      <c r="G14" s="12" t="s">
        <v>23</v>
      </c>
    </row>
    <row r="15" spans="1:7" ht="15" customHeight="1" x14ac:dyDescent="0.2">
      <c r="A15" s="2" t="str">
        <f>IF(places!$A14="","",places!$A14)</f>
        <v>CZ-013</v>
      </c>
      <c r="B15" s="3" t="str">
        <f>IF(places!$A14="","",places!$B14)</f>
        <v>Culebra</v>
      </c>
      <c r="C15" s="11" t="str">
        <f>IF(places!$A14="","",places!$Y14)</f>
        <v>Town</v>
      </c>
      <c r="D15" s="12">
        <v>9.0408399999999993</v>
      </c>
      <c r="E15" s="12">
        <v>-79.648539999999997</v>
      </c>
      <c r="F15" s="12" t="s">
        <v>24</v>
      </c>
      <c r="G15" s="12" t="s">
        <v>25</v>
      </c>
    </row>
    <row r="16" spans="1:7" ht="15" customHeight="1" x14ac:dyDescent="0.2">
      <c r="A16" s="2" t="str">
        <f>IF(places!$A15="","",places!$A15)</f>
        <v>CZ-014</v>
      </c>
      <c r="B16" s="3" t="str">
        <f>IF(places!$A15="","",places!$B15)</f>
        <v>Bas Obispo</v>
      </c>
      <c r="C16" s="11" t="str">
        <f>IF(places!$A15="","",places!$Y15)</f>
        <v>Town</v>
      </c>
      <c r="D16" s="12">
        <v>9.1052099999999996</v>
      </c>
      <c r="E16" s="12">
        <v>-79.688490000000002</v>
      </c>
      <c r="F16" s="12" t="s">
        <v>7</v>
      </c>
      <c r="G16" s="12" t="s">
        <v>26</v>
      </c>
    </row>
    <row r="17" spans="1:7" ht="15" customHeight="1" x14ac:dyDescent="0.2">
      <c r="A17" s="2" t="str">
        <f>IF(places!$A16="","",places!$A16)</f>
        <v>CZ-015</v>
      </c>
      <c r="B17" s="3" t="str">
        <f>IF(places!$A16="","",places!$B16)</f>
        <v>Las Cascadas</v>
      </c>
      <c r="C17" s="11" t="str">
        <f>IF(places!$A16="","",places!$Y16)</f>
        <v>Town</v>
      </c>
      <c r="D17" s="12">
        <v>9.0868699999999993</v>
      </c>
      <c r="E17" s="12">
        <v>-79.684650000000005</v>
      </c>
      <c r="F17" s="12" t="s">
        <v>7</v>
      </c>
      <c r="G17" s="12" t="s">
        <v>8</v>
      </c>
    </row>
    <row r="18" spans="1:7" ht="15" customHeight="1" x14ac:dyDescent="0.2">
      <c r="A18" s="2" t="str">
        <f>IF(places!$A17="","",places!$A17)</f>
        <v>CZ-016</v>
      </c>
      <c r="B18" s="3" t="str">
        <f>IF(places!$A17="","",places!$B17)</f>
        <v>Bohio</v>
      </c>
      <c r="C18" s="11" t="str">
        <f>IF(places!$A17="","",places!$Y17)</f>
        <v>Town</v>
      </c>
      <c r="D18" s="12">
        <v>9.1898</v>
      </c>
      <c r="E18" s="12">
        <v>-79.855980000000002</v>
      </c>
      <c r="F18" s="12" t="s">
        <v>12</v>
      </c>
      <c r="G18" s="12" t="s">
        <v>18</v>
      </c>
    </row>
    <row r="19" spans="1:7" ht="15" customHeight="1" x14ac:dyDescent="0.2">
      <c r="A19" s="2" t="str">
        <f>IF(places!$A18="","",places!$A18)</f>
        <v>CZ-101</v>
      </c>
      <c r="B19" s="3" t="str">
        <f>IF(places!$A18="","",places!$B18)</f>
        <v>Empire Hospital</v>
      </c>
      <c r="C19" s="11" t="str">
        <f>IF(places!$A18="","",places!$Y18)</f>
        <v>Site/Institution</v>
      </c>
      <c r="D19" s="12"/>
      <c r="E19" s="12"/>
      <c r="F19" s="12"/>
      <c r="G19" s="12"/>
    </row>
    <row r="20" spans="1:7" ht="15" customHeight="1" x14ac:dyDescent="0.2">
      <c r="A20" s="2" t="str">
        <f>IF(places!$A19="","",places!$A19)</f>
        <v>CZ-102</v>
      </c>
      <c r="B20" s="3" t="str">
        <f>IF(places!$A19="","",places!$B19)</f>
        <v>Empire Commissary</v>
      </c>
      <c r="C20" s="11" t="str">
        <f>IF(places!$A19="","",places!$Y19)</f>
        <v>Site/Institution</v>
      </c>
      <c r="D20" s="12">
        <v>9.0625579999999992</v>
      </c>
      <c r="E20" s="12">
        <v>-79.671553000000003</v>
      </c>
      <c r="F20" s="12" t="s">
        <v>27</v>
      </c>
      <c r="G20" s="12" t="s">
        <v>28</v>
      </c>
    </row>
    <row r="21" spans="1:7" ht="15" customHeight="1" x14ac:dyDescent="0.2">
      <c r="A21" s="2" t="str">
        <f>IF(places!$A20="","",places!$A20)</f>
        <v>CZ-103</v>
      </c>
      <c r="B21" s="3" t="str">
        <f>IF(places!$A20="","",places!$B20)</f>
        <v>Empire Clubhouse &amp; Cinema</v>
      </c>
      <c r="C21" s="11" t="str">
        <f>IF(places!$A20="","",places!$Y20)</f>
        <v>Building</v>
      </c>
      <c r="D21" s="12"/>
      <c r="E21" s="12"/>
      <c r="F21" s="12"/>
      <c r="G21" s="12"/>
    </row>
    <row r="22" spans="1:7" ht="15" customHeight="1" x14ac:dyDescent="0.2">
      <c r="A22" s="2" t="str">
        <f>IF(places!$A21="","",places!$A21)</f>
        <v>CZ-104</v>
      </c>
      <c r="B22" s="3" t="str">
        <f>IF(places!$A21="","",places!$B21)</f>
        <v>Empire Silver Quarters</v>
      </c>
      <c r="C22" s="11" t="str">
        <f>IF(places!$A21="","",places!$Y21)</f>
        <v>Neighborhood</v>
      </c>
      <c r="D22" s="12"/>
      <c r="E22" s="12"/>
      <c r="F22" s="12"/>
      <c r="G22" s="12"/>
    </row>
    <row r="23" spans="1:7" ht="15" customHeight="1" x14ac:dyDescent="0.2">
      <c r="A23" s="2" t="str">
        <f>IF(places!$A22="","",places!$A22)</f>
        <v>CZ-105</v>
      </c>
      <c r="B23" s="3" t="str">
        <f>IF(places!$A22="","",places!$B22)</f>
        <v>Empire Gold Quarters</v>
      </c>
      <c r="C23" s="11" t="str">
        <f>IF(places!$A22="","",places!$Y22)</f>
        <v>Neighborhood</v>
      </c>
      <c r="D23" s="12"/>
      <c r="E23" s="12"/>
      <c r="F23" s="12"/>
      <c r="G23" s="12"/>
    </row>
    <row r="24" spans="1:7" ht="15" customHeight="1" x14ac:dyDescent="0.2">
      <c r="A24" s="2" t="str">
        <f>IF(places!$A23="","",places!$A23)</f>
        <v>CZ-106</v>
      </c>
      <c r="B24" s="3" t="str">
        <f>IF(places!$A23="","",places!$B23)</f>
        <v>Empire Plaza</v>
      </c>
      <c r="C24" s="11" t="str">
        <f>IF(places!$A23="","",places!$Y23)</f>
        <v>Site/Institution</v>
      </c>
      <c r="D24" s="12">
        <v>9.0605519999999995</v>
      </c>
      <c r="E24" s="12">
        <v>-79.672321999999994</v>
      </c>
      <c r="F24" s="12" t="s">
        <v>27</v>
      </c>
      <c r="G24" s="12" t="s">
        <v>28</v>
      </c>
    </row>
    <row r="25" spans="1:7" ht="15" customHeight="1" x14ac:dyDescent="0.2">
      <c r="A25" s="2" t="str">
        <f>IF(places!$A24="","",places!$A24)</f>
        <v>CZ-201</v>
      </c>
      <c r="B25" s="3" t="str">
        <f>IF(places!$A24="","",places!$B24)</f>
        <v>Nuevo Emperador (present-day)</v>
      </c>
      <c r="C25" s="11" t="str">
        <f>IF(places!$A24="","",places!$Y24)</f>
        <v>Town</v>
      </c>
      <c r="D25" s="12"/>
      <c r="E25" s="12"/>
      <c r="F25" s="12"/>
      <c r="G25" s="12"/>
    </row>
    <row r="26" spans="1:7" ht="15" customHeight="1" x14ac:dyDescent="0.2">
      <c r="A26" s="2" t="str">
        <f>IF(places!$A25="","",places!$A25)</f>
        <v>CZ-202</v>
      </c>
      <c r="B26" s="3" t="str">
        <f>IF(places!$A25="","",places!$B25)</f>
        <v>Modern roadway segment</v>
      </c>
      <c r="C26" s="11" t="str">
        <f>IF(places!$A25="","",places!$Y25)</f>
        <v>Infrastructure</v>
      </c>
      <c r="D26" s="12"/>
      <c r="E26" s="12"/>
      <c r="F26" s="12"/>
      <c r="G26" s="12"/>
    </row>
    <row r="27" spans="1:7" ht="15" customHeight="1" x14ac:dyDescent="0.2">
      <c r="A27" s="2" t="str">
        <f>IF(places!$A26="","",places!$A26)</f>
        <v>CZ-107</v>
      </c>
      <c r="B27" s="3" t="str">
        <f>IF(places!$A26="","",places!$B26)</f>
        <v>Empire Church / Chapel</v>
      </c>
      <c r="C27" s="11" t="str">
        <f>IF(places!$A26="","",places!$Y26)</f>
        <v>Site/Institution</v>
      </c>
      <c r="D27" s="12">
        <v>9.0628299999999999</v>
      </c>
      <c r="E27" s="12">
        <v>-79.670233999999994</v>
      </c>
      <c r="F27" s="12" t="s">
        <v>27</v>
      </c>
      <c r="G27" s="12" t="s">
        <v>29</v>
      </c>
    </row>
    <row r="28" spans="1:7" ht="15" customHeight="1" x14ac:dyDescent="0.2">
      <c r="A28" s="2" t="str">
        <f>IF(places!$A27="","",places!$A27)</f>
        <v>CZ-108</v>
      </c>
      <c r="B28" s="3" t="str">
        <f>IF(places!$A27="","",places!$B27)</f>
        <v>Empire Cemetery</v>
      </c>
      <c r="C28" s="11" t="str">
        <f>IF(places!$A27="","",places!$Y27)</f>
        <v>Site/Institution</v>
      </c>
      <c r="D28" s="12"/>
      <c r="E28" s="12"/>
      <c r="F28" s="12"/>
      <c r="G28" s="12"/>
    </row>
    <row r="29" spans="1:7" ht="15" customHeight="1" x14ac:dyDescent="0.2">
      <c r="A29" s="2" t="str">
        <f>IF(places!$A28="","",places!$A28)</f>
        <v>CZ-109</v>
      </c>
      <c r="B29" s="3" t="str">
        <f>IF(places!$A28="","",places!$B28)</f>
        <v>Empire School</v>
      </c>
      <c r="C29" s="11" t="str">
        <f>IF(places!$A28="","",places!$Y28)</f>
        <v>Site/Institution</v>
      </c>
      <c r="D29" s="12">
        <v>9.0632859999999997</v>
      </c>
      <c r="E29" s="12">
        <v>-79.674734000000001</v>
      </c>
      <c r="F29" s="12" t="s">
        <v>27</v>
      </c>
      <c r="G29" s="12" t="s">
        <v>28</v>
      </c>
    </row>
    <row r="30" spans="1:7" ht="15" customHeight="1" x14ac:dyDescent="0.2">
      <c r="A30" s="2" t="str">
        <f>IF(places!$A29="","",places!$A29)</f>
        <v>CZ-017</v>
      </c>
      <c r="B30" s="3" t="str">
        <f>IF(places!$A29="","",places!$B29)</f>
        <v>Cristobal</v>
      </c>
      <c r="C30" s="11" t="str">
        <f>IF(places!$A29="","",places!$Y29)</f>
        <v>Town</v>
      </c>
      <c r="D30" s="12">
        <v>9.3558900000000005</v>
      </c>
      <c r="E30" s="12">
        <v>-79.900599999999997</v>
      </c>
      <c r="F30" s="12" t="s">
        <v>7</v>
      </c>
      <c r="G30" s="12" t="s">
        <v>30</v>
      </c>
    </row>
    <row r="31" spans="1:7" ht="15" customHeight="1" x14ac:dyDescent="0.2">
      <c r="A31" s="2" t="str">
        <f>IF(places!$A30="","",places!$A30)</f>
        <v>CZ-018</v>
      </c>
      <c r="B31" s="3" t="str">
        <f>IF(places!$A30="","",places!$B30)</f>
        <v>Ancon</v>
      </c>
      <c r="C31" s="11" t="str">
        <f>IF(places!$A30="","",places!$Y30)</f>
        <v>Town</v>
      </c>
      <c r="D31" s="12">
        <v>8.9594100000000001</v>
      </c>
      <c r="E31" s="12">
        <v>-79.561989999999994</v>
      </c>
      <c r="F31" s="12" t="s">
        <v>31</v>
      </c>
      <c r="G31" s="12" t="s">
        <v>32</v>
      </c>
    </row>
    <row r="32" spans="1:7" ht="15" customHeight="1" x14ac:dyDescent="0.2">
      <c r="A32" s="2" t="str">
        <f>IF(places!$A31="","",places!$A31)</f>
        <v>CZ-019</v>
      </c>
      <c r="B32" s="3" t="str">
        <f>IF(places!$A31="","",places!$B31)</f>
        <v>Rio Grande</v>
      </c>
      <c r="C32" s="11" t="str">
        <f>IF(places!$A31="","",places!$Y31)</f>
        <v>Town</v>
      </c>
      <c r="D32" s="12">
        <v>9.0322300000000002</v>
      </c>
      <c r="E32" s="12">
        <v>-79.662390000000002</v>
      </c>
      <c r="F32" s="12" t="s">
        <v>31</v>
      </c>
      <c r="G32" s="12" t="s">
        <v>33</v>
      </c>
    </row>
    <row r="33" spans="1:7" ht="15" customHeight="1" x14ac:dyDescent="0.2">
      <c r="A33" s="2" t="str">
        <f>IF(places!$A32="","",places!$A32)</f>
        <v>CZ-020</v>
      </c>
      <c r="B33" s="3" t="str">
        <f>IF(places!$A32="","",places!$B32)</f>
        <v>Pedro Miguel</v>
      </c>
      <c r="C33" s="11" t="str">
        <f>IF(places!$A32="","",places!$Y32)</f>
        <v>Town</v>
      </c>
      <c r="D33" s="12">
        <v>9.0237800000000004</v>
      </c>
      <c r="E33" s="12">
        <v>-79.601070000000007</v>
      </c>
      <c r="F33" s="12" t="s">
        <v>31</v>
      </c>
      <c r="G33" s="12" t="s">
        <v>32</v>
      </c>
    </row>
    <row r="34" spans="1:7" ht="15" customHeight="1" x14ac:dyDescent="0.2">
      <c r="A34" s="2" t="str">
        <f>IF(places!$A33="","",places!$A33)</f>
        <v>CZ-021</v>
      </c>
      <c r="B34" s="3" t="str">
        <f>IF(places!$A33="","",places!$B33)</f>
        <v>La Boca</v>
      </c>
      <c r="C34" s="11" t="str">
        <f>IF(places!$A33="","",places!$Y33)</f>
        <v>Town</v>
      </c>
      <c r="D34" s="12">
        <v>8.9477600000000006</v>
      </c>
      <c r="E34" s="12">
        <v>-79.56447</v>
      </c>
      <c r="F34" s="12" t="s">
        <v>7</v>
      </c>
      <c r="G34" s="12" t="s">
        <v>34</v>
      </c>
    </row>
    <row r="35" spans="1:7" ht="15" customHeight="1" x14ac:dyDescent="0.2">
      <c r="A35" s="2" t="str">
        <f>IF(places!$A34="","",places!$A34)</f>
        <v>CZ-022</v>
      </c>
      <c r="B35" s="3" t="str">
        <f>IF(places!$A34="","",places!$B34)</f>
        <v>Corozal</v>
      </c>
      <c r="C35" s="11" t="str">
        <f>IF(places!$A34="","",places!$Y34)</f>
        <v>Town</v>
      </c>
      <c r="D35" s="12">
        <v>8.9795700000000007</v>
      </c>
      <c r="E35" s="12">
        <v>-79.568240000000003</v>
      </c>
      <c r="F35" s="12" t="s">
        <v>7</v>
      </c>
      <c r="G35" s="12" t="s">
        <v>35</v>
      </c>
    </row>
    <row r="36" spans="1:7" ht="15" customHeight="1" x14ac:dyDescent="0.2">
      <c r="A36" s="2" t="str">
        <f>IF(places!$A35="","",places!$A35)</f>
        <v>CZ-023</v>
      </c>
      <c r="B36" s="3" t="str">
        <f>IF(places!$A35="","",places!$B35)</f>
        <v>Frijoles</v>
      </c>
      <c r="C36" s="11" t="str">
        <f>IF(places!$A35="","",places!$Y35)</f>
        <v>Town</v>
      </c>
      <c r="D36" s="12">
        <v>9.1696399999999993</v>
      </c>
      <c r="E36" s="12">
        <v>-79.803370000000001</v>
      </c>
      <c r="F36" s="12" t="s">
        <v>9</v>
      </c>
      <c r="G36" s="12" t="s">
        <v>36</v>
      </c>
    </row>
    <row r="37" spans="1:7" ht="15" customHeight="1" x14ac:dyDescent="0.2">
      <c r="A37" s="2" t="str">
        <f>IF(places!$A36="","",places!$A36)</f>
        <v>CZ-024</v>
      </c>
      <c r="B37" s="3" t="str">
        <f>IF(places!$A36="","",places!$B36)</f>
        <v>Paraiso</v>
      </c>
      <c r="C37" s="11" t="str">
        <f>IF(places!$A36="","",places!$Y36)</f>
        <v>Town</v>
      </c>
      <c r="D37" s="12">
        <v>9.0269700000000004</v>
      </c>
      <c r="E37" s="12">
        <v>-79.624989999999997</v>
      </c>
      <c r="F37" s="12" t="s">
        <v>31</v>
      </c>
      <c r="G37" s="12" t="s">
        <v>33</v>
      </c>
    </row>
    <row r="38" spans="1:7" ht="15" customHeight="1" x14ac:dyDescent="0.2">
      <c r="A38" s="2" t="str">
        <f>IF(places!$A37="","",places!$A37)</f>
        <v>CZ-025</v>
      </c>
      <c r="B38" s="3" t="str">
        <f>IF(places!$A37="","",places!$B37)</f>
        <v>San Pablo</v>
      </c>
      <c r="C38" s="11" t="str">
        <f>IF(places!$A37="","",places!$Y37)</f>
        <v>Town</v>
      </c>
      <c r="D38" s="12">
        <v>9.1186699999999998</v>
      </c>
      <c r="E38" s="12">
        <v>-79.787009999999995</v>
      </c>
      <c r="F38" s="12" t="s">
        <v>9</v>
      </c>
      <c r="G38" s="12" t="s">
        <v>37</v>
      </c>
    </row>
    <row r="39" spans="1:7" ht="15" customHeight="1" x14ac:dyDescent="0.2">
      <c r="A39" s="2" t="str">
        <f>IF(places!$A38="","",places!$A38)</f>
        <v>CZ-026</v>
      </c>
      <c r="B39" s="3" t="str">
        <f>IF(places!$A38="","",places!$B38)</f>
        <v>Tabernilla</v>
      </c>
      <c r="C39" s="11" t="str">
        <f>IF(places!$A38="","",places!$Y38)</f>
        <v>Town</v>
      </c>
      <c r="D39" s="12">
        <v>9.1335099999999994</v>
      </c>
      <c r="E39" s="12">
        <v>-79.818389999999994</v>
      </c>
      <c r="F39" s="12" t="s">
        <v>7</v>
      </c>
      <c r="G39" s="12" t="s">
        <v>38</v>
      </c>
    </row>
    <row r="40" spans="1:7" ht="15" customHeight="1" x14ac:dyDescent="0.2">
      <c r="A40" s="2" t="str">
        <f>IF(places!$A39="","",places!$A39)</f>
        <v>CZ-027</v>
      </c>
      <c r="B40" s="3" t="str">
        <f>IF(places!$A39="","",places!$B39)</f>
        <v>Gamboa</v>
      </c>
      <c r="C40" s="11" t="str">
        <f>IF(places!$A39="","",places!$Y39)</f>
        <v>Town</v>
      </c>
      <c r="D40" s="12">
        <v>9.11327</v>
      </c>
      <c r="E40" s="12">
        <v>-79.694040000000001</v>
      </c>
      <c r="F40" s="12" t="s">
        <v>9</v>
      </c>
      <c r="G40" s="12" t="s">
        <v>39</v>
      </c>
    </row>
    <row r="41" spans="1:7" ht="15" customHeight="1" x14ac:dyDescent="0.2">
      <c r="A41" s="2" t="str">
        <f>IF(places!$A40="","",places!$A40)</f>
        <v>CZ-028</v>
      </c>
      <c r="B41" s="3" t="str">
        <f>IF(places!$A40="","",places!$B40)</f>
        <v>Miraflores</v>
      </c>
      <c r="C41" s="11" t="str">
        <f>IF(places!$A40="","",places!$Y40)</f>
        <v>Town</v>
      </c>
      <c r="D41" s="12">
        <v>9.0014699999999994</v>
      </c>
      <c r="E41" s="12">
        <v>-79.581879999999998</v>
      </c>
      <c r="F41" s="12" t="s">
        <v>31</v>
      </c>
      <c r="G41" s="12" t="s">
        <v>33</v>
      </c>
    </row>
    <row r="42" spans="1:7" ht="15" customHeight="1" x14ac:dyDescent="0.2">
      <c r="A42" s="2" t="str">
        <f>IF(places!$A41="","",places!$A41)</f>
        <v>CZ-029</v>
      </c>
      <c r="B42" s="3" t="str">
        <f>IF(places!$A41="","",places!$B41)</f>
        <v>Cucaracha</v>
      </c>
      <c r="C42" s="11" t="str">
        <f>IF(places!$A41="","",places!$Y41)</f>
        <v>Town</v>
      </c>
      <c r="D42" s="12">
        <v>9.0312699999999992</v>
      </c>
      <c r="E42" s="12">
        <v>-79.633669999999995</v>
      </c>
      <c r="F42" s="12" t="s">
        <v>31</v>
      </c>
      <c r="G42" s="12" t="s">
        <v>33</v>
      </c>
    </row>
    <row r="43" spans="1:7" ht="15" customHeight="1" x14ac:dyDescent="0.2">
      <c r="A43" s="2" t="str">
        <f>IF(places!$A42="","",places!$A42)</f>
        <v>CZ-030</v>
      </c>
      <c r="B43" s="3" t="str">
        <f>IF(places!$A42="","",places!$B42)</f>
        <v>Mindi</v>
      </c>
      <c r="C43" s="11" t="str">
        <f>IF(places!$A42="","",places!$Y42)</f>
        <v>Town</v>
      </c>
      <c r="D43" s="12">
        <v>9.3156099999999995</v>
      </c>
      <c r="E43" s="12">
        <v>-79.920860000000005</v>
      </c>
      <c r="F43" s="12" t="s">
        <v>12</v>
      </c>
      <c r="G43" s="12" t="s">
        <v>40</v>
      </c>
    </row>
    <row r="44" spans="1:7" ht="15" customHeight="1" x14ac:dyDescent="0.2">
      <c r="A44" s="2" t="str">
        <f>IF(places!$A43="","",places!$A43)</f>
        <v>CZ-031</v>
      </c>
      <c r="B44" s="3" t="str">
        <f>IF(places!$A43="","",places!$B43)</f>
        <v>Buena Vista</v>
      </c>
      <c r="C44" s="11" t="str">
        <f>IF(places!$A43="","",places!$Y43)</f>
        <v>Town</v>
      </c>
      <c r="D44" s="12">
        <v>9.1847899999999996</v>
      </c>
      <c r="E44" s="12">
        <v>-79.828909999999993</v>
      </c>
      <c r="F44" s="12" t="s">
        <v>31</v>
      </c>
      <c r="G44" s="12" t="s">
        <v>33</v>
      </c>
    </row>
    <row r="45" spans="1:7" ht="15" customHeight="1" x14ac:dyDescent="0.2">
      <c r="A45" s="2" t="str">
        <f>IF(places!$A44="","",places!$A44)</f>
        <v>CZ-032</v>
      </c>
      <c r="B45" s="3" t="str">
        <f>IF(places!$A44="","",places!$B44)</f>
        <v>Lion Hill</v>
      </c>
      <c r="C45" s="11" t="str">
        <f>IF(places!$A44="","",places!$Y44)</f>
        <v>Town</v>
      </c>
      <c r="D45" s="12">
        <v>9.2280700000000007</v>
      </c>
      <c r="E45" s="12">
        <v>-79.904769999999999</v>
      </c>
      <c r="F45" s="12" t="s">
        <v>12</v>
      </c>
      <c r="G45" s="12" t="s">
        <v>11</v>
      </c>
    </row>
    <row r="46" spans="1:7" ht="15" customHeight="1" x14ac:dyDescent="0.2">
      <c r="A46" s="2" t="str">
        <f>IF(places!$A45="","",places!$A45)</f>
        <v>CZ-033</v>
      </c>
      <c r="B46" s="3" t="str">
        <f>IF(places!$A45="","",places!$B45)</f>
        <v>Tiger Hill</v>
      </c>
      <c r="C46" s="11" t="str">
        <f>IF(places!$A45="","",places!$Y45)</f>
        <v>Town</v>
      </c>
      <c r="D46" s="12">
        <v>9.2322790000000001</v>
      </c>
      <c r="E46" s="12">
        <v>-79.906205</v>
      </c>
      <c r="F46" s="12" t="s">
        <v>41</v>
      </c>
      <c r="G46" s="12" t="s">
        <v>42</v>
      </c>
    </row>
    <row r="47" spans="1:7" ht="15" customHeight="1" x14ac:dyDescent="0.2">
      <c r="A47" s="2" t="str">
        <f>IF(places!$A46="","",places!$A46)</f>
        <v>CZ-034</v>
      </c>
      <c r="B47" s="3" t="str">
        <f>IF(places!$A46="","",places!$B46)</f>
        <v>Mamei</v>
      </c>
      <c r="C47" s="11" t="str">
        <f>IF(places!$A46="","",places!$Y46)</f>
        <v>Town</v>
      </c>
      <c r="D47" s="12">
        <v>9.1173500000000001</v>
      </c>
      <c r="E47" s="12">
        <v>-79.757339999999999</v>
      </c>
      <c r="F47" s="12" t="s">
        <v>15</v>
      </c>
      <c r="G47" s="12" t="s">
        <v>43</v>
      </c>
    </row>
    <row r="48" spans="1:7" ht="15" customHeight="1" x14ac:dyDescent="0.2">
      <c r="A48" s="2" t="str">
        <f>IF(places!$A47="","",places!$A47)</f>
        <v>CZ-035</v>
      </c>
      <c r="B48" s="3" t="str">
        <f>IF(places!$A47="","",places!$B47)</f>
        <v>Camp Elliott</v>
      </c>
      <c r="C48" s="11" t="str">
        <f>IF(places!$A47="","",places!$Y47)</f>
        <v>Town</v>
      </c>
      <c r="D48" s="12">
        <v>9.0966699999999996</v>
      </c>
      <c r="E48" s="12">
        <v>-79.699809999999999</v>
      </c>
      <c r="F48" s="12" t="s">
        <v>31</v>
      </c>
      <c r="G48" s="12" t="s">
        <v>33</v>
      </c>
    </row>
    <row r="49" spans="1:7" ht="15" customHeight="1" x14ac:dyDescent="0.2">
      <c r="A49" s="2" t="str">
        <f>IF(places!$A48="","",places!$A48)</f>
        <v>CZ-036</v>
      </c>
      <c r="B49" s="3" t="str">
        <f>IF(places!$A48="","",places!$B48)</f>
        <v>Monte Lirio</v>
      </c>
      <c r="C49" s="11" t="str">
        <f>IF(places!$A48="","",places!$Y48)</f>
        <v>Town</v>
      </c>
      <c r="D49" s="12">
        <v>9.2472999999999992</v>
      </c>
      <c r="E49" s="12">
        <v>-79.870459999999994</v>
      </c>
      <c r="F49" s="12" t="s">
        <v>7</v>
      </c>
      <c r="G49" s="12" t="s">
        <v>44</v>
      </c>
    </row>
    <row r="50" spans="1:7" ht="15" customHeight="1" x14ac:dyDescent="0.2">
      <c r="A50" s="2" t="str">
        <f>IF(places!$A49="","",places!$A49)</f>
        <v>CZ-037</v>
      </c>
      <c r="B50" s="3" t="str">
        <f>IF(places!$A49="","",places!$B49)</f>
        <v>Toro Point</v>
      </c>
      <c r="C50" s="11" t="str">
        <f>IF(places!$A49="","",places!$Y49)</f>
        <v>Town</v>
      </c>
      <c r="D50" s="12">
        <v>9.3695500000000003</v>
      </c>
      <c r="E50" s="12">
        <v>-79.947069999999997</v>
      </c>
      <c r="F50" s="12" t="s">
        <v>31</v>
      </c>
      <c r="G50" s="12" t="s">
        <v>33</v>
      </c>
    </row>
    <row r="51" spans="1:7" ht="15" customHeight="1" x14ac:dyDescent="0.2">
      <c r="A51" s="2" t="str">
        <f>IF(places!$A50="","",places!$A50)</f>
        <v>CZ-039</v>
      </c>
      <c r="B51" s="3" t="str">
        <f>IF(places!$A50="","",places!$B50)</f>
        <v>Balboa</v>
      </c>
      <c r="C51" s="11" t="str">
        <f>IF(places!$A50="","",places!$Y50)</f>
        <v>Town</v>
      </c>
      <c r="D51" s="12">
        <v>8.9633000000000003</v>
      </c>
      <c r="E51" s="12">
        <v>-79.572900000000004</v>
      </c>
      <c r="F51" s="12" t="s">
        <v>45</v>
      </c>
      <c r="G51" s="12" t="s">
        <v>46</v>
      </c>
    </row>
    <row r="52" spans="1:7" ht="15" customHeight="1" x14ac:dyDescent="0.2">
      <c r="A52" s="2" t="str">
        <f>IF(places!$A51="","",places!$A51)</f>
        <v>CZ-040</v>
      </c>
      <c r="B52" s="3" t="str">
        <f>IF(places!$A51="","",places!$B51)</f>
        <v>Mount Hope</v>
      </c>
      <c r="C52" s="11" t="str">
        <f>IF(places!$A51="","",places!$Y51)</f>
        <v>Town</v>
      </c>
      <c r="D52" s="12">
        <v>9.33582</v>
      </c>
      <c r="E52" s="12">
        <v>-79.892790000000005</v>
      </c>
      <c r="F52" s="12" t="s">
        <v>7</v>
      </c>
      <c r="G52" s="12" t="s">
        <v>47</v>
      </c>
    </row>
    <row r="53" spans="1:7" ht="15" customHeight="1" x14ac:dyDescent="0.2">
      <c r="A53" s="2" t="str">
        <f>IF(places!$A52="","",places!$A52)</f>
        <v>CZ-041</v>
      </c>
      <c r="B53" s="3" t="str">
        <f>IF(places!$A52="","",places!$B52)</f>
        <v>Taboga</v>
      </c>
      <c r="C53" s="11" t="str">
        <f>IF(places!$A52="","",places!$Y52)</f>
        <v>Town</v>
      </c>
      <c r="D53" s="12">
        <v>8.7942999999999998</v>
      </c>
      <c r="E53" s="12">
        <v>-79.55471</v>
      </c>
      <c r="F53" s="12" t="s">
        <v>31</v>
      </c>
      <c r="G53" s="12" t="s">
        <v>48</v>
      </c>
    </row>
    <row r="54" spans="1:7" ht="15" customHeight="1" x14ac:dyDescent="0.2">
      <c r="A54" s="2" t="str">
        <f>IF(places!$A53="","",places!$A53)</f>
        <v>CZ-042</v>
      </c>
      <c r="B54" s="3" t="str">
        <f>IF(places!$A53="","",places!$B53)</f>
        <v>Porto Bello</v>
      </c>
      <c r="C54" s="11" t="str">
        <f>IF(places!$A53="","",places!$Y53)</f>
        <v>Town</v>
      </c>
      <c r="D54" s="12">
        <v>9.5538100000000004</v>
      </c>
      <c r="E54" s="12">
        <v>-79.654920000000004</v>
      </c>
      <c r="F54" s="12" t="s">
        <v>31</v>
      </c>
      <c r="G54" s="12" t="s">
        <v>48</v>
      </c>
    </row>
    <row r="55" spans="1:7" ht="15" customHeight="1" x14ac:dyDescent="0.2">
      <c r="A55" s="2" t="str">
        <f>IF(places!$A54="","",places!$A54)</f>
        <v>CZ-043</v>
      </c>
      <c r="B55" s="3" t="str">
        <f>IF(places!$A54="","",places!$B54)</f>
        <v>Alhajuela</v>
      </c>
      <c r="C55" s="11" t="str">
        <f>IF(places!$A54="","",places!$Y54)</f>
        <v>Town</v>
      </c>
      <c r="D55" s="12">
        <v>9.2063000000000006</v>
      </c>
      <c r="E55" s="12">
        <v>-79.605099999999993</v>
      </c>
      <c r="F55" s="12" t="s">
        <v>7</v>
      </c>
      <c r="G55" s="12" t="s">
        <v>49</v>
      </c>
    </row>
    <row r="56" spans="1:7" ht="15" customHeight="1" x14ac:dyDescent="0.2">
      <c r="A56" s="2" t="str">
        <f>IF(places!$A55="","",places!$A55)</f>
        <v>CZ-044</v>
      </c>
      <c r="B56" s="3" t="str">
        <f>IF(places!$A55="","",places!$B55)</f>
        <v>Juan Grande</v>
      </c>
      <c r="C56" s="11" t="str">
        <f>IF(places!$A55="","",places!$Y55)</f>
        <v>Town</v>
      </c>
      <c r="D56" s="12">
        <v>9.1177299999999999</v>
      </c>
      <c r="E56" s="12">
        <v>-79.740099999999998</v>
      </c>
      <c r="F56" s="12" t="s">
        <v>9</v>
      </c>
      <c r="G56" s="12" t="s">
        <v>11</v>
      </c>
    </row>
    <row r="57" spans="1:7" ht="15" customHeight="1" x14ac:dyDescent="0.2">
      <c r="A57" s="2" t="str">
        <f>IF(places!$A56="","",places!$A56)</f>
        <v>CZ-045</v>
      </c>
      <c r="B57" s="3" t="str">
        <f>IF(places!$A56="","",places!$B56)</f>
        <v>Gatuncillo</v>
      </c>
      <c r="C57" s="11" t="str">
        <f>IF(places!$A56="","",places!$Y56)</f>
        <v>Town</v>
      </c>
      <c r="D57" s="12"/>
      <c r="E57" s="12"/>
      <c r="F57" s="12"/>
      <c r="G57" s="12"/>
    </row>
    <row r="58" spans="1:7" ht="15" customHeight="1" x14ac:dyDescent="0.2">
      <c r="A58" s="2" t="str">
        <f>IF(places!$A57="","",places!$A57)</f>
        <v>CZ-046</v>
      </c>
      <c r="B58" s="3" t="str">
        <f>IF(places!$A57="","",places!$B57)</f>
        <v>Balboa Heights</v>
      </c>
      <c r="C58" s="11" t="str">
        <f>IF(places!$A57="","",places!$Y57)</f>
        <v>Town</v>
      </c>
      <c r="D58" s="12">
        <v>8.9610859999999999</v>
      </c>
      <c r="E58" s="12">
        <v>-79.557709000000003</v>
      </c>
      <c r="F58" s="12" t="s">
        <v>50</v>
      </c>
      <c r="G58" s="12" t="s">
        <v>51</v>
      </c>
    </row>
    <row r="59" spans="1:7" ht="15" customHeight="1" x14ac:dyDescent="0.2">
      <c r="A59" s="2" t="str">
        <f>IF(places!$A58="","",places!$A58)</f>
        <v>CZ-047</v>
      </c>
      <c r="B59" s="3" t="str">
        <f>IF(places!$A58="","",places!$B58)</f>
        <v>Chagres</v>
      </c>
      <c r="C59" s="11" t="str">
        <f>IF(places!$A58="","",places!$Y58)</f>
        <v>Town</v>
      </c>
      <c r="D59" s="12">
        <v>9.3108299999999993</v>
      </c>
      <c r="E59" s="12">
        <v>-79.997870000000006</v>
      </c>
      <c r="F59" s="12" t="s">
        <v>7</v>
      </c>
      <c r="G59" s="12" t="s">
        <v>52</v>
      </c>
    </row>
    <row r="60" spans="1:7" ht="15" customHeight="1" x14ac:dyDescent="0.2">
      <c r="A60" s="2" t="str">
        <f>IF(places!$A59="","",places!$A59)</f>
        <v>CZ-048</v>
      </c>
      <c r="B60" s="3" t="str">
        <f>IF(places!$A59="","",places!$B59)</f>
        <v>Palo Seco</v>
      </c>
      <c r="C60" s="11" t="str">
        <f>IF(places!$A59="","",places!$Y59)</f>
        <v>Site/Institution</v>
      </c>
      <c r="D60" s="12">
        <v>8.9142919999999997</v>
      </c>
      <c r="E60" s="12">
        <v>-79.570660000000004</v>
      </c>
      <c r="F60" s="12" t="s">
        <v>53</v>
      </c>
      <c r="G60" s="12" t="s">
        <v>54</v>
      </c>
    </row>
    <row r="61" spans="1:7" ht="15" customHeight="1" x14ac:dyDescent="0.2">
      <c r="A61" s="2" t="str">
        <f>IF(places!$A60="","",places!$A60)</f>
        <v>CZ-049</v>
      </c>
      <c r="B61" s="3" t="str">
        <f>IF(places!$A60="","",places!$B60)</f>
        <v>Darien</v>
      </c>
      <c r="C61" s="11" t="str">
        <f>IF(places!$A60="","",places!$Y60)</f>
        <v>Town</v>
      </c>
      <c r="D61" s="12">
        <v>9.1190200000000008</v>
      </c>
      <c r="E61" s="12">
        <v>-79.774445</v>
      </c>
      <c r="F61" s="12" t="s">
        <v>55</v>
      </c>
      <c r="G61" s="12" t="s">
        <v>56</v>
      </c>
    </row>
    <row r="62" spans="1:7" ht="15" customHeight="1" x14ac:dyDescent="0.2">
      <c r="A62" s="2" t="str">
        <f>IF(places!$A61="","",places!$A61)</f>
        <v>CZ-050</v>
      </c>
      <c r="B62" s="3" t="str">
        <f>IF(places!$A61="","",places!$B61)</f>
        <v>Summit</v>
      </c>
      <c r="C62" s="11" t="str">
        <f>IF(places!$A61="","",places!$Y61)</f>
        <v>Town</v>
      </c>
      <c r="D62" s="12">
        <v>9.0635829999999995</v>
      </c>
      <c r="E62" s="12">
        <v>-79.653580000000005</v>
      </c>
      <c r="F62" s="12" t="s">
        <v>57</v>
      </c>
      <c r="G62" s="12" t="s">
        <v>58</v>
      </c>
    </row>
    <row r="63" spans="1:7" ht="15" customHeight="1" x14ac:dyDescent="0.2">
      <c r="A63" s="2" t="str">
        <f>IF(places!$A62="","",places!$A62)</f>
        <v>CZ-051</v>
      </c>
      <c r="B63" s="3" t="str">
        <f>IF(places!$A62="","",places!$B62)</f>
        <v>Red Tank</v>
      </c>
      <c r="C63" s="11" t="str">
        <f>IF(places!$A62="","",places!$Y62)</f>
        <v>Town</v>
      </c>
      <c r="D63" s="12">
        <v>9.0181070000000005</v>
      </c>
      <c r="E63" s="12">
        <v>-79.594194000000002</v>
      </c>
      <c r="F63" s="12" t="s">
        <v>55</v>
      </c>
      <c r="G63" s="12" t="s">
        <v>59</v>
      </c>
    </row>
    <row r="64" spans="1:7" ht="15" customHeight="1" x14ac:dyDescent="0.2">
      <c r="A64" s="2" t="str">
        <f>IF(places!$A63="","",places!$A63)</f>
        <v>CZ-052</v>
      </c>
      <c r="B64" s="3" t="str">
        <f>IF(places!$A63="","",places!$B63)</f>
        <v>Camacho</v>
      </c>
      <c r="C64" s="11" t="str">
        <f>IF(places!$A63="","",places!$Y63)</f>
        <v>Town</v>
      </c>
      <c r="D64" s="12">
        <v>9.05199</v>
      </c>
      <c r="E64" s="12">
        <v>-79.663560000000004</v>
      </c>
      <c r="F64" s="12" t="s">
        <v>7</v>
      </c>
      <c r="G64" s="12" t="s">
        <v>47</v>
      </c>
    </row>
    <row r="65" spans="1:7" ht="15" customHeight="1" x14ac:dyDescent="0.2">
      <c r="A65" s="2" t="str">
        <f>IF(places!$A64="","",places!$A64)</f>
        <v>CZ-053</v>
      </c>
      <c r="B65" s="3" t="str">
        <f>IF(places!$A64="","",places!$B64)</f>
        <v>Naos Island</v>
      </c>
      <c r="C65" s="11" t="str">
        <f>IF(places!$A64="","",places!$Y64)</f>
        <v>Town</v>
      </c>
      <c r="D65" s="12">
        <v>8.9151000000000007</v>
      </c>
      <c r="E65" s="12">
        <v>-79.532480000000007</v>
      </c>
      <c r="F65" s="12" t="s">
        <v>7</v>
      </c>
      <c r="G65" s="12" t="s">
        <v>47</v>
      </c>
    </row>
    <row r="66" spans="1:7" ht="15" customHeight="1" x14ac:dyDescent="0.2">
      <c r="A66" s="2" t="str">
        <f>IF(places!$A65="","",places!$A65)</f>
        <v>CZ-054</v>
      </c>
      <c r="B66" s="3" t="str">
        <f>IF(places!$A65="","",places!$B65)</f>
        <v>El Vigia</v>
      </c>
      <c r="C66" s="11" t="str">
        <f>IF(places!$A65="","",places!$Y65)</f>
        <v>Town</v>
      </c>
      <c r="D66" s="12">
        <v>9.2178000000000004</v>
      </c>
      <c r="E66" s="12">
        <v>-79.592299999999994</v>
      </c>
      <c r="F66" s="12" t="s">
        <v>31</v>
      </c>
      <c r="G66" s="12" t="s">
        <v>60</v>
      </c>
    </row>
    <row r="67" spans="1:7" ht="15" customHeight="1" x14ac:dyDescent="0.2">
      <c r="A67" s="2" t="str">
        <f>IF(places!$A66="","",places!$A66)</f>
        <v>CZ-055</v>
      </c>
      <c r="B67" s="3" t="str">
        <f>IF(places!$A66="","",places!$B66)</f>
        <v>Diablo</v>
      </c>
      <c r="C67" s="11" t="str">
        <f>IF(places!$A66="","",places!$Y66)</f>
        <v>Town</v>
      </c>
      <c r="D67" s="12">
        <v>8.9718280000000004</v>
      </c>
      <c r="E67" s="12">
        <v>-79.580679000000003</v>
      </c>
      <c r="F67" s="12" t="s">
        <v>55</v>
      </c>
      <c r="G67" s="12" t="s">
        <v>59</v>
      </c>
    </row>
    <row r="68" spans="1:7" ht="15" customHeight="1" x14ac:dyDescent="0.2">
      <c r="A68" s="2" t="str">
        <f>IF(places!$A67="","",places!$A67)</f>
        <v>CZ-056</v>
      </c>
      <c r="B68" s="3" t="str">
        <f>IF(places!$A67="","",places!$B67)</f>
        <v>Agua Clara</v>
      </c>
      <c r="C68" s="11" t="str">
        <f>IF(places!$A67="","",places!$Y67)</f>
        <v>Town</v>
      </c>
      <c r="D68" s="12"/>
      <c r="E68" s="12"/>
      <c r="F68" s="12"/>
      <c r="G68" s="12"/>
    </row>
    <row r="69" spans="1:7" ht="15" customHeight="1" x14ac:dyDescent="0.2">
      <c r="A69" s="2" t="str">
        <f>IF(places!$A68="","",places!$A68)</f>
        <v>CZ-057</v>
      </c>
      <c r="B69" s="3" t="str">
        <f>IF(places!$A68="","",places!$B68)</f>
        <v>Juan Mina</v>
      </c>
      <c r="C69" s="11" t="str">
        <f>IF(places!$A68="","",places!$Y68)</f>
        <v>Town</v>
      </c>
      <c r="D69" s="12">
        <v>9.1664999999999992</v>
      </c>
      <c r="E69" s="12">
        <v>-79.6477</v>
      </c>
      <c r="F69" s="12" t="s">
        <v>7</v>
      </c>
      <c r="G69" s="12" t="s">
        <v>61</v>
      </c>
    </row>
    <row r="70" spans="1:7" ht="15" customHeight="1" x14ac:dyDescent="0.2">
      <c r="A70" s="2" t="str">
        <f>IF(places!$A69="","",places!$A69)</f>
        <v>CZ-058</v>
      </c>
      <c r="B70" s="3" t="str">
        <f>IF(places!$A69="","",places!$B69)</f>
        <v>Enterprise</v>
      </c>
      <c r="C70" s="11" t="str">
        <f>IF(places!$A69="","",places!$Y69)</f>
        <v>Town</v>
      </c>
      <c r="D70" s="12">
        <v>9.0376100000000008</v>
      </c>
      <c r="E70" s="12">
        <v>-79.648880000000005</v>
      </c>
      <c r="F70" s="12" t="s">
        <v>7</v>
      </c>
      <c r="G70" s="12" t="s">
        <v>47</v>
      </c>
    </row>
    <row r="71" spans="1:7" ht="15" customHeight="1" x14ac:dyDescent="0.2">
      <c r="A71" s="2" t="str">
        <f>IF(places!$A70="","",places!$A70)</f>
        <v>CZ-059</v>
      </c>
      <c r="B71" s="3" t="str">
        <f>IF(places!$A70="","",places!$B70)</f>
        <v>Whitehouse</v>
      </c>
      <c r="C71" s="11" t="str">
        <f>IF(places!$A70="","",places!$Y70)</f>
        <v>Town</v>
      </c>
      <c r="D71" s="12">
        <v>9.0826890000000002</v>
      </c>
      <c r="E71" s="12">
        <v>-79.679139000000006</v>
      </c>
      <c r="F71" s="12" t="s">
        <v>62</v>
      </c>
      <c r="G71" s="12" t="s">
        <v>63</v>
      </c>
    </row>
    <row r="72" spans="1:7" ht="15" customHeight="1" x14ac:dyDescent="0.2">
      <c r="A72" s="2" t="str">
        <f>IF(places!$A71="","",places!$A71)</f>
        <v>CZ-060</v>
      </c>
      <c r="B72" s="3" t="str">
        <f>IF(places!$A71="","",places!$B71)</f>
        <v>Vamos Vamos</v>
      </c>
      <c r="C72" s="11" t="str">
        <f>IF(places!$A71="","",places!$Y71)</f>
        <v>Town</v>
      </c>
      <c r="D72" s="12">
        <v>9.1903000000000006</v>
      </c>
      <c r="E72" s="12">
        <v>-79.881799999999998</v>
      </c>
      <c r="F72" s="12" t="s">
        <v>64</v>
      </c>
      <c r="G72" s="12" t="s">
        <v>65</v>
      </c>
    </row>
    <row r="73" spans="1:7" ht="15" customHeight="1" x14ac:dyDescent="0.2">
      <c r="A73" s="2" t="str">
        <f>IF(places!$A72="","",places!$A72)</f>
        <v>CZ-061</v>
      </c>
      <c r="B73" s="3" t="str">
        <f>IF(places!$A72="","",places!$B72)</f>
        <v>Pena Blanca</v>
      </c>
      <c r="C73" s="11" t="str">
        <f>IF(places!$A72="","",places!$Y72)</f>
        <v>Town</v>
      </c>
      <c r="D73" s="12">
        <v>9.1789000000000005</v>
      </c>
      <c r="E73" s="12">
        <v>-79.870339999999999</v>
      </c>
      <c r="F73" s="12" t="s">
        <v>31</v>
      </c>
      <c r="G73" s="12" t="s">
        <v>33</v>
      </c>
    </row>
    <row r="74" spans="1:7" ht="15" customHeight="1" x14ac:dyDescent="0.2">
      <c r="A74" s="2" t="str">
        <f>IF(places!$A73="","",places!$A73)</f>
        <v>CZ-062</v>
      </c>
      <c r="B74" s="3" t="str">
        <f>IF(places!$A73="","",places!$B73)</f>
        <v>Cartagenita</v>
      </c>
      <c r="C74" s="11" t="str">
        <f>IF(places!$A73="","",places!$Y73)</f>
        <v>Town</v>
      </c>
      <c r="D74" s="12">
        <v>9.0227380000000004</v>
      </c>
      <c r="E74" s="12">
        <v>-79.627855999999994</v>
      </c>
      <c r="F74" s="12" t="s">
        <v>62</v>
      </c>
      <c r="G74" s="12" t="s">
        <v>66</v>
      </c>
    </row>
    <row r="75" spans="1:7" ht="15" customHeight="1" x14ac:dyDescent="0.2">
      <c r="A75" s="2" t="str">
        <f>IF(places!$A74="","",places!$A74)</f>
        <v>CZ-063</v>
      </c>
      <c r="B75" s="3" t="str">
        <f>IF(places!$A74="","",places!$B74)</f>
        <v>Palo Grande</v>
      </c>
      <c r="C75" s="11" t="str">
        <f>IF(places!$A74="","",places!$Y74)</f>
        <v>Town</v>
      </c>
      <c r="D75" s="12">
        <v>9.1362000000000005</v>
      </c>
      <c r="E75" s="12">
        <v>-79.672700000000006</v>
      </c>
      <c r="F75" s="12" t="s">
        <v>31</v>
      </c>
      <c r="G75" s="12" t="s">
        <v>67</v>
      </c>
    </row>
    <row r="76" spans="1:7" ht="15" customHeight="1" x14ac:dyDescent="0.2">
      <c r="A76" s="2" t="str">
        <f>IF(places!$A75="","",places!$A75)</f>
        <v>CZ-064</v>
      </c>
      <c r="B76" s="3" t="str">
        <f>IF(places!$A75="","",places!$B75)</f>
        <v>Cocoli</v>
      </c>
      <c r="C76" s="11" t="str">
        <f>IF(places!$A75="","",places!$Y75)</f>
        <v>Town</v>
      </c>
      <c r="D76" s="12">
        <v>8.9892500000000002</v>
      </c>
      <c r="E76" s="12">
        <v>-79.589100000000002</v>
      </c>
      <c r="F76" s="12" t="s">
        <v>7</v>
      </c>
      <c r="G76" s="12" t="s">
        <v>47</v>
      </c>
    </row>
    <row r="77" spans="1:7" ht="15" customHeight="1" x14ac:dyDescent="0.2">
      <c r="A77" s="2" t="str">
        <f>IF(places!$A76="","",places!$A76)</f>
        <v>CZ-065</v>
      </c>
      <c r="B77" s="3" t="str">
        <f>IF(places!$A76="","",places!$B76)</f>
        <v>Margarita</v>
      </c>
      <c r="C77" s="11" t="str">
        <f>IF(places!$A76="","",places!$Y76)</f>
        <v>Town</v>
      </c>
      <c r="D77" s="12">
        <v>9.3287910000000007</v>
      </c>
      <c r="E77" s="12">
        <v>-79.892111999999997</v>
      </c>
      <c r="F77" s="12" t="s">
        <v>55</v>
      </c>
      <c r="G77" s="12" t="s">
        <v>59</v>
      </c>
    </row>
    <row r="78" spans="1:7" ht="15" customHeight="1" x14ac:dyDescent="0.2">
      <c r="A78" s="2" t="str">
        <f>IF(places!$A77="","",places!$A77)</f>
        <v>CZ-066</v>
      </c>
      <c r="B78" s="3" t="str">
        <f>IF(places!$A77="","",places!$B77)</f>
        <v>Coco Solo</v>
      </c>
      <c r="C78" s="11" t="str">
        <f>IF(places!$A77="","",places!$Y77)</f>
        <v>Town</v>
      </c>
      <c r="D78" s="12">
        <v>9.3698180000000004</v>
      </c>
      <c r="E78" s="12">
        <v>-79.872309999999999</v>
      </c>
      <c r="F78" s="12" t="s">
        <v>55</v>
      </c>
      <c r="G78" s="12" t="s">
        <v>59</v>
      </c>
    </row>
    <row r="79" spans="1:7" ht="15" customHeight="1" x14ac:dyDescent="0.2">
      <c r="A79" s="2" t="str">
        <f>IF(places!$A78="","",places!$A78)</f>
        <v>CZ-067</v>
      </c>
      <c r="B79" s="3" t="str">
        <f>IF(places!$A78="","",places!$B78)</f>
        <v>Fort Clayton</v>
      </c>
      <c r="C79" s="11" t="str">
        <f>IF(places!$A78="","",places!$Y78)</f>
        <v>Town</v>
      </c>
      <c r="D79" s="12">
        <v>9.0034340000000004</v>
      </c>
      <c r="E79" s="12">
        <v>-79.588109000000003</v>
      </c>
      <c r="F79" s="12" t="s">
        <v>55</v>
      </c>
      <c r="G79" s="12" t="s">
        <v>59</v>
      </c>
    </row>
    <row r="80" spans="1:7" ht="15" customHeight="1" x14ac:dyDescent="0.2">
      <c r="A80" s="2" t="str">
        <f>IF(places!$A79="","",places!$A79)</f>
        <v>CZ-068</v>
      </c>
      <c r="B80" s="3" t="str">
        <f>IF(places!$A79="","",places!$B79)</f>
        <v>Fort Davis</v>
      </c>
      <c r="C80" s="11" t="str">
        <f>IF(places!$A79="","",places!$Y79)</f>
        <v>Town</v>
      </c>
      <c r="D80" s="12">
        <v>9.2956009999999996</v>
      </c>
      <c r="E80" s="12">
        <v>-79.892565000000005</v>
      </c>
      <c r="F80" s="12" t="s">
        <v>55</v>
      </c>
      <c r="G80" s="12" t="s">
        <v>59</v>
      </c>
    </row>
    <row r="81" spans="1:7" ht="15" customHeight="1" x14ac:dyDescent="0.2">
      <c r="A81" s="2" t="str">
        <f>IF(places!$A80="","",places!$A80)</f>
        <v>CZ-069</v>
      </c>
      <c r="B81" s="3" t="str">
        <f>IF(places!$A80="","",places!$B80)</f>
        <v>Fort Sherman</v>
      </c>
      <c r="C81" s="11" t="str">
        <f>IF(places!$A80="","",places!$Y80)</f>
        <v>Town</v>
      </c>
      <c r="D81" s="12">
        <v>9.3660209999999999</v>
      </c>
      <c r="E81" s="12">
        <v>-79.942736999999994</v>
      </c>
      <c r="F81" s="12" t="s">
        <v>55</v>
      </c>
      <c r="G81" s="12" t="s">
        <v>68</v>
      </c>
    </row>
    <row r="82" spans="1:7" ht="15" customHeight="1" x14ac:dyDescent="0.2">
      <c r="A82" s="2" t="str">
        <f>IF(places!$A81="","",places!$A81)</f>
        <v>CZ-070</v>
      </c>
      <c r="B82" s="3" t="str">
        <f>IF(places!$A81="","",places!$B81)</f>
        <v>Fort Amador</v>
      </c>
      <c r="C82" s="11" t="str">
        <f>IF(places!$A81="","",places!$Y81)</f>
        <v>Town</v>
      </c>
      <c r="D82" s="12">
        <v>8.9386569999999992</v>
      </c>
      <c r="E82" s="12">
        <v>-79.540859999999995</v>
      </c>
      <c r="F82" s="12" t="s">
        <v>55</v>
      </c>
      <c r="G82" s="12" t="s">
        <v>59</v>
      </c>
    </row>
    <row r="83" spans="1:7" ht="15" customHeight="1" x14ac:dyDescent="0.2">
      <c r="A83" s="2" t="str">
        <f>IF(places!$A82="","",places!$A82)</f>
        <v>CZ-071</v>
      </c>
      <c r="B83" s="3" t="str">
        <f>IF(places!$A82="","",places!$B82)</f>
        <v>Albrook Field</v>
      </c>
      <c r="C83" s="11" t="str">
        <f>IF(places!$A82="","",places!$Y82)</f>
        <v>Town</v>
      </c>
      <c r="D83" s="12">
        <v>8.9738710000000008</v>
      </c>
      <c r="E83" s="12">
        <v>-79.557715999999999</v>
      </c>
      <c r="F83" s="12" t="s">
        <v>55</v>
      </c>
      <c r="G83" s="12" t="s">
        <v>59</v>
      </c>
    </row>
    <row r="84" spans="1:7" ht="15" customHeight="1" x14ac:dyDescent="0.2">
      <c r="A84" s="2" t="str">
        <f>IF(places!$A83="","",places!$A83)</f>
        <v>CZ-072</v>
      </c>
      <c r="B84" s="3" t="str">
        <f>IF(places!$A83="","",places!$B83)</f>
        <v>Quarry Heights</v>
      </c>
      <c r="C84" s="11" t="str">
        <f>IF(places!$A83="","",places!$Y83)</f>
        <v>Town</v>
      </c>
      <c r="D84" s="12">
        <v>8.9567700000000006</v>
      </c>
      <c r="E84" s="12">
        <v>-79.552678</v>
      </c>
      <c r="F84" s="12" t="s">
        <v>50</v>
      </c>
      <c r="G84" s="12" t="s">
        <v>69</v>
      </c>
    </row>
    <row r="85" spans="1:7" ht="15" customHeight="1" x14ac:dyDescent="0.2">
      <c r="A85" s="2" t="str">
        <f>IF(places!$A84="","",places!$A84)</f>
        <v>CZ-073</v>
      </c>
      <c r="B85" s="3" t="str">
        <f>IF(places!$A84="","",places!$B84)</f>
        <v>Barro Colorado Island</v>
      </c>
      <c r="C85" s="11" t="str">
        <f>IF(places!$A84="","",places!$Y84)</f>
        <v>Site/Institution</v>
      </c>
      <c r="D85" s="12">
        <v>9.1440429999999999</v>
      </c>
      <c r="E85" s="12">
        <v>-79.853365999999994</v>
      </c>
      <c r="F85" s="12" t="s">
        <v>55</v>
      </c>
      <c r="G85" s="12" t="s">
        <v>56</v>
      </c>
    </row>
    <row r="86" spans="1:7" ht="15" customHeight="1" x14ac:dyDescent="0.2">
      <c r="A86" s="2" t="str">
        <f>IF(places!$A85="","",places!$A85)</f>
        <v>CZ-074</v>
      </c>
      <c r="B86" s="3" t="str">
        <f>IF(places!$A85="","",places!$B85)</f>
        <v>Isla Vista</v>
      </c>
      <c r="C86" s="11" t="str">
        <f>IF(places!$A85="","",places!$Y85)</f>
        <v>Town</v>
      </c>
      <c r="D86" s="13">
        <v>9.1832799999999999</v>
      </c>
      <c r="E86" s="13">
        <v>-79.829089999999994</v>
      </c>
      <c r="F86" s="13" t="s">
        <v>15</v>
      </c>
      <c r="G86" s="13" t="s">
        <v>70</v>
      </c>
    </row>
    <row r="87" spans="1:7" ht="15" customHeight="1" x14ac:dyDescent="0.2">
      <c r="A87" s="2" t="str">
        <f>IF(places!$A86="","",places!$A86)</f>
        <v>CZ-075</v>
      </c>
      <c r="B87" s="3" t="str">
        <f>IF(places!$A86="","",places!$B86)</f>
        <v>Haut Obispo</v>
      </c>
      <c r="C87" s="11" t="str">
        <f>IF(places!$A86="","",places!$Y86)</f>
        <v>Town</v>
      </c>
      <c r="D87" s="13">
        <v>9.0977189999999997</v>
      </c>
      <c r="E87" s="13">
        <v>-79.685924</v>
      </c>
      <c r="F87" s="13" t="s">
        <v>62</v>
      </c>
      <c r="G87" s="13" t="s">
        <v>71</v>
      </c>
    </row>
    <row r="88" spans="1:7" ht="15" customHeight="1" x14ac:dyDescent="0.2">
      <c r="A88" s="2" t="str">
        <f>IF(places!$A87="","",places!$A87)</f>
        <v>CZ-076</v>
      </c>
      <c r="B88" s="3" t="str">
        <f>IF(places!$A87="","",places!$B87)</f>
        <v>Alto Emperador</v>
      </c>
      <c r="C88" s="11" t="str">
        <f>IF(places!$A87="","",places!$Y87)</f>
        <v>Neighborhood</v>
      </c>
      <c r="D88" s="13">
        <v>9.0570839999999997</v>
      </c>
      <c r="E88" s="13">
        <v>-79.669908000000007</v>
      </c>
      <c r="F88" s="13" t="s">
        <v>72</v>
      </c>
      <c r="G88" s="13" t="s">
        <v>73</v>
      </c>
    </row>
    <row r="89" spans="1:7" ht="15" customHeight="1" x14ac:dyDescent="0.2">
      <c r="A89" s="2" t="str">
        <f>IF(places!$A88="","",places!$A88)</f>
        <v>CZ-077</v>
      </c>
      <c r="B89" s="3" t="str">
        <f>IF(places!$A88="","",places!$B88)</f>
        <v>Corosita</v>
      </c>
      <c r="C89" s="11" t="str">
        <f>IF(places!$A88="","",places!$Y88)</f>
        <v>Town</v>
      </c>
      <c r="D89" s="13">
        <v>9.1068239999999996</v>
      </c>
      <c r="E89" s="13">
        <v>-79.691253000000003</v>
      </c>
      <c r="F89" s="13" t="s">
        <v>62</v>
      </c>
      <c r="G89" s="13" t="s">
        <v>71</v>
      </c>
    </row>
    <row r="90" spans="1:7" ht="15" customHeight="1" x14ac:dyDescent="0.2">
      <c r="A90" s="2" t="str">
        <f>IF(places!$A89="","",places!$A89)</f>
        <v>CZ-078</v>
      </c>
      <c r="B90" s="3" t="str">
        <f>IF(places!$A89="","",places!$B89)</f>
        <v>Cunette</v>
      </c>
      <c r="C90" s="11" t="str">
        <f>IF(places!$A89="","",places!$Y89)</f>
        <v>Town</v>
      </c>
      <c r="D90" s="13">
        <v>9.094697</v>
      </c>
      <c r="E90" s="13">
        <v>-79.684494999999998</v>
      </c>
      <c r="F90" s="13" t="s">
        <v>62</v>
      </c>
      <c r="G90" s="13" t="s">
        <v>74</v>
      </c>
    </row>
    <row r="91" spans="1:7" ht="15" customHeight="1" x14ac:dyDescent="0.2">
      <c r="A91" s="2" t="str">
        <f>IF(places!$A90="","",places!$A90)</f>
        <v>CZ-079</v>
      </c>
      <c r="B91" s="3" t="str">
        <f>IF(places!$A90="","",places!$B90)</f>
        <v>Cerro</v>
      </c>
      <c r="C91" s="11" t="str">
        <f>IF(places!$A90="","",places!$Y90)</f>
        <v>Town</v>
      </c>
      <c r="D91" s="13">
        <v>9.0585719999999998</v>
      </c>
      <c r="E91" s="13">
        <v>-79.661240000000006</v>
      </c>
      <c r="F91" s="13" t="s">
        <v>62</v>
      </c>
      <c r="G91" s="13" t="s">
        <v>71</v>
      </c>
    </row>
    <row r="92" spans="1:7" ht="15" customHeight="1" x14ac:dyDescent="0.2">
      <c r="A92" s="2" t="str">
        <f>IF(places!$A91="","",places!$A91)</f>
        <v>CZ-080</v>
      </c>
      <c r="B92" s="3" t="str">
        <f>IF(places!$A91="","",places!$B91)</f>
        <v>Lirio</v>
      </c>
      <c r="C92" s="11" t="str">
        <f>IF(places!$A91="","",places!$Y91)</f>
        <v>Town</v>
      </c>
      <c r="D92" s="13">
        <v>9.0529650000000004</v>
      </c>
      <c r="E92" s="13">
        <v>-79.656103999999999</v>
      </c>
      <c r="F92" s="13" t="s">
        <v>62</v>
      </c>
      <c r="G92" s="13" t="s">
        <v>71</v>
      </c>
    </row>
    <row r="93" spans="1:7" ht="15" customHeight="1" x14ac:dyDescent="0.2">
      <c r="A93" s="2" t="str">
        <f>IF(places!$A92="","",places!$A92)</f>
        <v>CZ-081</v>
      </c>
      <c r="B93" s="3" t="str">
        <f>IF(places!$A92="","",places!$B92)</f>
        <v>Caballo Viejo</v>
      </c>
      <c r="C93" s="11" t="str">
        <f>IF(places!$A92="","",places!$Y92)</f>
        <v>Town</v>
      </c>
      <c r="D93" s="13">
        <v>9.1164400000000008</v>
      </c>
      <c r="E93" s="13">
        <v>-79.733369999999994</v>
      </c>
      <c r="F93" s="13" t="s">
        <v>9</v>
      </c>
      <c r="G93" s="13" t="s">
        <v>75</v>
      </c>
    </row>
    <row r="94" spans="1:7" ht="15" customHeight="1" x14ac:dyDescent="0.2">
      <c r="A94" s="2" t="str">
        <f>IF(places!$A93="","",places!$A93)</f>
        <v>CZ-082</v>
      </c>
      <c r="B94" s="3" t="str">
        <f>IF(places!$A93="","",places!$B93)</f>
        <v>Chagresito</v>
      </c>
      <c r="C94" s="11" t="str">
        <f>IF(places!$A93="","",places!$Y93)</f>
        <v>Town</v>
      </c>
      <c r="D94" s="13">
        <v>9.1602300000000003</v>
      </c>
      <c r="E94" s="13">
        <v>-79.827039999999997</v>
      </c>
      <c r="F94" s="13" t="s">
        <v>7</v>
      </c>
      <c r="G94" s="13" t="s">
        <v>76</v>
      </c>
    </row>
    <row r="95" spans="1:7" ht="15" customHeight="1" x14ac:dyDescent="0.2">
      <c r="A95" s="2" t="str">
        <f>IF(places!$A94="","",places!$A94)</f>
        <v>CZ-083</v>
      </c>
      <c r="B95" s="3" t="str">
        <f>IF(places!$A94="","",places!$B94)</f>
        <v>Mulato</v>
      </c>
      <c r="C95" s="11" t="str">
        <f>IF(places!$A94="","",places!$Y94)</f>
        <v>Town</v>
      </c>
      <c r="D95" s="13">
        <v>9.1321100000000008</v>
      </c>
      <c r="E95" s="13">
        <v>-79.776269999999997</v>
      </c>
      <c r="F95" s="13" t="s">
        <v>7</v>
      </c>
      <c r="G95" s="13" t="s">
        <v>76</v>
      </c>
    </row>
    <row r="96" spans="1:7" ht="15" customHeight="1" x14ac:dyDescent="0.2">
      <c r="A96" s="2" t="str">
        <f>IF(places!$A95="","",places!$A95)</f>
        <v>CZ-084</v>
      </c>
      <c r="B96" s="3" t="str">
        <f>IF(places!$A95="","",places!$B95)</f>
        <v>Las Penitas</v>
      </c>
      <c r="C96" s="11" t="str">
        <f>IF(places!$A95="","",places!$Y95)</f>
        <v>Town</v>
      </c>
      <c r="D96" s="13">
        <v>9.2022200000000005</v>
      </c>
      <c r="E96" s="13">
        <v>-79.894170000000003</v>
      </c>
      <c r="F96" s="13" t="s">
        <v>31</v>
      </c>
      <c r="G96" s="13" t="s">
        <v>77</v>
      </c>
    </row>
    <row r="97" spans="1:7" ht="15" customHeight="1" x14ac:dyDescent="0.2">
      <c r="A97" s="2" t="str">
        <f>IF(places!$A96="","",places!$A96)</f>
        <v>CZ-085</v>
      </c>
      <c r="B97" s="3" t="str">
        <f>IF(places!$A96="","",places!$B96)</f>
        <v>Palo Matias Viejo</v>
      </c>
      <c r="C97" s="11" t="str">
        <f>IF(places!$A96="","",places!$Y96)</f>
        <v>Town</v>
      </c>
      <c r="D97" s="13">
        <v>9.1985600000000005</v>
      </c>
      <c r="E97" s="13">
        <v>-79.895020000000002</v>
      </c>
      <c r="F97" s="13" t="s">
        <v>31</v>
      </c>
      <c r="G97" s="13" t="s">
        <v>77</v>
      </c>
    </row>
    <row r="98" spans="1:7" ht="15" customHeight="1" x14ac:dyDescent="0.2">
      <c r="A98" s="2" t="str">
        <f>IF(places!$A97="","",places!$A97)</f>
        <v>CZ-086</v>
      </c>
      <c r="B98" s="3" t="str">
        <f>IF(places!$A97="","",places!$B97)</f>
        <v>Whitehouse</v>
      </c>
      <c r="C98" s="11" t="str">
        <f>IF(places!$A97="","",places!$Y97)</f>
        <v>Town</v>
      </c>
      <c r="D98" s="13"/>
      <c r="E98" s="13"/>
      <c r="F98" s="13"/>
      <c r="G98" s="13"/>
    </row>
    <row r="99" spans="1:7" ht="15" customHeight="1" x14ac:dyDescent="0.2">
      <c r="A99" s="2" t="str">
        <f>IF(places!$A98="","",places!$A98)</f>
        <v>CZ-087</v>
      </c>
      <c r="B99" s="3" t="str">
        <f>IF(places!$A98="","",places!$B98)</f>
        <v>Cartagena</v>
      </c>
      <c r="C99" s="11" t="str">
        <f>IF(places!$A98="","",places!$Y98)</f>
        <v>Town</v>
      </c>
      <c r="D99" s="13"/>
      <c r="E99" s="13"/>
      <c r="F99" s="13"/>
      <c r="G99" s="13"/>
    </row>
    <row r="100" spans="1:7" ht="15" customHeight="1" x14ac:dyDescent="0.2">
      <c r="A100" s="2" t="str">
        <f>IF(places!$A99="","",places!$A99)</f>
        <v>CZ-110</v>
      </c>
      <c r="B100" s="3" t="str">
        <f>IF(places!$A99="","",places!$B99)</f>
        <v>Spanish Town</v>
      </c>
      <c r="C100" s="11" t="str">
        <f>IF(places!$A99="","",places!$Y99)</f>
        <v>Town</v>
      </c>
      <c r="D100" s="13">
        <v>9.0296400000000006</v>
      </c>
      <c r="E100" s="13">
        <v>-79.622910000000005</v>
      </c>
      <c r="F100" s="13" t="s">
        <v>7</v>
      </c>
      <c r="G100" s="13" t="s">
        <v>78</v>
      </c>
    </row>
    <row r="101" spans="1:7" ht="15" customHeight="1" x14ac:dyDescent="0.2">
      <c r="A101" s="2" t="str">
        <f>IF(places!$A100="","",places!$A100)</f>
        <v>CZ-111</v>
      </c>
      <c r="B101" s="3" t="str">
        <f>IF(places!$A100="","",places!$B100)</f>
        <v>Golden Green</v>
      </c>
      <c r="C101" s="11" t="str">
        <f>IF(places!$A100="","",places!$Y100)</f>
        <v>Town</v>
      </c>
      <c r="D101" s="13">
        <v>9.0556000000000001</v>
      </c>
      <c r="E101" s="13">
        <v>-79.662400000000005</v>
      </c>
      <c r="F101" s="13" t="s">
        <v>7</v>
      </c>
      <c r="G101" s="13" t="s">
        <v>79</v>
      </c>
    </row>
    <row r="102" spans="1:7" ht="15" customHeight="1" x14ac:dyDescent="0.2">
      <c r="A102" s="2" t="str">
        <f>IF(places!$A101="","",places!$A101)</f>
        <v>CZ-112</v>
      </c>
      <c r="B102" s="3" t="str">
        <f>IF(places!$A101="","",places!$B101)</f>
        <v>Carabali</v>
      </c>
      <c r="C102" s="11" t="str">
        <f>IF(places!$A101="","",places!$Y101)</f>
        <v>Town</v>
      </c>
      <c r="D102" s="13">
        <v>9.1045800000000003</v>
      </c>
      <c r="E102" s="13">
        <v>-79.722070000000002</v>
      </c>
      <c r="F102" s="13" t="s">
        <v>7</v>
      </c>
      <c r="G102" s="13" t="s">
        <v>80</v>
      </c>
    </row>
    <row r="103" spans="1:7" ht="15" customHeight="1" x14ac:dyDescent="0.2">
      <c r="A103" s="2" t="str">
        <f>IF(places!$A102="","",places!$A102)</f>
        <v>CZ-113</v>
      </c>
      <c r="B103" s="3" t="str">
        <f>IF(places!$A102="","",places!$B102)</f>
        <v>Casa Larga</v>
      </c>
      <c r="C103" s="11" t="str">
        <f>IF(places!$A102="","",places!$Y102)</f>
        <v>Town</v>
      </c>
      <c r="D103" s="13">
        <v>9.1839999999999993</v>
      </c>
      <c r="E103" s="13">
        <v>-79.564999999999998</v>
      </c>
      <c r="F103" s="13" t="s">
        <v>31</v>
      </c>
      <c r="G103" s="13" t="s">
        <v>81</v>
      </c>
    </row>
    <row r="104" spans="1:7" ht="15" customHeight="1" x14ac:dyDescent="0.2">
      <c r="A104" s="2" t="str">
        <f>IF(places!$A103="","",places!$A103)</f>
        <v>CZ-114</v>
      </c>
      <c r="B104" s="3" t="str">
        <f>IF(places!$A103="","",places!$B103)</f>
        <v>San Juan</v>
      </c>
      <c r="C104" s="11" t="str">
        <f>IF(places!$A103="","",places!$Y103)</f>
        <v>Town</v>
      </c>
      <c r="D104" s="13">
        <v>9.2528000000000006</v>
      </c>
      <c r="E104" s="13">
        <v>-79.579300000000003</v>
      </c>
      <c r="F104" s="13" t="s">
        <v>31</v>
      </c>
      <c r="G104" s="13" t="s">
        <v>82</v>
      </c>
    </row>
    <row r="105" spans="1:7" ht="15" customHeight="1" x14ac:dyDescent="0.2">
      <c r="A105" s="2" t="str">
        <f>IF(places!$A104="","",places!$A104)</f>
        <v>CZ-115</v>
      </c>
      <c r="B105" s="3" t="str">
        <f>IF(places!$A104="","",places!$B104)</f>
        <v>Tranquilla</v>
      </c>
      <c r="C105" s="11" t="str">
        <f>IF(places!$A104="","",places!$Y104)</f>
        <v>Town</v>
      </c>
      <c r="D105" s="13">
        <v>9.2383000000000006</v>
      </c>
      <c r="E105" s="13">
        <v>-79.566400000000002</v>
      </c>
      <c r="F105" s="13" t="s">
        <v>31</v>
      </c>
      <c r="G105" s="13" t="s">
        <v>82</v>
      </c>
    </row>
    <row r="106" spans="1:7" ht="15" customHeight="1" x14ac:dyDescent="0.2">
      <c r="A106" s="2" t="str">
        <f>IF(places!$A105="","",places!$A105)</f>
        <v>CZ-116</v>
      </c>
      <c r="B106" s="3" t="str">
        <f>IF(places!$A105="","",places!$B105)</f>
        <v>Dos Bocas</v>
      </c>
      <c r="C106" s="11" t="str">
        <f>IF(places!$A105="","",places!$Y105)</f>
        <v>Town</v>
      </c>
      <c r="D106" s="13">
        <v>9.2378999999999998</v>
      </c>
      <c r="E106" s="13">
        <v>-79.577699999999993</v>
      </c>
      <c r="F106" s="13" t="s">
        <v>31</v>
      </c>
      <c r="G106" s="13" t="s">
        <v>83</v>
      </c>
    </row>
    <row r="107" spans="1:7" ht="15" customHeight="1" x14ac:dyDescent="0.2">
      <c r="A107" s="2" t="str">
        <f>IF(places!$A106="","",places!$A106)</f>
        <v>CZ-117</v>
      </c>
      <c r="B107" s="3" t="str">
        <f>IF(places!$A106="","",places!$B106)</f>
        <v>Campanas</v>
      </c>
      <c r="C107" s="11" t="str">
        <f>IF(places!$A106="","",places!$Y106)</f>
        <v>Town</v>
      </c>
      <c r="D107" s="13">
        <v>9.2248999999999999</v>
      </c>
      <c r="E107" s="13">
        <v>-79.598600000000005</v>
      </c>
      <c r="F107" s="13" t="s">
        <v>31</v>
      </c>
      <c r="G107" s="13" t="s">
        <v>82</v>
      </c>
    </row>
    <row r="108" spans="1:7" ht="15" customHeight="1" x14ac:dyDescent="0.2">
      <c r="A108" s="2" t="str">
        <f>IF(places!$A107="","",places!$A107)</f>
        <v>CZ-118</v>
      </c>
      <c r="B108" s="3" t="str">
        <f>IF(places!$A107="","",places!$B107)</f>
        <v>Empire Court House</v>
      </c>
      <c r="C108" s="11" t="str">
        <f>IF(places!$A107="","",places!$Y107)</f>
        <v>Building</v>
      </c>
      <c r="D108" s="13">
        <v>9.0616920000000007</v>
      </c>
      <c r="E108" s="13">
        <v>-79.672240000000002</v>
      </c>
      <c r="F108" s="13" t="s">
        <v>27</v>
      </c>
      <c r="G108" s="13" t="s">
        <v>28</v>
      </c>
    </row>
    <row r="109" spans="1:7" ht="15" customHeight="1" x14ac:dyDescent="0.2">
      <c r="A109" s="2" t="str">
        <f>IF(places!$A108="","",places!$A108)</f>
        <v>CZ-119</v>
      </c>
      <c r="B109" s="3" t="str">
        <f>IF(places!$A108="","",places!$B108)</f>
        <v>Empire Freight House</v>
      </c>
      <c r="C109" s="11" t="str">
        <f>IF(places!$A108="","",places!$Y108)</f>
        <v>Infrastructure</v>
      </c>
      <c r="D109" s="13">
        <v>9.0624140000000004</v>
      </c>
      <c r="E109" s="13">
        <v>-79.671114000000003</v>
      </c>
      <c r="F109" s="13" t="s">
        <v>27</v>
      </c>
      <c r="G109" s="13" t="s">
        <v>28</v>
      </c>
    </row>
    <row r="110" spans="1:7" ht="15" customHeight="1" x14ac:dyDescent="0.2">
      <c r="A110" s="2" t="str">
        <f>IF(places!$A109="","",places!$A109)</f>
        <v>CZ-120</v>
      </c>
      <c r="B110" s="3" t="str">
        <f>IF(places!$A109="","",places!$B109)</f>
        <v>Empire Base Ball Park</v>
      </c>
      <c r="C110" s="11" t="str">
        <f>IF(places!$A109="","",places!$Y109)</f>
        <v>Site/Institution</v>
      </c>
      <c r="D110" s="13">
        <v>9.0602499999999999</v>
      </c>
      <c r="E110" s="13">
        <v>-79.671850000000006</v>
      </c>
      <c r="F110" s="13" t="s">
        <v>27</v>
      </c>
      <c r="G110" s="13" t="s">
        <v>28</v>
      </c>
    </row>
    <row r="111" spans="1:7" ht="15" customHeight="1" x14ac:dyDescent="0.2">
      <c r="A111" s="2" t="str">
        <f>IF(places!$A110="","",places!$A110)</f>
        <v>CZ-121</v>
      </c>
      <c r="B111" s="3" t="str">
        <f>IF(places!$A110="","",places!$B110)</f>
        <v>Empire I.C.C. Hotel</v>
      </c>
      <c r="C111" s="11" t="str">
        <f>IF(places!$A110="","",places!$Y110)</f>
        <v>Building</v>
      </c>
      <c r="D111" s="13">
        <v>9.0620740000000009</v>
      </c>
      <c r="E111" s="13">
        <v>-79.669970000000006</v>
      </c>
      <c r="F111" s="13" t="s">
        <v>27</v>
      </c>
      <c r="G111" s="13" t="s">
        <v>28</v>
      </c>
    </row>
    <row r="112" spans="1:7" ht="15" customHeight="1" x14ac:dyDescent="0.2">
      <c r="A112" s="2" t="str">
        <f>IF(places!$A111="","",places!$A111)</f>
        <v>CZ-122</v>
      </c>
      <c r="B112" s="3" t="str">
        <f>IF(places!$A111="","",places!$B111)</f>
        <v>Empire Police Station</v>
      </c>
      <c r="C112" s="11" t="str">
        <f>IF(places!$A111="","",places!$Y111)</f>
        <v>Building</v>
      </c>
      <c r="D112" s="13">
        <v>9.0635519999999996</v>
      </c>
      <c r="E112" s="13">
        <v>-79.672604000000007</v>
      </c>
      <c r="F112" s="13" t="s">
        <v>27</v>
      </c>
      <c r="G112" s="13" t="s">
        <v>28</v>
      </c>
    </row>
    <row r="113" spans="1:7" ht="15" customHeight="1" x14ac:dyDescent="0.2">
      <c r="A113" s="2" t="str">
        <f>IF(places!$A112="","",places!$A112)</f>
        <v>CZ-123</v>
      </c>
      <c r="B113" s="3" t="str">
        <f>IF(places!$A112="","",places!$B112)</f>
        <v>Empire Municipal Building</v>
      </c>
      <c r="C113" s="11" t="str">
        <f>IF(places!$A112="","",places!$Y112)</f>
        <v>Building</v>
      </c>
      <c r="D113" s="13">
        <v>9.0637539999999994</v>
      </c>
      <c r="E113" s="13">
        <v>-79.673452999999995</v>
      </c>
      <c r="F113" s="13" t="s">
        <v>27</v>
      </c>
      <c r="G113" s="13" t="s">
        <v>28</v>
      </c>
    </row>
    <row r="114" spans="1:7" ht="15" customHeight="1" x14ac:dyDescent="0.2">
      <c r="A114" s="2" t="str">
        <f>IF(places!$A113="","",places!$A113)</f>
        <v>CZ-124</v>
      </c>
      <c r="B114" s="3" t="str">
        <f>IF(places!$A113="","",places!$B113)</f>
        <v>Empire Railroad Shops</v>
      </c>
      <c r="C114" s="11" t="str">
        <f>IF(places!$A113="","",places!$Y113)</f>
        <v>Site/Institution</v>
      </c>
      <c r="D114" s="13">
        <v>9.0649899999999999</v>
      </c>
      <c r="E114" s="13">
        <v>-79.671467000000007</v>
      </c>
      <c r="F114" s="13" t="s">
        <v>27</v>
      </c>
      <c r="G114" s="13" t="s">
        <v>28</v>
      </c>
    </row>
    <row r="115" spans="1:7" ht="15" customHeight="1" x14ac:dyDescent="0.2">
      <c r="A115" s="2" t="str">
        <f>IF(places!$A114="","",places!$A114)</f>
        <v>CZ-125</v>
      </c>
      <c r="B115" s="3" t="str">
        <f>IF(places!$A114="","",places!$B114)</f>
        <v>Empire YMCA</v>
      </c>
      <c r="C115" s="11" t="str">
        <f>IF(places!$A114="","",places!$Y114)</f>
        <v>Building</v>
      </c>
      <c r="D115" s="13">
        <v>9.0621469999999995</v>
      </c>
      <c r="E115" s="13">
        <v>-79.672213999999997</v>
      </c>
      <c r="F115" s="13" t="s">
        <v>27</v>
      </c>
      <c r="G115" s="13" t="s">
        <v>28</v>
      </c>
    </row>
    <row r="116" spans="1:7" ht="15" customHeight="1" x14ac:dyDescent="0.2">
      <c r="A116" s="2" t="str">
        <f>IF(places!$A115="","",places!$A115)</f>
        <v>CZ-126</v>
      </c>
      <c r="B116" s="3" t="str">
        <f>IF(places!$A115="","",places!$B115)</f>
        <v>Empire Fire Station</v>
      </c>
      <c r="C116" s="11" t="str">
        <f>IF(places!$A115="","",places!$Y115)</f>
        <v>Building</v>
      </c>
      <c r="D116" s="13">
        <v>9.0623579999999997</v>
      </c>
      <c r="E116" s="13">
        <v>-79.671839000000006</v>
      </c>
      <c r="F116" s="13" t="s">
        <v>27</v>
      </c>
      <c r="G116" s="13" t="s">
        <v>28</v>
      </c>
    </row>
    <row r="117" spans="1:7" ht="15" customHeight="1" x14ac:dyDescent="0.2">
      <c r="A117" s="2" t="str">
        <f>IF(places!$A116="","",places!$A116)</f>
        <v>CZ-127</v>
      </c>
      <c r="B117" s="3" t="str">
        <f>IF(places!$A116="","",places!$B116)</f>
        <v>Empire Bank</v>
      </c>
      <c r="C117" s="11" t="str">
        <f>IF(places!$A116="","",places!$Y116)</f>
        <v>Building</v>
      </c>
      <c r="D117" s="13">
        <v>9.0619580000000006</v>
      </c>
      <c r="E117" s="13">
        <v>-79.671924000000004</v>
      </c>
      <c r="F117" s="13" t="s">
        <v>27</v>
      </c>
      <c r="G117" s="13" t="s">
        <v>28</v>
      </c>
    </row>
    <row r="118" spans="1:7" ht="15" customHeight="1" x14ac:dyDescent="0.2">
      <c r="A118" s="2" t="str">
        <f>IF(places!$A117="","",places!$A117)</f>
        <v>CZ-128</v>
      </c>
      <c r="B118" s="3" t="str">
        <f>IF(places!$A117="","",places!$B117)</f>
        <v>Empire Post Office</v>
      </c>
      <c r="C118" s="11" t="str">
        <f>IF(places!$A117="","",places!$Y117)</f>
        <v>Building</v>
      </c>
      <c r="D118" s="13">
        <v>9.0621360000000006</v>
      </c>
      <c r="E118" s="13">
        <v>-79.671717000000001</v>
      </c>
      <c r="F118" s="13" t="s">
        <v>27</v>
      </c>
      <c r="G118" s="13" t="s">
        <v>28</v>
      </c>
    </row>
    <row r="119" spans="1:7" ht="15" customHeight="1" x14ac:dyDescent="0.2">
      <c r="A119" s="2" t="str">
        <f>IF(places!$A118="","",places!$A118)</f>
        <v>CZ-129</v>
      </c>
      <c r="B119" s="3" t="str">
        <f>IF(places!$A118="","",places!$B118)</f>
        <v>Empire Dispensary</v>
      </c>
      <c r="C119" s="11" t="str">
        <f>IF(places!$A118="","",places!$Y118)</f>
        <v>Site/Institution</v>
      </c>
      <c r="D119" s="13">
        <v>9.0631190000000004</v>
      </c>
      <c r="E119" s="13">
        <v>-79.669803999999999</v>
      </c>
      <c r="F119" s="13" t="s">
        <v>27</v>
      </c>
      <c r="G119" s="13" t="s">
        <v>28</v>
      </c>
    </row>
    <row r="120" spans="1:7" ht="15" customHeight="1" x14ac:dyDescent="0.2">
      <c r="A120" s="2" t="str">
        <f>IF(places!$A119="","",places!$A119)</f>
        <v>CZ-130</v>
      </c>
      <c r="B120" s="3" t="str">
        <f>IF(places!$A119="","",places!$B119)</f>
        <v>Gorgona Market</v>
      </c>
      <c r="C120" s="11" t="str">
        <f>IF(places!$A119="","",places!$Y119)</f>
        <v>Building</v>
      </c>
      <c r="D120" s="13">
        <v>9.1162919999999996</v>
      </c>
      <c r="E120" s="13">
        <v>-79.724699999999999</v>
      </c>
      <c r="F120" s="13" t="s">
        <v>84</v>
      </c>
      <c r="G120" s="13" t="s">
        <v>85</v>
      </c>
    </row>
    <row r="121" spans="1:7" ht="15" customHeight="1" x14ac:dyDescent="0.2">
      <c r="A121" s="2" t="str">
        <f>IF(places!$A120="","",places!$A120)</f>
        <v>CZ-131</v>
      </c>
      <c r="B121" s="3" t="str">
        <f>IF(places!$A120="","",places!$B120)</f>
        <v>Gorgona YMCA</v>
      </c>
      <c r="C121" s="11" t="str">
        <f>IF(places!$A120="","",places!$Y120)</f>
        <v>Building</v>
      </c>
      <c r="D121" s="13">
        <v>9.1146259999999995</v>
      </c>
      <c r="E121" s="13">
        <v>-79.723693999999995</v>
      </c>
      <c r="F121" s="13" t="s">
        <v>84</v>
      </c>
      <c r="G121" s="13" t="s">
        <v>85</v>
      </c>
    </row>
    <row r="122" spans="1:7" ht="15" customHeight="1" x14ac:dyDescent="0.2">
      <c r="A122" s="2" t="str">
        <f>IF(places!$A121="","",places!$A121)</f>
        <v>CZ-132</v>
      </c>
      <c r="B122" s="3" t="str">
        <f>IF(places!$A121="","",places!$B121)</f>
        <v>Gorgona Band Stand</v>
      </c>
      <c r="C122" s="11" t="str">
        <f>IF(places!$A121="","",places!$Y121)</f>
        <v>Site/Institution</v>
      </c>
      <c r="D122" s="13">
        <v>9.1159879999999998</v>
      </c>
      <c r="E122" s="13">
        <v>-79.724287000000004</v>
      </c>
      <c r="F122" s="13" t="s">
        <v>84</v>
      </c>
      <c r="G122" s="13" t="s">
        <v>85</v>
      </c>
    </row>
    <row r="123" spans="1:7" ht="15" customHeight="1" x14ac:dyDescent="0.2">
      <c r="A123" s="2" t="str">
        <f>IF(places!$A122="","",places!$A122)</f>
        <v>CZ-133</v>
      </c>
      <c r="B123" s="3" t="str">
        <f>IF(places!$A122="","",places!$B122)</f>
        <v>Gorgona I.C.C. Hotel</v>
      </c>
      <c r="C123" s="11" t="str">
        <f>IF(places!$A122="","",places!$Y122)</f>
        <v>Building</v>
      </c>
      <c r="D123" s="13">
        <v>9.1136759999999999</v>
      </c>
      <c r="E123" s="13">
        <v>-79.724626999999998</v>
      </c>
      <c r="F123" s="13" t="s">
        <v>84</v>
      </c>
      <c r="G123" s="13" t="s">
        <v>85</v>
      </c>
    </row>
    <row r="124" spans="1:7" ht="15" customHeight="1" x14ac:dyDescent="0.2">
      <c r="A124" s="2" t="str">
        <f>IF(places!$A123="","",places!$A123)</f>
        <v>CZ-134</v>
      </c>
      <c r="B124" s="3" t="str">
        <f>IF(places!$A123="","",places!$B123)</f>
        <v>Gorgona Hotel (private)</v>
      </c>
      <c r="C124" s="11" t="str">
        <f>IF(places!$A123="","",places!$Y123)</f>
        <v>Building</v>
      </c>
      <c r="D124" s="13">
        <v>9.1167320000000007</v>
      </c>
      <c r="E124" s="13">
        <v>-79.725119000000007</v>
      </c>
      <c r="F124" s="13" t="s">
        <v>84</v>
      </c>
      <c r="G124" s="13" t="s">
        <v>85</v>
      </c>
    </row>
    <row r="125" spans="1:7" ht="15" customHeight="1" x14ac:dyDescent="0.2">
      <c r="A125" s="2" t="str">
        <f>IF(places!$A124="","",places!$A124)</f>
        <v>CZ-135</v>
      </c>
      <c r="B125" s="3" t="str">
        <f>IF(places!$A124="","",places!$B124)</f>
        <v>Culebra YMCA Club House</v>
      </c>
      <c r="C125" s="11" t="str">
        <f>IF(places!$A124="","",places!$Y124)</f>
        <v>Building</v>
      </c>
      <c r="D125" s="13">
        <v>9.0494240000000001</v>
      </c>
      <c r="E125" s="13">
        <v>-79.655895000000001</v>
      </c>
      <c r="F125" s="13" t="s">
        <v>86</v>
      </c>
      <c r="G125" s="13" t="s">
        <v>87</v>
      </c>
    </row>
    <row r="126" spans="1:7" ht="15" customHeight="1" x14ac:dyDescent="0.2">
      <c r="A126" s="2" t="str">
        <f>IF(places!$A125="","",places!$A125)</f>
        <v>CZ-136</v>
      </c>
      <c r="B126" s="3" t="str">
        <f>IF(places!$A125="","",places!$B125)</f>
        <v>Culebra Hotel</v>
      </c>
      <c r="C126" s="11" t="str">
        <f>IF(places!$A125="","",places!$Y125)</f>
        <v>Building</v>
      </c>
      <c r="D126" s="13">
        <v>9.0485900000000008</v>
      </c>
      <c r="E126" s="13">
        <v>-79.655124999999998</v>
      </c>
      <c r="F126" s="13" t="s">
        <v>86</v>
      </c>
      <c r="G126" s="13" t="s">
        <v>87</v>
      </c>
    </row>
    <row r="127" spans="1:7" ht="15" customHeight="1" x14ac:dyDescent="0.2">
      <c r="A127" s="2" t="str">
        <f>IF(places!$A126="","",places!$A126)</f>
        <v>CZ-137</v>
      </c>
      <c r="B127" s="3" t="str">
        <f>IF(places!$A126="","",places!$B126)</f>
        <v>Culebra Post Office</v>
      </c>
      <c r="C127" s="11" t="str">
        <f>IF(places!$A126="","",places!$Y126)</f>
        <v>Building</v>
      </c>
      <c r="D127" s="13">
        <v>9.0488560000000007</v>
      </c>
      <c r="E127" s="13">
        <v>-79.654494</v>
      </c>
      <c r="F127" s="13" t="s">
        <v>86</v>
      </c>
      <c r="G127" s="13" t="s">
        <v>87</v>
      </c>
    </row>
    <row r="128" spans="1:7" ht="15" customHeight="1" x14ac:dyDescent="0.2">
      <c r="A128" s="2" t="str">
        <f>IF(places!$A127="","",places!$A127)</f>
        <v>CZ-138</v>
      </c>
      <c r="B128" s="3" t="str">
        <f>IF(places!$A127="","",places!$B127)</f>
        <v>Culebra Church &amp; Lodge Hall</v>
      </c>
      <c r="C128" s="11" t="str">
        <f>IF(places!$A127="","",places!$Y127)</f>
        <v>Building</v>
      </c>
      <c r="D128" s="13">
        <v>9.0482089999999999</v>
      </c>
      <c r="E128" s="13">
        <v>-79.654803999999999</v>
      </c>
      <c r="F128" s="13" t="s">
        <v>86</v>
      </c>
      <c r="G128" s="13" t="s">
        <v>87</v>
      </c>
    </row>
    <row r="129" spans="1:7" ht="15" customHeight="1" x14ac:dyDescent="0.2">
      <c r="A129" s="2" t="str">
        <f>IF(places!$A128="","",places!$A128)</f>
        <v>CZ-139</v>
      </c>
      <c r="B129" s="3" t="str">
        <f>IF(places!$A128="","",places!$B128)</f>
        <v>Culebra Colored School</v>
      </c>
      <c r="C129" s="11" t="str">
        <f>IF(places!$A128="","",places!$Y128)</f>
        <v>Building</v>
      </c>
      <c r="D129" s="13">
        <v>9.0500349999999994</v>
      </c>
      <c r="E129" s="13">
        <v>-79.655356999999995</v>
      </c>
      <c r="F129" s="13" t="s">
        <v>86</v>
      </c>
      <c r="G129" s="13" t="s">
        <v>87</v>
      </c>
    </row>
    <row r="130" spans="1:7" ht="15" customHeight="1" x14ac:dyDescent="0.2">
      <c r="A130" s="2" t="str">
        <f>IF(places!$A129="","",places!$A129)</f>
        <v>CZ-140</v>
      </c>
      <c r="B130" s="3" t="str">
        <f>IF(places!$A129="","",places!$B129)</f>
        <v>Culebra Commissary</v>
      </c>
      <c r="C130" s="11" t="str">
        <f>IF(places!$A129="","",places!$Y129)</f>
        <v>Building</v>
      </c>
      <c r="D130" s="13">
        <v>9.0498440000000002</v>
      </c>
      <c r="E130" s="13">
        <v>-79.655026000000007</v>
      </c>
      <c r="F130" s="13" t="s">
        <v>86</v>
      </c>
      <c r="G130" s="13" t="s">
        <v>87</v>
      </c>
    </row>
    <row r="131" spans="1:7" ht="15" customHeight="1" x14ac:dyDescent="0.2">
      <c r="A131" s="2" t="str">
        <f>IF(places!$A130="","",places!$A130)</f>
        <v>CZ-141</v>
      </c>
      <c r="B131" s="3" t="str">
        <f>IF(places!$A130="","",places!$B130)</f>
        <v>Culebra Fire Department</v>
      </c>
      <c r="C131" s="11" t="str">
        <f>IF(places!$A130="","",places!$Y130)</f>
        <v>Building</v>
      </c>
      <c r="D131" s="13">
        <v>9.0493249999999996</v>
      </c>
      <c r="E131" s="13">
        <v>-79.655420000000007</v>
      </c>
      <c r="F131" s="13" t="s">
        <v>86</v>
      </c>
      <c r="G131" s="13" t="s">
        <v>87</v>
      </c>
    </row>
    <row r="132" spans="1:7" ht="15" customHeight="1" x14ac:dyDescent="0.2">
      <c r="A132" s="2" t="str">
        <f>IF(places!$A131="","",places!$A131)</f>
        <v>CZ-142</v>
      </c>
      <c r="B132" s="3" t="str">
        <f>IF(places!$A131="","",places!$B131)</f>
        <v>Culebra Dispensary</v>
      </c>
      <c r="C132" s="11" t="str">
        <f>IF(places!$A131="","",places!$Y131)</f>
        <v>Site/Institution</v>
      </c>
      <c r="D132" s="13">
        <v>9.0483820000000001</v>
      </c>
      <c r="E132" s="13">
        <v>-79.655512999999999</v>
      </c>
      <c r="F132" s="13" t="s">
        <v>86</v>
      </c>
      <c r="G132" s="13" t="s">
        <v>87</v>
      </c>
    </row>
    <row r="133" spans="1:7" ht="15" customHeight="1" x14ac:dyDescent="0.2">
      <c r="A133" s="2" t="str">
        <f>IF(places!$A132="","",places!$A132)</f>
        <v>CZ-143</v>
      </c>
      <c r="B133" s="3" t="str">
        <f>IF(places!$A132="","",places!$B132)</f>
        <v>Culebra Planing Mill</v>
      </c>
      <c r="C133" s="11" t="str">
        <f>IF(places!$A132="","",places!$Y132)</f>
        <v>Infrastructure</v>
      </c>
      <c r="D133" s="13">
        <v>9.0496680000000005</v>
      </c>
      <c r="E133" s="13">
        <v>-79.654655000000005</v>
      </c>
      <c r="F133" s="13" t="s">
        <v>86</v>
      </c>
      <c r="G133" s="13" t="s">
        <v>87</v>
      </c>
    </row>
    <row r="134" spans="1:7" ht="15" customHeight="1" x14ac:dyDescent="0.2">
      <c r="A134" s="2" t="str">
        <f>IF(places!$A133="","",places!$A133)</f>
        <v>CZ-144</v>
      </c>
      <c r="B134" s="3" t="str">
        <f>IF(places!$A133="","",places!$B133)</f>
        <v>Culebra Corral</v>
      </c>
      <c r="C134" s="11" t="str">
        <f>IF(places!$A133="","",places!$Y133)</f>
        <v>Infrastructure</v>
      </c>
      <c r="D134" s="13">
        <v>9.0474370000000004</v>
      </c>
      <c r="E134" s="13">
        <v>-79.656308999999993</v>
      </c>
      <c r="F134" s="13" t="s">
        <v>86</v>
      </c>
      <c r="G134" s="13" t="s">
        <v>87</v>
      </c>
    </row>
    <row r="135" spans="1:7" ht="15" customHeight="1" x14ac:dyDescent="0.2">
      <c r="A135" s="2" t="str">
        <f>IF(places!$A134="","",places!$A134)</f>
        <v>CZ-145</v>
      </c>
      <c r="B135" s="3" t="str">
        <f>IF(places!$A134="","",places!$B134)</f>
        <v>Culebra Lumber Mill</v>
      </c>
      <c r="C135" s="11" t="str">
        <f>IF(places!$A134="","",places!$Y134)</f>
        <v>Infrastructure</v>
      </c>
      <c r="D135" s="13">
        <v>9.0519770000000008</v>
      </c>
      <c r="E135" s="13">
        <v>-79.658513999999997</v>
      </c>
      <c r="F135" s="13" t="s">
        <v>86</v>
      </c>
      <c r="G135" s="13" t="s">
        <v>87</v>
      </c>
    </row>
    <row r="136" spans="1:7" ht="15" customHeight="1" x14ac:dyDescent="0.2">
      <c r="A136" s="2" t="str">
        <f>IF(places!$A135="","",places!$A135)</f>
        <v>CZ-146</v>
      </c>
      <c r="B136" s="3" t="str">
        <f>IF(places!$A135="","",places!$B135)</f>
        <v>Culebra PRR Depot</v>
      </c>
      <c r="C136" s="11" t="str">
        <f>IF(places!$A135="","",places!$Y135)</f>
        <v>Infrastructure</v>
      </c>
      <c r="D136" s="13">
        <v>9.0490189999999995</v>
      </c>
      <c r="E136" s="13">
        <v>-79.654976000000005</v>
      </c>
      <c r="F136" s="13" t="s">
        <v>86</v>
      </c>
      <c r="G136" s="13" t="s">
        <v>87</v>
      </c>
    </row>
    <row r="137" spans="1:7" ht="15" customHeight="1" x14ac:dyDescent="0.2">
      <c r="A137" s="2" t="str">
        <f>IF(places!$A136="","",places!$A136)</f>
        <v>CZ-147</v>
      </c>
      <c r="B137" s="3" t="str">
        <f>IF(places!$A136="","",places!$B136)</f>
        <v>Culebra Magazine</v>
      </c>
      <c r="C137" s="11" t="str">
        <f>IF(places!$A136="","",places!$Y136)</f>
        <v>Infrastructure</v>
      </c>
      <c r="D137" s="13">
        <v>9.0496490000000005</v>
      </c>
      <c r="E137" s="13">
        <v>-79.654657999999998</v>
      </c>
      <c r="F137" s="13" t="s">
        <v>86</v>
      </c>
      <c r="G137" s="13" t="s">
        <v>87</v>
      </c>
    </row>
    <row r="138" spans="1:7" ht="15" customHeight="1" x14ac:dyDescent="0.2">
      <c r="A138" s="2" t="str">
        <f>IF(places!$A137="","",places!$A137)</f>
        <v>CZ-148</v>
      </c>
      <c r="B138" s="3" t="str">
        <f>IF(places!$A137="","",places!$B137)</f>
        <v>Las Cascadas Engine House</v>
      </c>
      <c r="C138" s="11" t="str">
        <f>IF(places!$A137="","",places!$Y137)</f>
        <v>Infrastructure</v>
      </c>
      <c r="D138" s="13">
        <v>9.0858369999999997</v>
      </c>
      <c r="E138" s="13">
        <v>-79.681055000000001</v>
      </c>
      <c r="F138" s="13" t="s">
        <v>86</v>
      </c>
      <c r="G138" s="13" t="s">
        <v>87</v>
      </c>
    </row>
    <row r="139" spans="1:7" ht="15" customHeight="1" x14ac:dyDescent="0.2">
      <c r="A139" s="2" t="str">
        <f>IF(places!$A138="","",places!$A138)</f>
        <v>CZ-149</v>
      </c>
      <c r="B139" s="3" t="str">
        <f>IF(places!$A138="","",places!$B138)</f>
        <v>Las Cascadas Post Office</v>
      </c>
      <c r="C139" s="11" t="str">
        <f>IF(places!$A138="","",places!$Y138)</f>
        <v>Building</v>
      </c>
      <c r="D139" s="13">
        <v>9.0855099999999993</v>
      </c>
      <c r="E139" s="13">
        <v>-79.681569999999994</v>
      </c>
      <c r="F139" s="13" t="s">
        <v>86</v>
      </c>
      <c r="G139" s="13" t="s">
        <v>87</v>
      </c>
    </row>
    <row r="140" spans="1:7" ht="15" customHeight="1" x14ac:dyDescent="0.2">
      <c r="A140" s="2" t="str">
        <f>IF(places!$A139="","",places!$A139)</f>
        <v>CZ-150</v>
      </c>
      <c r="B140" s="3" t="str">
        <f>IF(places!$A139="","",places!$B139)</f>
        <v>Paraiso Shops (French-era complex)</v>
      </c>
      <c r="C140" s="11" t="str">
        <f>IF(places!$A139="","",places!$Y139)</f>
        <v>Site/Institution</v>
      </c>
      <c r="D140" s="13">
        <v>9.0288850000000007</v>
      </c>
      <c r="E140" s="13">
        <v>-79.627707999999998</v>
      </c>
      <c r="F140" s="13" t="s">
        <v>86</v>
      </c>
      <c r="G140" s="13" t="s">
        <v>87</v>
      </c>
    </row>
    <row r="141" spans="1:7" ht="15" customHeight="1" x14ac:dyDescent="0.2">
      <c r="A141" s="2" t="str">
        <f>IF(places!$A140="","",places!$A140)</f>
        <v>CZ-151</v>
      </c>
      <c r="B141" s="3" t="str">
        <f>IF(places!$A140="","",places!$B140)</f>
        <v>Paraiso Hotel</v>
      </c>
      <c r="C141" s="11" t="str">
        <f>IF(places!$A140="","",places!$Y140)</f>
        <v>Building</v>
      </c>
      <c r="D141" s="13">
        <v>9.0305319999999991</v>
      </c>
      <c r="E141" s="13">
        <v>-79.630274999999997</v>
      </c>
      <c r="F141" s="13" t="s">
        <v>86</v>
      </c>
      <c r="G141" s="13" t="s">
        <v>87</v>
      </c>
    </row>
    <row r="142" spans="1:7" ht="15" customHeight="1" x14ac:dyDescent="0.2">
      <c r="A142" s="2" t="str">
        <f>IF(places!$A141="","",places!$A141)</f>
        <v>CZ-152</v>
      </c>
      <c r="B142" s="3" t="str">
        <f>IF(places!$A141="","",places!$B141)</f>
        <v>Pedro Miguel Labor Camp</v>
      </c>
      <c r="C142" s="11" t="str">
        <f>IF(places!$A141="","",places!$Y141)</f>
        <v>Neighborhood</v>
      </c>
      <c r="D142" s="13">
        <v>9.0198549999999997</v>
      </c>
      <c r="E142" s="13">
        <v>-79.613703999999998</v>
      </c>
      <c r="F142" s="13" t="s">
        <v>86</v>
      </c>
      <c r="G142" s="13" t="s">
        <v>87</v>
      </c>
    </row>
    <row r="143" spans="1:7" ht="15" customHeight="1" x14ac:dyDescent="0.2">
      <c r="A143" s="2" t="str">
        <f>IF(places!$A142="","",places!$A142)</f>
        <v>CZ-153</v>
      </c>
      <c r="B143" s="3" t="str">
        <f>IF(places!$A142="","",places!$B142)</f>
        <v>Pedro Miguel Shops / Roundhouse</v>
      </c>
      <c r="C143" s="11" t="str">
        <f>IF(places!$A142="","",places!$Y142)</f>
        <v>Infrastructure</v>
      </c>
      <c r="D143" s="13">
        <v>9.0177069999999997</v>
      </c>
      <c r="E143" s="13">
        <v>-79.608486999999997</v>
      </c>
      <c r="F143" s="13" t="s">
        <v>86</v>
      </c>
      <c r="G143" s="13" t="s">
        <v>87</v>
      </c>
    </row>
    <row r="144" spans="1:7" ht="15" customHeight="1" x14ac:dyDescent="0.2">
      <c r="A144" s="2" t="str">
        <f>IF(places!$A143="","",places!$A143)</f>
        <v>CZ-154</v>
      </c>
      <c r="B144" s="3" t="str">
        <f>IF(places!$A143="","",places!$B143)</f>
        <v>Paraiso Police Station</v>
      </c>
      <c r="C144" s="11" t="str">
        <f>IF(places!$A143="","",places!$Y143)</f>
        <v>Building</v>
      </c>
      <c r="D144" s="13">
        <v>9.0300360000000008</v>
      </c>
      <c r="E144" s="13">
        <v>-79.628589000000005</v>
      </c>
      <c r="F144" s="13" t="s">
        <v>86</v>
      </c>
      <c r="G144" s="13" t="s">
        <v>88</v>
      </c>
    </row>
    <row r="145" spans="1:7" ht="15" customHeight="1" x14ac:dyDescent="0.2">
      <c r="A145" s="2" t="str">
        <f>IF(places!$A144="","",places!$A144)</f>
        <v>CZ-155</v>
      </c>
      <c r="B145" s="3" t="str">
        <f>IF(places!$A144="","",places!$B144)</f>
        <v>Buena Vista (Pacific camp)</v>
      </c>
      <c r="C145" s="11" t="str">
        <f>IF(places!$A144="","",places!$Y144)</f>
        <v>Town</v>
      </c>
      <c r="D145" s="13">
        <v>9.0922830000000001</v>
      </c>
      <c r="E145" s="13">
        <v>-79.683273999999997</v>
      </c>
      <c r="F145" s="13" t="s">
        <v>86</v>
      </c>
      <c r="G145" s="13" t="s">
        <v>87</v>
      </c>
    </row>
    <row r="146" spans="1:7" ht="15" customHeight="1" x14ac:dyDescent="0.2">
      <c r="A146" s="2" t="str">
        <f>IF(places!$A145="","",places!$A145)</f>
        <v>CZ-156</v>
      </c>
      <c r="B146" s="3" t="str">
        <f>IF(places!$A145="","",places!$B145)</f>
        <v>Guachapali</v>
      </c>
      <c r="C146" s="11" t="str">
        <f>IF(places!$A145="","",places!$Y145)</f>
        <v>Town</v>
      </c>
      <c r="D146" s="13">
        <v>8.96096</v>
      </c>
      <c r="E146" s="13">
        <v>-79.540520000000001</v>
      </c>
      <c r="F146" s="13" t="s">
        <v>89</v>
      </c>
      <c r="G146" s="13" t="s">
        <v>90</v>
      </c>
    </row>
    <row r="147" spans="1:7" ht="15" customHeight="1" x14ac:dyDescent="0.2">
      <c r="A147" s="2" t="str">
        <f>IF(places!$A146="","",places!$A146)</f>
        <v>CZ-157</v>
      </c>
      <c r="B147" s="3" t="str">
        <f>IF(places!$A146="","",places!$B146)</f>
        <v>Cansaloma</v>
      </c>
      <c r="C147" s="11" t="str">
        <f>IF(places!$A146="","",places!$Y146)</f>
        <v>Town</v>
      </c>
      <c r="D147" s="13">
        <v>9.1161999999999992</v>
      </c>
      <c r="E147" s="13">
        <v>-79.7273</v>
      </c>
      <c r="F147" s="13" t="s">
        <v>91</v>
      </c>
      <c r="G147" s="13" t="s">
        <v>92</v>
      </c>
    </row>
    <row r="148" spans="1:7" ht="15" customHeight="1" x14ac:dyDescent="0.2">
      <c r="A148" s="2" t="str">
        <f>IF(places!$A147="","",places!$A147)</f>
        <v>CZ-158</v>
      </c>
      <c r="B148" s="3" t="str">
        <f>IF(places!$A147="","",places!$B147)</f>
        <v>Silver City</v>
      </c>
      <c r="C148" s="11" t="str">
        <f>IF(places!$A147="","",places!$Y147)</f>
        <v>Neighborhood</v>
      </c>
      <c r="D148" s="13">
        <v>9.3454359999999994</v>
      </c>
      <c r="E148" s="13">
        <v>-79.898892000000004</v>
      </c>
      <c r="F148" s="13" t="s">
        <v>93</v>
      </c>
      <c r="G148" s="13" t="s">
        <v>94</v>
      </c>
    </row>
    <row r="149" spans="1:7" ht="15" customHeight="1" x14ac:dyDescent="0.2">
      <c r="A149" s="2" t="str">
        <f>IF(places!$A148="","",places!$A148)</f>
        <v>CZ-159</v>
      </c>
      <c r="B149" s="3" t="str">
        <f>IF(places!$A148="","",places!$B148)</f>
        <v>Culebra Baptist Mission Church</v>
      </c>
      <c r="C149" s="11" t="str">
        <f>IF(places!$A148="","",places!$Y148)</f>
        <v>Building</v>
      </c>
      <c r="D149" s="13">
        <v>9.0477000000000007</v>
      </c>
      <c r="E149" s="13">
        <v>-79.654799999999994</v>
      </c>
      <c r="F149" s="13" t="s">
        <v>95</v>
      </c>
      <c r="G149" s="13" t="s">
        <v>96</v>
      </c>
    </row>
    <row r="150" spans="1:7" ht="15" customHeight="1" x14ac:dyDescent="0.2">
      <c r="A150" s="2" t="str">
        <f>IF(places!$A149="","",places!$A149)</f>
        <v>CZ-160</v>
      </c>
      <c r="B150" s="3" t="str">
        <f>IF(places!$A149="","",places!$B149)</f>
        <v>Mt Zion (Culebra)</v>
      </c>
      <c r="C150" s="11" t="str">
        <f>IF(places!$A149="","",places!$Y149)</f>
        <v>Site/Institution</v>
      </c>
      <c r="D150" s="13">
        <v>9.0443940000000005</v>
      </c>
      <c r="E150" s="13">
        <v>-79.654788999999994</v>
      </c>
      <c r="F150" s="13" t="s">
        <v>97</v>
      </c>
      <c r="G150" s="13" t="s">
        <v>98</v>
      </c>
    </row>
    <row r="151" spans="1:7" ht="15" customHeight="1" x14ac:dyDescent="0.2">
      <c r="A151" s="2" t="str">
        <f>IF(places!$A150="","",places!$A150)</f>
        <v>CZ-161</v>
      </c>
      <c r="B151" s="3" t="str">
        <f>IF(places!$A150="","",places!$B150)</f>
        <v>Ancon Hospital</v>
      </c>
      <c r="C151" s="11" t="str">
        <f>IF(places!$A150="","",places!$Y150)</f>
        <v>Site/Institution</v>
      </c>
      <c r="D151" s="13">
        <v>8.9613359999999993</v>
      </c>
      <c r="E151" s="13">
        <v>-79.549452000000002</v>
      </c>
      <c r="F151" s="13" t="s">
        <v>50</v>
      </c>
      <c r="G151" s="13" t="s">
        <v>99</v>
      </c>
    </row>
    <row r="152" spans="1:7" ht="15" customHeight="1" x14ac:dyDescent="0.2">
      <c r="A152" s="2" t="str">
        <f>IF(places!$A151="","",places!$A151)</f>
        <v>CZ-162</v>
      </c>
      <c r="B152" s="3" t="str">
        <f>IF(places!$A151="","",places!$B151)</f>
        <v>Ancon Cemetery</v>
      </c>
      <c r="C152" s="11" t="str">
        <f>IF(places!$A151="","",places!$Y151)</f>
        <v>Site/Institution</v>
      </c>
      <c r="D152" s="13">
        <v>8.9587599999999998</v>
      </c>
      <c r="E152" s="13">
        <v>-79.553927999999999</v>
      </c>
      <c r="F152" s="13" t="s">
        <v>100</v>
      </c>
      <c r="G152" s="13" t="s">
        <v>101</v>
      </c>
    </row>
    <row r="153" spans="1:7" ht="15" customHeight="1" x14ac:dyDescent="0.2">
      <c r="A153" s="2" t="str">
        <f>IF(places!$A152="","",places!$A152)</f>
        <v>CZ-163</v>
      </c>
      <c r="B153" s="3" t="str">
        <f>IF(places!$A152="","",places!$B152)</f>
        <v>Chinese Cemetery (Ancon)</v>
      </c>
      <c r="C153" s="11" t="str">
        <f>IF(places!$A152="","",places!$Y152)</f>
        <v>Site/Institution</v>
      </c>
      <c r="D153" s="13">
        <v>8.9539170000000006</v>
      </c>
      <c r="E153" s="13">
        <v>-79.548590000000004</v>
      </c>
      <c r="F153" s="13" t="s">
        <v>102</v>
      </c>
      <c r="G153" s="13" t="s">
        <v>103</v>
      </c>
    </row>
    <row r="154" spans="1:7" ht="15" customHeight="1" x14ac:dyDescent="0.2">
      <c r="A154" s="2" t="str">
        <f>IF(places!$A153="","",places!$A153)</f>
        <v>CZ-164</v>
      </c>
      <c r="B154" s="3" t="str">
        <f>IF(places!$A153="","",places!$B153)</f>
        <v>New Empire</v>
      </c>
      <c r="C154" s="11" t="str">
        <f>IF(places!$A153="","",places!$Y153)</f>
        <v>Town</v>
      </c>
      <c r="D154" s="13">
        <v>9.04955</v>
      </c>
      <c r="E154" s="13">
        <v>-79.676469999999995</v>
      </c>
      <c r="F154" s="13" t="s">
        <v>104</v>
      </c>
      <c r="G154" s="13" t="s">
        <v>105</v>
      </c>
    </row>
    <row r="155" spans="1:7" ht="15" customHeight="1" x14ac:dyDescent="0.2">
      <c r="A155" s="2" t="str">
        <f>IF(places!$A154="","",places!$A154)</f>
        <v>CZ-165</v>
      </c>
      <c r="B155" s="3" t="str">
        <f>IF(places!$A154="","",places!$B154)</f>
        <v>Cerro Gordo camp</v>
      </c>
      <c r="C155" s="11" t="str">
        <f>IF(places!$A154="","",places!$Y154)</f>
        <v>Town</v>
      </c>
      <c r="D155" s="13">
        <v>9.0400500000000008</v>
      </c>
      <c r="E155" s="13">
        <v>-79.662149999999997</v>
      </c>
      <c r="F155" s="13" t="s">
        <v>104</v>
      </c>
      <c r="G155" s="13" t="s">
        <v>105</v>
      </c>
    </row>
    <row r="156" spans="1:7" ht="15" customHeight="1" x14ac:dyDescent="0.2">
      <c r="A156" s="2" t="str">
        <f>IF(places!$A155="","",places!$A155)</f>
        <v>CZ-166</v>
      </c>
      <c r="B156" s="3" t="str">
        <f>IF(places!$A155="","",places!$B155)</f>
        <v>Curundu</v>
      </c>
      <c r="C156" s="11" t="str">
        <f>IF(places!$A155="","",places!$Y155)</f>
        <v>Town</v>
      </c>
      <c r="D156" s="13">
        <v>8.9826890000000006</v>
      </c>
      <c r="E156" s="13">
        <v>-79.551388000000003</v>
      </c>
      <c r="F156" s="13" t="s">
        <v>106</v>
      </c>
      <c r="G156" s="13" t="s">
        <v>107</v>
      </c>
    </row>
    <row r="157" spans="1:7" ht="15" customHeight="1" x14ac:dyDescent="0.2">
      <c r="A157" s="2" t="str">
        <f>IF(places!$A156="","",places!$A156)</f>
        <v>CZ-167</v>
      </c>
      <c r="B157" s="3" t="str">
        <f>IF(places!$A156="","",places!$B156)</f>
        <v>Coco Solito</v>
      </c>
      <c r="C157" s="11" t="str">
        <f>IF(places!$A156="","",places!$Y156)</f>
        <v>Town</v>
      </c>
      <c r="D157" s="13">
        <v>9.3461879999999997</v>
      </c>
      <c r="E157" s="13">
        <v>-79.869187999999994</v>
      </c>
      <c r="F157" s="13" t="s">
        <v>108</v>
      </c>
      <c r="G157" s="13" t="s">
        <v>109</v>
      </c>
    </row>
    <row r="158" spans="1:7" ht="15" customHeight="1" x14ac:dyDescent="0.2">
      <c r="A158" s="2" t="str">
        <f>IF(places!$A157="","",places!$A157)</f>
        <v>CZ-168</v>
      </c>
      <c r="B158" s="3" t="str">
        <f>IF(places!$A157="","",places!$B157)</f>
        <v>New Cristobal</v>
      </c>
      <c r="C158" s="11" t="str">
        <f>IF(places!$A157="","",places!$Y157)</f>
        <v>Town</v>
      </c>
      <c r="D158" s="13">
        <v>9.3638630000000003</v>
      </c>
      <c r="E158" s="13">
        <v>-79.892736999999997</v>
      </c>
      <c r="F158" s="13" t="s">
        <v>108</v>
      </c>
      <c r="G158" s="13" t="s">
        <v>109</v>
      </c>
    </row>
    <row r="159" spans="1:7" ht="15" customHeight="1" x14ac:dyDescent="0.2">
      <c r="A159" s="2" t="str">
        <f>IF(places!$A158="","",places!$A158)</f>
        <v>CZ-169</v>
      </c>
      <c r="B159" s="3" t="str">
        <f>IF(places!$A158="","",places!$B158)</f>
        <v>Lacona</v>
      </c>
      <c r="C159" s="11" t="str">
        <f>IF(places!$A158="","",places!$Y158)</f>
        <v>Town</v>
      </c>
      <c r="D159" s="13">
        <v>8.9517980000000001</v>
      </c>
      <c r="E159" s="13">
        <v>-79.601146999999997</v>
      </c>
      <c r="F159" s="13" t="s">
        <v>108</v>
      </c>
      <c r="G159" s="13" t="s">
        <v>110</v>
      </c>
    </row>
    <row r="160" spans="1:7" ht="15" customHeight="1" x14ac:dyDescent="0.2">
      <c r="A160" s="2" t="str">
        <f>IF(places!$A159="","",places!$A159)</f>
        <v>CZ-170</v>
      </c>
      <c r="B160" s="3" t="str">
        <f>IF(places!$A159="","",places!$B159)</f>
        <v>Cartagenita (La Boca)</v>
      </c>
      <c r="C160" s="11" t="str">
        <f>IF(places!$A159="","",places!$Y159)</f>
        <v>Town</v>
      </c>
      <c r="D160" s="13">
        <v>8.9579000000000004</v>
      </c>
      <c r="E160" s="13">
        <v>-79.564599999999999</v>
      </c>
      <c r="F160" s="13" t="s">
        <v>111</v>
      </c>
      <c r="G160" s="13" t="s">
        <v>112</v>
      </c>
    </row>
    <row r="161" spans="1:7" ht="15" customHeight="1" x14ac:dyDescent="0.2">
      <c r="A161" s="2" t="str">
        <f>IF(places!$A160="","",places!$A160)</f>
        <v>CZ-171</v>
      </c>
      <c r="B161" s="3" t="str">
        <f>IF(places!$A160="","",places!$B160)</f>
        <v>Cocoli (townsite)</v>
      </c>
      <c r="C161" s="11" t="str">
        <f>IF(places!$A160="","",places!$Y160)</f>
        <v>Town</v>
      </c>
      <c r="D161" s="13">
        <v>8.9763339999999996</v>
      </c>
      <c r="E161" s="13">
        <v>-79.600290000000001</v>
      </c>
      <c r="F161" s="13" t="s">
        <v>108</v>
      </c>
      <c r="G161" s="13" t="s">
        <v>113</v>
      </c>
    </row>
    <row r="162" spans="1:7" ht="15" customHeight="1" x14ac:dyDescent="0.2">
      <c r="A162" s="2" t="str">
        <f>IF(places!$A161="","",places!$A161)</f>
        <v>CZ-172</v>
      </c>
      <c r="B162" s="3" t="str">
        <f>IF(places!$A161="","",places!$B161)</f>
        <v>Pedro Miguel (as-built)</v>
      </c>
      <c r="C162" s="11" t="str">
        <f>IF(places!$A161="","",places!$Y161)</f>
        <v>Town</v>
      </c>
      <c r="D162" s="13"/>
      <c r="E162" s="13"/>
      <c r="F162" s="13"/>
      <c r="G162" s="13"/>
    </row>
    <row r="163" spans="1:7" ht="15" customHeight="1" x14ac:dyDescent="0.2">
      <c r="A163" s="2" t="str">
        <f>IF(places!$A162="","",places!$A162)</f>
        <v>CZ-173</v>
      </c>
      <c r="B163" s="3" t="str">
        <f>IF(places!$A162="","",places!$B162)</f>
        <v>New Frijoles</v>
      </c>
      <c r="C163" s="11" t="str">
        <f>IF(places!$A162="","",places!$Y162)</f>
        <v>Town</v>
      </c>
      <c r="D163" s="13">
        <v>9.1755999999999993</v>
      </c>
      <c r="E163" s="13">
        <v>-79.801329999999993</v>
      </c>
      <c r="F163" s="13" t="s">
        <v>114</v>
      </c>
      <c r="G163" s="13" t="s">
        <v>115</v>
      </c>
    </row>
    <row r="164" spans="1:7" ht="15" customHeight="1" x14ac:dyDescent="0.2">
      <c r="A164" s="2" t="str">
        <f>IF(places!$A163="","",places!$A163)</f>
        <v>CZ-174</v>
      </c>
      <c r="B164" s="3" t="str">
        <f>IF(places!$A163="","",places!$B163)</f>
        <v>Jamaica Town (Gorgona)</v>
      </c>
      <c r="C164" s="11" t="str">
        <f>IF(places!$A163="","",places!$Y163)</f>
        <v>Neighborhood</v>
      </c>
      <c r="D164" s="13"/>
      <c r="E164" s="13"/>
      <c r="F164" s="13"/>
      <c r="G164" s="13"/>
    </row>
    <row r="165" spans="1:7" ht="15" customHeight="1" x14ac:dyDescent="0.2">
      <c r="A165" s="2" t="str">
        <f>IF(places!$A164="","",places!$A164)</f>
        <v>CZ-175</v>
      </c>
      <c r="B165" s="3" t="str">
        <f>IF(places!$A164="","",places!$B164)</f>
        <v>Camacho (Empire)</v>
      </c>
      <c r="C165" s="11" t="str">
        <f>IF(places!$A164="","",places!$Y164)</f>
        <v>Neighborhood</v>
      </c>
      <c r="D165" s="13"/>
      <c r="E165" s="13"/>
      <c r="F165" s="13"/>
      <c r="G165" s="13"/>
    </row>
    <row r="166" spans="1:7" ht="15" customHeight="1" x14ac:dyDescent="0.2">
      <c r="A166" s="2" t="str">
        <f>IF(places!$A165="","",places!$A165)</f>
        <v>CZ-176</v>
      </c>
      <c r="B166" s="3" t="str">
        <f>IF(places!$A165="","",places!$B165)</f>
        <v>Bishop's Hollow (Ancon)</v>
      </c>
      <c r="C166" s="11" t="str">
        <f>IF(places!$A165="","",places!$Y165)</f>
        <v>Neighborhood</v>
      </c>
      <c r="D166" s="13"/>
      <c r="E166" s="13"/>
      <c r="F166" s="13"/>
      <c r="G166" s="13"/>
    </row>
    <row r="167" spans="1:7" ht="15" customHeight="1" x14ac:dyDescent="0.2">
      <c r="A167" s="2" t="str">
        <f>IF(places!$A166="","",places!$A166)</f>
        <v>CZ-177</v>
      </c>
      <c r="B167" s="3" t="str">
        <f>IF(places!$A166="","",places!$B166)</f>
        <v>Banana Walk (Matachin)</v>
      </c>
      <c r="C167" s="11" t="str">
        <f>IF(places!$A166="","",places!$Y166)</f>
        <v>Neighborhood</v>
      </c>
      <c r="D167" s="13"/>
      <c r="E167" s="13"/>
      <c r="F167" s="13"/>
      <c r="G167" s="13"/>
    </row>
    <row r="168" spans="1:7" ht="15" customHeight="1" x14ac:dyDescent="0.2">
      <c r="A168" s="2" t="str">
        <f>IF(places!$A167="","",places!$A167)</f>
        <v>CZ-178</v>
      </c>
      <c r="B168" s="3" t="str">
        <f>IF(places!$A167="","",places!$B167)</f>
        <v>Rio Grande works (Culebra)</v>
      </c>
      <c r="C168" s="11" t="str">
        <f>IF(places!$A167="","",places!$Y167)</f>
        <v>Site/Institution</v>
      </c>
      <c r="D168" s="13"/>
      <c r="E168" s="13"/>
      <c r="F168" s="13"/>
      <c r="G168" s="13"/>
    </row>
    <row r="169" spans="1:7" ht="15" customHeight="1" x14ac:dyDescent="0.2">
      <c r="A169" s="2" t="str">
        <f>IF(places!$A168="","",places!$A168)</f>
        <v>CZ-179</v>
      </c>
      <c r="B169" s="3" t="str">
        <f>IF(places!$A168="","",places!$B168)</f>
        <v>Culebra Police Station (145)</v>
      </c>
      <c r="C169" s="11" t="str">
        <f>IF(places!$A168="","",places!$Y168)</f>
        <v>Building</v>
      </c>
      <c r="D169" s="13">
        <v>9.0370000000000008</v>
      </c>
      <c r="E169" s="13">
        <v>-79.646299999999997</v>
      </c>
      <c r="F169" s="13" t="s">
        <v>116</v>
      </c>
      <c r="G169" s="13" t="s">
        <v>117</v>
      </c>
    </row>
    <row r="170" spans="1:7" ht="15" customHeight="1" x14ac:dyDescent="0.2">
      <c r="A170" s="2" t="str">
        <f>IF(places!$A169="","",places!$A169)</f>
        <v>CZ-180</v>
      </c>
      <c r="B170" s="3" t="str">
        <f>IF(places!$A169="","",places!$B169)</f>
        <v>Culebra Penitentiary (173)</v>
      </c>
      <c r="C170" s="11" t="str">
        <f>IF(places!$A169="","",places!$Y169)</f>
        <v>Building</v>
      </c>
      <c r="D170" s="13">
        <v>9.0366999999999997</v>
      </c>
      <c r="E170" s="13">
        <v>-79.646600000000007</v>
      </c>
      <c r="F170" s="13" t="s">
        <v>116</v>
      </c>
      <c r="G170" s="13" t="s">
        <v>117</v>
      </c>
    </row>
    <row r="171" spans="1:7" ht="15" customHeight="1" x14ac:dyDescent="0.2">
      <c r="A171" s="2" t="str">
        <f>IF(places!$A170="","",places!$A170)</f>
        <v>CZ-181</v>
      </c>
      <c r="B171" s="3" t="str">
        <f>IF(places!$A170="","",places!$B170)</f>
        <v>Culebra Pumping Station (146)</v>
      </c>
      <c r="C171" s="11" t="str">
        <f>IF(places!$A170="","",places!$Y170)</f>
        <v>Building</v>
      </c>
      <c r="D171" s="13">
        <v>9.0360999999999994</v>
      </c>
      <c r="E171" s="13">
        <v>-79.647099999999995</v>
      </c>
      <c r="F171" s="13" t="s">
        <v>116</v>
      </c>
      <c r="G171" s="13" t="s">
        <v>117</v>
      </c>
    </row>
    <row r="172" spans="1:7" ht="15" customHeight="1" x14ac:dyDescent="0.2">
      <c r="A172" s="2" t="str">
        <f>IF(places!$A171="","",places!$A171)</f>
        <v>CZ-182</v>
      </c>
      <c r="B172" s="3" t="str">
        <f>IF(places!$A171="","",places!$B171)</f>
        <v>Diablo Heights</v>
      </c>
      <c r="C172" s="11" t="str">
        <f>IF(places!$A171="","",places!$Y171)</f>
        <v>Town</v>
      </c>
      <c r="D172" s="13">
        <v>8.9743999999999993</v>
      </c>
      <c r="E172" s="13">
        <v>-79.573800000000006</v>
      </c>
      <c r="F172" s="13" t="s">
        <v>118</v>
      </c>
      <c r="G172" s="13" t="s">
        <v>119</v>
      </c>
    </row>
    <row r="173" spans="1:7" ht="15" customHeight="1" x14ac:dyDescent="0.2">
      <c r="A173" s="2" t="str">
        <f>IF(places!$A172="","",places!$A172)</f>
        <v>CZ-183</v>
      </c>
      <c r="B173" s="3" t="str">
        <f>IF(places!$A172="","",places!$B172)</f>
        <v>Barro Colorado (village)</v>
      </c>
      <c r="C173" s="11" t="str">
        <f>IF(places!$A172="","",places!$Y172)</f>
        <v>Town</v>
      </c>
      <c r="D173" s="13">
        <v>9.1988000000000003</v>
      </c>
      <c r="E173" s="13">
        <v>-79.803600000000003</v>
      </c>
      <c r="F173" s="13" t="s">
        <v>120</v>
      </c>
      <c r="G173" s="13" t="s">
        <v>121</v>
      </c>
    </row>
    <row r="174" spans="1:7" ht="15" customHeight="1" x14ac:dyDescent="0.2">
      <c r="A174" s="2" t="str">
        <f>IF(places!$A173="","",places!$A173)</f>
        <v>CZ-184</v>
      </c>
      <c r="B174" s="3" t="str">
        <f>IF(places!$A173="","",places!$B173)</f>
        <v>Rio Indio Settlement</v>
      </c>
      <c r="C174" s="11" t="str">
        <f>IF(places!$A173="","",places!$Y173)</f>
        <v>Town</v>
      </c>
      <c r="D174" s="13">
        <v>9.2568000000000001</v>
      </c>
      <c r="E174" s="13">
        <v>-79.928200000000004</v>
      </c>
      <c r="F174" s="13" t="s">
        <v>120</v>
      </c>
      <c r="G174" s="13" t="s">
        <v>122</v>
      </c>
    </row>
    <row r="175" spans="1:7" ht="15" customHeight="1" x14ac:dyDescent="0.2">
      <c r="A175" s="2" t="str">
        <f>IF(places!$A174="","",places!$A174)</f>
        <v>CZ-185</v>
      </c>
      <c r="B175" s="3" t="str">
        <f>IF(places!$A174="","",places!$B174)</f>
        <v>Palo Matias Nuevo</v>
      </c>
      <c r="C175" s="11" t="str">
        <f>IF(places!$A174="","",places!$Y174)</f>
        <v>Town</v>
      </c>
      <c r="D175" s="13">
        <v>9.2119</v>
      </c>
      <c r="E175" s="13">
        <v>-79.906599999999997</v>
      </c>
      <c r="F175" s="13" t="s">
        <v>120</v>
      </c>
      <c r="G175" s="13" t="s">
        <v>122</v>
      </c>
    </row>
    <row r="176" spans="1:7" ht="15" customHeight="1" x14ac:dyDescent="0.2">
      <c r="A176" s="2" t="str">
        <f>IF(places!$A175="","",places!$A175)</f>
        <v>CZ-186</v>
      </c>
      <c r="B176" s="3" t="str">
        <f>IF(places!$A175="","",places!$B175)</f>
        <v>Palo Horqueta</v>
      </c>
      <c r="C176" s="11" t="str">
        <f>IF(places!$A175="","",places!$Y175)</f>
        <v>Town</v>
      </c>
      <c r="D176" s="13">
        <v>9.2093000000000007</v>
      </c>
      <c r="E176" s="13">
        <v>-79.899199999999993</v>
      </c>
      <c r="F176" s="13" t="s">
        <v>120</v>
      </c>
      <c r="G176" s="13" t="s">
        <v>122</v>
      </c>
    </row>
    <row r="177" spans="1:7" ht="15" customHeight="1" x14ac:dyDescent="0.2">
      <c r="A177" s="2" t="str">
        <f>IF(places!$A176="","",places!$A176)</f>
        <v>CZ-187</v>
      </c>
      <c r="B177" s="3" t="str">
        <f>IF(places!$A176="","",places!$B176)</f>
        <v>Palenquillo</v>
      </c>
      <c r="C177" s="11" t="str">
        <f>IF(places!$A176="","",places!$Y176)</f>
        <v>Town</v>
      </c>
      <c r="D177" s="13">
        <v>9.2294999999999998</v>
      </c>
      <c r="E177" s="13">
        <v>-79.876999999999995</v>
      </c>
      <c r="F177" s="13" t="s">
        <v>120</v>
      </c>
      <c r="G177" s="13" t="s">
        <v>122</v>
      </c>
    </row>
    <row r="178" spans="1:7" ht="15" customHeight="1" x14ac:dyDescent="0.2">
      <c r="A178" s="2" t="str">
        <f>IF(places!$A177="","",places!$A177)</f>
        <v>CZ-188</v>
      </c>
      <c r="B178" s="3" t="str">
        <f>IF(places!$A177="","",places!$B177)</f>
        <v>Pedro Bernal's Settlement</v>
      </c>
      <c r="C178" s="11" t="str">
        <f>IF(places!$A177="","",places!$Y177)</f>
        <v>Town</v>
      </c>
      <c r="D178" s="13">
        <v>9.1129999999999995</v>
      </c>
      <c r="E178" s="13">
        <v>-79.8</v>
      </c>
      <c r="F178" s="13" t="s">
        <v>120</v>
      </c>
      <c r="G178" s="13" t="s">
        <v>123</v>
      </c>
    </row>
    <row r="179" spans="1:7" ht="15" customHeight="1" x14ac:dyDescent="0.2">
      <c r="A179" s="2" t="str">
        <f>IF(places!$A178="","",places!$A178)</f>
        <v>CZ-189</v>
      </c>
      <c r="B179" s="3" t="str">
        <f>IF(places!$A178="","",places!$B178)</f>
        <v>Mari Posa</v>
      </c>
      <c r="C179" s="11" t="str">
        <f>IF(places!$A178="","",places!$Y178)</f>
        <v>Town</v>
      </c>
      <c r="D179" s="13">
        <v>9.093</v>
      </c>
      <c r="E179" s="13">
        <v>-79.709999999999994</v>
      </c>
      <c r="F179" s="13" t="s">
        <v>120</v>
      </c>
      <c r="G179" s="13" t="s">
        <v>123</v>
      </c>
    </row>
    <row r="180" spans="1:7" ht="15" customHeight="1" x14ac:dyDescent="0.2">
      <c r="A180" s="2" t="str">
        <f>IF(places!$A179="","",places!$A179)</f>
        <v>CZ-190</v>
      </c>
      <c r="B180" s="3" t="str">
        <f>IF(places!$A179="","",places!$B179)</f>
        <v>Noreza</v>
      </c>
      <c r="C180" s="11" t="str">
        <f>IF(places!$A179="","",places!$Y179)</f>
        <v>Town</v>
      </c>
      <c r="D180" s="13">
        <v>9.08</v>
      </c>
      <c r="E180" s="13">
        <v>-79.7</v>
      </c>
      <c r="F180" s="13" t="s">
        <v>120</v>
      </c>
      <c r="G180" s="13" t="s">
        <v>123</v>
      </c>
    </row>
    <row r="181" spans="1:7" ht="15" customHeight="1" x14ac:dyDescent="0.2">
      <c r="A181" s="2" t="str">
        <f>IF(places!$A180="","",places!$A180)</f>
        <v>CZ-191</v>
      </c>
      <c r="B181" s="3" t="str">
        <f>IF(places!$A180="","",places!$B180)</f>
        <v>Dominica</v>
      </c>
      <c r="C181" s="11" t="str">
        <f>IF(places!$A180="","",places!$Y180)</f>
        <v>Town</v>
      </c>
      <c r="D181" s="13">
        <v>9.0399999999999991</v>
      </c>
      <c r="E181" s="13">
        <v>-79.611999999999995</v>
      </c>
      <c r="F181" s="13" t="s">
        <v>120</v>
      </c>
      <c r="G181" s="13" t="s">
        <v>123</v>
      </c>
    </row>
    <row r="182" spans="1:7" ht="15" customHeight="1" x14ac:dyDescent="0.2">
      <c r="A182" s="2" t="str">
        <f>IF(places!$A181="","",places!$A181)</f>
        <v>CZ-192</v>
      </c>
      <c r="B182" s="3" t="str">
        <f>IF(places!$A181="","",places!$B181)</f>
        <v>Cardenas</v>
      </c>
      <c r="C182" s="11" t="str">
        <f>IF(places!$A181="","",places!$Y181)</f>
        <v>Town</v>
      </c>
      <c r="D182" s="13">
        <v>9.0050000000000008</v>
      </c>
      <c r="E182" s="13">
        <v>-79.591999999999999</v>
      </c>
      <c r="F182" s="13" t="s">
        <v>120</v>
      </c>
      <c r="G182" s="13" t="s">
        <v>123</v>
      </c>
    </row>
    <row r="183" spans="1:7" ht="15" customHeight="1" x14ac:dyDescent="0.2">
      <c r="A183" s="2" t="str">
        <f>IF(places!$A182="","",places!$A182)</f>
        <v>CZ-193</v>
      </c>
      <c r="B183" s="3" t="str">
        <f>IF(places!$A182="","",places!$B182)</f>
        <v>La Vuella (Half Way House)</v>
      </c>
      <c r="C183" s="11" t="str">
        <f>IF(places!$A182="","",places!$Y182)</f>
        <v>Town</v>
      </c>
      <c r="D183" s="13">
        <v>9.0559999999999992</v>
      </c>
      <c r="E183" s="13">
        <v>-79.64</v>
      </c>
      <c r="F183" s="13" t="s">
        <v>120</v>
      </c>
      <c r="G183" s="13" t="s">
        <v>123</v>
      </c>
    </row>
    <row r="184" spans="1:7" ht="15" customHeight="1" x14ac:dyDescent="0.2">
      <c r="A184" s="2" t="str">
        <f>IF(places!$A183="","",places!$A183)</f>
        <v>CZ-194</v>
      </c>
      <c r="B184" s="3" t="str">
        <f>IF(places!$A183="","",places!$B183)</f>
        <v>Miraflores (Atlantic)</v>
      </c>
      <c r="C184" s="11" t="str">
        <f>IF(places!$A183="","",places!$Y183)</f>
        <v>Town</v>
      </c>
      <c r="D184" s="13">
        <v>9.2539999999999996</v>
      </c>
      <c r="E184" s="13">
        <v>-79.935000000000002</v>
      </c>
      <c r="F184" s="13" t="s">
        <v>120</v>
      </c>
      <c r="G184" s="13" t="s">
        <v>122</v>
      </c>
    </row>
    <row r="185" spans="1:7" ht="15" customHeight="1" x14ac:dyDescent="0.2">
      <c r="A185" s="2" t="str">
        <f>IF(places!$A184="","",places!$A184)</f>
        <v>CZ-195</v>
      </c>
      <c r="B185" s="3" t="str">
        <f>IF(places!$A184="","",places!$B184)</f>
        <v>Marañón</v>
      </c>
      <c r="C185" s="11" t="str">
        <f>IF(places!$A184="","",places!$Y184)</f>
        <v>Neighborhood</v>
      </c>
      <c r="D185" s="13">
        <v>8.9602920000000008</v>
      </c>
      <c r="E185" s="13">
        <v>-79.541263000000001</v>
      </c>
      <c r="F185" s="13" t="s">
        <v>124</v>
      </c>
      <c r="G185" s="13" t="s">
        <v>125</v>
      </c>
    </row>
    <row r="186" spans="1:7" ht="15" customHeight="1" x14ac:dyDescent="0.2">
      <c r="A186" s="2" t="str">
        <f>IF(places!$A185="","",places!$A185)</f>
        <v>CZ-196</v>
      </c>
      <c r="B186" s="3" t="str">
        <f>IF(places!$A185="","",places!$B185)</f>
        <v>Cocoa Grove</v>
      </c>
      <c r="C186" s="11" t="str">
        <f>IF(places!$A185="","",places!$Y185)</f>
        <v>Neighborhood</v>
      </c>
      <c r="D186" s="13">
        <v>8.9557970000000005</v>
      </c>
      <c r="E186" s="13">
        <v>-79.546772000000004</v>
      </c>
      <c r="F186" s="13" t="s">
        <v>124</v>
      </c>
      <c r="G186" s="13" t="s">
        <v>125</v>
      </c>
    </row>
    <row r="187" spans="1:7" ht="15" customHeight="1" x14ac:dyDescent="0.2">
      <c r="A187" s="2" t="str">
        <f>IF(places!$A186="","",places!$A186)</f>
        <v>CZ-197</v>
      </c>
      <c r="B187" s="3" t="str">
        <f>IF(places!$A186="","",places!$B186)</f>
        <v>Chorrillo del Rey</v>
      </c>
      <c r="C187" s="11" t="str">
        <f>IF(places!$A186="","",places!$Y186)</f>
        <v>Neighborhood</v>
      </c>
      <c r="D187" s="13">
        <v>8.9539050000000007</v>
      </c>
      <c r="E187" s="13">
        <v>-79.549237000000005</v>
      </c>
      <c r="F187" s="13" t="s">
        <v>124</v>
      </c>
      <c r="G187" s="13" t="s">
        <v>125</v>
      </c>
    </row>
    <row r="188" spans="1:7" ht="15" customHeight="1" x14ac:dyDescent="0.2">
      <c r="A188" s="2" t="str">
        <f>IF(places!$A187="","",places!$A187)</f>
        <v>CZ-198</v>
      </c>
      <c r="B188" s="3" t="str">
        <f>IF(places!$A187="","",places!$B187)</f>
        <v>Cementerios (Camino de La Boca)</v>
      </c>
      <c r="C188" s="11" t="str">
        <f>IF(places!$A187="","",places!$Y187)</f>
        <v>Site/Institution</v>
      </c>
      <c r="D188" s="13">
        <v>8.9537560000000003</v>
      </c>
      <c r="E188" s="13">
        <v>-79.546772000000004</v>
      </c>
      <c r="F188" s="13" t="s">
        <v>124</v>
      </c>
      <c r="G188" s="13" t="s">
        <v>125</v>
      </c>
    </row>
    <row r="189" spans="1:7" ht="15" customHeight="1" x14ac:dyDescent="0.2">
      <c r="A189" s="2" t="str">
        <f>IF(places!$A188="","",places!$A188)</f>
        <v>CZ-199</v>
      </c>
      <c r="B189" s="3" t="str">
        <f>IF(places!$A188="","",places!$B188)</f>
        <v>Santa Ana (arrabal)</v>
      </c>
      <c r="C189" s="11" t="str">
        <f>IF(places!$A188="","",places!$Y188)</f>
        <v>Town</v>
      </c>
      <c r="D189" s="13">
        <v>8.9551549999999995</v>
      </c>
      <c r="E189" s="13">
        <v>-79.541983000000002</v>
      </c>
      <c r="F189" s="13" t="s">
        <v>126</v>
      </c>
      <c r="G189" s="13" t="s">
        <v>127</v>
      </c>
    </row>
    <row r="190" spans="1:7" ht="15" customHeight="1" x14ac:dyDescent="0.2">
      <c r="A190" s="2" t="str">
        <f>IF(places!$A189="","",places!$A189)</f>
        <v>CZ-200</v>
      </c>
      <c r="B190" s="3" t="str">
        <f>IF(places!$A189="","",places!$B189)</f>
        <v>La Ciénega</v>
      </c>
      <c r="C190" s="11" t="str">
        <f>IF(places!$A189="","",places!$Y189)</f>
        <v>Neighborhood</v>
      </c>
      <c r="D190" s="13">
        <v>8.9570539999999994</v>
      </c>
      <c r="E190" s="13">
        <v>-79.540993999999998</v>
      </c>
      <c r="F190" s="13" t="s">
        <v>126</v>
      </c>
      <c r="G190" s="13" t="s">
        <v>128</v>
      </c>
    </row>
    <row r="191" spans="1:7" ht="15" customHeight="1" x14ac:dyDescent="0.2">
      <c r="A191" s="2" t="str">
        <f>IF(places!$A190="","",places!$A190)</f>
        <v>CZ-203</v>
      </c>
      <c r="B191" s="3" t="str">
        <f>IF(places!$A190="","",places!$B190)</f>
        <v>Malambo</v>
      </c>
      <c r="C191" s="11" t="str">
        <f>IF(places!$A190="","",places!$Y190)</f>
        <v>Neighborhood</v>
      </c>
      <c r="D191" s="13">
        <v>8.9555900000000008</v>
      </c>
      <c r="E191" s="13">
        <v>-79.543132</v>
      </c>
      <c r="F191" s="13" t="s">
        <v>129</v>
      </c>
      <c r="G191" s="13" t="s">
        <v>130</v>
      </c>
    </row>
    <row r="192" spans="1:7" ht="15" customHeight="1" x14ac:dyDescent="0.2">
      <c r="A192" s="2" t="str">
        <f>IF(places!$A191="","",places!$A191)</f>
        <v>CZ-204</v>
      </c>
      <c r="B192" s="3" t="str">
        <f>IF(places!$A191="","",places!$B191)</f>
        <v>Salsipuedes</v>
      </c>
      <c r="C192" s="11" t="str">
        <f>IF(places!$A191="","",places!$Y191)</f>
        <v>Neighborhood</v>
      </c>
      <c r="D192" s="13">
        <v>8.9558909999999994</v>
      </c>
      <c r="E192" s="13">
        <v>-79.540257999999994</v>
      </c>
      <c r="F192" s="13" t="s">
        <v>126</v>
      </c>
      <c r="G192" s="13" t="s">
        <v>131</v>
      </c>
    </row>
    <row r="193" spans="1:7" ht="15" customHeight="1" x14ac:dyDescent="0.2">
      <c r="A193" s="2" t="str">
        <f>IF(places!$A192="","",places!$A192)</f>
        <v>CZ-205</v>
      </c>
      <c r="B193" s="3" t="str">
        <f>IF(places!$A192="","",places!$B192)</f>
        <v>Guinea</v>
      </c>
      <c r="C193" s="11" t="str">
        <f>IF(places!$A192="","",places!$Y192)</f>
        <v>Neighborhood</v>
      </c>
      <c r="D193" s="13">
        <v>8.9540000000000006</v>
      </c>
      <c r="E193" s="13">
        <v>-79.551000000000002</v>
      </c>
      <c r="F193" s="13" t="s">
        <v>132</v>
      </c>
      <c r="G193" s="13" t="s">
        <v>133</v>
      </c>
    </row>
    <row r="194" spans="1:7" ht="15" customHeight="1" x14ac:dyDescent="0.2">
      <c r="A194" s="2" t="str">
        <f>IF(places!$A193="","",places!$A193)</f>
        <v>CZ-206</v>
      </c>
      <c r="B194" s="3" t="str">
        <f>IF(places!$A193="","",places!$B193)</f>
        <v>Tivoli Hotel</v>
      </c>
      <c r="C194" s="11" t="str">
        <f>IF(places!$A193="","",places!$Y193)</f>
        <v>Site/Institution</v>
      </c>
      <c r="D194" s="13">
        <v>8.9646000000000008</v>
      </c>
      <c r="E194" s="13">
        <v>-79.546400000000006</v>
      </c>
      <c r="F194" s="13" t="s">
        <v>50</v>
      </c>
      <c r="G194" s="13" t="s">
        <v>134</v>
      </c>
    </row>
    <row r="195" spans="1:7" ht="15" customHeight="1" x14ac:dyDescent="0.2">
      <c r="A195" s="2" t="str">
        <f>IF(places!$A194="","",places!$A194)</f>
        <v>CZ-207</v>
      </c>
      <c r="B195" s="3" t="str">
        <f>IF(places!$A194="","",places!$B194)</f>
        <v>Mt. Zion Reservoir</v>
      </c>
      <c r="C195" s="11" t="str">
        <f>IF(places!$A194="","",places!$Y194)</f>
        <v>Infrastructure</v>
      </c>
      <c r="D195" s="13">
        <v>9.035736</v>
      </c>
      <c r="E195" s="13">
        <v>-79.649771000000001</v>
      </c>
      <c r="F195" s="13" t="s">
        <v>135</v>
      </c>
      <c r="G195" s="13" t="s">
        <v>136</v>
      </c>
    </row>
    <row r="196" spans="1:7" ht="15" customHeight="1" x14ac:dyDescent="0.2">
      <c r="A196" s="2" t="str">
        <f>IF(places!$A195="","",places!$A195)</f>
        <v>CZ-208</v>
      </c>
      <c r="B196" s="3" t="str">
        <f>IF(places!$A195="","",places!$B195)</f>
        <v>Gerig (La Boca shore camp)</v>
      </c>
      <c r="C196" s="11" t="str">
        <f>IF(places!$A195="","",places!$Y195)</f>
        <v>Town</v>
      </c>
      <c r="D196" s="13">
        <v>8.9533419999999992</v>
      </c>
      <c r="E196" s="13">
        <v>-79.568161000000003</v>
      </c>
      <c r="F196" s="13" t="s">
        <v>137</v>
      </c>
      <c r="G196" s="13" t="s">
        <v>138</v>
      </c>
    </row>
    <row r="197" spans="1:7" ht="15" customHeight="1" x14ac:dyDescent="0.2">
      <c r="A197" s="2" t="str">
        <f>IF(places!$A196="","",places!$A196)</f>
        <v>CZ-209</v>
      </c>
      <c r="B197" s="3" t="str">
        <f>IF(places!$A196="","",places!$B196)</f>
        <v>W. Culebra</v>
      </c>
      <c r="C197" s="11" t="str">
        <f>IF(places!$A196="","",places!$Y196)</f>
        <v>Town</v>
      </c>
      <c r="D197" s="13">
        <v>9.0494800000000009</v>
      </c>
      <c r="E197" s="13">
        <v>-79.659139999999994</v>
      </c>
      <c r="F197" s="13" t="s">
        <v>139</v>
      </c>
      <c r="G197" s="13" t="s">
        <v>140</v>
      </c>
    </row>
    <row r="198" spans="1:7" ht="15" customHeight="1" x14ac:dyDescent="0.2">
      <c r="A198" s="2" t="str">
        <f>IF(places!$A197="","",places!$A197)</f>
        <v>CZ-210</v>
      </c>
      <c r="B198" s="3" t="str">
        <f>IF(places!$A197="","",places!$B197)</f>
        <v>Miraflores (Chagres)</v>
      </c>
      <c r="C198" s="11" t="str">
        <f>IF(places!$A197="","",places!$Y197)</f>
        <v>Town</v>
      </c>
      <c r="D198" s="13">
        <v>9.2539999999999996</v>
      </c>
      <c r="E198" s="13">
        <v>-79.935000000000002</v>
      </c>
      <c r="F198" s="13" t="s">
        <v>41</v>
      </c>
      <c r="G198" s="13" t="s">
        <v>141</v>
      </c>
    </row>
    <row r="199" spans="1:7" ht="15" customHeight="1" x14ac:dyDescent="0.2">
      <c r="A199" s="2" t="str">
        <f>IF(places!$A198="","",places!$A198)</f>
        <v>CZ-211</v>
      </c>
      <c r="B199" s="3" t="str">
        <f>IF(places!$A198="","",places!$B198)</f>
        <v>Silver City</v>
      </c>
      <c r="C199" s="11" t="str">
        <f>IF(places!$A198="","",places!$Y198)</f>
        <v>Town</v>
      </c>
      <c r="D199" s="13">
        <v>9.3454359999999994</v>
      </c>
      <c r="E199" s="13">
        <v>-79.898892000000004</v>
      </c>
      <c r="F199" s="13" t="s">
        <v>93</v>
      </c>
      <c r="G199" s="13" t="s">
        <v>94</v>
      </c>
    </row>
    <row r="200" spans="1:7" ht="15" customHeight="1" x14ac:dyDescent="0.2">
      <c r="A200" s="2" t="str">
        <f>IF(places!$A199="","",places!$A199)</f>
        <v>CZ-212</v>
      </c>
      <c r="B200" s="3" t="str">
        <f>IF(places!$A199="","",places!$B199)</f>
        <v>Camp Bierd</v>
      </c>
      <c r="C200" s="11" t="str">
        <f>IF(places!$A199="","",places!$Y199)</f>
        <v>Town</v>
      </c>
      <c r="D200" s="13">
        <v>9.348122</v>
      </c>
      <c r="E200" s="13">
        <v>-79.902413999999993</v>
      </c>
      <c r="F200" s="13" t="s">
        <v>93</v>
      </c>
      <c r="G200" s="13" t="s">
        <v>142</v>
      </c>
    </row>
    <row r="201" spans="1:7" ht="15" customHeight="1" x14ac:dyDescent="0.2">
      <c r="A201" s="2" t="str">
        <f>IF(places!$A200="","",places!$A200)</f>
        <v>CZ-213</v>
      </c>
      <c r="B201" s="3" t="str">
        <f>IF(places!$A200="","",places!$B200)</f>
        <v>Mount Hope Cemetery</v>
      </c>
      <c r="C201" s="11" t="str">
        <f>IF(places!$A200="","",places!$Y200)</f>
        <v>Site/Institution</v>
      </c>
      <c r="D201" s="13">
        <v>9.3375830000000004</v>
      </c>
      <c r="E201" s="13">
        <v>-79.898343999999994</v>
      </c>
      <c r="F201" s="13" t="s">
        <v>93</v>
      </c>
      <c r="G201" s="13" t="s">
        <v>142</v>
      </c>
    </row>
    <row r="202" spans="1:7" ht="15" customHeight="1" x14ac:dyDescent="0.2">
      <c r="A202" s="2" t="str">
        <f>IF(places!$A201="","",places!$A201)</f>
        <v>CZ-214</v>
      </c>
      <c r="B202" s="3" t="str">
        <f>IF(places!$A201="","",places!$B201)</f>
        <v>Fort de Lesseps</v>
      </c>
      <c r="C202" s="11" t="str">
        <f>IF(places!$A201="","",places!$Y201)</f>
        <v>Site/Institution</v>
      </c>
      <c r="D202" s="13">
        <v>9.3649539999999991</v>
      </c>
      <c r="E202" s="13">
        <v>-79.910309999999996</v>
      </c>
      <c r="F202" s="13" t="s">
        <v>143</v>
      </c>
      <c r="G202" s="13" t="s">
        <v>144</v>
      </c>
    </row>
    <row r="203" spans="1:7" ht="15" customHeight="1" x14ac:dyDescent="0.2">
      <c r="A203" s="2" t="str">
        <f>IF(places!$A202="","",places!$A202)</f>
        <v>CZ-215</v>
      </c>
      <c r="B203" s="3" t="str">
        <f>IF(places!$A202="","",places!$B202)</f>
        <v>Jamaica Town (Gatún)</v>
      </c>
      <c r="C203" s="11" t="str">
        <f>IF(places!$A202="","",places!$Y202)</f>
        <v>Neighborhood</v>
      </c>
      <c r="D203" s="13"/>
      <c r="E203" s="13"/>
      <c r="F203" s="13"/>
      <c r="G203" s="13"/>
    </row>
    <row r="204" spans="1:7" ht="15" customHeight="1" x14ac:dyDescent="0.2">
      <c r="A204" s="2" t="str">
        <f>IF(places!$A203="","",places!$A203)</f>
        <v>CZ-216</v>
      </c>
      <c r="B204" s="3" t="str">
        <f>IF(places!$A203="","",places!$B203)</f>
        <v>Dos Hermanas</v>
      </c>
      <c r="C204" s="11" t="str">
        <f>IF(places!$A203="","",places!$Y203)</f>
        <v>Town</v>
      </c>
      <c r="D204" s="13">
        <v>9.2194000000000003</v>
      </c>
      <c r="E204" s="13">
        <v>-79.890900000000002</v>
      </c>
      <c r="F204" s="13" t="s">
        <v>145</v>
      </c>
      <c r="G204" s="13" t="s">
        <v>146</v>
      </c>
    </row>
    <row r="205" spans="1:7" ht="15" customHeight="1" x14ac:dyDescent="0.2">
      <c r="A205" s="2" t="str">
        <f>IF(places!$A204="","",places!$A204)</f>
        <v>CZ-217</v>
      </c>
      <c r="B205" s="3" t="str">
        <f>IF(places!$A204="","",places!$B204)</f>
        <v>Palenquilla</v>
      </c>
      <c r="C205" s="11" t="str">
        <f>IF(places!$A204="","",places!$Y204)</f>
        <v>Town</v>
      </c>
      <c r="D205" s="13">
        <v>9.1516000000000002</v>
      </c>
      <c r="E205" s="13">
        <v>-79.810900000000004</v>
      </c>
      <c r="F205" s="13" t="s">
        <v>145</v>
      </c>
      <c r="G205" s="13" t="s">
        <v>147</v>
      </c>
    </row>
    <row r="206" spans="1:7" ht="15" customHeight="1" x14ac:dyDescent="0.2">
      <c r="A206" s="2" t="str">
        <f>IF(places!$A205="","",places!$A205)</f>
        <v>CZ-218</v>
      </c>
      <c r="B206" s="3" t="str">
        <f>IF(places!$A205="","",places!$B205)</f>
        <v>Juan Maria</v>
      </c>
      <c r="C206" s="11" t="str">
        <f>IF(places!$A205="","",places!$Y205)</f>
        <v>Town</v>
      </c>
      <c r="D206" s="13">
        <v>9.1456</v>
      </c>
      <c r="E206" s="13">
        <v>-79.813400000000001</v>
      </c>
      <c r="F206" s="13" t="s">
        <v>145</v>
      </c>
      <c r="G206" s="13" t="s">
        <v>148</v>
      </c>
    </row>
    <row r="207" spans="1:7" ht="15" customHeight="1" x14ac:dyDescent="0.2">
      <c r="A207" s="2" t="str">
        <f>IF(places!$A206="","",places!$A206)</f>
        <v>CZ-219</v>
      </c>
      <c r="B207" s="3" t="str">
        <f>IF(places!$A206="","",places!$B206)</f>
        <v>Agua Bendita</v>
      </c>
      <c r="C207" s="11" t="str">
        <f>IF(places!$A206="","",places!$Y206)</f>
        <v>Town</v>
      </c>
      <c r="D207" s="13">
        <v>9.1224000000000007</v>
      </c>
      <c r="E207" s="13">
        <v>-79.794899999999998</v>
      </c>
      <c r="F207" s="13" t="s">
        <v>145</v>
      </c>
      <c r="G207" s="13" t="s">
        <v>149</v>
      </c>
    </row>
    <row r="208" spans="1:7" ht="15" customHeight="1" x14ac:dyDescent="0.2">
      <c r="A208" s="2" t="str">
        <f>IF(places!$A207="","",places!$A207)</f>
        <v>CZ-220</v>
      </c>
      <c r="B208" s="3" t="str">
        <f>IF(places!$A207="","",places!$B207)</f>
        <v>Pedro Bernal</v>
      </c>
      <c r="C208" s="11" t="str">
        <f>IF(places!$A207="","",places!$Y207)</f>
        <v>Town</v>
      </c>
      <c r="D208" s="13">
        <v>9.1334999999999997</v>
      </c>
      <c r="E208" s="13">
        <v>-79.818399999999997</v>
      </c>
      <c r="F208" s="13" t="s">
        <v>145</v>
      </c>
      <c r="G208" s="13" t="s">
        <v>150</v>
      </c>
    </row>
    <row r="209" spans="1:7" ht="15" customHeight="1" x14ac:dyDescent="0.2">
      <c r="A209" s="2" t="str">
        <f>IF(places!$A208="","",places!$A208)</f>
        <v>CZ-221</v>
      </c>
      <c r="B209" s="3" t="str">
        <f>IF(places!$A208="","",places!$B208)</f>
        <v>Jamaica Town (Pacific)</v>
      </c>
      <c r="C209" s="11" t="str">
        <f>IF(places!$A208="","",places!$Y208)</f>
        <v>Neighborhood</v>
      </c>
      <c r="D209" s="13"/>
      <c r="E209" s="13"/>
      <c r="F209" s="13"/>
      <c r="G209" s="13"/>
    </row>
    <row r="210" spans="1:7" ht="15" customHeight="1" x14ac:dyDescent="0.2">
      <c r="A210" s="2" t="str">
        <f>IF(places!$A209="","",places!$A209)</f>
        <v>CZ-222</v>
      </c>
      <c r="B210" s="3" t="str">
        <f>IF(places!$A209="","",places!$B209)</f>
        <v>Culebra White School</v>
      </c>
      <c r="C210" s="11" t="str">
        <f>IF(places!$A209="","",places!$Y209)</f>
        <v>Building</v>
      </c>
      <c r="D210" s="13"/>
      <c r="E210" s="13"/>
      <c r="F210" s="13"/>
      <c r="G210" s="13"/>
    </row>
    <row r="211" spans="1:7" ht="15" customHeight="1" x14ac:dyDescent="0.2">
      <c r="A211" s="2" t="str">
        <f>IF(places!$A210="","",places!$A210)</f>
        <v>CZ-223</v>
      </c>
      <c r="B211" s="3" t="str">
        <f>IF(places!$A210="","",places!$B210)</f>
        <v>Culebra Ball Park</v>
      </c>
      <c r="C211" s="11" t="str">
        <f>IF(places!$A210="","",places!$Y210)</f>
        <v>Building</v>
      </c>
      <c r="D211" s="13"/>
      <c r="E211" s="13"/>
      <c r="F211" s="13"/>
      <c r="G211" s="13"/>
    </row>
    <row r="212" spans="1:7" ht="15" customHeight="1" x14ac:dyDescent="0.2">
      <c r="A212" s="2" t="str">
        <f>IF(places!$A211="","",places!$A211)</f>
        <v>CZ-224</v>
      </c>
      <c r="B212" s="3" t="str">
        <f>IF(places!$A211="","",places!$B211)</f>
        <v>Gorgona Railroad Shops</v>
      </c>
      <c r="C212" s="11" t="str">
        <f>IF(places!$A211="","",places!$Y211)</f>
        <v>Infrastructure</v>
      </c>
      <c r="D212" s="13"/>
      <c r="E212" s="13"/>
      <c r="F212" s="13"/>
      <c r="G212" s="13"/>
    </row>
    <row r="213" spans="1:7" ht="15" customHeight="1" x14ac:dyDescent="0.2">
      <c r="A213" s="2" t="str">
        <f>IF(places!$A212="","",places!$A212)</f>
        <v>CZ-225</v>
      </c>
      <c r="B213" s="3" t="str">
        <f>IF(places!$A212="","",places!$B212)</f>
        <v>Cerro Salado</v>
      </c>
      <c r="C213" s="11" t="str">
        <f>IF(places!$A212="","",places!$Y212)</f>
        <v>Town</v>
      </c>
      <c r="D213" s="13"/>
      <c r="E213" s="13"/>
      <c r="F213" s="13"/>
      <c r="G213" s="13"/>
    </row>
    <row r="214" spans="1:7" ht="15" customHeight="1" x14ac:dyDescent="0.2">
      <c r="A214" s="2" t="str">
        <f>IF(places!$A213="","",places!$A213)</f>
        <v>CZ-226</v>
      </c>
      <c r="B214" s="3" t="str">
        <f>IF(places!$A213="","",places!$B213)</f>
        <v>Japanese Village</v>
      </c>
      <c r="C214" s="11" t="str">
        <f>IF(places!$A213="","",places!$Y213)</f>
        <v>Town</v>
      </c>
      <c r="D214" s="13"/>
      <c r="E214" s="13"/>
      <c r="F214" s="13"/>
      <c r="G214" s="13"/>
    </row>
    <row r="215" spans="1:7" ht="15" customHeight="1" x14ac:dyDescent="0.2">
      <c r="A215" s="2" t="str">
        <f>IF(places!$A214="","",places!$A214)</f>
        <v>CZ-227</v>
      </c>
      <c r="B215" s="3" t="str">
        <f>IF(places!$A214="","",places!$B214)</f>
        <v>Hongkong</v>
      </c>
      <c r="C215" s="11" t="str">
        <f>IF(places!$A214="","",places!$Y214)</f>
        <v>Town</v>
      </c>
      <c r="D215" s="13"/>
      <c r="E215" s="13"/>
      <c r="F215" s="13"/>
      <c r="G215" s="13"/>
    </row>
    <row r="216" spans="1:7" ht="15" customHeight="1" x14ac:dyDescent="0.2">
      <c r="A216" s="2" t="str">
        <f>IF(places!$A215="","",places!$A215)</f>
        <v>CZ-228</v>
      </c>
      <c r="B216" s="3" t="str">
        <f>IF(places!$A215="","",places!$B215)</f>
        <v>Virgin</v>
      </c>
      <c r="C216" s="11" t="str">
        <f>IF(places!$A215="","",places!$Y215)</f>
        <v>Town</v>
      </c>
      <c r="D216" s="13"/>
      <c r="E216" s="13"/>
      <c r="F216" s="13"/>
      <c r="G216" s="13"/>
    </row>
    <row r="217" spans="1:7" ht="15" customHeight="1" x14ac:dyDescent="0.2">
      <c r="A217" s="2" t="str">
        <f>IF(places!$A216="","",places!$A216)</f>
        <v>CZ-229</v>
      </c>
      <c r="B217" s="3" t="str">
        <f>IF(places!$A216="","",places!$B216)</f>
        <v>Waterloo</v>
      </c>
      <c r="C217" s="11" t="str">
        <f>IF(places!$A216="","",places!$Y216)</f>
        <v>Town</v>
      </c>
      <c r="D217" s="13"/>
      <c r="E217" s="13"/>
      <c r="F217" s="13"/>
      <c r="G217" s="13"/>
    </row>
    <row r="218" spans="1:7" ht="15" customHeight="1" x14ac:dyDescent="0.2">
      <c r="A218" s="2" t="str">
        <f>IF(places!$A217="","",places!$A217)</f>
        <v>CZ-230</v>
      </c>
      <c r="B218" s="3" t="str">
        <f>IF(places!$A217="","",places!$B217)</f>
        <v>Cerro Pelado Ammunition Depot</v>
      </c>
      <c r="C218" s="11" t="str">
        <f>IF(places!$A217="","",places!$Y217)</f>
        <v>Site/Institution</v>
      </c>
      <c r="D218" s="13"/>
      <c r="E218" s="13"/>
      <c r="F218" s="13"/>
      <c r="G218" s="13"/>
    </row>
    <row r="219" spans="1:7" ht="15" customHeight="1" x14ac:dyDescent="0.2">
      <c r="A219" s="2" t="str">
        <f>IF(places!$A218="","",places!$A218)</f>
        <v>CZ-231</v>
      </c>
      <c r="B219" s="3" t="str">
        <f>IF(places!$A218="","",places!$B218)</f>
        <v>Cerro Tigre Ordnance Depot</v>
      </c>
      <c r="C219" s="11" t="str">
        <f>IF(places!$A218="","",places!$Y218)</f>
        <v>Site/Institution</v>
      </c>
      <c r="D219" s="13"/>
      <c r="E219" s="13"/>
      <c r="F219" s="13"/>
      <c r="G219" s="13"/>
    </row>
    <row r="220" spans="1:7" ht="15" customHeight="1" x14ac:dyDescent="0.2">
      <c r="A220" s="2" t="str">
        <f>IF(places!$A219="","",places!$A219)</f>
        <v>CZ-232</v>
      </c>
      <c r="B220" s="3" t="str">
        <f>IF(places!$A219="","",places!$B219)</f>
        <v>Escondido</v>
      </c>
      <c r="C220" s="11" t="str">
        <f>IF(places!$A219="","",places!$Y219)</f>
        <v>Town</v>
      </c>
      <c r="D220" s="13"/>
      <c r="E220" s="13"/>
      <c r="F220" s="13"/>
      <c r="G220" s="13"/>
    </row>
    <row r="221" spans="1:7" ht="15" customHeight="1" x14ac:dyDescent="0.2">
      <c r="A221" s="2" t="str">
        <f>IF(places!$A220="","",places!$A220)</f>
        <v>CZ-233</v>
      </c>
      <c r="B221" s="3" t="str">
        <f>IF(places!$A220="","",places!$B220)</f>
        <v>La Chinina</v>
      </c>
      <c r="C221" s="11" t="str">
        <f>IF(places!$A220="","",places!$Y220)</f>
        <v>Town</v>
      </c>
      <c r="D221" s="13">
        <v>9.2592370000000006</v>
      </c>
      <c r="E221" s="13">
        <v>-79.896722999999994</v>
      </c>
      <c r="F221" s="13" t="s">
        <v>151</v>
      </c>
      <c r="G221" s="13" t="s">
        <v>152</v>
      </c>
    </row>
    <row r="222" spans="1:7" ht="15" customHeight="1" x14ac:dyDescent="0.2">
      <c r="A222" s="2" t="str">
        <f>IF(places!$A221="","",places!$A221)</f>
        <v>CZ-234</v>
      </c>
      <c r="B222" s="3" t="str">
        <f>IF(places!$A221="","",places!$B221)</f>
        <v>Trinidad</v>
      </c>
      <c r="C222" s="11" t="str">
        <f>IF(places!$A221="","",places!$Y221)</f>
        <v>Town</v>
      </c>
      <c r="D222" s="13"/>
      <c r="E222" s="13"/>
      <c r="F222" s="13"/>
      <c r="G222" s="13"/>
    </row>
    <row r="223" spans="1:7" x14ac:dyDescent="0.2">
      <c r="A223" s="2" t="str">
        <f>IF(places!$A222="","",places!$A222)</f>
        <v>CZ-235</v>
      </c>
      <c r="B223" s="3" t="str">
        <f>IF(places!$A222="","",places!$B222)</f>
        <v>Escobal</v>
      </c>
      <c r="C223" s="11" t="str">
        <f>IF(places!$A222="","",places!$Y222)</f>
        <v>Town</v>
      </c>
    </row>
    <row r="224" spans="1:7" x14ac:dyDescent="0.2">
      <c r="A224" s="2" t="str">
        <f>IF(places!$A223="","",places!$A223)</f>
        <v>CZ-236</v>
      </c>
      <c r="B224" s="3" t="str">
        <f>IF(places!$A223="","",places!$B223)</f>
        <v>Madden Dam Town</v>
      </c>
      <c r="C224" s="11" t="str">
        <f>IF(places!$A223="","",places!$Y223)</f>
        <v>Town</v>
      </c>
    </row>
    <row r="225" spans="1:3" x14ac:dyDescent="0.2">
      <c r="A225" s="2" t="str">
        <f>IF(places!$A224="","",places!$A224)</f>
        <v>CZ-237</v>
      </c>
      <c r="B225" s="3" t="str">
        <f>IF(places!$A224="","",places!$B224)</f>
        <v>Madden Dam Rural</v>
      </c>
      <c r="C225" s="11" t="str">
        <f>IF(places!$A224="","",places!$Y224)</f>
        <v>Town</v>
      </c>
    </row>
    <row r="226" spans="1:3" x14ac:dyDescent="0.2">
      <c r="A226" s="2" t="str">
        <f>IF(places!$A225="","",places!$A225)</f>
        <v>CZ-238</v>
      </c>
      <c r="B226" s="3" t="str">
        <f>IF(places!$A225="","",places!$B225)</f>
        <v>North Gamboa Town</v>
      </c>
      <c r="C226" s="11" t="str">
        <f>IF(places!$A225="","",places!$Y225)</f>
        <v>Town</v>
      </c>
    </row>
    <row r="227" spans="1:3" x14ac:dyDescent="0.2">
      <c r="A227" s="2" t="str">
        <f>IF(places!$A226="","",places!$A226)</f>
        <v>CZ-239</v>
      </c>
      <c r="B227" s="3" t="str">
        <f>IF(places!$A226="","",places!$B226)</f>
        <v>South Gamboa Town</v>
      </c>
      <c r="C227" s="11" t="str">
        <f>IF(places!$A226="","",places!$Y226)</f>
        <v>Town</v>
      </c>
    </row>
    <row r="228" spans="1:3" x14ac:dyDescent="0.2">
      <c r="A228" s="2" t="str">
        <f>IF(places!$A227="","",places!$A227)</f>
        <v>CZ-240</v>
      </c>
      <c r="B228" s="3" t="str">
        <f>IF(places!$A227="","",places!$B227)</f>
        <v>Guarapo Islands Military Reservation</v>
      </c>
      <c r="C228" s="11" t="str">
        <f>IF(places!$A227="","",places!$Y227)</f>
        <v>Site/Institution</v>
      </c>
    </row>
    <row r="229" spans="1:3" x14ac:dyDescent="0.2">
      <c r="A229" s="2" t="str">
        <f>IF(places!$A228="","",places!$A228)</f>
        <v>CZ-241</v>
      </c>
      <c r="B229" s="3" t="str">
        <f>IF(places!$A228="","",places!$B228)</f>
        <v>France Air Force Base</v>
      </c>
      <c r="C229" s="11" t="str">
        <f>IF(places!$A228="","",places!$Y228)</f>
        <v>Site/Institution</v>
      </c>
    </row>
    <row r="230" spans="1:3" x14ac:dyDescent="0.2">
      <c r="A230" s="2" t="str">
        <f>IF(places!$A229="","",places!$A229)</f>
        <v>CZ-242</v>
      </c>
      <c r="B230" s="3" t="str">
        <f>IF(places!$A229="","",places!$B229)</f>
        <v>Curundu Heights</v>
      </c>
      <c r="C230" s="11" t="str">
        <f>IF(places!$A229="","",places!$Y229)</f>
        <v>Town</v>
      </c>
    </row>
    <row r="231" spans="1:3" x14ac:dyDescent="0.2">
      <c r="A231" s="2" t="str">
        <f>IF(places!$A230="","",places!$A230)</f>
        <v>CZ-243</v>
      </c>
      <c r="B231" s="3" t="str">
        <f>IF(places!$A230="","",places!$B230)</f>
        <v>Los Rios</v>
      </c>
      <c r="C231" s="11" t="str">
        <f>IF(places!$A230="","",places!$Y230)</f>
        <v>Town</v>
      </c>
    </row>
    <row r="232" spans="1:3" x14ac:dyDescent="0.2">
      <c r="A232" s="2" t="str">
        <f>IF(places!$A231="","",places!$A231)</f>
        <v>CZ-244</v>
      </c>
      <c r="B232" s="3" t="str">
        <f>IF(places!$A231="","",places!$B231)</f>
        <v>Pennsylvania Hotel (Empire)</v>
      </c>
      <c r="C232" s="11" t="str">
        <f>IF(places!$A231="","",places!$Y231)</f>
        <v>Building</v>
      </c>
    </row>
  </sheetData>
  <mergeCells count="1">
    <mergeCell ref="A1:G1"/>
  </mergeCells>
  <dataValidations count="1">
    <dataValidation type="list" allowBlank="1" sqref="G86:G300" xr:uid="{00000000-0002-0000-0100-000000000000}">
      <formula1>"placeholder,surveyed,to locate"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AB231"/>
  <sheetViews>
    <sheetView zoomScaleNormal="100" workbookViewId="0">
      <pane xSplit="2" ySplit="1" topLeftCell="C6" activePane="bottomRight" state="frozen"/>
      <selection pane="topRight" activeCell="C1" sqref="C1"/>
      <selection pane="bottomLeft" activeCell="A2" sqref="A2"/>
      <selection pane="bottomRight" activeCell="V219" sqref="V219:V220"/>
    </sheetView>
  </sheetViews>
  <sheetFormatPr baseColWidth="10" defaultColWidth="8.6640625" defaultRowHeight="15" x14ac:dyDescent="0.2"/>
  <cols>
    <col min="1" max="1" width="11" customWidth="1"/>
    <col min="2" max="2" width="16" customWidth="1"/>
    <col min="3" max="3" width="22" customWidth="1"/>
    <col min="4" max="4" width="16" customWidth="1"/>
    <col min="5" max="5" width="19" customWidth="1"/>
    <col min="6" max="6" width="20" customWidth="1"/>
    <col min="7" max="7" width="18" customWidth="1"/>
    <col min="8" max="8" width="19" customWidth="1"/>
    <col min="9" max="10" width="11" customWidth="1"/>
    <col min="11" max="11" width="13" customWidth="1"/>
    <col min="12" max="12" width="14" customWidth="1"/>
    <col min="13" max="13" width="20" customWidth="1"/>
    <col min="14" max="14" width="13" customWidth="1"/>
    <col min="15" max="15" width="12" customWidth="1"/>
    <col min="16" max="17" width="9" customWidth="1"/>
    <col min="18" max="18" width="10" customWidth="1"/>
    <col min="19" max="19" width="9" customWidth="1"/>
    <col min="20" max="20" width="13" customWidth="1"/>
    <col min="21" max="21" width="12" customWidth="1"/>
    <col min="22" max="22" width="13" customWidth="1"/>
    <col min="23" max="23" width="9" customWidth="1"/>
    <col min="24" max="24" width="30" customWidth="1"/>
    <col min="25" max="25" width="16" customWidth="1"/>
    <col min="26" max="26" width="13" customWidth="1"/>
  </cols>
  <sheetData>
    <row r="1" spans="1:28" ht="33.75" customHeight="1" x14ac:dyDescent="0.2">
      <c r="A1" s="1" t="s">
        <v>153</v>
      </c>
      <c r="B1" s="1" t="s">
        <v>154</v>
      </c>
      <c r="C1" s="1" t="s">
        <v>155</v>
      </c>
      <c r="D1" s="1" t="s">
        <v>156</v>
      </c>
      <c r="E1" s="1" t="s">
        <v>157</v>
      </c>
      <c r="F1" s="1" t="s">
        <v>158</v>
      </c>
      <c r="G1" s="1" t="s">
        <v>159</v>
      </c>
      <c r="H1" s="1" t="s">
        <v>160</v>
      </c>
      <c r="I1" s="1" t="s">
        <v>161</v>
      </c>
      <c r="J1" s="1" t="s">
        <v>162</v>
      </c>
      <c r="K1" s="1" t="s">
        <v>163</v>
      </c>
      <c r="L1" s="1" t="s">
        <v>164</v>
      </c>
      <c r="M1" s="1" t="s">
        <v>165</v>
      </c>
      <c r="N1" s="1" t="s">
        <v>166</v>
      </c>
      <c r="O1" s="1" t="s">
        <v>167</v>
      </c>
      <c r="P1" s="1" t="s">
        <v>168</v>
      </c>
      <c r="Q1" s="1" t="s">
        <v>169</v>
      </c>
      <c r="R1" s="1" t="s">
        <v>170</v>
      </c>
      <c r="S1" s="1" t="s">
        <v>171</v>
      </c>
      <c r="T1" s="1" t="s">
        <v>172</v>
      </c>
      <c r="U1" s="1" t="s">
        <v>173</v>
      </c>
      <c r="V1" s="1" t="s">
        <v>174</v>
      </c>
      <c r="W1" s="1" t="s">
        <v>175</v>
      </c>
      <c r="X1" s="1" t="s">
        <v>176</v>
      </c>
      <c r="Y1" s="1" t="s">
        <v>2</v>
      </c>
      <c r="Z1" s="1" t="s">
        <v>177</v>
      </c>
      <c r="AA1" t="s">
        <v>178</v>
      </c>
      <c r="AB1" s="20" t="s">
        <v>5695</v>
      </c>
    </row>
    <row r="2" spans="1:28" ht="23.25" customHeight="1" x14ac:dyDescent="0.2">
      <c r="A2" s="4" t="s">
        <v>179</v>
      </c>
      <c r="B2" s="4" t="s">
        <v>180</v>
      </c>
      <c r="C2" s="4" t="s">
        <v>181</v>
      </c>
      <c r="D2" s="4" t="s">
        <v>182</v>
      </c>
      <c r="E2" s="4" t="s">
        <v>183</v>
      </c>
      <c r="F2" s="4" t="s">
        <v>184</v>
      </c>
      <c r="G2" s="4" t="s">
        <v>185</v>
      </c>
      <c r="H2" s="4" t="s">
        <v>186</v>
      </c>
      <c r="I2" s="4" t="s">
        <v>187</v>
      </c>
      <c r="J2" s="4" t="s">
        <v>188</v>
      </c>
      <c r="K2" s="4" t="s">
        <v>189</v>
      </c>
      <c r="L2" s="4" t="s">
        <v>190</v>
      </c>
      <c r="M2" s="2" t="str">
        <f t="shared" ref="M2:M65" si="0">IF($A2="","",IF($L2="High","Solid point",IF($L2="Medium","Point + buffer",IF($L2="Low","Translucent area",IF($L2="Disputed","Candidate points",IF($L2="Unknown","Unplotted (unlocated panel)","-"))))))</f>
        <v>Translucent area</v>
      </c>
      <c r="N2" s="4">
        <v>300</v>
      </c>
      <c r="O2" s="2">
        <f>COUNTIFS(attestations!$B$2:$B$5000,$A2,attestations!$T$2:$T$5000,"&lt;&gt;Retracted",attestations!$D$2:$D$5000,"&lt;&gt;Negative*")</f>
        <v>30</v>
      </c>
      <c r="P2" s="2">
        <f>COUNTIFS(attestations!$B$2:$B$5000,$A2,attestations!$T$2:$T$5000,"&lt;&gt;Retracted",attestations!$D$2:$D$5000,"&lt;&gt;Negative*",attestations!$R$2:$R$5000,"Map")</f>
        <v>12</v>
      </c>
      <c r="Q2" s="2">
        <f>COUNTIFS(attestations!$B$2:$B$5000,$A2,attestations!$T$2:$T$5000,"&lt;&gt;Retracted",attestations!$D$2:$D$5000,"&lt;&gt;Negative*",attestations!$R$2:$R$5000,"Image")</f>
        <v>1</v>
      </c>
      <c r="R2" s="2">
        <f>COUNTIFS(attestations!$B$2:$B$5000,$A2,attestations!$T$2:$T$5000,"&lt;&gt;Retracted",attestations!$D$2:$D$5000,"&lt;&gt;Negative*",attestations!$R$2:$R$5000,"Textual")</f>
        <v>15</v>
      </c>
      <c r="S2" s="2">
        <f>COUNTIFS(attestations!$B$2:$B$5000,$A2,attestations!$T$2:$T$5000,"&lt;&gt;Retracted",attestations!$D$2:$D$5000,"Geometry (Setting)")</f>
        <v>8</v>
      </c>
      <c r="T2" s="2" t="str">
        <f>IF(A2="","",IF(AB2&gt;=9,"High",IF(AB2&gt;=3,"Medium",IF(AB2&gt;=1,"Low","None"))))</f>
        <v>High</v>
      </c>
      <c r="U2" s="2" t="str">
        <f>IF(COUNTIFS(attestations!$B$2:$B$5000,$A2,attestations!$T$2:$T$5000,"&lt;&gt;Retracted",attestations!$I$2:$I$5000,"Georeferenced map GCP")&gt;0,"Y","N")</f>
        <v>Y</v>
      </c>
      <c r="V2" s="4" t="s">
        <v>191</v>
      </c>
      <c r="W2" s="4"/>
      <c r="X2" s="4" t="s">
        <v>192</v>
      </c>
      <c r="Y2" s="4" t="s">
        <v>193</v>
      </c>
      <c r="AB2">
        <f>IF(A2="","",SUMIFS(attestations!$U$2:$U$5000,attestations!$B$2:$B$5000,A2))</f>
        <v>26</v>
      </c>
    </row>
    <row r="3" spans="1:28" ht="23.25" customHeight="1" x14ac:dyDescent="0.2">
      <c r="A3" s="4" t="s">
        <v>194</v>
      </c>
      <c r="B3" s="4" t="s">
        <v>195</v>
      </c>
      <c r="C3" s="4"/>
      <c r="D3" s="4" t="s">
        <v>196</v>
      </c>
      <c r="E3" s="4" t="s">
        <v>183</v>
      </c>
      <c r="F3" s="4" t="s">
        <v>184</v>
      </c>
      <c r="G3" s="4" t="s">
        <v>185</v>
      </c>
      <c r="H3" s="4" t="s">
        <v>186</v>
      </c>
      <c r="I3" s="4" t="s">
        <v>197</v>
      </c>
      <c r="J3" s="4" t="s">
        <v>188</v>
      </c>
      <c r="K3" s="4" t="s">
        <v>189</v>
      </c>
      <c r="L3" s="4" t="s">
        <v>190</v>
      </c>
      <c r="M3" s="2" t="str">
        <f t="shared" si="0"/>
        <v>Translucent area</v>
      </c>
      <c r="N3" s="4">
        <v>400</v>
      </c>
      <c r="O3" s="2">
        <f>COUNTIFS(attestations!$B$2:$B$5000,$A3,attestations!$T$2:$T$5000,"&lt;&gt;Retracted",attestations!$D$2:$D$5000,"&lt;&gt;Negative*")</f>
        <v>18</v>
      </c>
      <c r="P3" s="2">
        <f>COUNTIFS(attestations!$B$2:$B$5000,$A3,attestations!$T$2:$T$5000,"&lt;&gt;Retracted",attestations!$D$2:$D$5000,"&lt;&gt;Negative*",attestations!$R$2:$R$5000,"Map")</f>
        <v>9</v>
      </c>
      <c r="Q3" s="2">
        <f>COUNTIFS(attestations!$B$2:$B$5000,$A3,attestations!$T$2:$T$5000,"&lt;&gt;Retracted",attestations!$D$2:$D$5000,"&lt;&gt;Negative*",attestations!$R$2:$R$5000,"Image")</f>
        <v>1</v>
      </c>
      <c r="R3" s="2">
        <f>COUNTIFS(attestations!$B$2:$B$5000,$A3,attestations!$T$2:$T$5000,"&lt;&gt;Retracted",attestations!$D$2:$D$5000,"&lt;&gt;Negative*",attestations!$R$2:$R$5000,"Textual")</f>
        <v>8</v>
      </c>
      <c r="S3" s="2">
        <f>COUNTIFS(attestations!$B$2:$B$5000,$A3,attestations!$T$2:$T$5000,"&lt;&gt;Retracted",attestations!$D$2:$D$5000,"Geometry (Setting)")</f>
        <v>6</v>
      </c>
      <c r="T3" s="2" t="str">
        <f t="shared" ref="T3:T66" si="1">IF(A3="","",IF(AB3&gt;=9,"High",IF(AB3&gt;=3,"Medium",IF(AB3&gt;=1,"Low","None"))))</f>
        <v>High</v>
      </c>
      <c r="U3" s="2" t="str">
        <f>IF(COUNTIFS(attestations!$B$2:$B$5000,$A3,attestations!$T$2:$T$5000,"&lt;&gt;Retracted",attestations!$I$2:$I$5000,"Georeferenced map GCP")&gt;0,"Y","N")</f>
        <v>Y</v>
      </c>
      <c r="V3" s="4" t="s">
        <v>191</v>
      </c>
      <c r="W3" s="4"/>
      <c r="X3" s="4" t="s">
        <v>198</v>
      </c>
      <c r="Y3" s="4" t="s">
        <v>193</v>
      </c>
      <c r="AB3">
        <f>IF(A3="","",SUMIFS(attestations!$U$2:$U$5000,attestations!$B$2:$B$5000,A3))</f>
        <v>16</v>
      </c>
    </row>
    <row r="4" spans="1:28" ht="23.25" customHeight="1" x14ac:dyDescent="0.2">
      <c r="A4" s="4" t="s">
        <v>199</v>
      </c>
      <c r="B4" s="4" t="s">
        <v>200</v>
      </c>
      <c r="C4" s="4" t="s">
        <v>201</v>
      </c>
      <c r="D4" s="4" t="s">
        <v>196</v>
      </c>
      <c r="E4" s="4" t="s">
        <v>183</v>
      </c>
      <c r="F4" s="4" t="s">
        <v>184</v>
      </c>
      <c r="G4" s="4" t="s">
        <v>185</v>
      </c>
      <c r="H4" s="4" t="s">
        <v>186</v>
      </c>
      <c r="I4" s="4" t="s">
        <v>202</v>
      </c>
      <c r="J4" s="4" t="s">
        <v>188</v>
      </c>
      <c r="K4" s="4" t="s">
        <v>189</v>
      </c>
      <c r="L4" s="4" t="s">
        <v>190</v>
      </c>
      <c r="M4" s="2" t="str">
        <f t="shared" si="0"/>
        <v>Translucent area</v>
      </c>
      <c r="N4" s="4">
        <v>400</v>
      </c>
      <c r="O4" s="2">
        <f>COUNTIFS(attestations!$B$2:$B$5000,$A4,attestations!$T$2:$T$5000,"&lt;&gt;Retracted",attestations!$D$2:$D$5000,"&lt;&gt;Negative*")</f>
        <v>27</v>
      </c>
      <c r="P4" s="2">
        <f>COUNTIFS(attestations!$B$2:$B$5000,$A4,attestations!$T$2:$T$5000,"&lt;&gt;Retracted",attestations!$D$2:$D$5000,"&lt;&gt;Negative*",attestations!$R$2:$R$5000,"Map")</f>
        <v>13</v>
      </c>
      <c r="Q4" s="2">
        <f>COUNTIFS(attestations!$B$2:$B$5000,$A4,attestations!$T$2:$T$5000,"&lt;&gt;Retracted",attestations!$D$2:$D$5000,"&lt;&gt;Negative*",attestations!$R$2:$R$5000,"Image")</f>
        <v>1</v>
      </c>
      <c r="R4" s="2">
        <f>COUNTIFS(attestations!$B$2:$B$5000,$A4,attestations!$T$2:$T$5000,"&lt;&gt;Retracted",attestations!$D$2:$D$5000,"&lt;&gt;Negative*",attestations!$R$2:$R$5000,"Textual")</f>
        <v>11</v>
      </c>
      <c r="S4" s="2">
        <f>COUNTIFS(attestations!$B$2:$B$5000,$A4,attestations!$T$2:$T$5000,"&lt;&gt;Retracted",attestations!$D$2:$D$5000,"Geometry (Setting)")</f>
        <v>7</v>
      </c>
      <c r="T4" s="2" t="str">
        <f t="shared" si="1"/>
        <v>High</v>
      </c>
      <c r="U4" s="2" t="str">
        <f>IF(COUNTIFS(attestations!$B$2:$B$5000,$A4,attestations!$T$2:$T$5000,"&lt;&gt;Retracted",attestations!$I$2:$I$5000,"Georeferenced map GCP")&gt;0,"Y","N")</f>
        <v>Y</v>
      </c>
      <c r="V4" s="4" t="s">
        <v>191</v>
      </c>
      <c r="W4" s="4" t="s">
        <v>203</v>
      </c>
      <c r="X4" s="4" t="s">
        <v>204</v>
      </c>
      <c r="Y4" s="4" t="s">
        <v>193</v>
      </c>
      <c r="AB4">
        <f>IF(A4="","",SUMIFS(attestations!$U$2:$U$5000,attestations!$B$2:$B$5000,A4))</f>
        <v>24</v>
      </c>
    </row>
    <row r="5" spans="1:28" ht="23.25" customHeight="1" x14ac:dyDescent="0.2">
      <c r="A5" s="4" t="s">
        <v>205</v>
      </c>
      <c r="B5" s="4" t="s">
        <v>206</v>
      </c>
      <c r="C5" s="4"/>
      <c r="D5" s="4" t="s">
        <v>207</v>
      </c>
      <c r="E5" s="4" t="s">
        <v>183</v>
      </c>
      <c r="F5" s="4" t="s">
        <v>184</v>
      </c>
      <c r="G5" s="4" t="s">
        <v>185</v>
      </c>
      <c r="H5" s="4" t="s">
        <v>186</v>
      </c>
      <c r="I5" s="4"/>
      <c r="J5" s="4" t="s">
        <v>188</v>
      </c>
      <c r="K5" s="4" t="s">
        <v>208</v>
      </c>
      <c r="L5" s="4" t="s">
        <v>209</v>
      </c>
      <c r="M5" s="2" t="str">
        <f t="shared" si="0"/>
        <v>Point + buffer</v>
      </c>
      <c r="N5" s="4">
        <v>250</v>
      </c>
      <c r="O5" s="2">
        <f>COUNTIFS(attestations!$B$2:$B$5000,$A5,attestations!$T$2:$T$5000,"&lt;&gt;Retracted",attestations!$D$2:$D$5000,"&lt;&gt;Negative*")</f>
        <v>15</v>
      </c>
      <c r="P5" s="2">
        <f>COUNTIFS(attestations!$B$2:$B$5000,$A5,attestations!$T$2:$T$5000,"&lt;&gt;Retracted",attestations!$D$2:$D$5000,"&lt;&gt;Negative*",attestations!$R$2:$R$5000,"Map")</f>
        <v>8</v>
      </c>
      <c r="Q5" s="2">
        <f>COUNTIFS(attestations!$B$2:$B$5000,$A5,attestations!$T$2:$T$5000,"&lt;&gt;Retracted",attestations!$D$2:$D$5000,"&lt;&gt;Negative*",attestations!$R$2:$R$5000,"Image")</f>
        <v>0</v>
      </c>
      <c r="R5" s="2">
        <f>COUNTIFS(attestations!$B$2:$B$5000,$A5,attestations!$T$2:$T$5000,"&lt;&gt;Retracted",attestations!$D$2:$D$5000,"&lt;&gt;Negative*",attestations!$R$2:$R$5000,"Textual")</f>
        <v>7</v>
      </c>
      <c r="S5" s="2">
        <f>COUNTIFS(attestations!$B$2:$B$5000,$A5,attestations!$T$2:$T$5000,"&lt;&gt;Retracted",attestations!$D$2:$D$5000,"Geometry (Setting)")</f>
        <v>6</v>
      </c>
      <c r="T5" s="2" t="str">
        <f t="shared" si="1"/>
        <v>High</v>
      </c>
      <c r="U5" s="2" t="str">
        <f>IF(COUNTIFS(attestations!$B$2:$B$5000,$A5,attestations!$T$2:$T$5000,"&lt;&gt;Retracted",attestations!$I$2:$I$5000,"Georeferenced map GCP")&gt;0,"Y","N")</f>
        <v>Y</v>
      </c>
      <c r="V5" s="4" t="s">
        <v>191</v>
      </c>
      <c r="W5" s="4"/>
      <c r="X5" s="4" t="s">
        <v>210</v>
      </c>
      <c r="Y5" s="4" t="s">
        <v>193</v>
      </c>
      <c r="AB5">
        <f>IF(A5="","",SUMIFS(attestations!$U$2:$U$5000,attestations!$B$2:$B$5000,A5))</f>
        <v>14</v>
      </c>
    </row>
    <row r="6" spans="1:28" ht="21.75" customHeight="1" x14ac:dyDescent="0.2">
      <c r="A6" s="4" t="s">
        <v>211</v>
      </c>
      <c r="B6" s="4" t="s">
        <v>212</v>
      </c>
      <c r="C6" s="4"/>
      <c r="D6" s="4" t="s">
        <v>207</v>
      </c>
      <c r="E6" s="4" t="s">
        <v>183</v>
      </c>
      <c r="F6" s="4" t="s">
        <v>184</v>
      </c>
      <c r="G6" s="4" t="s">
        <v>185</v>
      </c>
      <c r="H6" s="4" t="s">
        <v>186</v>
      </c>
      <c r="I6" s="4"/>
      <c r="J6" s="4" t="s">
        <v>188</v>
      </c>
      <c r="K6" s="4" t="s">
        <v>208</v>
      </c>
      <c r="L6" s="4" t="s">
        <v>190</v>
      </c>
      <c r="M6" s="2" t="str">
        <f t="shared" si="0"/>
        <v>Translucent area</v>
      </c>
      <c r="N6" s="4">
        <v>500</v>
      </c>
      <c r="O6" s="2">
        <f>COUNTIFS(attestations!$B$2:$B$5000,$A6,attestations!$T$2:$T$5000,"&lt;&gt;Retracted",attestations!$D$2:$D$5000,"&lt;&gt;Negative*")</f>
        <v>11</v>
      </c>
      <c r="P6" s="2">
        <f>COUNTIFS(attestations!$B$2:$B$5000,$A6,attestations!$T$2:$T$5000,"&lt;&gt;Retracted",attestations!$D$2:$D$5000,"&lt;&gt;Negative*",attestations!$R$2:$R$5000,"Map")</f>
        <v>3</v>
      </c>
      <c r="Q6" s="2">
        <f>COUNTIFS(attestations!$B$2:$B$5000,$A6,attestations!$T$2:$T$5000,"&lt;&gt;Retracted",attestations!$D$2:$D$5000,"&lt;&gt;Negative*",attestations!$R$2:$R$5000,"Image")</f>
        <v>1</v>
      </c>
      <c r="R6" s="2">
        <f>COUNTIFS(attestations!$B$2:$B$5000,$A6,attestations!$T$2:$T$5000,"&lt;&gt;Retracted",attestations!$D$2:$D$5000,"&lt;&gt;Negative*",attestations!$R$2:$R$5000,"Textual")</f>
        <v>7</v>
      </c>
      <c r="S6" s="2">
        <f>COUNTIFS(attestations!$B$2:$B$5000,$A6,attestations!$T$2:$T$5000,"&lt;&gt;Retracted",attestations!$D$2:$D$5000,"Geometry (Setting)")</f>
        <v>1</v>
      </c>
      <c r="T6" s="2" t="str">
        <f t="shared" si="1"/>
        <v>High</v>
      </c>
      <c r="U6" s="2" t="str">
        <f>IF(COUNTIFS(attestations!$B$2:$B$5000,$A6,attestations!$T$2:$T$5000,"&lt;&gt;Retracted",attestations!$I$2:$I$5000,"Georeferenced map GCP")&gt;0,"Y","N")</f>
        <v>Y</v>
      </c>
      <c r="V6" s="4" t="s">
        <v>191</v>
      </c>
      <c r="W6" s="4"/>
      <c r="X6" s="4"/>
      <c r="Y6" s="4" t="s">
        <v>193</v>
      </c>
      <c r="AB6">
        <f>IF(A6="","",SUMIFS(attestations!$U$2:$U$5000,attestations!$B$2:$B$5000,A6))</f>
        <v>10</v>
      </c>
    </row>
    <row r="7" spans="1:28" ht="21.75" customHeight="1" x14ac:dyDescent="0.2">
      <c r="A7" s="4" t="s">
        <v>213</v>
      </c>
      <c r="B7" s="4" t="s">
        <v>214</v>
      </c>
      <c r="C7" s="4"/>
      <c r="D7" s="4" t="s">
        <v>207</v>
      </c>
      <c r="E7" s="4" t="s">
        <v>183</v>
      </c>
      <c r="F7" s="4" t="s">
        <v>184</v>
      </c>
      <c r="G7" s="4" t="s">
        <v>185</v>
      </c>
      <c r="H7" s="4" t="s">
        <v>186</v>
      </c>
      <c r="I7" s="4"/>
      <c r="J7" s="4" t="s">
        <v>188</v>
      </c>
      <c r="K7" s="4" t="s">
        <v>208</v>
      </c>
      <c r="L7" s="4" t="s">
        <v>190</v>
      </c>
      <c r="M7" s="2" t="str">
        <f t="shared" si="0"/>
        <v>Translucent area</v>
      </c>
      <c r="N7" s="4">
        <v>400</v>
      </c>
      <c r="O7" s="2">
        <f>COUNTIFS(attestations!$B$2:$B$5000,$A7,attestations!$T$2:$T$5000,"&lt;&gt;Retracted",attestations!$D$2:$D$5000,"&lt;&gt;Negative*")</f>
        <v>15</v>
      </c>
      <c r="P7" s="2">
        <f>COUNTIFS(attestations!$B$2:$B$5000,$A7,attestations!$T$2:$T$5000,"&lt;&gt;Retracted",attestations!$D$2:$D$5000,"&lt;&gt;Negative*",attestations!$R$2:$R$5000,"Map")</f>
        <v>6</v>
      </c>
      <c r="Q7" s="2">
        <f>COUNTIFS(attestations!$B$2:$B$5000,$A7,attestations!$T$2:$T$5000,"&lt;&gt;Retracted",attestations!$D$2:$D$5000,"&lt;&gt;Negative*",attestations!$R$2:$R$5000,"Image")</f>
        <v>1</v>
      </c>
      <c r="R7" s="2">
        <f>COUNTIFS(attestations!$B$2:$B$5000,$A7,attestations!$T$2:$T$5000,"&lt;&gt;Retracted",attestations!$D$2:$D$5000,"&lt;&gt;Negative*",attestations!$R$2:$R$5000,"Textual")</f>
        <v>8</v>
      </c>
      <c r="S7" s="2">
        <f>COUNTIFS(attestations!$B$2:$B$5000,$A7,attestations!$T$2:$T$5000,"&lt;&gt;Retracted",attestations!$D$2:$D$5000,"Geometry (Setting)")</f>
        <v>4</v>
      </c>
      <c r="T7" s="2" t="str">
        <f t="shared" si="1"/>
        <v>High</v>
      </c>
      <c r="U7" s="2" t="str">
        <f>IF(COUNTIFS(attestations!$B$2:$B$5000,$A7,attestations!$T$2:$T$5000,"&lt;&gt;Retracted",attestations!$I$2:$I$5000,"Georeferenced map GCP")&gt;0,"Y","N")</f>
        <v>Y</v>
      </c>
      <c r="V7" s="4" t="s">
        <v>191</v>
      </c>
      <c r="W7" s="4"/>
      <c r="X7" s="4"/>
      <c r="Y7" s="4" t="s">
        <v>193</v>
      </c>
      <c r="AB7">
        <f>IF(A7="","",SUMIFS(attestations!$U$2:$U$5000,attestations!$B$2:$B$5000,A7))</f>
        <v>13</v>
      </c>
    </row>
    <row r="8" spans="1:28" ht="21.75" customHeight="1" x14ac:dyDescent="0.2">
      <c r="A8" s="4" t="s">
        <v>215</v>
      </c>
      <c r="B8" s="4" t="s">
        <v>216</v>
      </c>
      <c r="C8" s="4"/>
      <c r="D8" s="4" t="s">
        <v>207</v>
      </c>
      <c r="E8" s="4" t="s">
        <v>183</v>
      </c>
      <c r="F8" s="4" t="s">
        <v>184</v>
      </c>
      <c r="G8" s="4" t="s">
        <v>185</v>
      </c>
      <c r="H8" s="4" t="s">
        <v>186</v>
      </c>
      <c r="I8" s="4"/>
      <c r="J8" s="4" t="s">
        <v>188</v>
      </c>
      <c r="K8" s="4" t="s">
        <v>208</v>
      </c>
      <c r="L8" s="4" t="s">
        <v>190</v>
      </c>
      <c r="M8" s="2" t="str">
        <f t="shared" si="0"/>
        <v>Translucent area</v>
      </c>
      <c r="N8" s="4">
        <v>800</v>
      </c>
      <c r="O8" s="2">
        <f>COUNTIFS(attestations!$B$2:$B$5000,$A8,attestations!$T$2:$T$5000,"&lt;&gt;Retracted",attestations!$D$2:$D$5000,"&lt;&gt;Negative*")</f>
        <v>17</v>
      </c>
      <c r="P8" s="2">
        <f>COUNTIFS(attestations!$B$2:$B$5000,$A8,attestations!$T$2:$T$5000,"&lt;&gt;Retracted",attestations!$D$2:$D$5000,"&lt;&gt;Negative*",attestations!$R$2:$R$5000,"Map")</f>
        <v>11</v>
      </c>
      <c r="Q8" s="2">
        <f>COUNTIFS(attestations!$B$2:$B$5000,$A8,attestations!$T$2:$T$5000,"&lt;&gt;Retracted",attestations!$D$2:$D$5000,"&lt;&gt;Negative*",attestations!$R$2:$R$5000,"Image")</f>
        <v>0</v>
      </c>
      <c r="R8" s="2">
        <f>COUNTIFS(attestations!$B$2:$B$5000,$A8,attestations!$T$2:$T$5000,"&lt;&gt;Retracted",attestations!$D$2:$D$5000,"&lt;&gt;Negative*",attestations!$R$2:$R$5000,"Textual")</f>
        <v>6</v>
      </c>
      <c r="S8" s="2">
        <f>COUNTIFS(attestations!$B$2:$B$5000,$A8,attestations!$T$2:$T$5000,"&lt;&gt;Retracted",attestations!$D$2:$D$5000,"Geometry (Setting)")</f>
        <v>5</v>
      </c>
      <c r="T8" s="2" t="str">
        <f t="shared" si="1"/>
        <v>High</v>
      </c>
      <c r="U8" s="2" t="str">
        <f>IF(COUNTIFS(attestations!$B$2:$B$5000,$A8,attestations!$T$2:$T$5000,"&lt;&gt;Retracted",attestations!$I$2:$I$5000,"Georeferenced map GCP")&gt;0,"Y","N")</f>
        <v>Y</v>
      </c>
      <c r="V8" s="4" t="s">
        <v>191</v>
      </c>
      <c r="W8" s="4"/>
      <c r="X8" s="4"/>
      <c r="Y8" s="4" t="s">
        <v>193</v>
      </c>
      <c r="AB8">
        <f>IF(A8="","",SUMIFS(attestations!$U$2:$U$5000,attestations!$B$2:$B$5000,A8))</f>
        <v>13</v>
      </c>
    </row>
    <row r="9" spans="1:28" ht="23.25" customHeight="1" x14ac:dyDescent="0.2">
      <c r="A9" s="4" t="s">
        <v>217</v>
      </c>
      <c r="B9" s="4" t="s">
        <v>218</v>
      </c>
      <c r="C9" s="4"/>
      <c r="D9" s="4" t="s">
        <v>207</v>
      </c>
      <c r="E9" s="4" t="s">
        <v>183</v>
      </c>
      <c r="F9" s="4" t="s">
        <v>184</v>
      </c>
      <c r="G9" s="4" t="s">
        <v>185</v>
      </c>
      <c r="H9" s="4" t="s">
        <v>186</v>
      </c>
      <c r="I9" s="4"/>
      <c r="J9" s="4" t="s">
        <v>188</v>
      </c>
      <c r="K9" s="4" t="s">
        <v>208</v>
      </c>
      <c r="L9" s="4" t="s">
        <v>190</v>
      </c>
      <c r="M9" s="2" t="str">
        <f t="shared" si="0"/>
        <v>Translucent area</v>
      </c>
      <c r="N9" s="4">
        <v>1000</v>
      </c>
      <c r="O9" s="2">
        <f>COUNTIFS(attestations!$B$2:$B$5000,$A9,attestations!$T$2:$T$5000,"&lt;&gt;Retracted",attestations!$D$2:$D$5000,"&lt;&gt;Negative*")</f>
        <v>6</v>
      </c>
      <c r="P9" s="2">
        <f>COUNTIFS(attestations!$B$2:$B$5000,$A9,attestations!$T$2:$T$5000,"&lt;&gt;Retracted",attestations!$D$2:$D$5000,"&lt;&gt;Negative*",attestations!$R$2:$R$5000,"Map")</f>
        <v>4</v>
      </c>
      <c r="Q9" s="2">
        <f>COUNTIFS(attestations!$B$2:$B$5000,$A9,attestations!$T$2:$T$5000,"&lt;&gt;Retracted",attestations!$D$2:$D$5000,"&lt;&gt;Negative*",attestations!$R$2:$R$5000,"Image")</f>
        <v>0</v>
      </c>
      <c r="R9" s="2">
        <f>COUNTIFS(attestations!$B$2:$B$5000,$A9,attestations!$T$2:$T$5000,"&lt;&gt;Retracted",attestations!$D$2:$D$5000,"&lt;&gt;Negative*",attestations!$R$2:$R$5000,"Textual")</f>
        <v>2</v>
      </c>
      <c r="S9" s="2">
        <f>COUNTIFS(attestations!$B$2:$B$5000,$A9,attestations!$T$2:$T$5000,"&lt;&gt;Retracted",attestations!$D$2:$D$5000,"Geometry (Setting)")</f>
        <v>1</v>
      </c>
      <c r="T9" s="2" t="str">
        <f t="shared" si="1"/>
        <v>Medium</v>
      </c>
      <c r="U9" s="2" t="str">
        <f>IF(COUNTIFS(attestations!$B$2:$B$5000,$A9,attestations!$T$2:$T$5000,"&lt;&gt;Retracted",attestations!$I$2:$I$5000,"Georeferenced map GCP")&gt;0,"Y","N")</f>
        <v>Y</v>
      </c>
      <c r="V9" s="4" t="s">
        <v>191</v>
      </c>
      <c r="W9" s="4"/>
      <c r="X9" s="4"/>
      <c r="Y9" s="4" t="s">
        <v>193</v>
      </c>
      <c r="AB9">
        <f>IF(A9="","",SUMIFS(attestations!$U$2:$U$5000,attestations!$B$2:$B$5000,A9))</f>
        <v>5</v>
      </c>
    </row>
    <row r="10" spans="1:28" ht="34.5" customHeight="1" x14ac:dyDescent="0.2">
      <c r="A10" s="4" t="s">
        <v>219</v>
      </c>
      <c r="B10" s="4" t="s">
        <v>220</v>
      </c>
      <c r="C10" s="4" t="s">
        <v>221</v>
      </c>
      <c r="D10" s="4" t="s">
        <v>196</v>
      </c>
      <c r="E10" s="4" t="s">
        <v>183</v>
      </c>
      <c r="F10" s="4" t="s">
        <v>222</v>
      </c>
      <c r="G10" s="4" t="s">
        <v>185</v>
      </c>
      <c r="H10" s="4" t="s">
        <v>223</v>
      </c>
      <c r="I10" s="4" t="s">
        <v>197</v>
      </c>
      <c r="J10" s="4" t="s">
        <v>224</v>
      </c>
      <c r="K10" s="4" t="s">
        <v>189</v>
      </c>
      <c r="L10" s="4" t="s">
        <v>190</v>
      </c>
      <c r="M10" s="2" t="str">
        <f t="shared" si="0"/>
        <v>Translucent area</v>
      </c>
      <c r="N10" s="4">
        <v>500</v>
      </c>
      <c r="O10" s="2">
        <f>COUNTIFS(attestations!$B$2:$B$5000,$A10,attestations!$T$2:$T$5000,"&lt;&gt;Retracted",attestations!$D$2:$D$5000,"&lt;&gt;Negative*")</f>
        <v>26</v>
      </c>
      <c r="P10" s="2">
        <f>COUNTIFS(attestations!$B$2:$B$5000,$A10,attestations!$T$2:$T$5000,"&lt;&gt;Retracted",attestations!$D$2:$D$5000,"&lt;&gt;Negative*",attestations!$R$2:$R$5000,"Map")</f>
        <v>11</v>
      </c>
      <c r="Q10" s="2">
        <f>COUNTIFS(attestations!$B$2:$B$5000,$A10,attestations!$T$2:$T$5000,"&lt;&gt;Retracted",attestations!$D$2:$D$5000,"&lt;&gt;Negative*",attestations!$R$2:$R$5000,"Image")</f>
        <v>3</v>
      </c>
      <c r="R10" s="2">
        <f>COUNTIFS(attestations!$B$2:$B$5000,$A10,attestations!$T$2:$T$5000,"&lt;&gt;Retracted",attestations!$D$2:$D$5000,"&lt;&gt;Negative*",attestations!$R$2:$R$5000,"Textual")</f>
        <v>11</v>
      </c>
      <c r="S10" s="2">
        <f>COUNTIFS(attestations!$B$2:$B$5000,$A10,attestations!$T$2:$T$5000,"&lt;&gt;Retracted",attestations!$D$2:$D$5000,"Geometry (Setting)")</f>
        <v>6</v>
      </c>
      <c r="T10" s="2" t="str">
        <f t="shared" si="1"/>
        <v>High</v>
      </c>
      <c r="U10" s="2" t="str">
        <f>IF(COUNTIFS(attestations!$B$2:$B$5000,$A10,attestations!$T$2:$T$5000,"&lt;&gt;Retracted",attestations!$I$2:$I$5000,"Georeferenced map GCP")&gt;0,"Y","N")</f>
        <v>Y</v>
      </c>
      <c r="V10" s="4" t="s">
        <v>191</v>
      </c>
      <c r="W10" s="4" t="s">
        <v>203</v>
      </c>
      <c r="X10" s="4" t="s">
        <v>225</v>
      </c>
      <c r="Y10" s="4" t="s">
        <v>193</v>
      </c>
      <c r="AB10">
        <f>IF(A10="","",SUMIFS(attestations!$U$2:$U$5000,attestations!$B$2:$B$5000,A10))</f>
        <v>21</v>
      </c>
    </row>
    <row r="11" spans="1:28" ht="23.25" customHeight="1" x14ac:dyDescent="0.2">
      <c r="A11" s="4" t="s">
        <v>226</v>
      </c>
      <c r="B11" s="4" t="s">
        <v>227</v>
      </c>
      <c r="C11" s="4" t="s">
        <v>228</v>
      </c>
      <c r="D11" s="4" t="s">
        <v>193</v>
      </c>
      <c r="E11" s="4" t="s">
        <v>229</v>
      </c>
      <c r="F11" s="4" t="s">
        <v>230</v>
      </c>
      <c r="G11" s="4" t="s">
        <v>185</v>
      </c>
      <c r="H11" s="4" t="s">
        <v>223</v>
      </c>
      <c r="I11" s="4" t="s">
        <v>231</v>
      </c>
      <c r="J11" s="4"/>
      <c r="K11" s="4" t="s">
        <v>189</v>
      </c>
      <c r="L11" s="4" t="s">
        <v>209</v>
      </c>
      <c r="M11" s="2" t="str">
        <f t="shared" si="0"/>
        <v>Point + buffer</v>
      </c>
      <c r="N11" s="4">
        <v>250</v>
      </c>
      <c r="O11" s="2">
        <f>COUNTIFS(attestations!$B$2:$B$5000,$A11,attestations!$T$2:$T$5000,"&lt;&gt;Retracted",attestations!$D$2:$D$5000,"&lt;&gt;Negative*")</f>
        <v>18</v>
      </c>
      <c r="P11" s="2">
        <f>COUNTIFS(attestations!$B$2:$B$5000,$A11,attestations!$T$2:$T$5000,"&lt;&gt;Retracted",attestations!$D$2:$D$5000,"&lt;&gt;Negative*",attestations!$R$2:$R$5000,"Map")</f>
        <v>9</v>
      </c>
      <c r="Q11" s="2">
        <f>COUNTIFS(attestations!$B$2:$B$5000,$A11,attestations!$T$2:$T$5000,"&lt;&gt;Retracted",attestations!$D$2:$D$5000,"&lt;&gt;Negative*",attestations!$R$2:$R$5000,"Image")</f>
        <v>1</v>
      </c>
      <c r="R11" s="2">
        <f>COUNTIFS(attestations!$B$2:$B$5000,$A11,attestations!$T$2:$T$5000,"&lt;&gt;Retracted",attestations!$D$2:$D$5000,"&lt;&gt;Negative*",attestations!$R$2:$R$5000,"Textual")</f>
        <v>8</v>
      </c>
      <c r="S11" s="2">
        <f>COUNTIFS(attestations!$B$2:$B$5000,$A11,attestations!$T$2:$T$5000,"&lt;&gt;Retracted",attestations!$D$2:$D$5000,"Geometry (Setting)")</f>
        <v>5</v>
      </c>
      <c r="T11" s="2" t="str">
        <f t="shared" si="1"/>
        <v>High</v>
      </c>
      <c r="U11" s="2" t="str">
        <f>IF(COUNTIFS(attestations!$B$2:$B$5000,$A11,attestations!$T$2:$T$5000,"&lt;&gt;Retracted",attestations!$I$2:$I$5000,"Georeferenced map GCP")&gt;0,"Y","N")</f>
        <v>Y</v>
      </c>
      <c r="V11" s="4" t="s">
        <v>191</v>
      </c>
      <c r="W11" s="4" t="s">
        <v>209</v>
      </c>
      <c r="X11" s="4" t="s">
        <v>232</v>
      </c>
      <c r="Y11" s="4" t="s">
        <v>193</v>
      </c>
      <c r="AB11">
        <f>IF(A11="","",SUMIFS(attestations!$U$2:$U$5000,attestations!$B$2:$B$5000,A11))</f>
        <v>12</v>
      </c>
    </row>
    <row r="12" spans="1:28" ht="23.25" customHeight="1" x14ac:dyDescent="0.2">
      <c r="A12" s="4" t="s">
        <v>233</v>
      </c>
      <c r="B12" s="4" t="s">
        <v>234</v>
      </c>
      <c r="C12" s="4" t="s">
        <v>235</v>
      </c>
      <c r="D12" s="4" t="s">
        <v>193</v>
      </c>
      <c r="E12" s="4" t="s">
        <v>236</v>
      </c>
      <c r="F12" s="4" t="s">
        <v>237</v>
      </c>
      <c r="G12" s="4" t="s">
        <v>238</v>
      </c>
      <c r="H12" s="4" t="s">
        <v>223</v>
      </c>
      <c r="I12" s="4" t="s">
        <v>239</v>
      </c>
      <c r="J12" s="4" t="s">
        <v>240</v>
      </c>
      <c r="K12" s="4" t="s">
        <v>189</v>
      </c>
      <c r="L12" s="4" t="s">
        <v>209</v>
      </c>
      <c r="M12" s="2" t="str">
        <f t="shared" si="0"/>
        <v>Point + buffer</v>
      </c>
      <c r="N12" s="4">
        <v>300</v>
      </c>
      <c r="O12" s="2">
        <f>COUNTIFS(attestations!$B$2:$B$5000,$A12,attestations!$T$2:$T$5000,"&lt;&gt;Retracted",attestations!$D$2:$D$5000,"&lt;&gt;Negative*")</f>
        <v>37</v>
      </c>
      <c r="P12" s="2">
        <f>COUNTIFS(attestations!$B$2:$B$5000,$A12,attestations!$T$2:$T$5000,"&lt;&gt;Retracted",attestations!$D$2:$D$5000,"&lt;&gt;Negative*",attestations!$R$2:$R$5000,"Map")</f>
        <v>16</v>
      </c>
      <c r="Q12" s="2">
        <f>COUNTIFS(attestations!$B$2:$B$5000,$A12,attestations!$T$2:$T$5000,"&lt;&gt;Retracted",attestations!$D$2:$D$5000,"&lt;&gt;Negative*",attestations!$R$2:$R$5000,"Image")</f>
        <v>4</v>
      </c>
      <c r="R12" s="2">
        <f>COUNTIFS(attestations!$B$2:$B$5000,$A12,attestations!$T$2:$T$5000,"&lt;&gt;Retracted",attestations!$D$2:$D$5000,"&lt;&gt;Negative*",attestations!$R$2:$R$5000,"Textual")</f>
        <v>14</v>
      </c>
      <c r="S12" s="2">
        <f>COUNTIFS(attestations!$B$2:$B$5000,$A12,attestations!$T$2:$T$5000,"&lt;&gt;Retracted",attestations!$D$2:$D$5000,"Geometry (Setting)")</f>
        <v>10</v>
      </c>
      <c r="T12" s="2" t="str">
        <f t="shared" si="1"/>
        <v>High</v>
      </c>
      <c r="U12" s="2" t="str">
        <f>IF(COUNTIFS(attestations!$B$2:$B$5000,$A12,attestations!$T$2:$T$5000,"&lt;&gt;Retracted",attestations!$I$2:$I$5000,"Georeferenced map GCP")&gt;0,"Y","N")</f>
        <v>Y</v>
      </c>
      <c r="V12" s="4" t="s">
        <v>191</v>
      </c>
      <c r="W12" s="4" t="s">
        <v>203</v>
      </c>
      <c r="X12" s="4" t="s">
        <v>241</v>
      </c>
      <c r="Y12" s="4" t="s">
        <v>193</v>
      </c>
      <c r="AB12">
        <f>IF(A12="","",SUMIFS(attestations!$U$2:$U$5000,attestations!$B$2:$B$5000,A12))</f>
        <v>27</v>
      </c>
    </row>
    <row r="13" spans="1:28" ht="23.25" customHeight="1" x14ac:dyDescent="0.2">
      <c r="A13" s="4" t="s">
        <v>242</v>
      </c>
      <c r="B13" s="4" t="s">
        <v>243</v>
      </c>
      <c r="C13" s="4" t="s">
        <v>244</v>
      </c>
      <c r="D13" s="4" t="s">
        <v>193</v>
      </c>
      <c r="E13" s="4" t="s">
        <v>236</v>
      </c>
      <c r="F13" s="4" t="s">
        <v>237</v>
      </c>
      <c r="G13" s="4" t="s">
        <v>238</v>
      </c>
      <c r="H13" s="4" t="s">
        <v>223</v>
      </c>
      <c r="I13" s="4" t="s">
        <v>197</v>
      </c>
      <c r="J13" s="4" t="s">
        <v>245</v>
      </c>
      <c r="K13" s="4" t="s">
        <v>189</v>
      </c>
      <c r="L13" s="4" t="s">
        <v>209</v>
      </c>
      <c r="M13" s="2" t="str">
        <f t="shared" si="0"/>
        <v>Point + buffer</v>
      </c>
      <c r="N13" s="4">
        <v>300</v>
      </c>
      <c r="O13" s="2">
        <f>COUNTIFS(attestations!$B$2:$B$5000,$A13,attestations!$T$2:$T$5000,"&lt;&gt;Retracted",attestations!$D$2:$D$5000,"&lt;&gt;Negative*")</f>
        <v>34</v>
      </c>
      <c r="P13" s="2">
        <f>COUNTIFS(attestations!$B$2:$B$5000,$A13,attestations!$T$2:$T$5000,"&lt;&gt;Retracted",attestations!$D$2:$D$5000,"&lt;&gt;Negative*",attestations!$R$2:$R$5000,"Map")</f>
        <v>15</v>
      </c>
      <c r="Q13" s="2">
        <f>COUNTIFS(attestations!$B$2:$B$5000,$A13,attestations!$T$2:$T$5000,"&lt;&gt;Retracted",attestations!$D$2:$D$5000,"&lt;&gt;Negative*",attestations!$R$2:$R$5000,"Image")</f>
        <v>2</v>
      </c>
      <c r="R13" s="2">
        <f>COUNTIFS(attestations!$B$2:$B$5000,$A13,attestations!$T$2:$T$5000,"&lt;&gt;Retracted",attestations!$D$2:$D$5000,"&lt;&gt;Negative*",attestations!$R$2:$R$5000,"Textual")</f>
        <v>14</v>
      </c>
      <c r="S13" s="2">
        <f>COUNTIFS(attestations!$B$2:$B$5000,$A13,attestations!$T$2:$T$5000,"&lt;&gt;Retracted",attestations!$D$2:$D$5000,"Geometry (Setting)")</f>
        <v>9</v>
      </c>
      <c r="T13" s="2" t="str">
        <f t="shared" si="1"/>
        <v>High</v>
      </c>
      <c r="U13" s="2" t="str">
        <f>IF(COUNTIFS(attestations!$B$2:$B$5000,$A13,attestations!$T$2:$T$5000,"&lt;&gt;Retracted",attestations!$I$2:$I$5000,"Georeferenced map GCP")&gt;0,"Y","N")</f>
        <v>Y</v>
      </c>
      <c r="V13" s="4" t="s">
        <v>191</v>
      </c>
      <c r="W13" s="4" t="s">
        <v>203</v>
      </c>
      <c r="X13" s="4" t="s">
        <v>246</v>
      </c>
      <c r="Y13" s="4" t="s">
        <v>193</v>
      </c>
      <c r="AB13">
        <f>IF(A13="","",SUMIFS(attestations!$U$2:$U$5000,attestations!$B$2:$B$5000,A13))</f>
        <v>29</v>
      </c>
    </row>
    <row r="14" spans="1:28" ht="23.25" customHeight="1" x14ac:dyDescent="0.2">
      <c r="A14" s="4" t="s">
        <v>247</v>
      </c>
      <c r="B14" s="4" t="s">
        <v>248</v>
      </c>
      <c r="C14" s="4"/>
      <c r="D14" s="4" t="s">
        <v>193</v>
      </c>
      <c r="E14" s="4" t="s">
        <v>236</v>
      </c>
      <c r="F14" s="4" t="s">
        <v>237</v>
      </c>
      <c r="G14" s="4" t="s">
        <v>249</v>
      </c>
      <c r="H14" s="4" t="s">
        <v>250</v>
      </c>
      <c r="I14" s="4" t="s">
        <v>251</v>
      </c>
      <c r="J14" s="4" t="s">
        <v>245</v>
      </c>
      <c r="K14" s="4" t="s">
        <v>189</v>
      </c>
      <c r="L14" s="4" t="s">
        <v>209</v>
      </c>
      <c r="M14" s="2" t="str">
        <f t="shared" si="0"/>
        <v>Point + buffer</v>
      </c>
      <c r="N14" s="4">
        <v>300</v>
      </c>
      <c r="O14" s="2">
        <f>COUNTIFS(attestations!$B$2:$B$5000,$A14,attestations!$T$2:$T$5000,"&lt;&gt;Retracted",attestations!$D$2:$D$5000,"&lt;&gt;Negative*")</f>
        <v>31</v>
      </c>
      <c r="P14" s="2">
        <f>COUNTIFS(attestations!$B$2:$B$5000,$A14,attestations!$T$2:$T$5000,"&lt;&gt;Retracted",attestations!$D$2:$D$5000,"&lt;&gt;Negative*",attestations!$R$2:$R$5000,"Map")</f>
        <v>19</v>
      </c>
      <c r="Q14" s="2">
        <f>COUNTIFS(attestations!$B$2:$B$5000,$A14,attestations!$T$2:$T$5000,"&lt;&gt;Retracted",attestations!$D$2:$D$5000,"&lt;&gt;Negative*",attestations!$R$2:$R$5000,"Image")</f>
        <v>1</v>
      </c>
      <c r="R14" s="2">
        <f>COUNTIFS(attestations!$B$2:$B$5000,$A14,attestations!$T$2:$T$5000,"&lt;&gt;Retracted",attestations!$D$2:$D$5000,"&lt;&gt;Negative*",attestations!$R$2:$R$5000,"Textual")</f>
        <v>9</v>
      </c>
      <c r="S14" s="2">
        <f>COUNTIFS(attestations!$B$2:$B$5000,$A14,attestations!$T$2:$T$5000,"&lt;&gt;Retracted",attestations!$D$2:$D$5000,"Geometry (Setting)")</f>
        <v>12</v>
      </c>
      <c r="T14" s="2" t="str">
        <f t="shared" si="1"/>
        <v>High</v>
      </c>
      <c r="U14" s="2" t="str">
        <f>IF(COUNTIFS(attestations!$B$2:$B$5000,$A14,attestations!$T$2:$T$5000,"&lt;&gt;Retracted",attestations!$I$2:$I$5000,"Georeferenced map GCP")&gt;0,"Y","N")</f>
        <v>Y</v>
      </c>
      <c r="V14" s="4" t="s">
        <v>191</v>
      </c>
      <c r="W14" s="4" t="s">
        <v>209</v>
      </c>
      <c r="X14" s="4" t="s">
        <v>252</v>
      </c>
      <c r="Y14" s="4" t="s">
        <v>193</v>
      </c>
      <c r="AB14">
        <f>IF(A14="","",SUMIFS(attestations!$U$2:$U$5000,attestations!$B$2:$B$5000,A14))</f>
        <v>25</v>
      </c>
    </row>
    <row r="15" spans="1:28" ht="15" customHeight="1" x14ac:dyDescent="0.2">
      <c r="A15" s="4" t="s">
        <v>253</v>
      </c>
      <c r="B15" s="4" t="s">
        <v>254</v>
      </c>
      <c r="C15" s="4" t="s">
        <v>255</v>
      </c>
      <c r="D15" s="4" t="s">
        <v>256</v>
      </c>
      <c r="E15" s="4" t="s">
        <v>208</v>
      </c>
      <c r="F15" s="4" t="s">
        <v>208</v>
      </c>
      <c r="G15" s="4" t="s">
        <v>238</v>
      </c>
      <c r="H15" s="4" t="s">
        <v>223</v>
      </c>
      <c r="I15" s="4" t="s">
        <v>257</v>
      </c>
      <c r="J15" s="4" t="s">
        <v>258</v>
      </c>
      <c r="K15" s="4" t="s">
        <v>259</v>
      </c>
      <c r="L15" s="4" t="s">
        <v>190</v>
      </c>
      <c r="M15" s="2" t="str">
        <f t="shared" si="0"/>
        <v>Translucent area</v>
      </c>
      <c r="N15" s="4">
        <v>500</v>
      </c>
      <c r="O15" s="2">
        <f>COUNTIFS(attestations!$B$2:$B$5000,$A15,attestations!$T$2:$T$5000,"&lt;&gt;Retracted",attestations!$D$2:$D$5000,"&lt;&gt;Negative*")</f>
        <v>28</v>
      </c>
      <c r="P15" s="2">
        <f>COUNTIFS(attestations!$B$2:$B$5000,$A15,attestations!$T$2:$T$5000,"&lt;&gt;Retracted",attestations!$D$2:$D$5000,"&lt;&gt;Negative*",attestations!$R$2:$R$5000,"Map")</f>
        <v>15</v>
      </c>
      <c r="Q15" s="2">
        <f>COUNTIFS(attestations!$B$2:$B$5000,$A15,attestations!$T$2:$T$5000,"&lt;&gt;Retracted",attestations!$D$2:$D$5000,"&lt;&gt;Negative*",attestations!$R$2:$R$5000,"Image")</f>
        <v>2</v>
      </c>
      <c r="R15" s="2">
        <f>COUNTIFS(attestations!$B$2:$B$5000,$A15,attestations!$T$2:$T$5000,"&lt;&gt;Retracted",attestations!$D$2:$D$5000,"&lt;&gt;Negative*",attestations!$R$2:$R$5000,"Textual")</f>
        <v>11</v>
      </c>
      <c r="S15" s="2">
        <f>COUNTIFS(attestations!$B$2:$B$5000,$A15,attestations!$T$2:$T$5000,"&lt;&gt;Retracted",attestations!$D$2:$D$5000,"Geometry (Setting)")</f>
        <v>9</v>
      </c>
      <c r="T15" s="2" t="str">
        <f t="shared" si="1"/>
        <v>High</v>
      </c>
      <c r="U15" s="2" t="str">
        <f>IF(COUNTIFS(attestations!$B$2:$B$5000,$A15,attestations!$T$2:$T$5000,"&lt;&gt;Retracted",attestations!$I$2:$I$5000,"Georeferenced map GCP")&gt;0,"Y","N")</f>
        <v>Y</v>
      </c>
      <c r="V15" s="4" t="s">
        <v>191</v>
      </c>
      <c r="W15" s="4"/>
      <c r="X15" s="4" t="s">
        <v>260</v>
      </c>
      <c r="Y15" s="4" t="s">
        <v>193</v>
      </c>
      <c r="AB15">
        <f>IF(A15="","",SUMIFS(attestations!$U$2:$U$5000,attestations!$B$2:$B$5000,A15))</f>
        <v>24</v>
      </c>
    </row>
    <row r="16" spans="1:28" ht="23.25" customHeight="1" x14ac:dyDescent="0.2">
      <c r="A16" s="4" t="s">
        <v>261</v>
      </c>
      <c r="B16" s="4" t="s">
        <v>262</v>
      </c>
      <c r="C16" s="4"/>
      <c r="D16" s="4" t="s">
        <v>256</v>
      </c>
      <c r="E16" s="4" t="s">
        <v>208</v>
      </c>
      <c r="F16" s="4" t="s">
        <v>208</v>
      </c>
      <c r="G16" s="4" t="s">
        <v>238</v>
      </c>
      <c r="H16" s="4" t="s">
        <v>223</v>
      </c>
      <c r="I16" s="4" t="s">
        <v>263</v>
      </c>
      <c r="J16" s="4"/>
      <c r="K16" s="4" t="s">
        <v>259</v>
      </c>
      <c r="L16" s="4" t="s">
        <v>190</v>
      </c>
      <c r="M16" s="2" t="str">
        <f t="shared" si="0"/>
        <v>Translucent area</v>
      </c>
      <c r="N16" s="4">
        <v>500</v>
      </c>
      <c r="O16" s="2">
        <f>COUNTIFS(attestations!$B$2:$B$5000,$A16,attestations!$T$2:$T$5000,"&lt;&gt;Retracted",attestations!$D$2:$D$5000,"&lt;&gt;Negative*")</f>
        <v>23</v>
      </c>
      <c r="P16" s="2">
        <f>COUNTIFS(attestations!$B$2:$B$5000,$A16,attestations!$T$2:$T$5000,"&lt;&gt;Retracted",attestations!$D$2:$D$5000,"&lt;&gt;Negative*",attestations!$R$2:$R$5000,"Map")</f>
        <v>14</v>
      </c>
      <c r="Q16" s="2">
        <f>COUNTIFS(attestations!$B$2:$B$5000,$A16,attestations!$T$2:$T$5000,"&lt;&gt;Retracted",attestations!$D$2:$D$5000,"&lt;&gt;Negative*",attestations!$R$2:$R$5000,"Image")</f>
        <v>1</v>
      </c>
      <c r="R16" s="2">
        <f>COUNTIFS(attestations!$B$2:$B$5000,$A16,attestations!$T$2:$T$5000,"&lt;&gt;Retracted",attestations!$D$2:$D$5000,"&lt;&gt;Negative*",attestations!$R$2:$R$5000,"Textual")</f>
        <v>8</v>
      </c>
      <c r="S16" s="2">
        <f>COUNTIFS(attestations!$B$2:$B$5000,$A16,attestations!$T$2:$T$5000,"&lt;&gt;Retracted",attestations!$D$2:$D$5000,"Geometry (Setting)")</f>
        <v>7</v>
      </c>
      <c r="T16" s="2" t="str">
        <f t="shared" si="1"/>
        <v>High</v>
      </c>
      <c r="U16" s="2" t="str">
        <f>IF(COUNTIFS(attestations!$B$2:$B$5000,$A16,attestations!$T$2:$T$5000,"&lt;&gt;Retracted",attestations!$I$2:$I$5000,"Georeferenced map GCP")&gt;0,"Y","N")</f>
        <v>Y</v>
      </c>
      <c r="V16" s="4" t="s">
        <v>191</v>
      </c>
      <c r="W16" s="4"/>
      <c r="X16" s="4" t="s">
        <v>264</v>
      </c>
      <c r="Y16" s="4" t="s">
        <v>193</v>
      </c>
      <c r="AB16">
        <f>IF(A16="","",SUMIFS(attestations!$U$2:$U$5000,attestations!$B$2:$B$5000,A16))</f>
        <v>20</v>
      </c>
    </row>
    <row r="17" spans="1:28" ht="15" customHeight="1" x14ac:dyDescent="0.2">
      <c r="A17" s="4" t="s">
        <v>265</v>
      </c>
      <c r="B17" s="4" t="s">
        <v>266</v>
      </c>
      <c r="C17" s="4" t="s">
        <v>267</v>
      </c>
      <c r="D17" s="4" t="s">
        <v>196</v>
      </c>
      <c r="E17" s="4" t="s">
        <v>208</v>
      </c>
      <c r="F17" s="4" t="s">
        <v>208</v>
      </c>
      <c r="G17" s="4" t="s">
        <v>185</v>
      </c>
      <c r="H17" s="4" t="s">
        <v>186</v>
      </c>
      <c r="I17" s="4" t="s">
        <v>187</v>
      </c>
      <c r="J17" s="4" t="s">
        <v>188</v>
      </c>
      <c r="K17" s="4" t="s">
        <v>259</v>
      </c>
      <c r="L17" s="4" t="s">
        <v>190</v>
      </c>
      <c r="M17" s="2" t="str">
        <f t="shared" si="0"/>
        <v>Translucent area</v>
      </c>
      <c r="N17" s="4">
        <v>500</v>
      </c>
      <c r="O17" s="2">
        <f>COUNTIFS(attestations!$B$2:$B$5000,$A17,attestations!$T$2:$T$5000,"&lt;&gt;Retracted",attestations!$D$2:$D$5000,"&lt;&gt;Negative*")</f>
        <v>25</v>
      </c>
      <c r="P17" s="2">
        <f>COUNTIFS(attestations!$B$2:$B$5000,$A17,attestations!$T$2:$T$5000,"&lt;&gt;Retracted",attestations!$D$2:$D$5000,"&lt;&gt;Negative*",attestations!$R$2:$R$5000,"Map")</f>
        <v>12</v>
      </c>
      <c r="Q17" s="2">
        <f>COUNTIFS(attestations!$B$2:$B$5000,$A17,attestations!$T$2:$T$5000,"&lt;&gt;Retracted",attestations!$D$2:$D$5000,"&lt;&gt;Negative*",attestations!$R$2:$R$5000,"Image")</f>
        <v>1</v>
      </c>
      <c r="R17" s="2">
        <f>COUNTIFS(attestations!$B$2:$B$5000,$A17,attestations!$T$2:$T$5000,"&lt;&gt;Retracted",attestations!$D$2:$D$5000,"&lt;&gt;Negative*",attestations!$R$2:$R$5000,"Textual")</f>
        <v>12</v>
      </c>
      <c r="S17" s="2">
        <f>COUNTIFS(attestations!$B$2:$B$5000,$A17,attestations!$T$2:$T$5000,"&lt;&gt;Retracted",attestations!$D$2:$D$5000,"Geometry (Setting)")</f>
        <v>5</v>
      </c>
      <c r="T17" s="2" t="str">
        <f t="shared" si="1"/>
        <v>High</v>
      </c>
      <c r="U17" s="2" t="str">
        <f>IF(COUNTIFS(attestations!$B$2:$B$5000,$A17,attestations!$T$2:$T$5000,"&lt;&gt;Retracted",attestations!$I$2:$I$5000,"Georeferenced map GCP")&gt;0,"Y","N")</f>
        <v>Y</v>
      </c>
      <c r="V17" s="4" t="s">
        <v>191</v>
      </c>
      <c r="W17" s="4"/>
      <c r="X17" s="4" t="s">
        <v>268</v>
      </c>
      <c r="Y17" s="4" t="s">
        <v>193</v>
      </c>
      <c r="AB17">
        <f>IF(A17="","",SUMIFS(attestations!$U$2:$U$5000,attestations!$B$2:$B$5000,A17))</f>
        <v>22</v>
      </c>
    </row>
    <row r="18" spans="1:28" ht="15" customHeight="1" x14ac:dyDescent="0.2">
      <c r="A18" s="4" t="s">
        <v>269</v>
      </c>
      <c r="B18" s="4" t="s">
        <v>270</v>
      </c>
      <c r="D18" s="4" t="s">
        <v>271</v>
      </c>
      <c r="E18" s="4" t="s">
        <v>236</v>
      </c>
      <c r="F18" s="4" t="s">
        <v>237</v>
      </c>
      <c r="G18" s="4" t="s">
        <v>249</v>
      </c>
      <c r="H18" s="4" t="s">
        <v>223</v>
      </c>
      <c r="I18" s="4" t="s">
        <v>272</v>
      </c>
      <c r="J18" s="4" t="s">
        <v>273</v>
      </c>
      <c r="K18" s="4" t="s">
        <v>189</v>
      </c>
      <c r="L18" s="4" t="s">
        <v>209</v>
      </c>
      <c r="M18" s="2" t="str">
        <f t="shared" si="0"/>
        <v>Point + buffer</v>
      </c>
      <c r="N18" s="4">
        <v>400</v>
      </c>
      <c r="O18" s="2">
        <f>COUNTIFS(attestations!$B$2:$B$5000,$A18,attestations!$T$2:$T$5000,"&lt;&gt;Retracted",attestations!$D$2:$D$5000,"&lt;&gt;Negative*")</f>
        <v>1</v>
      </c>
      <c r="P18" s="2">
        <f>COUNTIFS(attestations!$B$2:$B$5000,$A18,attestations!$T$2:$T$5000,"&lt;&gt;Retracted",attestations!$D$2:$D$5000,"&lt;&gt;Negative*",attestations!$R$2:$R$5000,"Map")</f>
        <v>0</v>
      </c>
      <c r="Q18" s="2">
        <f>COUNTIFS(attestations!$B$2:$B$5000,$A18,attestations!$T$2:$T$5000,"&lt;&gt;Retracted",attestations!$D$2:$D$5000,"&lt;&gt;Negative*",attestations!$R$2:$R$5000,"Image")</f>
        <v>0</v>
      </c>
      <c r="R18" s="2">
        <f>COUNTIFS(attestations!$B$2:$B$5000,$A18,attestations!$T$2:$T$5000,"&lt;&gt;Retracted",attestations!$D$2:$D$5000,"&lt;&gt;Negative*",attestations!$R$2:$R$5000,"Textual")</f>
        <v>1</v>
      </c>
      <c r="S18" s="2">
        <f>COUNTIFS(attestations!$B$2:$B$5000,$A18,attestations!$T$2:$T$5000,"&lt;&gt;Retracted",attestations!$D$2:$D$5000,"Geometry (Setting)")</f>
        <v>0</v>
      </c>
      <c r="T18" s="2" t="str">
        <f t="shared" si="1"/>
        <v>Low</v>
      </c>
      <c r="U18" s="2" t="str">
        <f>IF(COUNTIFS(attestations!$B$2:$B$5000,$A18,attestations!$T$2:$T$5000,"&lt;&gt;Retracted",attestations!$I$2:$I$5000,"Georeferenced map GCP")&gt;0,"Y","N")</f>
        <v>N</v>
      </c>
      <c r="V18" s="4" t="s">
        <v>191</v>
      </c>
      <c r="W18" s="4"/>
      <c r="X18" s="4" t="s">
        <v>274</v>
      </c>
      <c r="Y18" s="4" t="s">
        <v>275</v>
      </c>
      <c r="Z18" s="4" t="s">
        <v>233</v>
      </c>
      <c r="AB18">
        <f>IF(A18="","",SUMIFS(attestations!$U$2:$U$5000,attestations!$B$2:$B$5000,A18))</f>
        <v>1</v>
      </c>
    </row>
    <row r="19" spans="1:28" ht="15" customHeight="1" x14ac:dyDescent="0.2">
      <c r="A19" s="4" t="s">
        <v>276</v>
      </c>
      <c r="B19" s="4" t="s">
        <v>277</v>
      </c>
      <c r="D19" s="4" t="s">
        <v>278</v>
      </c>
      <c r="E19" s="4" t="s">
        <v>236</v>
      </c>
      <c r="F19" s="4" t="s">
        <v>237</v>
      </c>
      <c r="G19" s="4" t="s">
        <v>249</v>
      </c>
      <c r="H19" s="4" t="s">
        <v>223</v>
      </c>
      <c r="I19" s="4" t="s">
        <v>272</v>
      </c>
      <c r="J19" s="4" t="s">
        <v>273</v>
      </c>
      <c r="K19" s="4" t="s">
        <v>189</v>
      </c>
      <c r="L19" s="4" t="s">
        <v>209</v>
      </c>
      <c r="M19" s="2" t="str">
        <f t="shared" si="0"/>
        <v>Point + buffer</v>
      </c>
      <c r="N19" s="4">
        <v>400</v>
      </c>
      <c r="O19" s="2">
        <f>COUNTIFS(attestations!$B$2:$B$5000,$A19,attestations!$T$2:$T$5000,"&lt;&gt;Retracted",attestations!$D$2:$D$5000,"&lt;&gt;Negative*")</f>
        <v>2</v>
      </c>
      <c r="P19" s="2">
        <f>COUNTIFS(attestations!$B$2:$B$5000,$A19,attestations!$T$2:$T$5000,"&lt;&gt;Retracted",attestations!$D$2:$D$5000,"&lt;&gt;Negative*",attestations!$R$2:$R$5000,"Map")</f>
        <v>1</v>
      </c>
      <c r="Q19" s="2">
        <f>COUNTIFS(attestations!$B$2:$B$5000,$A19,attestations!$T$2:$T$5000,"&lt;&gt;Retracted",attestations!$D$2:$D$5000,"&lt;&gt;Negative*",attestations!$R$2:$R$5000,"Image")</f>
        <v>0</v>
      </c>
      <c r="R19" s="2">
        <f>COUNTIFS(attestations!$B$2:$B$5000,$A19,attestations!$T$2:$T$5000,"&lt;&gt;Retracted",attestations!$D$2:$D$5000,"&lt;&gt;Negative*",attestations!$R$2:$R$5000,"Textual")</f>
        <v>1</v>
      </c>
      <c r="S19" s="2">
        <f>COUNTIFS(attestations!$B$2:$B$5000,$A19,attestations!$T$2:$T$5000,"&lt;&gt;Retracted",attestations!$D$2:$D$5000,"Geometry (Setting)")</f>
        <v>1</v>
      </c>
      <c r="T19" s="2" t="str">
        <f t="shared" si="1"/>
        <v>Low</v>
      </c>
      <c r="U19" s="2" t="str">
        <f>IF(COUNTIFS(attestations!$B$2:$B$5000,$A19,attestations!$T$2:$T$5000,"&lt;&gt;Retracted",attestations!$I$2:$I$5000,"Georeferenced map GCP")&gt;0,"Y","N")</f>
        <v>Y</v>
      </c>
      <c r="V19" s="4" t="s">
        <v>191</v>
      </c>
      <c r="W19" s="4"/>
      <c r="X19" s="4" t="s">
        <v>279</v>
      </c>
      <c r="Y19" s="4" t="s">
        <v>275</v>
      </c>
      <c r="Z19" s="4" t="s">
        <v>233</v>
      </c>
      <c r="AB19">
        <f>IF(A19="","",SUMIFS(attestations!$U$2:$U$5000,attestations!$B$2:$B$5000,A19))</f>
        <v>2</v>
      </c>
    </row>
    <row r="20" spans="1:28" ht="15" customHeight="1" x14ac:dyDescent="0.2">
      <c r="A20" s="4" t="s">
        <v>280</v>
      </c>
      <c r="B20" s="4" t="s">
        <v>281</v>
      </c>
      <c r="D20" s="4" t="s">
        <v>282</v>
      </c>
      <c r="E20" s="4" t="s">
        <v>236</v>
      </c>
      <c r="F20" s="4" t="s">
        <v>237</v>
      </c>
      <c r="G20" s="4" t="s">
        <v>249</v>
      </c>
      <c r="H20" s="4" t="s">
        <v>250</v>
      </c>
      <c r="I20" s="4" t="s">
        <v>283</v>
      </c>
      <c r="J20" s="4" t="s">
        <v>273</v>
      </c>
      <c r="K20" s="4" t="s">
        <v>189</v>
      </c>
      <c r="L20" s="4" t="s">
        <v>209</v>
      </c>
      <c r="M20" s="2" t="str">
        <f t="shared" si="0"/>
        <v>Point + buffer</v>
      </c>
      <c r="N20" s="4">
        <v>400</v>
      </c>
      <c r="O20" s="2">
        <f>COUNTIFS(attestations!$B$2:$B$5000,$A20,attestations!$T$2:$T$5000,"&lt;&gt;Retracted",attestations!$D$2:$D$5000,"&lt;&gt;Negative*")</f>
        <v>0</v>
      </c>
      <c r="P20" s="2">
        <f>COUNTIFS(attestations!$B$2:$B$5000,$A20,attestations!$T$2:$T$5000,"&lt;&gt;Retracted",attestations!$D$2:$D$5000,"&lt;&gt;Negative*",attestations!$R$2:$R$5000,"Map")</f>
        <v>0</v>
      </c>
      <c r="Q20" s="2">
        <f>COUNTIFS(attestations!$B$2:$B$5000,$A20,attestations!$T$2:$T$5000,"&lt;&gt;Retracted",attestations!$D$2:$D$5000,"&lt;&gt;Negative*",attestations!$R$2:$R$5000,"Image")</f>
        <v>0</v>
      </c>
      <c r="R20" s="2">
        <f>COUNTIFS(attestations!$B$2:$B$5000,$A20,attestations!$T$2:$T$5000,"&lt;&gt;Retracted",attestations!$D$2:$D$5000,"&lt;&gt;Negative*",attestations!$R$2:$R$5000,"Textual")</f>
        <v>0</v>
      </c>
      <c r="S20" s="2">
        <f>COUNTIFS(attestations!$B$2:$B$5000,$A20,attestations!$T$2:$T$5000,"&lt;&gt;Retracted",attestations!$D$2:$D$5000,"Geometry (Setting)")</f>
        <v>0</v>
      </c>
      <c r="T20" s="2" t="str">
        <f t="shared" si="1"/>
        <v>None</v>
      </c>
      <c r="U20" s="2" t="str">
        <f>IF(COUNTIFS(attestations!$B$2:$B$5000,$A20,attestations!$T$2:$T$5000,"&lt;&gt;Retracted",attestations!$I$2:$I$5000,"Georeferenced map GCP")&gt;0,"Y","N")</f>
        <v>N</v>
      </c>
      <c r="V20" s="4" t="s">
        <v>284</v>
      </c>
      <c r="W20" s="4"/>
      <c r="X20" s="4" t="s">
        <v>285</v>
      </c>
      <c r="Y20" s="4" t="s">
        <v>286</v>
      </c>
      <c r="Z20" s="4" t="s">
        <v>233</v>
      </c>
      <c r="AB20">
        <f>IF(A20="","",SUMIFS(attestations!$U$2:$U$5000,attestations!$B$2:$B$5000,A20))</f>
        <v>0</v>
      </c>
    </row>
    <row r="21" spans="1:28" ht="15" customHeight="1" x14ac:dyDescent="0.2">
      <c r="A21" s="4" t="s">
        <v>287</v>
      </c>
      <c r="B21" s="4" t="s">
        <v>288</v>
      </c>
      <c r="D21" s="4" t="s">
        <v>289</v>
      </c>
      <c r="E21" s="4" t="s">
        <v>236</v>
      </c>
      <c r="F21" s="4" t="s">
        <v>237</v>
      </c>
      <c r="G21" s="4" t="s">
        <v>238</v>
      </c>
      <c r="H21" s="4" t="s">
        <v>290</v>
      </c>
      <c r="I21" s="4" t="s">
        <v>291</v>
      </c>
      <c r="J21" s="4" t="s">
        <v>273</v>
      </c>
      <c r="K21" s="4" t="s">
        <v>189</v>
      </c>
      <c r="L21" s="4" t="s">
        <v>190</v>
      </c>
      <c r="M21" s="2" t="str">
        <f t="shared" si="0"/>
        <v>Translucent area</v>
      </c>
      <c r="N21" s="4">
        <v>400</v>
      </c>
      <c r="O21" s="2">
        <f>COUNTIFS(attestations!$B$2:$B$5000,$A21,attestations!$T$2:$T$5000,"&lt;&gt;Retracted",attestations!$D$2:$D$5000,"&lt;&gt;Negative*")</f>
        <v>1</v>
      </c>
      <c r="P21" s="2">
        <f>COUNTIFS(attestations!$B$2:$B$5000,$A21,attestations!$T$2:$T$5000,"&lt;&gt;Retracted",attestations!$D$2:$D$5000,"&lt;&gt;Negative*",attestations!$R$2:$R$5000,"Map")</f>
        <v>0</v>
      </c>
      <c r="Q21" s="2">
        <f>COUNTIFS(attestations!$B$2:$B$5000,$A21,attestations!$T$2:$T$5000,"&lt;&gt;Retracted",attestations!$D$2:$D$5000,"&lt;&gt;Negative*",attestations!$R$2:$R$5000,"Image")</f>
        <v>0</v>
      </c>
      <c r="R21" s="2">
        <f>COUNTIFS(attestations!$B$2:$B$5000,$A21,attestations!$T$2:$T$5000,"&lt;&gt;Retracted",attestations!$D$2:$D$5000,"&lt;&gt;Negative*",attestations!$R$2:$R$5000,"Textual")</f>
        <v>1</v>
      </c>
      <c r="S21" s="2">
        <f>COUNTIFS(attestations!$B$2:$B$5000,$A21,attestations!$T$2:$T$5000,"&lt;&gt;Retracted",attestations!$D$2:$D$5000,"Geometry (Setting)")</f>
        <v>0</v>
      </c>
      <c r="T21" s="2" t="str">
        <f t="shared" si="1"/>
        <v>Low</v>
      </c>
      <c r="U21" s="2" t="str">
        <f>IF(COUNTIFS(attestations!$B$2:$B$5000,$A21,attestations!$T$2:$T$5000,"&lt;&gt;Retracted",attestations!$I$2:$I$5000,"Georeferenced map GCP")&gt;0,"Y","N")</f>
        <v>N</v>
      </c>
      <c r="V21" s="4" t="s">
        <v>191</v>
      </c>
      <c r="W21" s="4" t="s">
        <v>203</v>
      </c>
      <c r="X21" s="4" t="s">
        <v>292</v>
      </c>
      <c r="Y21" s="4" t="s">
        <v>293</v>
      </c>
      <c r="Z21" s="4" t="s">
        <v>233</v>
      </c>
      <c r="AB21">
        <f>IF(A21="","",SUMIFS(attestations!$U$2:$U$5000,attestations!$B$2:$B$5000,A21))</f>
        <v>1</v>
      </c>
    </row>
    <row r="22" spans="1:28" ht="15" customHeight="1" x14ac:dyDescent="0.2">
      <c r="A22" s="4" t="s">
        <v>294</v>
      </c>
      <c r="B22" s="4" t="s">
        <v>295</v>
      </c>
      <c r="D22" s="4" t="s">
        <v>289</v>
      </c>
      <c r="E22" s="4" t="s">
        <v>236</v>
      </c>
      <c r="F22" s="4" t="s">
        <v>237</v>
      </c>
      <c r="G22" s="4" t="s">
        <v>249</v>
      </c>
      <c r="H22" s="4" t="s">
        <v>250</v>
      </c>
      <c r="I22" s="4" t="s">
        <v>291</v>
      </c>
      <c r="J22" s="4" t="s">
        <v>273</v>
      </c>
      <c r="K22" s="4" t="s">
        <v>189</v>
      </c>
      <c r="L22" s="4" t="s">
        <v>209</v>
      </c>
      <c r="M22" s="2" t="str">
        <f t="shared" si="0"/>
        <v>Point + buffer</v>
      </c>
      <c r="N22" s="4">
        <v>400</v>
      </c>
      <c r="O22" s="2">
        <f>COUNTIFS(attestations!$B$2:$B$5000,$A22,attestations!$T$2:$T$5000,"&lt;&gt;Retracted",attestations!$D$2:$D$5000,"&lt;&gt;Negative*")</f>
        <v>1</v>
      </c>
      <c r="P22" s="2">
        <f>COUNTIFS(attestations!$B$2:$B$5000,$A22,attestations!$T$2:$T$5000,"&lt;&gt;Retracted",attestations!$D$2:$D$5000,"&lt;&gt;Negative*",attestations!$R$2:$R$5000,"Map")</f>
        <v>1</v>
      </c>
      <c r="Q22" s="2">
        <f>COUNTIFS(attestations!$B$2:$B$5000,$A22,attestations!$T$2:$T$5000,"&lt;&gt;Retracted",attestations!$D$2:$D$5000,"&lt;&gt;Negative*",attestations!$R$2:$R$5000,"Image")</f>
        <v>0</v>
      </c>
      <c r="R22" s="2">
        <f>COUNTIFS(attestations!$B$2:$B$5000,$A22,attestations!$T$2:$T$5000,"&lt;&gt;Retracted",attestations!$D$2:$D$5000,"&lt;&gt;Negative*",attestations!$R$2:$R$5000,"Textual")</f>
        <v>0</v>
      </c>
      <c r="S22" s="2">
        <f>COUNTIFS(attestations!$B$2:$B$5000,$A22,attestations!$T$2:$T$5000,"&lt;&gt;Retracted",attestations!$D$2:$D$5000,"Geometry (Setting)")</f>
        <v>1</v>
      </c>
      <c r="T22" s="2" t="str">
        <f t="shared" si="1"/>
        <v>Low</v>
      </c>
      <c r="U22" s="2" t="str">
        <f>IF(COUNTIFS(attestations!$B$2:$B$5000,$A22,attestations!$T$2:$T$5000,"&lt;&gt;Retracted",attestations!$I$2:$I$5000,"Georeferenced map GCP")&gt;0,"Y","N")</f>
        <v>Y</v>
      </c>
      <c r="V22" s="4" t="s">
        <v>191</v>
      </c>
      <c r="W22" s="4"/>
      <c r="X22" s="4" t="s">
        <v>296</v>
      </c>
      <c r="Y22" s="4" t="s">
        <v>293</v>
      </c>
      <c r="Z22" s="4" t="s">
        <v>233</v>
      </c>
      <c r="AB22">
        <f>IF(A22="","",SUMIFS(attestations!$U$2:$U$5000,attestations!$B$2:$B$5000,A22))</f>
        <v>1</v>
      </c>
    </row>
    <row r="23" spans="1:28" ht="15" customHeight="1" x14ac:dyDescent="0.2">
      <c r="A23" s="4" t="s">
        <v>297</v>
      </c>
      <c r="B23" s="4" t="s">
        <v>298</v>
      </c>
      <c r="D23" s="4" t="s">
        <v>299</v>
      </c>
      <c r="E23" s="4" t="s">
        <v>236</v>
      </c>
      <c r="F23" s="4" t="s">
        <v>237</v>
      </c>
      <c r="G23" s="4" t="s">
        <v>300</v>
      </c>
      <c r="H23" s="4" t="s">
        <v>223</v>
      </c>
      <c r="I23" s="4" t="s">
        <v>301</v>
      </c>
      <c r="J23" s="4" t="s">
        <v>273</v>
      </c>
      <c r="K23" s="4" t="s">
        <v>189</v>
      </c>
      <c r="L23" s="4" t="s">
        <v>209</v>
      </c>
      <c r="M23" s="2" t="str">
        <f t="shared" si="0"/>
        <v>Point + buffer</v>
      </c>
      <c r="N23" s="4">
        <v>400</v>
      </c>
      <c r="O23" s="2">
        <f>COUNTIFS(attestations!$B$2:$B$5000,$A23,attestations!$T$2:$T$5000,"&lt;&gt;Retracted",attestations!$D$2:$D$5000,"&lt;&gt;Negative*")</f>
        <v>0</v>
      </c>
      <c r="P23" s="2">
        <f>COUNTIFS(attestations!$B$2:$B$5000,$A23,attestations!$T$2:$T$5000,"&lt;&gt;Retracted",attestations!$D$2:$D$5000,"&lt;&gt;Negative*",attestations!$R$2:$R$5000,"Map")</f>
        <v>0</v>
      </c>
      <c r="Q23" s="2">
        <f>COUNTIFS(attestations!$B$2:$B$5000,$A23,attestations!$T$2:$T$5000,"&lt;&gt;Retracted",attestations!$D$2:$D$5000,"&lt;&gt;Negative*",attestations!$R$2:$R$5000,"Image")</f>
        <v>0</v>
      </c>
      <c r="R23" s="2">
        <f>COUNTIFS(attestations!$B$2:$B$5000,$A23,attestations!$T$2:$T$5000,"&lt;&gt;Retracted",attestations!$D$2:$D$5000,"&lt;&gt;Negative*",attestations!$R$2:$R$5000,"Textual")</f>
        <v>0</v>
      </c>
      <c r="S23" s="2">
        <f>COUNTIFS(attestations!$B$2:$B$5000,$A23,attestations!$T$2:$T$5000,"&lt;&gt;Retracted",attestations!$D$2:$D$5000,"Geometry (Setting)")</f>
        <v>0</v>
      </c>
      <c r="T23" s="2" t="str">
        <f t="shared" si="1"/>
        <v>None</v>
      </c>
      <c r="U23" s="2" t="str">
        <f>IF(COUNTIFS(attestations!$B$2:$B$5000,$A23,attestations!$T$2:$T$5000,"&lt;&gt;Retracted",attestations!$I$2:$I$5000,"Georeferenced map GCP")&gt;0,"Y","N")</f>
        <v>N</v>
      </c>
      <c r="V23" s="4" t="s">
        <v>284</v>
      </c>
      <c r="W23" s="4"/>
      <c r="X23" s="4" t="s">
        <v>302</v>
      </c>
      <c r="Y23" s="4" t="s">
        <v>275</v>
      </c>
      <c r="Z23" s="4" t="s">
        <v>233</v>
      </c>
      <c r="AB23">
        <f>IF(A23="","",SUMIFS(attestations!$U$2:$U$5000,attestations!$B$2:$B$5000,A23))</f>
        <v>0</v>
      </c>
    </row>
    <row r="24" spans="1:28" ht="15" customHeight="1" x14ac:dyDescent="0.2">
      <c r="A24" s="4" t="s">
        <v>303</v>
      </c>
      <c r="B24" s="4" t="s">
        <v>304</v>
      </c>
      <c r="C24" t="s">
        <v>305</v>
      </c>
      <c r="D24" s="4" t="s">
        <v>306</v>
      </c>
      <c r="E24" s="4" t="s">
        <v>307</v>
      </c>
      <c r="F24" s="4" t="s">
        <v>300</v>
      </c>
      <c r="G24" s="4" t="s">
        <v>300</v>
      </c>
      <c r="H24" s="4" t="s">
        <v>223</v>
      </c>
      <c r="I24" s="4" t="s">
        <v>308</v>
      </c>
      <c r="J24" s="4"/>
      <c r="K24" s="4" t="s">
        <v>208</v>
      </c>
      <c r="L24" s="4" t="s">
        <v>208</v>
      </c>
      <c r="M24" s="2" t="str">
        <f t="shared" si="0"/>
        <v>Unplotted (unlocated panel)</v>
      </c>
      <c r="N24" s="4">
        <v>100</v>
      </c>
      <c r="O24" s="2">
        <f>COUNTIFS(attestations!$B$2:$B$5000,$A24,attestations!$T$2:$T$5000,"&lt;&gt;Retracted",attestations!$D$2:$D$5000,"&lt;&gt;Negative*")</f>
        <v>1</v>
      </c>
      <c r="P24" s="2">
        <f>COUNTIFS(attestations!$B$2:$B$5000,$A24,attestations!$T$2:$T$5000,"&lt;&gt;Retracted",attestations!$D$2:$D$5000,"&lt;&gt;Negative*",attestations!$R$2:$R$5000,"Map")</f>
        <v>0</v>
      </c>
      <c r="Q24" s="2">
        <f>COUNTIFS(attestations!$B$2:$B$5000,$A24,attestations!$T$2:$T$5000,"&lt;&gt;Retracted",attestations!$D$2:$D$5000,"&lt;&gt;Negative*",attestations!$R$2:$R$5000,"Image")</f>
        <v>0</v>
      </c>
      <c r="R24" s="2">
        <f>COUNTIFS(attestations!$B$2:$B$5000,$A24,attestations!$T$2:$T$5000,"&lt;&gt;Retracted",attestations!$D$2:$D$5000,"&lt;&gt;Negative*",attestations!$R$2:$R$5000,"Textual")</f>
        <v>1</v>
      </c>
      <c r="S24" s="2">
        <f>COUNTIFS(attestations!$B$2:$B$5000,$A24,attestations!$T$2:$T$5000,"&lt;&gt;Retracted",attestations!$D$2:$D$5000,"Geometry (Setting)")</f>
        <v>0</v>
      </c>
      <c r="T24" s="2" t="str">
        <f t="shared" si="1"/>
        <v>Low</v>
      </c>
      <c r="U24" s="2" t="str">
        <f>IF(COUNTIFS(attestations!$B$2:$B$5000,$A24,attestations!$T$2:$T$5000,"&lt;&gt;Retracted",attestations!$I$2:$I$5000,"Georeferenced map GCP")&gt;0,"Y","N")</f>
        <v>N</v>
      </c>
      <c r="V24" s="4" t="s">
        <v>191</v>
      </c>
      <c r="W24" s="4"/>
      <c r="X24" s="4" t="s">
        <v>309</v>
      </c>
      <c r="Y24" s="4" t="s">
        <v>193</v>
      </c>
      <c r="Z24" s="4" t="s">
        <v>233</v>
      </c>
      <c r="AA24" t="s">
        <v>310</v>
      </c>
      <c r="AB24">
        <f>IF(A24="","",SUMIFS(attestations!$U$2:$U$5000,attestations!$B$2:$B$5000,A24))</f>
        <v>1</v>
      </c>
    </row>
    <row r="25" spans="1:28" ht="15" customHeight="1" x14ac:dyDescent="0.2">
      <c r="A25" s="4" t="s">
        <v>311</v>
      </c>
      <c r="B25" s="4" t="s">
        <v>312</v>
      </c>
      <c r="D25" s="4" t="s">
        <v>313</v>
      </c>
      <c r="E25" s="4" t="s">
        <v>307</v>
      </c>
      <c r="F25" s="4" t="s">
        <v>300</v>
      </c>
      <c r="G25" s="4" t="s">
        <v>314</v>
      </c>
      <c r="H25" s="4" t="s">
        <v>223</v>
      </c>
      <c r="I25" s="4" t="s">
        <v>315</v>
      </c>
      <c r="J25" s="4"/>
      <c r="K25" s="4" t="s">
        <v>259</v>
      </c>
      <c r="L25" s="4" t="s">
        <v>209</v>
      </c>
      <c r="M25" s="2" t="str">
        <f t="shared" si="0"/>
        <v>Point + buffer</v>
      </c>
      <c r="N25" s="4">
        <v>100</v>
      </c>
      <c r="O25" s="2">
        <f>COUNTIFS(attestations!$B$2:$B$5000,$A25,attestations!$T$2:$T$5000,"&lt;&gt;Retracted",attestations!$D$2:$D$5000,"&lt;&gt;Negative*")</f>
        <v>0</v>
      </c>
      <c r="P25" s="2">
        <f>COUNTIFS(attestations!$B$2:$B$5000,$A25,attestations!$T$2:$T$5000,"&lt;&gt;Retracted",attestations!$D$2:$D$5000,"&lt;&gt;Negative*",attestations!$R$2:$R$5000,"Map")</f>
        <v>0</v>
      </c>
      <c r="Q25" s="2">
        <f>COUNTIFS(attestations!$B$2:$B$5000,$A25,attestations!$T$2:$T$5000,"&lt;&gt;Retracted",attestations!$D$2:$D$5000,"&lt;&gt;Negative*",attestations!$R$2:$R$5000,"Image")</f>
        <v>0</v>
      </c>
      <c r="R25" s="2">
        <f>COUNTIFS(attestations!$B$2:$B$5000,$A25,attestations!$T$2:$T$5000,"&lt;&gt;Retracted",attestations!$D$2:$D$5000,"&lt;&gt;Negative*",attestations!$R$2:$R$5000,"Textual")</f>
        <v>0</v>
      </c>
      <c r="S25" s="2">
        <f>COUNTIFS(attestations!$B$2:$B$5000,$A25,attestations!$T$2:$T$5000,"&lt;&gt;Retracted",attestations!$D$2:$D$5000,"Geometry (Setting)")</f>
        <v>0</v>
      </c>
      <c r="T25" s="2" t="str">
        <f t="shared" si="1"/>
        <v>None</v>
      </c>
      <c r="U25" s="2" t="str">
        <f>IF(COUNTIFS(attestations!$B$2:$B$5000,$A25,attestations!$T$2:$T$5000,"&lt;&gt;Retracted",attestations!$I$2:$I$5000,"Georeferenced map GCP")&gt;0,"Y","N")</f>
        <v>N</v>
      </c>
      <c r="V25" s="4" t="s">
        <v>284</v>
      </c>
      <c r="W25" s="4"/>
      <c r="X25" s="4" t="s">
        <v>316</v>
      </c>
      <c r="Y25" s="4" t="s">
        <v>314</v>
      </c>
      <c r="Z25" s="4" t="s">
        <v>233</v>
      </c>
      <c r="AB25">
        <f>IF(A25="","",SUMIFS(attestations!$U$2:$U$5000,attestations!$B$2:$B$5000,A25))</f>
        <v>0</v>
      </c>
    </row>
    <row r="26" spans="1:28" ht="15" customHeight="1" x14ac:dyDescent="0.2">
      <c r="A26" s="4" t="s">
        <v>317</v>
      </c>
      <c r="B26" s="4" t="s">
        <v>318</v>
      </c>
      <c r="D26" s="4" t="s">
        <v>319</v>
      </c>
      <c r="E26" s="4" t="s">
        <v>236</v>
      </c>
      <c r="F26" s="4" t="s">
        <v>237</v>
      </c>
      <c r="G26" s="4" t="s">
        <v>320</v>
      </c>
      <c r="H26" s="4" t="s">
        <v>290</v>
      </c>
      <c r="I26" s="4" t="s">
        <v>272</v>
      </c>
      <c r="J26" s="4" t="s">
        <v>273</v>
      </c>
      <c r="K26" s="4" t="s">
        <v>189</v>
      </c>
      <c r="L26" s="4" t="s">
        <v>209</v>
      </c>
      <c r="M26" s="2" t="str">
        <f t="shared" si="0"/>
        <v>Point + buffer</v>
      </c>
      <c r="N26" s="4">
        <v>400</v>
      </c>
      <c r="O26" s="2">
        <f>COUNTIFS(attestations!$B$2:$B$5000,$A26,attestations!$T$2:$T$5000,"&lt;&gt;Retracted",attestations!$D$2:$D$5000,"&lt;&gt;Negative*")</f>
        <v>4</v>
      </c>
      <c r="P26" s="2">
        <f>COUNTIFS(attestations!$B$2:$B$5000,$A26,attestations!$T$2:$T$5000,"&lt;&gt;Retracted",attestations!$D$2:$D$5000,"&lt;&gt;Negative*",attestations!$R$2:$R$5000,"Map")</f>
        <v>1</v>
      </c>
      <c r="Q26" s="2">
        <f>COUNTIFS(attestations!$B$2:$B$5000,$A26,attestations!$T$2:$T$5000,"&lt;&gt;Retracted",attestations!$D$2:$D$5000,"&lt;&gt;Negative*",attestations!$R$2:$R$5000,"Image")</f>
        <v>0</v>
      </c>
      <c r="R26" s="2">
        <f>COUNTIFS(attestations!$B$2:$B$5000,$A26,attestations!$T$2:$T$5000,"&lt;&gt;Retracted",attestations!$D$2:$D$5000,"&lt;&gt;Negative*",attestations!$R$2:$R$5000,"Textual")</f>
        <v>3</v>
      </c>
      <c r="S26" s="2">
        <f>COUNTIFS(attestations!$B$2:$B$5000,$A26,attestations!$T$2:$T$5000,"&lt;&gt;Retracted",attestations!$D$2:$D$5000,"Geometry (Setting)")</f>
        <v>1</v>
      </c>
      <c r="T26" s="2" t="str">
        <f t="shared" si="1"/>
        <v>Medium</v>
      </c>
      <c r="U26" s="2" t="str">
        <f>IF(COUNTIFS(attestations!$B$2:$B$5000,$A26,attestations!$T$2:$T$5000,"&lt;&gt;Retracted",attestations!$I$2:$I$5000,"Georeferenced map GCP")&gt;0,"Y","N")</f>
        <v>Y</v>
      </c>
      <c r="V26" s="4" t="s">
        <v>191</v>
      </c>
      <c r="W26" s="4"/>
      <c r="X26" s="4" t="s">
        <v>321</v>
      </c>
      <c r="Y26" s="4" t="s">
        <v>275</v>
      </c>
      <c r="Z26" s="4" t="s">
        <v>233</v>
      </c>
      <c r="AB26">
        <f>IF(A26="","",SUMIFS(attestations!$U$2:$U$5000,attestations!$B$2:$B$5000,A26))</f>
        <v>4</v>
      </c>
    </row>
    <row r="27" spans="1:28" ht="15" customHeight="1" x14ac:dyDescent="0.2">
      <c r="A27" s="4" t="s">
        <v>322</v>
      </c>
      <c r="B27" s="4" t="s">
        <v>323</v>
      </c>
      <c r="D27" s="4" t="s">
        <v>324</v>
      </c>
      <c r="E27" s="4" t="s">
        <v>236</v>
      </c>
      <c r="F27" s="4" t="s">
        <v>237</v>
      </c>
      <c r="G27" s="4" t="s">
        <v>320</v>
      </c>
      <c r="H27" s="4" t="s">
        <v>290</v>
      </c>
      <c r="I27" s="4" t="s">
        <v>291</v>
      </c>
      <c r="J27" s="4" t="s">
        <v>273</v>
      </c>
      <c r="K27" s="4" t="s">
        <v>259</v>
      </c>
      <c r="L27" s="4" t="s">
        <v>190</v>
      </c>
      <c r="M27" s="2" t="str">
        <f t="shared" si="0"/>
        <v>Translucent area</v>
      </c>
      <c r="N27" s="4">
        <v>400</v>
      </c>
      <c r="O27" s="2">
        <f>COUNTIFS(attestations!$B$2:$B$5000,$A27,attestations!$T$2:$T$5000,"&lt;&gt;Retracted",attestations!$D$2:$D$5000,"&lt;&gt;Negative*")</f>
        <v>2</v>
      </c>
      <c r="P27" s="2">
        <f>COUNTIFS(attestations!$B$2:$B$5000,$A27,attestations!$T$2:$T$5000,"&lt;&gt;Retracted",attestations!$D$2:$D$5000,"&lt;&gt;Negative*",attestations!$R$2:$R$5000,"Map")</f>
        <v>0</v>
      </c>
      <c r="Q27" s="2">
        <f>COUNTIFS(attestations!$B$2:$B$5000,$A27,attestations!$T$2:$T$5000,"&lt;&gt;Retracted",attestations!$D$2:$D$5000,"&lt;&gt;Negative*",attestations!$R$2:$R$5000,"Image")</f>
        <v>1</v>
      </c>
      <c r="R27" s="2">
        <f>COUNTIFS(attestations!$B$2:$B$5000,$A27,attestations!$T$2:$T$5000,"&lt;&gt;Retracted",attestations!$D$2:$D$5000,"&lt;&gt;Negative*",attestations!$R$2:$R$5000,"Textual")</f>
        <v>1</v>
      </c>
      <c r="S27" s="2">
        <f>COUNTIFS(attestations!$B$2:$B$5000,$A27,attestations!$T$2:$T$5000,"&lt;&gt;Retracted",attestations!$D$2:$D$5000,"Geometry (Setting)")</f>
        <v>0</v>
      </c>
      <c r="T27" s="2" t="str">
        <f t="shared" si="1"/>
        <v>Low</v>
      </c>
      <c r="U27" s="2" t="str">
        <f>IF(COUNTIFS(attestations!$B$2:$B$5000,$A27,attestations!$T$2:$T$5000,"&lt;&gt;Retracted",attestations!$I$2:$I$5000,"Georeferenced map GCP")&gt;0,"Y","N")</f>
        <v>N</v>
      </c>
      <c r="V27" s="4" t="s">
        <v>191</v>
      </c>
      <c r="W27" s="4" t="s">
        <v>203</v>
      </c>
      <c r="X27" s="4" t="s">
        <v>325</v>
      </c>
      <c r="Y27" s="4" t="s">
        <v>275</v>
      </c>
      <c r="Z27" s="4" t="s">
        <v>233</v>
      </c>
      <c r="AB27">
        <f>IF(A27="","",SUMIFS(attestations!$U$2:$U$5000,attestations!$B$2:$B$5000,A27))</f>
        <v>2</v>
      </c>
    </row>
    <row r="28" spans="1:28" ht="15" customHeight="1" x14ac:dyDescent="0.2">
      <c r="A28" s="4" t="s">
        <v>326</v>
      </c>
      <c r="B28" s="4" t="s">
        <v>327</v>
      </c>
      <c r="D28" s="4" t="s">
        <v>328</v>
      </c>
      <c r="E28" s="4" t="s">
        <v>236</v>
      </c>
      <c r="F28" s="4" t="s">
        <v>237</v>
      </c>
      <c r="G28" s="4" t="s">
        <v>249</v>
      </c>
      <c r="H28" s="4" t="s">
        <v>223</v>
      </c>
      <c r="I28" s="4" t="s">
        <v>272</v>
      </c>
      <c r="J28" s="4" t="s">
        <v>273</v>
      </c>
      <c r="K28" s="4" t="s">
        <v>189</v>
      </c>
      <c r="L28" s="4" t="s">
        <v>209</v>
      </c>
      <c r="M28" s="2" t="str">
        <f t="shared" si="0"/>
        <v>Point + buffer</v>
      </c>
      <c r="N28" s="4">
        <v>400</v>
      </c>
      <c r="O28" s="2">
        <f>COUNTIFS(attestations!$B$2:$B$5000,$A28,attestations!$T$2:$T$5000,"&lt;&gt;Retracted",attestations!$D$2:$D$5000,"&lt;&gt;Negative*")</f>
        <v>2</v>
      </c>
      <c r="P28" s="2">
        <f>COUNTIFS(attestations!$B$2:$B$5000,$A28,attestations!$T$2:$T$5000,"&lt;&gt;Retracted",attestations!$D$2:$D$5000,"&lt;&gt;Negative*",attestations!$R$2:$R$5000,"Map")</f>
        <v>1</v>
      </c>
      <c r="Q28" s="2">
        <f>COUNTIFS(attestations!$B$2:$B$5000,$A28,attestations!$T$2:$T$5000,"&lt;&gt;Retracted",attestations!$D$2:$D$5000,"&lt;&gt;Negative*",attestations!$R$2:$R$5000,"Image")</f>
        <v>0</v>
      </c>
      <c r="R28" s="2">
        <f>COUNTIFS(attestations!$B$2:$B$5000,$A28,attestations!$T$2:$T$5000,"&lt;&gt;Retracted",attestations!$D$2:$D$5000,"&lt;&gt;Negative*",attestations!$R$2:$R$5000,"Textual")</f>
        <v>1</v>
      </c>
      <c r="S28" s="2">
        <f>COUNTIFS(attestations!$B$2:$B$5000,$A28,attestations!$T$2:$T$5000,"&lt;&gt;Retracted",attestations!$D$2:$D$5000,"Geometry (Setting)")</f>
        <v>1</v>
      </c>
      <c r="T28" s="2" t="str">
        <f t="shared" si="1"/>
        <v>Low</v>
      </c>
      <c r="U28" s="2" t="str">
        <f>IF(COUNTIFS(attestations!$B$2:$B$5000,$A28,attestations!$T$2:$T$5000,"&lt;&gt;Retracted",attestations!$I$2:$I$5000,"Georeferenced map GCP")&gt;0,"Y","N")</f>
        <v>Y</v>
      </c>
      <c r="V28" s="4" t="s">
        <v>191</v>
      </c>
      <c r="W28" s="4"/>
      <c r="X28" s="4" t="s">
        <v>329</v>
      </c>
      <c r="Y28" s="4" t="s">
        <v>275</v>
      </c>
      <c r="Z28" s="4" t="s">
        <v>233</v>
      </c>
      <c r="AB28">
        <f>IF(A28="","",SUMIFS(attestations!$U$2:$U$5000,attestations!$B$2:$B$5000,A28))</f>
        <v>2</v>
      </c>
    </row>
    <row r="29" spans="1:28" ht="15" customHeight="1" x14ac:dyDescent="0.2">
      <c r="A29" s="4" t="s">
        <v>330</v>
      </c>
      <c r="B29" t="s">
        <v>331</v>
      </c>
      <c r="D29" t="s">
        <v>193</v>
      </c>
      <c r="E29" t="s">
        <v>307</v>
      </c>
      <c r="F29" t="s">
        <v>300</v>
      </c>
      <c r="G29" t="s">
        <v>249</v>
      </c>
      <c r="H29" t="s">
        <v>223</v>
      </c>
      <c r="I29" t="s">
        <v>332</v>
      </c>
      <c r="K29" t="s">
        <v>189</v>
      </c>
      <c r="L29" t="s">
        <v>209</v>
      </c>
      <c r="M29" s="2" t="str">
        <f t="shared" si="0"/>
        <v>Point + buffer</v>
      </c>
      <c r="N29">
        <v>300</v>
      </c>
      <c r="O29" s="2">
        <f>COUNTIFS(attestations!$B$2:$B$5000,$A29,attestations!$T$2:$T$5000,"&lt;&gt;Retracted",attestations!$D$2:$D$5000,"&lt;&gt;Negative*")</f>
        <v>27</v>
      </c>
      <c r="P29" s="2">
        <f>COUNTIFS(attestations!$B$2:$B$5000,$A29,attestations!$T$2:$T$5000,"&lt;&gt;Retracted",attestations!$D$2:$D$5000,"&lt;&gt;Negative*",attestations!$R$2:$R$5000,"Map")</f>
        <v>17</v>
      </c>
      <c r="Q29" s="2">
        <f>COUNTIFS(attestations!$B$2:$B$5000,$A29,attestations!$T$2:$T$5000,"&lt;&gt;Retracted",attestations!$D$2:$D$5000,"&lt;&gt;Negative*",attestations!$R$2:$R$5000,"Image")</f>
        <v>3</v>
      </c>
      <c r="R29" s="2">
        <f>COUNTIFS(attestations!$B$2:$B$5000,$A29,attestations!$T$2:$T$5000,"&lt;&gt;Retracted",attestations!$D$2:$D$5000,"&lt;&gt;Negative*",attestations!$R$2:$R$5000,"Textual")</f>
        <v>7</v>
      </c>
      <c r="S29" s="2">
        <f>COUNTIFS(attestations!$B$2:$B$5000,$A29,attestations!$T$2:$T$5000,"&lt;&gt;Retracted",attestations!$D$2:$D$5000,"Geometry (Setting)")</f>
        <v>9</v>
      </c>
      <c r="T29" s="2" t="str">
        <f t="shared" si="1"/>
        <v>High</v>
      </c>
      <c r="U29" s="2" t="str">
        <f>IF(COUNTIFS(attestations!$B$2:$B$5000,$A29,attestations!$T$2:$T$5000,"&lt;&gt;Retracted",attestations!$I$2:$I$5000,"Georeferenced map GCP")&gt;0,"Y","N")</f>
        <v>Y</v>
      </c>
      <c r="V29" t="s">
        <v>191</v>
      </c>
      <c r="W29" t="s">
        <v>209</v>
      </c>
      <c r="X29" t="s">
        <v>333</v>
      </c>
      <c r="Y29" t="s">
        <v>193</v>
      </c>
      <c r="AA29" t="s">
        <v>334</v>
      </c>
      <c r="AB29">
        <f>IF(A29="","",SUMIFS(attestations!$U$2:$U$5000,attestations!$B$2:$B$5000,A29))</f>
        <v>22</v>
      </c>
    </row>
    <row r="30" spans="1:28" ht="15" customHeight="1" x14ac:dyDescent="0.2">
      <c r="A30" s="4" t="s">
        <v>335</v>
      </c>
      <c r="B30" t="s">
        <v>336</v>
      </c>
      <c r="D30" t="s">
        <v>193</v>
      </c>
      <c r="E30" t="s">
        <v>307</v>
      </c>
      <c r="F30" t="s">
        <v>300</v>
      </c>
      <c r="G30" t="s">
        <v>249</v>
      </c>
      <c r="H30" t="s">
        <v>223</v>
      </c>
      <c r="I30" t="s">
        <v>337</v>
      </c>
      <c r="K30" t="s">
        <v>189</v>
      </c>
      <c r="L30" t="s">
        <v>209</v>
      </c>
      <c r="M30" s="2" t="str">
        <f t="shared" si="0"/>
        <v>Point + buffer</v>
      </c>
      <c r="N30">
        <v>300</v>
      </c>
      <c r="O30" s="2">
        <f>COUNTIFS(attestations!$B$2:$B$5000,$A30,attestations!$T$2:$T$5000,"&lt;&gt;Retracted",attestations!$D$2:$D$5000,"&lt;&gt;Negative*")</f>
        <v>23</v>
      </c>
      <c r="P30" s="2">
        <f>COUNTIFS(attestations!$B$2:$B$5000,$A30,attestations!$T$2:$T$5000,"&lt;&gt;Retracted",attestations!$D$2:$D$5000,"&lt;&gt;Negative*",attestations!$R$2:$R$5000,"Map")</f>
        <v>14</v>
      </c>
      <c r="Q30" s="2">
        <f>COUNTIFS(attestations!$B$2:$B$5000,$A30,attestations!$T$2:$T$5000,"&lt;&gt;Retracted",attestations!$D$2:$D$5000,"&lt;&gt;Negative*",attestations!$R$2:$R$5000,"Image")</f>
        <v>1</v>
      </c>
      <c r="R30" s="2">
        <f>COUNTIFS(attestations!$B$2:$B$5000,$A30,attestations!$T$2:$T$5000,"&lt;&gt;Retracted",attestations!$D$2:$D$5000,"&lt;&gt;Negative*",attestations!$R$2:$R$5000,"Textual")</f>
        <v>8</v>
      </c>
      <c r="S30" s="2">
        <f>COUNTIFS(attestations!$B$2:$B$5000,$A30,attestations!$T$2:$T$5000,"&lt;&gt;Retracted",attestations!$D$2:$D$5000,"Geometry (Setting)")</f>
        <v>6</v>
      </c>
      <c r="T30" s="2" t="str">
        <f t="shared" si="1"/>
        <v>High</v>
      </c>
      <c r="U30" s="2" t="str">
        <f>IF(COUNTIFS(attestations!$B$2:$B$5000,$A30,attestations!$T$2:$T$5000,"&lt;&gt;Retracted",attestations!$I$2:$I$5000,"Georeferenced map GCP")&gt;0,"Y","N")</f>
        <v>Y</v>
      </c>
      <c r="V30" t="s">
        <v>191</v>
      </c>
      <c r="W30" t="s">
        <v>209</v>
      </c>
      <c r="X30" t="s">
        <v>338</v>
      </c>
      <c r="Y30" t="s">
        <v>193</v>
      </c>
      <c r="AA30" t="s">
        <v>339</v>
      </c>
      <c r="AB30">
        <f>IF(A30="","",SUMIFS(attestations!$U$2:$U$5000,attestations!$B$2:$B$5000,A30))</f>
        <v>21</v>
      </c>
    </row>
    <row r="31" spans="1:28" ht="15" customHeight="1" x14ac:dyDescent="0.2">
      <c r="A31" s="4" t="s">
        <v>340</v>
      </c>
      <c r="B31" t="s">
        <v>341</v>
      </c>
      <c r="D31" t="s">
        <v>196</v>
      </c>
      <c r="E31" t="s">
        <v>236</v>
      </c>
      <c r="F31" t="s">
        <v>237</v>
      </c>
      <c r="G31" t="s">
        <v>185</v>
      </c>
      <c r="H31" t="s">
        <v>223</v>
      </c>
      <c r="I31" t="s">
        <v>257</v>
      </c>
      <c r="J31" t="s">
        <v>342</v>
      </c>
      <c r="K31" t="s">
        <v>189</v>
      </c>
      <c r="L31" t="s">
        <v>209</v>
      </c>
      <c r="M31" s="2" t="str">
        <f t="shared" si="0"/>
        <v>Point + buffer</v>
      </c>
      <c r="N31">
        <v>300</v>
      </c>
      <c r="O31" s="2">
        <f>COUNTIFS(attestations!$B$2:$B$5000,$A31,attestations!$T$2:$T$5000,"&lt;&gt;Retracted",attestations!$D$2:$D$5000,"&lt;&gt;Negative*")</f>
        <v>15</v>
      </c>
      <c r="P31" s="2">
        <f>COUNTIFS(attestations!$B$2:$B$5000,$A31,attestations!$T$2:$T$5000,"&lt;&gt;Retracted",attestations!$D$2:$D$5000,"&lt;&gt;Negative*",attestations!$R$2:$R$5000,"Map")</f>
        <v>7</v>
      </c>
      <c r="Q31" s="2">
        <f>COUNTIFS(attestations!$B$2:$B$5000,$A31,attestations!$T$2:$T$5000,"&lt;&gt;Retracted",attestations!$D$2:$D$5000,"&lt;&gt;Negative*",attestations!$R$2:$R$5000,"Image")</f>
        <v>1</v>
      </c>
      <c r="R31" s="2">
        <f>COUNTIFS(attestations!$B$2:$B$5000,$A31,attestations!$T$2:$T$5000,"&lt;&gt;Retracted",attestations!$D$2:$D$5000,"&lt;&gt;Negative*",attestations!$R$2:$R$5000,"Textual")</f>
        <v>7</v>
      </c>
      <c r="S31" s="2">
        <f>COUNTIFS(attestations!$B$2:$B$5000,$A31,attestations!$T$2:$T$5000,"&lt;&gt;Retracted",attestations!$D$2:$D$5000,"Geometry (Setting)")</f>
        <v>5</v>
      </c>
      <c r="T31" s="2" t="str">
        <f t="shared" si="1"/>
        <v>High</v>
      </c>
      <c r="U31" s="2" t="str">
        <f>IF(COUNTIFS(attestations!$B$2:$B$5000,$A31,attestations!$T$2:$T$5000,"&lt;&gt;Retracted",attestations!$I$2:$I$5000,"Georeferenced map GCP")&gt;0,"Y","N")</f>
        <v>Y</v>
      </c>
      <c r="V31" t="s">
        <v>191</v>
      </c>
      <c r="W31" t="s">
        <v>203</v>
      </c>
      <c r="X31" t="s">
        <v>343</v>
      </c>
      <c r="Y31" t="s">
        <v>193</v>
      </c>
      <c r="AB31">
        <f>IF(A31="","",SUMIFS(attestations!$U$2:$U$5000,attestations!$B$2:$B$5000,A31))</f>
        <v>13</v>
      </c>
    </row>
    <row r="32" spans="1:28" ht="15" customHeight="1" x14ac:dyDescent="0.2">
      <c r="A32" s="4" t="s">
        <v>344</v>
      </c>
      <c r="B32" t="s">
        <v>345</v>
      </c>
      <c r="D32" t="s">
        <v>193</v>
      </c>
      <c r="E32" t="s">
        <v>307</v>
      </c>
      <c r="F32" t="s">
        <v>300</v>
      </c>
      <c r="G32" t="s">
        <v>314</v>
      </c>
      <c r="H32" t="s">
        <v>223</v>
      </c>
      <c r="I32" t="s">
        <v>332</v>
      </c>
      <c r="K32" t="s">
        <v>189</v>
      </c>
      <c r="L32" t="s">
        <v>209</v>
      </c>
      <c r="M32" s="2" t="str">
        <f t="shared" si="0"/>
        <v>Point + buffer</v>
      </c>
      <c r="N32">
        <v>300</v>
      </c>
      <c r="O32" s="2">
        <f>COUNTIFS(attestations!$B$2:$B$5000,$A32,attestations!$T$2:$T$5000,"&lt;&gt;Retracted",attestations!$D$2:$D$5000,"&lt;&gt;Negative*")</f>
        <v>26</v>
      </c>
      <c r="P32" s="2">
        <f>COUNTIFS(attestations!$B$2:$B$5000,$A32,attestations!$T$2:$T$5000,"&lt;&gt;Retracted",attestations!$D$2:$D$5000,"&lt;&gt;Negative*",attestations!$R$2:$R$5000,"Map")</f>
        <v>14</v>
      </c>
      <c r="Q32" s="2">
        <f>COUNTIFS(attestations!$B$2:$B$5000,$A32,attestations!$T$2:$T$5000,"&lt;&gt;Retracted",attestations!$D$2:$D$5000,"&lt;&gt;Negative*",attestations!$R$2:$R$5000,"Image")</f>
        <v>1</v>
      </c>
      <c r="R32" s="2">
        <f>COUNTIFS(attestations!$B$2:$B$5000,$A32,attestations!$T$2:$T$5000,"&lt;&gt;Retracted",attestations!$D$2:$D$5000,"&lt;&gt;Negative*",attestations!$R$2:$R$5000,"Textual")</f>
        <v>10</v>
      </c>
      <c r="S32" s="2">
        <f>COUNTIFS(attestations!$B$2:$B$5000,$A32,attestations!$T$2:$T$5000,"&lt;&gt;Retracted",attestations!$D$2:$D$5000,"Geometry (Setting)")</f>
        <v>9</v>
      </c>
      <c r="T32" s="2" t="str">
        <f t="shared" si="1"/>
        <v>High</v>
      </c>
      <c r="U32" s="2" t="str">
        <f>IF(COUNTIFS(attestations!$B$2:$B$5000,$A32,attestations!$T$2:$T$5000,"&lt;&gt;Retracted",attestations!$I$2:$I$5000,"Georeferenced map GCP")&gt;0,"Y","N")</f>
        <v>Y</v>
      </c>
      <c r="V32" t="s">
        <v>191</v>
      </c>
      <c r="W32" t="s">
        <v>209</v>
      </c>
      <c r="X32" t="s">
        <v>346</v>
      </c>
      <c r="Y32" t="s">
        <v>193</v>
      </c>
      <c r="AA32" t="s">
        <v>347</v>
      </c>
      <c r="AB32">
        <f>IF(A32="","",SUMIFS(attestations!$U$2:$U$5000,attestations!$B$2:$B$5000,A32))</f>
        <v>23</v>
      </c>
    </row>
    <row r="33" spans="1:28" ht="15" customHeight="1" x14ac:dyDescent="0.2">
      <c r="A33" s="4" t="s">
        <v>348</v>
      </c>
      <c r="B33" t="s">
        <v>349</v>
      </c>
      <c r="D33" t="s">
        <v>193</v>
      </c>
      <c r="E33" t="s">
        <v>229</v>
      </c>
      <c r="F33" t="s">
        <v>300</v>
      </c>
      <c r="G33" t="s">
        <v>320</v>
      </c>
      <c r="H33" t="s">
        <v>290</v>
      </c>
      <c r="I33" t="s">
        <v>337</v>
      </c>
      <c r="K33" t="s">
        <v>189</v>
      </c>
      <c r="L33" t="s">
        <v>209</v>
      </c>
      <c r="M33" s="2" t="str">
        <f t="shared" si="0"/>
        <v>Point + buffer</v>
      </c>
      <c r="N33">
        <v>300</v>
      </c>
      <c r="O33" s="2">
        <f>COUNTIFS(attestations!$B$2:$B$5000,$A33,attestations!$T$2:$T$5000,"&lt;&gt;Retracted",attestations!$D$2:$D$5000,"&lt;&gt;Negative*")</f>
        <v>23</v>
      </c>
      <c r="P33" s="2">
        <f>COUNTIFS(attestations!$B$2:$B$5000,$A33,attestations!$T$2:$T$5000,"&lt;&gt;Retracted",attestations!$D$2:$D$5000,"&lt;&gt;Negative*",attestations!$R$2:$R$5000,"Map")</f>
        <v>14</v>
      </c>
      <c r="Q33" s="2">
        <f>COUNTIFS(attestations!$B$2:$B$5000,$A33,attestations!$T$2:$T$5000,"&lt;&gt;Retracted",attestations!$D$2:$D$5000,"&lt;&gt;Negative*",attestations!$R$2:$R$5000,"Image")</f>
        <v>1</v>
      </c>
      <c r="R33" s="2">
        <f>COUNTIFS(attestations!$B$2:$B$5000,$A33,attestations!$T$2:$T$5000,"&lt;&gt;Retracted",attestations!$D$2:$D$5000,"&lt;&gt;Negative*",attestations!$R$2:$R$5000,"Textual")</f>
        <v>8</v>
      </c>
      <c r="S33" s="2">
        <f>COUNTIFS(attestations!$B$2:$B$5000,$A33,attestations!$T$2:$T$5000,"&lt;&gt;Retracted",attestations!$D$2:$D$5000,"Geometry (Setting)")</f>
        <v>5</v>
      </c>
      <c r="T33" s="2" t="str">
        <f t="shared" si="1"/>
        <v>High</v>
      </c>
      <c r="U33" s="2" t="str">
        <f>IF(COUNTIFS(attestations!$B$2:$B$5000,$A33,attestations!$T$2:$T$5000,"&lt;&gt;Retracted",attestations!$I$2:$I$5000,"Georeferenced map GCP")&gt;0,"Y","N")</f>
        <v>Y</v>
      </c>
      <c r="V33" t="s">
        <v>191</v>
      </c>
      <c r="W33" t="s">
        <v>203</v>
      </c>
      <c r="X33" t="s">
        <v>350</v>
      </c>
      <c r="Y33" t="s">
        <v>193</v>
      </c>
      <c r="AB33">
        <f>IF(A33="","",SUMIFS(attestations!$U$2:$U$5000,attestations!$B$2:$B$5000,A33))</f>
        <v>19</v>
      </c>
    </row>
    <row r="34" spans="1:28" ht="15" customHeight="1" x14ac:dyDescent="0.2">
      <c r="A34" s="4" t="s">
        <v>351</v>
      </c>
      <c r="B34" t="s">
        <v>352</v>
      </c>
      <c r="D34" t="s">
        <v>193</v>
      </c>
      <c r="E34" t="s">
        <v>307</v>
      </c>
      <c r="F34" t="s">
        <v>300</v>
      </c>
      <c r="G34" t="s">
        <v>249</v>
      </c>
      <c r="H34" t="s">
        <v>223</v>
      </c>
      <c r="I34" t="s">
        <v>337</v>
      </c>
      <c r="K34" t="s">
        <v>189</v>
      </c>
      <c r="L34" t="s">
        <v>209</v>
      </c>
      <c r="M34" s="2" t="str">
        <f t="shared" si="0"/>
        <v>Point + buffer</v>
      </c>
      <c r="N34">
        <v>300</v>
      </c>
      <c r="O34" s="2">
        <f>COUNTIFS(attestations!$B$2:$B$5000,$A34,attestations!$T$2:$T$5000,"&lt;&gt;Retracted",attestations!$D$2:$D$5000,"&lt;&gt;Negative*")</f>
        <v>24</v>
      </c>
      <c r="P34" s="2">
        <f>COUNTIFS(attestations!$B$2:$B$5000,$A34,attestations!$T$2:$T$5000,"&lt;&gt;Retracted",attestations!$D$2:$D$5000,"&lt;&gt;Negative*",attestations!$R$2:$R$5000,"Map")</f>
        <v>15</v>
      </c>
      <c r="Q34" s="2">
        <f>COUNTIFS(attestations!$B$2:$B$5000,$A34,attestations!$T$2:$T$5000,"&lt;&gt;Retracted",attestations!$D$2:$D$5000,"&lt;&gt;Negative*",attestations!$R$2:$R$5000,"Image")</f>
        <v>1</v>
      </c>
      <c r="R34" s="2">
        <f>COUNTIFS(attestations!$B$2:$B$5000,$A34,attestations!$T$2:$T$5000,"&lt;&gt;Retracted",attestations!$D$2:$D$5000,"&lt;&gt;Negative*",attestations!$R$2:$R$5000,"Textual")</f>
        <v>8</v>
      </c>
      <c r="S34" s="2">
        <f>COUNTIFS(attestations!$B$2:$B$5000,$A34,attestations!$T$2:$T$5000,"&lt;&gt;Retracted",attestations!$D$2:$D$5000,"Geometry (Setting)")</f>
        <v>7</v>
      </c>
      <c r="T34" s="2" t="str">
        <f t="shared" si="1"/>
        <v>High</v>
      </c>
      <c r="U34" s="2" t="str">
        <f>IF(COUNTIFS(attestations!$B$2:$B$5000,$A34,attestations!$T$2:$T$5000,"&lt;&gt;Retracted",attestations!$I$2:$I$5000,"Georeferenced map GCP")&gt;0,"Y","N")</f>
        <v>Y</v>
      </c>
      <c r="V34" t="s">
        <v>191</v>
      </c>
      <c r="W34" t="s">
        <v>209</v>
      </c>
      <c r="X34" t="s">
        <v>353</v>
      </c>
      <c r="Y34" t="s">
        <v>193</v>
      </c>
      <c r="AB34">
        <f>IF(A34="","",SUMIFS(attestations!$U$2:$U$5000,attestations!$B$2:$B$5000,A34))</f>
        <v>22</v>
      </c>
    </row>
    <row r="35" spans="1:28" ht="15" customHeight="1" x14ac:dyDescent="0.2">
      <c r="A35" s="4" t="s">
        <v>354</v>
      </c>
      <c r="B35" t="s">
        <v>355</v>
      </c>
      <c r="D35" t="s">
        <v>182</v>
      </c>
      <c r="E35" t="s">
        <v>183</v>
      </c>
      <c r="F35" t="s">
        <v>184</v>
      </c>
      <c r="G35" t="s">
        <v>185</v>
      </c>
      <c r="H35" t="s">
        <v>186</v>
      </c>
      <c r="I35" t="s">
        <v>332</v>
      </c>
      <c r="J35" t="s">
        <v>188</v>
      </c>
      <c r="K35" t="s">
        <v>189</v>
      </c>
      <c r="L35" t="s">
        <v>209</v>
      </c>
      <c r="M35" s="2" t="str">
        <f t="shared" si="0"/>
        <v>Point + buffer</v>
      </c>
      <c r="N35">
        <v>250</v>
      </c>
      <c r="O35" s="2">
        <f>COUNTIFS(attestations!$B$2:$B$5000,$A35,attestations!$T$2:$T$5000,"&lt;&gt;Retracted",attestations!$D$2:$D$5000,"&lt;&gt;Negative*")</f>
        <v>20</v>
      </c>
      <c r="P35" s="2">
        <f>COUNTIFS(attestations!$B$2:$B$5000,$A35,attestations!$T$2:$T$5000,"&lt;&gt;Retracted",attestations!$D$2:$D$5000,"&lt;&gt;Negative*",attestations!$R$2:$R$5000,"Map")</f>
        <v>12</v>
      </c>
      <c r="Q35" s="2">
        <f>COUNTIFS(attestations!$B$2:$B$5000,$A35,attestations!$T$2:$T$5000,"&lt;&gt;Retracted",attestations!$D$2:$D$5000,"&lt;&gt;Negative*",attestations!$R$2:$R$5000,"Image")</f>
        <v>1</v>
      </c>
      <c r="R35" s="2">
        <f>COUNTIFS(attestations!$B$2:$B$5000,$A35,attestations!$T$2:$T$5000,"&lt;&gt;Retracted",attestations!$D$2:$D$5000,"&lt;&gt;Negative*",attestations!$R$2:$R$5000,"Textual")</f>
        <v>7</v>
      </c>
      <c r="S35" s="2">
        <f>COUNTIFS(attestations!$B$2:$B$5000,$A35,attestations!$T$2:$T$5000,"&lt;&gt;Retracted",attestations!$D$2:$D$5000,"Geometry (Setting)")</f>
        <v>7</v>
      </c>
      <c r="T35" s="2" t="str">
        <f t="shared" si="1"/>
        <v>High</v>
      </c>
      <c r="U35" s="2" t="str">
        <f>IF(COUNTIFS(attestations!$B$2:$B$5000,$A35,attestations!$T$2:$T$5000,"&lt;&gt;Retracted",attestations!$I$2:$I$5000,"Georeferenced map GCP")&gt;0,"Y","N")</f>
        <v>Y</v>
      </c>
      <c r="V35" t="s">
        <v>191</v>
      </c>
      <c r="W35" t="s">
        <v>203</v>
      </c>
      <c r="X35" t="s">
        <v>356</v>
      </c>
      <c r="Y35" t="s">
        <v>193</v>
      </c>
      <c r="AB35">
        <f>IF(A35="","",SUMIFS(attestations!$U$2:$U$5000,attestations!$B$2:$B$5000,A35))</f>
        <v>19</v>
      </c>
    </row>
    <row r="36" spans="1:28" ht="15" customHeight="1" x14ac:dyDescent="0.2">
      <c r="A36" s="4" t="s">
        <v>357</v>
      </c>
      <c r="B36" t="s">
        <v>358</v>
      </c>
      <c r="D36" t="s">
        <v>193</v>
      </c>
      <c r="E36" t="s">
        <v>307</v>
      </c>
      <c r="F36" t="s">
        <v>300</v>
      </c>
      <c r="G36" t="s">
        <v>238</v>
      </c>
      <c r="H36" t="s">
        <v>223</v>
      </c>
      <c r="I36" t="s">
        <v>257</v>
      </c>
      <c r="K36" t="s">
        <v>189</v>
      </c>
      <c r="L36" t="s">
        <v>209</v>
      </c>
      <c r="M36" s="2" t="str">
        <f t="shared" si="0"/>
        <v>Point + buffer</v>
      </c>
      <c r="N36">
        <v>300</v>
      </c>
      <c r="O36" s="2">
        <f>COUNTIFS(attestations!$B$2:$B$5000,$A36,attestations!$T$2:$T$5000,"&lt;&gt;Retracted",attestations!$D$2:$D$5000,"&lt;&gt;Negative*")</f>
        <v>31</v>
      </c>
      <c r="P36" s="2">
        <f>COUNTIFS(attestations!$B$2:$B$5000,$A36,attestations!$T$2:$T$5000,"&lt;&gt;Retracted",attestations!$D$2:$D$5000,"&lt;&gt;Negative*",attestations!$R$2:$R$5000,"Map")</f>
        <v>18</v>
      </c>
      <c r="Q36" s="2">
        <f>COUNTIFS(attestations!$B$2:$B$5000,$A36,attestations!$T$2:$T$5000,"&lt;&gt;Retracted",attestations!$D$2:$D$5000,"&lt;&gt;Negative*",attestations!$R$2:$R$5000,"Image")</f>
        <v>1</v>
      </c>
      <c r="R36" s="2">
        <f>COUNTIFS(attestations!$B$2:$B$5000,$A36,attestations!$T$2:$T$5000,"&lt;&gt;Retracted",attestations!$D$2:$D$5000,"&lt;&gt;Negative*",attestations!$R$2:$R$5000,"Textual")</f>
        <v>10</v>
      </c>
      <c r="S36" s="2">
        <f>COUNTIFS(attestations!$B$2:$B$5000,$A36,attestations!$T$2:$T$5000,"&lt;&gt;Retracted",attestations!$D$2:$D$5000,"Geometry (Setting)")</f>
        <v>9</v>
      </c>
      <c r="T36" s="2" t="str">
        <f t="shared" si="1"/>
        <v>High</v>
      </c>
      <c r="U36" s="2" t="str">
        <f>IF(COUNTIFS(attestations!$B$2:$B$5000,$A36,attestations!$T$2:$T$5000,"&lt;&gt;Retracted",attestations!$I$2:$I$5000,"Georeferenced map GCP")&gt;0,"Y","N")</f>
        <v>Y</v>
      </c>
      <c r="V36" t="s">
        <v>191</v>
      </c>
      <c r="W36" t="s">
        <v>209</v>
      </c>
      <c r="X36" t="s">
        <v>359</v>
      </c>
      <c r="Y36" t="s">
        <v>193</v>
      </c>
      <c r="AB36">
        <f>IF(A36="","",SUMIFS(attestations!$U$2:$U$5000,attestations!$B$2:$B$5000,A36))</f>
        <v>27</v>
      </c>
    </row>
    <row r="37" spans="1:28" ht="15" customHeight="1" x14ac:dyDescent="0.2">
      <c r="A37" s="4" t="s">
        <v>360</v>
      </c>
      <c r="B37" t="s">
        <v>361</v>
      </c>
      <c r="D37" t="s">
        <v>182</v>
      </c>
      <c r="E37" t="s">
        <v>183</v>
      </c>
      <c r="F37" t="s">
        <v>184</v>
      </c>
      <c r="G37" t="s">
        <v>185</v>
      </c>
      <c r="H37" t="s">
        <v>186</v>
      </c>
      <c r="I37" t="s">
        <v>332</v>
      </c>
      <c r="J37" t="s">
        <v>188</v>
      </c>
      <c r="K37" t="s">
        <v>189</v>
      </c>
      <c r="L37" t="s">
        <v>190</v>
      </c>
      <c r="M37" s="2" t="str">
        <f t="shared" si="0"/>
        <v>Translucent area</v>
      </c>
      <c r="N37">
        <v>400</v>
      </c>
      <c r="O37" s="2">
        <f>COUNTIFS(attestations!$B$2:$B$5000,$A37,attestations!$T$2:$T$5000,"&lt;&gt;Retracted",attestations!$D$2:$D$5000,"&lt;&gt;Negative*")</f>
        <v>23</v>
      </c>
      <c r="P37" s="2">
        <f>COUNTIFS(attestations!$B$2:$B$5000,$A37,attestations!$T$2:$T$5000,"&lt;&gt;Retracted",attestations!$D$2:$D$5000,"&lt;&gt;Negative*",attestations!$R$2:$R$5000,"Map")</f>
        <v>12</v>
      </c>
      <c r="Q37" s="2">
        <f>COUNTIFS(attestations!$B$2:$B$5000,$A37,attestations!$T$2:$T$5000,"&lt;&gt;Retracted",attestations!$D$2:$D$5000,"&lt;&gt;Negative*",attestations!$R$2:$R$5000,"Image")</f>
        <v>1</v>
      </c>
      <c r="R37" s="2">
        <f>COUNTIFS(attestations!$B$2:$B$5000,$A37,attestations!$T$2:$T$5000,"&lt;&gt;Retracted",attestations!$D$2:$D$5000,"&lt;&gt;Negative*",attestations!$R$2:$R$5000,"Textual")</f>
        <v>10</v>
      </c>
      <c r="S37" s="2">
        <f>COUNTIFS(attestations!$B$2:$B$5000,$A37,attestations!$T$2:$T$5000,"&lt;&gt;Retracted",attestations!$D$2:$D$5000,"Geometry (Setting)")</f>
        <v>7</v>
      </c>
      <c r="T37" s="2" t="str">
        <f t="shared" si="1"/>
        <v>High</v>
      </c>
      <c r="U37" s="2" t="str">
        <f>IF(COUNTIFS(attestations!$B$2:$B$5000,$A37,attestations!$T$2:$T$5000,"&lt;&gt;Retracted",attestations!$I$2:$I$5000,"Georeferenced map GCP")&gt;0,"Y","N")</f>
        <v>Y</v>
      </c>
      <c r="V37" t="s">
        <v>191</v>
      </c>
      <c r="W37" t="s">
        <v>203</v>
      </c>
      <c r="X37" t="s">
        <v>362</v>
      </c>
      <c r="Y37" t="s">
        <v>193</v>
      </c>
      <c r="AB37">
        <f>IF(A37="","",SUMIFS(attestations!$U$2:$U$5000,attestations!$B$2:$B$5000,A37))</f>
        <v>21</v>
      </c>
    </row>
    <row r="38" spans="1:28" ht="15" customHeight="1" x14ac:dyDescent="0.2">
      <c r="A38" s="4" t="s">
        <v>363</v>
      </c>
      <c r="B38" t="s">
        <v>364</v>
      </c>
      <c r="C38" t="s">
        <v>365</v>
      </c>
      <c r="D38" t="s">
        <v>182</v>
      </c>
      <c r="E38" t="s">
        <v>183</v>
      </c>
      <c r="F38" t="s">
        <v>184</v>
      </c>
      <c r="G38" t="s">
        <v>185</v>
      </c>
      <c r="H38" t="s">
        <v>186</v>
      </c>
      <c r="I38" t="s">
        <v>197</v>
      </c>
      <c r="J38" t="s">
        <v>366</v>
      </c>
      <c r="K38" t="s">
        <v>189</v>
      </c>
      <c r="L38" t="s">
        <v>367</v>
      </c>
      <c r="M38" s="2" t="str">
        <f t="shared" si="0"/>
        <v>Candidate points</v>
      </c>
      <c r="N38">
        <v>600</v>
      </c>
      <c r="O38" s="2">
        <f>COUNTIFS(attestations!$B$2:$B$5000,$A38,attestations!$T$2:$T$5000,"&lt;&gt;Retracted",attestations!$D$2:$D$5000,"&lt;&gt;Negative*")</f>
        <v>23</v>
      </c>
      <c r="P38" s="2">
        <f>COUNTIFS(attestations!$B$2:$B$5000,$A38,attestations!$T$2:$T$5000,"&lt;&gt;Retracted",attestations!$D$2:$D$5000,"&lt;&gt;Negative*",attestations!$R$2:$R$5000,"Map")</f>
        <v>11</v>
      </c>
      <c r="Q38" s="2">
        <f>COUNTIFS(attestations!$B$2:$B$5000,$A38,attestations!$T$2:$T$5000,"&lt;&gt;Retracted",attestations!$D$2:$D$5000,"&lt;&gt;Negative*",attestations!$R$2:$R$5000,"Image")</f>
        <v>1</v>
      </c>
      <c r="R38" s="2">
        <f>COUNTIFS(attestations!$B$2:$B$5000,$A38,attestations!$T$2:$T$5000,"&lt;&gt;Retracted",attestations!$D$2:$D$5000,"&lt;&gt;Negative*",attestations!$R$2:$R$5000,"Textual")</f>
        <v>11</v>
      </c>
      <c r="S38" s="2">
        <f>COUNTIFS(attestations!$B$2:$B$5000,$A38,attestations!$T$2:$T$5000,"&lt;&gt;Retracted",attestations!$D$2:$D$5000,"Geometry (Setting)")</f>
        <v>6</v>
      </c>
      <c r="T38" s="2" t="str">
        <f t="shared" si="1"/>
        <v>High</v>
      </c>
      <c r="U38" s="2" t="str">
        <f>IF(COUNTIFS(attestations!$B$2:$B$5000,$A38,attestations!$T$2:$T$5000,"&lt;&gt;Retracted",attestations!$I$2:$I$5000,"Georeferenced map GCP")&gt;0,"Y","N")</f>
        <v>Y</v>
      </c>
      <c r="V38" t="s">
        <v>191</v>
      </c>
      <c r="W38" t="s">
        <v>203</v>
      </c>
      <c r="X38" t="s">
        <v>368</v>
      </c>
      <c r="Y38" t="s">
        <v>193</v>
      </c>
      <c r="AB38">
        <f>IF(A38="","",SUMIFS(attestations!$U$2:$U$5000,attestations!$B$2:$B$5000,A38))</f>
        <v>21</v>
      </c>
    </row>
    <row r="39" spans="1:28" ht="15" customHeight="1" x14ac:dyDescent="0.2">
      <c r="A39" s="4" t="s">
        <v>369</v>
      </c>
      <c r="B39" t="s">
        <v>370</v>
      </c>
      <c r="D39" t="s">
        <v>193</v>
      </c>
      <c r="E39" t="s">
        <v>307</v>
      </c>
      <c r="F39" t="s">
        <v>300</v>
      </c>
      <c r="G39" t="s">
        <v>314</v>
      </c>
      <c r="H39" t="s">
        <v>223</v>
      </c>
      <c r="I39" t="s">
        <v>371</v>
      </c>
      <c r="K39" t="s">
        <v>189</v>
      </c>
      <c r="L39" t="s">
        <v>209</v>
      </c>
      <c r="M39" s="2" t="str">
        <f t="shared" si="0"/>
        <v>Point + buffer</v>
      </c>
      <c r="N39">
        <v>300</v>
      </c>
      <c r="O39" s="2">
        <f>COUNTIFS(attestations!$B$2:$B$5000,$A39,attestations!$T$2:$T$5000,"&lt;&gt;Retracted",attestations!$D$2:$D$5000,"&lt;&gt;Negative*")</f>
        <v>19</v>
      </c>
      <c r="P39" s="2">
        <f>COUNTIFS(attestations!$B$2:$B$5000,$A39,attestations!$T$2:$T$5000,"&lt;&gt;Retracted",attestations!$D$2:$D$5000,"&lt;&gt;Negative*",attestations!$R$2:$R$5000,"Map")</f>
        <v>10</v>
      </c>
      <c r="Q39" s="2">
        <f>COUNTIFS(attestations!$B$2:$B$5000,$A39,attestations!$T$2:$T$5000,"&lt;&gt;Retracted",attestations!$D$2:$D$5000,"&lt;&gt;Negative*",attestations!$R$2:$R$5000,"Image")</f>
        <v>1</v>
      </c>
      <c r="R39" s="2">
        <f>COUNTIFS(attestations!$B$2:$B$5000,$A39,attestations!$T$2:$T$5000,"&lt;&gt;Retracted",attestations!$D$2:$D$5000,"&lt;&gt;Negative*",attestations!$R$2:$R$5000,"Textual")</f>
        <v>8</v>
      </c>
      <c r="S39" s="2">
        <f>COUNTIFS(attestations!$B$2:$B$5000,$A39,attestations!$T$2:$T$5000,"&lt;&gt;Retracted",attestations!$D$2:$D$5000,"Geometry (Setting)")</f>
        <v>6</v>
      </c>
      <c r="T39" s="2" t="str">
        <f t="shared" si="1"/>
        <v>High</v>
      </c>
      <c r="U39" s="2" t="str">
        <f>IF(COUNTIFS(attestations!$B$2:$B$5000,$A39,attestations!$T$2:$T$5000,"&lt;&gt;Retracted",attestations!$I$2:$I$5000,"Georeferenced map GCP")&gt;0,"Y","N")</f>
        <v>Y</v>
      </c>
      <c r="V39" t="s">
        <v>191</v>
      </c>
      <c r="W39" t="s">
        <v>209</v>
      </c>
      <c r="X39" t="s">
        <v>372</v>
      </c>
      <c r="Y39" t="s">
        <v>193</v>
      </c>
      <c r="AA39" t="s">
        <v>373</v>
      </c>
      <c r="AB39">
        <f>IF(A39="","",SUMIFS(attestations!$U$2:$U$5000,attestations!$B$2:$B$5000,A39))</f>
        <v>18</v>
      </c>
    </row>
    <row r="40" spans="1:28" ht="15" customHeight="1" x14ac:dyDescent="0.2">
      <c r="A40" s="4" t="s">
        <v>374</v>
      </c>
      <c r="B40" t="s">
        <v>375</v>
      </c>
      <c r="D40" t="s">
        <v>196</v>
      </c>
      <c r="E40" t="s">
        <v>236</v>
      </c>
      <c r="F40" t="s">
        <v>300</v>
      </c>
      <c r="G40" t="s">
        <v>185</v>
      </c>
      <c r="H40" t="s">
        <v>186</v>
      </c>
      <c r="I40" t="s">
        <v>376</v>
      </c>
      <c r="J40" t="s">
        <v>366</v>
      </c>
      <c r="K40" t="s">
        <v>189</v>
      </c>
      <c r="L40" t="s">
        <v>209</v>
      </c>
      <c r="M40" s="2" t="str">
        <f t="shared" si="0"/>
        <v>Point + buffer</v>
      </c>
      <c r="N40">
        <v>300</v>
      </c>
      <c r="O40" s="2">
        <f>COUNTIFS(attestations!$B$2:$B$5000,$A40,attestations!$T$2:$T$5000,"&lt;&gt;Retracted",attestations!$D$2:$D$5000,"&lt;&gt;Negative*")</f>
        <v>16</v>
      </c>
      <c r="P40" s="2">
        <f>COUNTIFS(attestations!$B$2:$B$5000,$A40,attestations!$T$2:$T$5000,"&lt;&gt;Retracted",attestations!$D$2:$D$5000,"&lt;&gt;Negative*",attestations!$R$2:$R$5000,"Map")</f>
        <v>7</v>
      </c>
      <c r="Q40" s="2">
        <f>COUNTIFS(attestations!$B$2:$B$5000,$A40,attestations!$T$2:$T$5000,"&lt;&gt;Retracted",attestations!$D$2:$D$5000,"&lt;&gt;Negative*",attestations!$R$2:$R$5000,"Image")</f>
        <v>1</v>
      </c>
      <c r="R40" s="2">
        <f>COUNTIFS(attestations!$B$2:$B$5000,$A40,attestations!$T$2:$T$5000,"&lt;&gt;Retracted",attestations!$D$2:$D$5000,"&lt;&gt;Negative*",attestations!$R$2:$R$5000,"Textual")</f>
        <v>8</v>
      </c>
      <c r="S40" s="2">
        <f>COUNTIFS(attestations!$B$2:$B$5000,$A40,attestations!$T$2:$T$5000,"&lt;&gt;Retracted",attestations!$D$2:$D$5000,"Geometry (Setting)")</f>
        <v>3</v>
      </c>
      <c r="T40" s="2" t="str">
        <f t="shared" si="1"/>
        <v>High</v>
      </c>
      <c r="U40" s="2" t="str">
        <f>IF(COUNTIFS(attestations!$B$2:$B$5000,$A40,attestations!$T$2:$T$5000,"&lt;&gt;Retracted",attestations!$I$2:$I$5000,"Georeferenced map GCP")&gt;0,"Y","N")</f>
        <v>Y</v>
      </c>
      <c r="V40" t="s">
        <v>191</v>
      </c>
      <c r="W40" t="s">
        <v>203</v>
      </c>
      <c r="X40" t="s">
        <v>377</v>
      </c>
      <c r="Y40" t="s">
        <v>193</v>
      </c>
      <c r="AB40">
        <f>IF(A40="","",SUMIFS(attestations!$U$2:$U$5000,attestations!$B$2:$B$5000,A40))</f>
        <v>14</v>
      </c>
    </row>
    <row r="41" spans="1:28" ht="15" customHeight="1" x14ac:dyDescent="0.2">
      <c r="A41" s="4" t="s">
        <v>378</v>
      </c>
      <c r="B41" t="s">
        <v>379</v>
      </c>
      <c r="D41" t="s">
        <v>196</v>
      </c>
      <c r="E41" t="s">
        <v>236</v>
      </c>
      <c r="F41" t="s">
        <v>300</v>
      </c>
      <c r="G41" t="s">
        <v>238</v>
      </c>
      <c r="H41" t="s">
        <v>223</v>
      </c>
      <c r="I41" t="s">
        <v>380</v>
      </c>
      <c r="J41" t="s">
        <v>381</v>
      </c>
      <c r="K41" t="s">
        <v>208</v>
      </c>
      <c r="L41" t="s">
        <v>209</v>
      </c>
      <c r="M41" s="2" t="str">
        <f t="shared" si="0"/>
        <v>Point + buffer</v>
      </c>
      <c r="N41">
        <v>300</v>
      </c>
      <c r="O41" s="2">
        <f>COUNTIFS(attestations!$B$2:$B$5000,$A41,attestations!$T$2:$T$5000,"&lt;&gt;Retracted",attestations!$D$2:$D$5000,"&lt;&gt;Negative*")</f>
        <v>15</v>
      </c>
      <c r="P41" s="2">
        <f>COUNTIFS(attestations!$B$2:$B$5000,$A41,attestations!$T$2:$T$5000,"&lt;&gt;Retracted",attestations!$D$2:$D$5000,"&lt;&gt;Negative*",attestations!$R$2:$R$5000,"Map")</f>
        <v>7</v>
      </c>
      <c r="Q41" s="2">
        <f>COUNTIFS(attestations!$B$2:$B$5000,$A41,attestations!$T$2:$T$5000,"&lt;&gt;Retracted",attestations!$D$2:$D$5000,"&lt;&gt;Negative*",attestations!$R$2:$R$5000,"Image")</f>
        <v>1</v>
      </c>
      <c r="R41" s="2">
        <f>COUNTIFS(attestations!$B$2:$B$5000,$A41,attestations!$T$2:$T$5000,"&lt;&gt;Retracted",attestations!$D$2:$D$5000,"&lt;&gt;Negative*",attestations!$R$2:$R$5000,"Textual")</f>
        <v>7</v>
      </c>
      <c r="S41" s="2">
        <f>COUNTIFS(attestations!$B$2:$B$5000,$A41,attestations!$T$2:$T$5000,"&lt;&gt;Retracted",attestations!$D$2:$D$5000,"Geometry (Setting)")</f>
        <v>6</v>
      </c>
      <c r="T41" s="2" t="str">
        <f t="shared" si="1"/>
        <v>High</v>
      </c>
      <c r="U41" s="2" t="str">
        <f>IF(COUNTIFS(attestations!$B$2:$B$5000,$A41,attestations!$T$2:$T$5000,"&lt;&gt;Retracted",attestations!$I$2:$I$5000,"Georeferenced map GCP")&gt;0,"Y","N")</f>
        <v>Y</v>
      </c>
      <c r="V41" t="s">
        <v>191</v>
      </c>
      <c r="W41" t="s">
        <v>209</v>
      </c>
      <c r="X41" t="s">
        <v>382</v>
      </c>
      <c r="Y41" t="s">
        <v>193</v>
      </c>
      <c r="AB41">
        <f>IF(A41="","",SUMIFS(attestations!$U$2:$U$5000,attestations!$B$2:$B$5000,A41))</f>
        <v>12</v>
      </c>
    </row>
    <row r="42" spans="1:28" ht="15" customHeight="1" x14ac:dyDescent="0.2">
      <c r="A42" s="4" t="s">
        <v>383</v>
      </c>
      <c r="B42" t="s">
        <v>384</v>
      </c>
      <c r="D42" t="s">
        <v>182</v>
      </c>
      <c r="E42" t="s">
        <v>208</v>
      </c>
      <c r="F42" t="s">
        <v>208</v>
      </c>
      <c r="G42" t="s">
        <v>314</v>
      </c>
      <c r="H42" t="s">
        <v>186</v>
      </c>
      <c r="I42" t="s">
        <v>332</v>
      </c>
      <c r="K42" t="s">
        <v>189</v>
      </c>
      <c r="L42" t="s">
        <v>190</v>
      </c>
      <c r="M42" s="2" t="str">
        <f t="shared" si="0"/>
        <v>Translucent area</v>
      </c>
      <c r="N42">
        <v>400</v>
      </c>
      <c r="O42" s="2">
        <f>COUNTIFS(attestations!$B$2:$B$5000,$A42,attestations!$T$2:$T$5000,"&lt;&gt;Retracted",attestations!$D$2:$D$5000,"&lt;&gt;Negative*")</f>
        <v>21</v>
      </c>
      <c r="P42" s="2">
        <f>COUNTIFS(attestations!$B$2:$B$5000,$A42,attestations!$T$2:$T$5000,"&lt;&gt;Retracted",attestations!$D$2:$D$5000,"&lt;&gt;Negative*",attestations!$R$2:$R$5000,"Map")</f>
        <v>11</v>
      </c>
      <c r="Q42" s="2">
        <f>COUNTIFS(attestations!$B$2:$B$5000,$A42,attestations!$T$2:$T$5000,"&lt;&gt;Retracted",attestations!$D$2:$D$5000,"&lt;&gt;Negative*",attestations!$R$2:$R$5000,"Image")</f>
        <v>1</v>
      </c>
      <c r="R42" s="2">
        <f>COUNTIFS(attestations!$B$2:$B$5000,$A42,attestations!$T$2:$T$5000,"&lt;&gt;Retracted",attestations!$D$2:$D$5000,"&lt;&gt;Negative*",attestations!$R$2:$R$5000,"Textual")</f>
        <v>8</v>
      </c>
      <c r="S42" s="2">
        <f>COUNTIFS(attestations!$B$2:$B$5000,$A42,attestations!$T$2:$T$5000,"&lt;&gt;Retracted",attestations!$D$2:$D$5000,"Geometry (Setting)")</f>
        <v>4</v>
      </c>
      <c r="T42" s="2" t="str">
        <f t="shared" si="1"/>
        <v>High</v>
      </c>
      <c r="U42" s="2" t="str">
        <f>IF(COUNTIFS(attestations!$B$2:$B$5000,$A42,attestations!$T$2:$T$5000,"&lt;&gt;Retracted",attestations!$I$2:$I$5000,"Georeferenced map GCP")&gt;0,"Y","N")</f>
        <v>Y</v>
      </c>
      <c r="V42" t="s">
        <v>191</v>
      </c>
      <c r="W42" t="s">
        <v>209</v>
      </c>
      <c r="X42" t="s">
        <v>385</v>
      </c>
      <c r="Y42" t="s">
        <v>193</v>
      </c>
      <c r="AB42">
        <f>IF(A42="","",SUMIFS(attestations!$U$2:$U$5000,attestations!$B$2:$B$5000,A42))</f>
        <v>20</v>
      </c>
    </row>
    <row r="43" spans="1:28" ht="15" customHeight="1" x14ac:dyDescent="0.2">
      <c r="A43" s="4" t="s">
        <v>386</v>
      </c>
      <c r="B43" t="s">
        <v>387</v>
      </c>
      <c r="D43" t="s">
        <v>182</v>
      </c>
      <c r="E43" t="s">
        <v>183</v>
      </c>
      <c r="F43" t="s">
        <v>184</v>
      </c>
      <c r="G43" t="s">
        <v>185</v>
      </c>
      <c r="H43" t="s">
        <v>186</v>
      </c>
      <c r="I43" t="s">
        <v>332</v>
      </c>
      <c r="J43" t="s">
        <v>188</v>
      </c>
      <c r="K43" t="s">
        <v>189</v>
      </c>
      <c r="L43" t="s">
        <v>209</v>
      </c>
      <c r="M43" s="2" t="str">
        <f t="shared" si="0"/>
        <v>Point + buffer</v>
      </c>
      <c r="N43">
        <v>300</v>
      </c>
      <c r="O43" s="2">
        <f>COUNTIFS(attestations!$B$2:$B$5000,$A43,attestations!$T$2:$T$5000,"&lt;&gt;Retracted",attestations!$D$2:$D$5000,"&lt;&gt;Negative*")</f>
        <v>13</v>
      </c>
      <c r="P43" s="2">
        <f>COUNTIFS(attestations!$B$2:$B$5000,$A43,attestations!$T$2:$T$5000,"&lt;&gt;Retracted",attestations!$D$2:$D$5000,"&lt;&gt;Negative*",attestations!$R$2:$R$5000,"Map")</f>
        <v>8</v>
      </c>
      <c r="Q43" s="2">
        <f>COUNTIFS(attestations!$B$2:$B$5000,$A43,attestations!$T$2:$T$5000,"&lt;&gt;Retracted",attestations!$D$2:$D$5000,"&lt;&gt;Negative*",attestations!$R$2:$R$5000,"Image")</f>
        <v>0</v>
      </c>
      <c r="R43" s="2">
        <f>COUNTIFS(attestations!$B$2:$B$5000,$A43,attestations!$T$2:$T$5000,"&lt;&gt;Retracted",attestations!$D$2:$D$5000,"&lt;&gt;Negative*",attestations!$R$2:$R$5000,"Textual")</f>
        <v>5</v>
      </c>
      <c r="S43" s="2">
        <f>COUNTIFS(attestations!$B$2:$B$5000,$A43,attestations!$T$2:$T$5000,"&lt;&gt;Retracted",attestations!$D$2:$D$5000,"Geometry (Setting)")</f>
        <v>6</v>
      </c>
      <c r="T43" s="2" t="str">
        <f t="shared" si="1"/>
        <v>High</v>
      </c>
      <c r="U43" s="2" t="str">
        <f>IF(COUNTIFS(attestations!$B$2:$B$5000,$A43,attestations!$T$2:$T$5000,"&lt;&gt;Retracted",attestations!$I$2:$I$5000,"Georeferenced map GCP")&gt;0,"Y","N")</f>
        <v>Y</v>
      </c>
      <c r="V43" t="s">
        <v>191</v>
      </c>
      <c r="W43" t="s">
        <v>209</v>
      </c>
      <c r="X43" t="s">
        <v>388</v>
      </c>
      <c r="Y43" t="s">
        <v>193</v>
      </c>
      <c r="AB43">
        <f>IF(A43="","",SUMIFS(attestations!$U$2:$U$5000,attestations!$B$2:$B$5000,A43))</f>
        <v>11</v>
      </c>
    </row>
    <row r="44" spans="1:28" ht="15" customHeight="1" x14ac:dyDescent="0.2">
      <c r="A44" s="4" t="s">
        <v>389</v>
      </c>
      <c r="B44" t="s">
        <v>390</v>
      </c>
      <c r="D44" t="s">
        <v>182</v>
      </c>
      <c r="E44" t="s">
        <v>183</v>
      </c>
      <c r="F44" t="s">
        <v>184</v>
      </c>
      <c r="G44" t="s">
        <v>185</v>
      </c>
      <c r="H44" t="s">
        <v>186</v>
      </c>
      <c r="I44" t="s">
        <v>332</v>
      </c>
      <c r="J44" t="s">
        <v>188</v>
      </c>
      <c r="K44" t="s">
        <v>189</v>
      </c>
      <c r="L44" t="s">
        <v>209</v>
      </c>
      <c r="M44" s="2" t="str">
        <f t="shared" si="0"/>
        <v>Point + buffer</v>
      </c>
      <c r="N44">
        <v>250</v>
      </c>
      <c r="O44" s="2">
        <f>COUNTIFS(attestations!$B$2:$B$5000,$A44,attestations!$T$2:$T$5000,"&lt;&gt;Retracted",attestations!$D$2:$D$5000,"&lt;&gt;Negative*")</f>
        <v>17</v>
      </c>
      <c r="P44" s="2">
        <f>COUNTIFS(attestations!$B$2:$B$5000,$A44,attestations!$T$2:$T$5000,"&lt;&gt;Retracted",attestations!$D$2:$D$5000,"&lt;&gt;Negative*",attestations!$R$2:$R$5000,"Map")</f>
        <v>10</v>
      </c>
      <c r="Q44" s="2">
        <f>COUNTIFS(attestations!$B$2:$B$5000,$A44,attestations!$T$2:$T$5000,"&lt;&gt;Retracted",attestations!$D$2:$D$5000,"&lt;&gt;Negative*",attestations!$R$2:$R$5000,"Image")</f>
        <v>0</v>
      </c>
      <c r="R44" s="2">
        <f>COUNTIFS(attestations!$B$2:$B$5000,$A44,attestations!$T$2:$T$5000,"&lt;&gt;Retracted",attestations!$D$2:$D$5000,"&lt;&gt;Negative*",attestations!$R$2:$R$5000,"Textual")</f>
        <v>7</v>
      </c>
      <c r="S44" s="2">
        <f>COUNTIFS(attestations!$B$2:$B$5000,$A44,attestations!$T$2:$T$5000,"&lt;&gt;Retracted",attestations!$D$2:$D$5000,"Geometry (Setting)")</f>
        <v>6</v>
      </c>
      <c r="T44" s="2" t="str">
        <f t="shared" si="1"/>
        <v>High</v>
      </c>
      <c r="U44" s="2" t="str">
        <f>IF(COUNTIFS(attestations!$B$2:$B$5000,$A44,attestations!$T$2:$T$5000,"&lt;&gt;Retracted",attestations!$I$2:$I$5000,"Georeferenced map GCP")&gt;0,"Y","N")</f>
        <v>Y</v>
      </c>
      <c r="V44" t="s">
        <v>191</v>
      </c>
      <c r="W44" t="s">
        <v>209</v>
      </c>
      <c r="X44" t="s">
        <v>391</v>
      </c>
      <c r="Y44" t="s">
        <v>193</v>
      </c>
      <c r="AB44">
        <f>IF(A44="","",SUMIFS(attestations!$U$2:$U$5000,attestations!$B$2:$B$5000,A44))</f>
        <v>15</v>
      </c>
    </row>
    <row r="45" spans="1:28" ht="15" customHeight="1" x14ac:dyDescent="0.2">
      <c r="A45" s="4" t="s">
        <v>392</v>
      </c>
      <c r="B45" t="s">
        <v>393</v>
      </c>
      <c r="D45" t="s">
        <v>182</v>
      </c>
      <c r="E45" t="s">
        <v>183</v>
      </c>
      <c r="F45" t="s">
        <v>184</v>
      </c>
      <c r="G45" t="s">
        <v>185</v>
      </c>
      <c r="H45" t="s">
        <v>186</v>
      </c>
      <c r="I45" t="s">
        <v>332</v>
      </c>
      <c r="J45" t="s">
        <v>188</v>
      </c>
      <c r="K45" t="s">
        <v>189</v>
      </c>
      <c r="L45" t="s">
        <v>208</v>
      </c>
      <c r="M45" s="2" t="str">
        <f t="shared" si="0"/>
        <v>Unplotted (unlocated panel)</v>
      </c>
      <c r="O45" s="2">
        <f>COUNTIFS(attestations!$B$2:$B$5000,$A45,attestations!$T$2:$T$5000,"&lt;&gt;Retracted",attestations!$D$2:$D$5000,"&lt;&gt;Negative*")</f>
        <v>10</v>
      </c>
      <c r="P45" s="2">
        <f>COUNTIFS(attestations!$B$2:$B$5000,$A45,attestations!$T$2:$T$5000,"&lt;&gt;Retracted",attestations!$D$2:$D$5000,"&lt;&gt;Negative*",attestations!$R$2:$R$5000,"Map")</f>
        <v>3</v>
      </c>
      <c r="Q45" s="2">
        <f>COUNTIFS(attestations!$B$2:$B$5000,$A45,attestations!$T$2:$T$5000,"&lt;&gt;Retracted",attestations!$D$2:$D$5000,"&lt;&gt;Negative*",attestations!$R$2:$R$5000,"Image")</f>
        <v>0</v>
      </c>
      <c r="R45" s="2">
        <f>COUNTIFS(attestations!$B$2:$B$5000,$A45,attestations!$T$2:$T$5000,"&lt;&gt;Retracted",attestations!$D$2:$D$5000,"&lt;&gt;Negative*",attestations!$R$2:$R$5000,"Textual")</f>
        <v>7</v>
      </c>
      <c r="S45" s="2">
        <f>COUNTIFS(attestations!$B$2:$B$5000,$A45,attestations!$T$2:$T$5000,"&lt;&gt;Retracted",attestations!$D$2:$D$5000,"Geometry (Setting)")</f>
        <v>1</v>
      </c>
      <c r="T45" s="2" t="str">
        <f t="shared" si="1"/>
        <v>High</v>
      </c>
      <c r="U45" s="2" t="str">
        <f>IF(COUNTIFS(attestations!$B$2:$B$5000,$A45,attestations!$T$2:$T$5000,"&lt;&gt;Retracted",attestations!$I$2:$I$5000,"Georeferenced map GCP")&gt;0,"Y","N")</f>
        <v>N</v>
      </c>
      <c r="V45" t="s">
        <v>191</v>
      </c>
      <c r="W45" t="s">
        <v>209</v>
      </c>
      <c r="X45" t="s">
        <v>394</v>
      </c>
      <c r="Y45" t="s">
        <v>193</v>
      </c>
      <c r="AB45">
        <f>IF(A45="","",SUMIFS(attestations!$U$2:$U$5000,attestations!$B$2:$B$5000,A45))</f>
        <v>9</v>
      </c>
    </row>
    <row r="46" spans="1:28" ht="15" customHeight="1" x14ac:dyDescent="0.2">
      <c r="A46" s="4" t="s">
        <v>395</v>
      </c>
      <c r="B46" t="s">
        <v>396</v>
      </c>
      <c r="D46" t="s">
        <v>182</v>
      </c>
      <c r="E46" t="s">
        <v>183</v>
      </c>
      <c r="F46" t="s">
        <v>184</v>
      </c>
      <c r="G46" t="s">
        <v>185</v>
      </c>
      <c r="H46" t="s">
        <v>186</v>
      </c>
      <c r="I46" t="s">
        <v>332</v>
      </c>
      <c r="J46" t="s">
        <v>188</v>
      </c>
      <c r="K46" t="s">
        <v>189</v>
      </c>
      <c r="L46" t="s">
        <v>190</v>
      </c>
      <c r="M46" s="2" t="str">
        <f t="shared" si="0"/>
        <v>Translucent area</v>
      </c>
      <c r="N46">
        <v>600</v>
      </c>
      <c r="O46" s="2">
        <f>COUNTIFS(attestations!$B$2:$B$5000,$A46,attestations!$T$2:$T$5000,"&lt;&gt;Retracted",attestations!$D$2:$D$5000,"&lt;&gt;Negative*")</f>
        <v>17</v>
      </c>
      <c r="P46" s="2">
        <f>COUNTIFS(attestations!$B$2:$B$5000,$A46,attestations!$T$2:$T$5000,"&lt;&gt;Retracted",attestations!$D$2:$D$5000,"&lt;&gt;Negative*",attestations!$R$2:$R$5000,"Map")</f>
        <v>9</v>
      </c>
      <c r="Q46" s="2">
        <f>COUNTIFS(attestations!$B$2:$B$5000,$A46,attestations!$T$2:$T$5000,"&lt;&gt;Retracted",attestations!$D$2:$D$5000,"&lt;&gt;Negative*",attestations!$R$2:$R$5000,"Image")</f>
        <v>1</v>
      </c>
      <c r="R46" s="2">
        <f>COUNTIFS(attestations!$B$2:$B$5000,$A46,attestations!$T$2:$T$5000,"&lt;&gt;Retracted",attestations!$D$2:$D$5000,"&lt;&gt;Negative*",attestations!$R$2:$R$5000,"Textual")</f>
        <v>7</v>
      </c>
      <c r="S46" s="2">
        <f>COUNTIFS(attestations!$B$2:$B$5000,$A46,attestations!$T$2:$T$5000,"&lt;&gt;Retracted",attestations!$D$2:$D$5000,"Geometry (Setting)")</f>
        <v>5</v>
      </c>
      <c r="T46" s="2" t="str">
        <f t="shared" si="1"/>
        <v>High</v>
      </c>
      <c r="U46" s="2" t="str">
        <f>IF(COUNTIFS(attestations!$B$2:$B$5000,$A46,attestations!$T$2:$T$5000,"&lt;&gt;Retracted",attestations!$I$2:$I$5000,"Georeferenced map GCP")&gt;0,"Y","N")</f>
        <v>Y</v>
      </c>
      <c r="V46" t="s">
        <v>191</v>
      </c>
      <c r="W46" t="s">
        <v>209</v>
      </c>
      <c r="X46" t="s">
        <v>397</v>
      </c>
      <c r="Y46" t="s">
        <v>193</v>
      </c>
      <c r="AB46">
        <f>IF(A46="","",SUMIFS(attestations!$U$2:$U$5000,attestations!$B$2:$B$5000,A46))</f>
        <v>16</v>
      </c>
    </row>
    <row r="47" spans="1:28" ht="15" customHeight="1" x14ac:dyDescent="0.2">
      <c r="A47" s="4" t="s">
        <v>398</v>
      </c>
      <c r="B47" t="s">
        <v>399</v>
      </c>
      <c r="D47" t="s">
        <v>400</v>
      </c>
      <c r="E47" t="s">
        <v>236</v>
      </c>
      <c r="F47" t="s">
        <v>300</v>
      </c>
      <c r="G47" t="s">
        <v>249</v>
      </c>
      <c r="H47" t="s">
        <v>223</v>
      </c>
      <c r="I47" t="s">
        <v>401</v>
      </c>
      <c r="J47" t="s">
        <v>381</v>
      </c>
      <c r="K47" t="s">
        <v>189</v>
      </c>
      <c r="L47" t="s">
        <v>209</v>
      </c>
      <c r="M47" s="2" t="str">
        <f t="shared" si="0"/>
        <v>Point + buffer</v>
      </c>
      <c r="N47">
        <v>300</v>
      </c>
      <c r="O47" s="2">
        <f>COUNTIFS(attestations!$B$2:$B$5000,$A47,attestations!$T$2:$T$5000,"&lt;&gt;Retracted",attestations!$D$2:$D$5000,"&lt;&gt;Negative*")</f>
        <v>12</v>
      </c>
      <c r="P47" s="2">
        <f>COUNTIFS(attestations!$B$2:$B$5000,$A47,attestations!$T$2:$T$5000,"&lt;&gt;Retracted",attestations!$D$2:$D$5000,"&lt;&gt;Negative*",attestations!$R$2:$R$5000,"Map")</f>
        <v>6</v>
      </c>
      <c r="Q47" s="2">
        <f>COUNTIFS(attestations!$B$2:$B$5000,$A47,attestations!$T$2:$T$5000,"&lt;&gt;Retracted",attestations!$D$2:$D$5000,"&lt;&gt;Negative*",attestations!$R$2:$R$5000,"Image")</f>
        <v>0</v>
      </c>
      <c r="R47" s="2">
        <f>COUNTIFS(attestations!$B$2:$B$5000,$A47,attestations!$T$2:$T$5000,"&lt;&gt;Retracted",attestations!$D$2:$D$5000,"&lt;&gt;Negative*",attestations!$R$2:$R$5000,"Textual")</f>
        <v>6</v>
      </c>
      <c r="S47" s="2">
        <f>COUNTIFS(attestations!$B$2:$B$5000,$A47,attestations!$T$2:$T$5000,"&lt;&gt;Retracted",attestations!$D$2:$D$5000,"Geometry (Setting)")</f>
        <v>4</v>
      </c>
      <c r="T47" s="2" t="str">
        <f t="shared" si="1"/>
        <v>High</v>
      </c>
      <c r="U47" s="2" t="str">
        <f>IF(COUNTIFS(attestations!$B$2:$B$5000,$A47,attestations!$T$2:$T$5000,"&lt;&gt;Retracted",attestations!$I$2:$I$5000,"Georeferenced map GCP")&gt;0,"Y","N")</f>
        <v>Y</v>
      </c>
      <c r="V47" t="s">
        <v>191</v>
      </c>
      <c r="W47" t="s">
        <v>209</v>
      </c>
      <c r="X47" t="s">
        <v>402</v>
      </c>
      <c r="Y47" t="s">
        <v>193</v>
      </c>
      <c r="AB47">
        <f>IF(A47="","",SUMIFS(attestations!$U$2:$U$5000,attestations!$B$2:$B$5000,A47))</f>
        <v>10</v>
      </c>
    </row>
    <row r="48" spans="1:28" x14ac:dyDescent="0.2">
      <c r="A48" t="s">
        <v>403</v>
      </c>
      <c r="B48" t="s">
        <v>404</v>
      </c>
      <c r="D48" t="s">
        <v>196</v>
      </c>
      <c r="E48" t="s">
        <v>208</v>
      </c>
      <c r="F48" t="s">
        <v>208</v>
      </c>
      <c r="G48" t="s">
        <v>314</v>
      </c>
      <c r="H48" t="s">
        <v>223</v>
      </c>
      <c r="I48" t="s">
        <v>405</v>
      </c>
      <c r="K48" t="s">
        <v>189</v>
      </c>
      <c r="L48" t="s">
        <v>190</v>
      </c>
      <c r="M48" t="str">
        <f t="shared" si="0"/>
        <v>Translucent area</v>
      </c>
      <c r="N48">
        <v>500</v>
      </c>
      <c r="O48" s="2">
        <f>COUNTIFS(attestations!$B$2:$B$5000,$A48,attestations!$T$2:$T$5000,"&lt;&gt;Retracted",attestations!$D$2:$D$5000,"&lt;&gt;Negative*")</f>
        <v>19</v>
      </c>
      <c r="P48" s="2">
        <f>COUNTIFS(attestations!$B$2:$B$5000,$A48,attestations!$T$2:$T$5000,"&lt;&gt;Retracted",attestations!$D$2:$D$5000,"&lt;&gt;Negative*",attestations!$R$2:$R$5000,"Map")</f>
        <v>10</v>
      </c>
      <c r="Q48" s="2">
        <f>COUNTIFS(attestations!$B$2:$B$5000,$A48,attestations!$T$2:$T$5000,"&lt;&gt;Retracted",attestations!$D$2:$D$5000,"&lt;&gt;Negative*",attestations!$R$2:$R$5000,"Image")</f>
        <v>1</v>
      </c>
      <c r="R48" s="2">
        <f>COUNTIFS(attestations!$B$2:$B$5000,$A48,attestations!$T$2:$T$5000,"&lt;&gt;Retracted",attestations!$D$2:$D$5000,"&lt;&gt;Negative*",attestations!$R$2:$R$5000,"Textual")</f>
        <v>8</v>
      </c>
      <c r="S48" s="2">
        <f>COUNTIFS(attestations!$B$2:$B$5000,$A48,attestations!$T$2:$T$5000,"&lt;&gt;Retracted",attestations!$D$2:$D$5000,"Geometry (Setting)")</f>
        <v>3</v>
      </c>
      <c r="T48" s="2" t="str">
        <f t="shared" si="1"/>
        <v>High</v>
      </c>
      <c r="U48" s="2" t="str">
        <f>IF(COUNTIFS(attestations!$B$2:$B$5000,$A48,attestations!$T$2:$T$5000,"&lt;&gt;Retracted",attestations!$I$2:$I$5000,"Georeferenced map GCP")&gt;0,"Y","N")</f>
        <v>Y</v>
      </c>
      <c r="V48" t="s">
        <v>191</v>
      </c>
      <c r="W48" t="s">
        <v>209</v>
      </c>
      <c r="X48" t="s">
        <v>406</v>
      </c>
      <c r="Y48" t="s">
        <v>193</v>
      </c>
      <c r="AB48">
        <f>IF(A48="","",SUMIFS(attestations!$U$2:$U$5000,attestations!$B$2:$B$5000,A48))</f>
        <v>17</v>
      </c>
    </row>
    <row r="49" spans="1:28" x14ac:dyDescent="0.2">
      <c r="A49" t="s">
        <v>407</v>
      </c>
      <c r="B49" t="s">
        <v>408</v>
      </c>
      <c r="D49" t="s">
        <v>256</v>
      </c>
      <c r="E49" t="s">
        <v>236</v>
      </c>
      <c r="F49" t="s">
        <v>300</v>
      </c>
      <c r="G49" t="s">
        <v>314</v>
      </c>
      <c r="H49" t="s">
        <v>223</v>
      </c>
      <c r="I49" t="s">
        <v>409</v>
      </c>
      <c r="K49" t="s">
        <v>208</v>
      </c>
      <c r="L49" t="s">
        <v>209</v>
      </c>
      <c r="M49" t="str">
        <f t="shared" si="0"/>
        <v>Point + buffer</v>
      </c>
      <c r="N49">
        <v>300</v>
      </c>
      <c r="O49" s="2">
        <f>COUNTIFS(attestations!$B$2:$B$5000,$A49,attestations!$T$2:$T$5000,"&lt;&gt;Retracted",attestations!$D$2:$D$5000,"&lt;&gt;Negative*")</f>
        <v>13</v>
      </c>
      <c r="P49" s="2">
        <f>COUNTIFS(attestations!$B$2:$B$5000,$A49,attestations!$T$2:$T$5000,"&lt;&gt;Retracted",attestations!$D$2:$D$5000,"&lt;&gt;Negative*",attestations!$R$2:$R$5000,"Map")</f>
        <v>4</v>
      </c>
      <c r="Q49" s="2">
        <f>COUNTIFS(attestations!$B$2:$B$5000,$A49,attestations!$T$2:$T$5000,"&lt;&gt;Retracted",attestations!$D$2:$D$5000,"&lt;&gt;Negative*",attestations!$R$2:$R$5000,"Image")</f>
        <v>1</v>
      </c>
      <c r="R49" s="2">
        <f>COUNTIFS(attestations!$B$2:$B$5000,$A49,attestations!$T$2:$T$5000,"&lt;&gt;Retracted",attestations!$D$2:$D$5000,"&lt;&gt;Negative*",attestations!$R$2:$R$5000,"Textual")</f>
        <v>8</v>
      </c>
      <c r="S49" s="2">
        <f>COUNTIFS(attestations!$B$2:$B$5000,$A49,attestations!$T$2:$T$5000,"&lt;&gt;Retracted",attestations!$D$2:$D$5000,"Geometry (Setting)")</f>
        <v>2</v>
      </c>
      <c r="T49" s="2" t="str">
        <f t="shared" si="1"/>
        <v>High</v>
      </c>
      <c r="U49" s="2" t="str">
        <f>IF(COUNTIFS(attestations!$B$2:$B$5000,$A49,attestations!$T$2:$T$5000,"&lt;&gt;Retracted",attestations!$I$2:$I$5000,"Georeferenced map GCP")&gt;0,"Y","N")</f>
        <v>Y</v>
      </c>
      <c r="V49" t="s">
        <v>191</v>
      </c>
      <c r="W49" t="s">
        <v>209</v>
      </c>
      <c r="X49" t="s">
        <v>410</v>
      </c>
      <c r="Y49" t="s">
        <v>193</v>
      </c>
      <c r="AB49">
        <f>IF(A49="","",SUMIFS(attestations!$U$2:$U$5000,attestations!$B$2:$B$5000,A49))</f>
        <v>11</v>
      </c>
    </row>
    <row r="50" spans="1:28" x14ac:dyDescent="0.2">
      <c r="A50" t="s">
        <v>411</v>
      </c>
      <c r="B50" t="s">
        <v>412</v>
      </c>
      <c r="D50" t="s">
        <v>193</v>
      </c>
      <c r="E50" t="s">
        <v>307</v>
      </c>
      <c r="F50" t="s">
        <v>300</v>
      </c>
      <c r="G50" t="s">
        <v>249</v>
      </c>
      <c r="H50" t="s">
        <v>223</v>
      </c>
      <c r="I50" t="s">
        <v>405</v>
      </c>
      <c r="K50" t="s">
        <v>189</v>
      </c>
      <c r="L50" t="s">
        <v>208</v>
      </c>
      <c r="M50" t="str">
        <f t="shared" si="0"/>
        <v>Unplotted (unlocated panel)</v>
      </c>
      <c r="O50" s="2">
        <f>COUNTIFS(attestations!$B$2:$B$5000,$A50,attestations!$T$2:$T$5000,"&lt;&gt;Retracted",attestations!$D$2:$D$5000,"&lt;&gt;Negative*")</f>
        <v>15</v>
      </c>
      <c r="P50" s="2">
        <f>COUNTIFS(attestations!$B$2:$B$5000,$A50,attestations!$T$2:$T$5000,"&lt;&gt;Retracted",attestations!$D$2:$D$5000,"&lt;&gt;Negative*",attestations!$R$2:$R$5000,"Map")</f>
        <v>8</v>
      </c>
      <c r="Q50" s="2">
        <f>COUNTIFS(attestations!$B$2:$B$5000,$A50,attestations!$T$2:$T$5000,"&lt;&gt;Retracted",attestations!$D$2:$D$5000,"&lt;&gt;Negative*",attestations!$R$2:$R$5000,"Image")</f>
        <v>1</v>
      </c>
      <c r="R50" s="2">
        <f>COUNTIFS(attestations!$B$2:$B$5000,$A50,attestations!$T$2:$T$5000,"&lt;&gt;Retracted",attestations!$D$2:$D$5000,"&lt;&gt;Negative*",attestations!$R$2:$R$5000,"Textual")</f>
        <v>6</v>
      </c>
      <c r="S50" s="2">
        <f>COUNTIFS(attestations!$B$2:$B$5000,$A50,attestations!$T$2:$T$5000,"&lt;&gt;Retracted",attestations!$D$2:$D$5000,"Geometry (Setting)")</f>
        <v>4</v>
      </c>
      <c r="T50" s="2" t="str">
        <f t="shared" si="1"/>
        <v>High</v>
      </c>
      <c r="U50" s="2" t="str">
        <f>IF(COUNTIFS(attestations!$B$2:$B$5000,$A50,attestations!$T$2:$T$5000,"&lt;&gt;Retracted",attestations!$I$2:$I$5000,"Georeferenced map GCP")&gt;0,"Y","N")</f>
        <v>Y</v>
      </c>
      <c r="V50" t="s">
        <v>191</v>
      </c>
      <c r="X50" t="s">
        <v>413</v>
      </c>
      <c r="Y50" t="s">
        <v>193</v>
      </c>
      <c r="AA50" t="s">
        <v>414</v>
      </c>
      <c r="AB50">
        <f>IF(A50="","",SUMIFS(attestations!$U$2:$U$5000,attestations!$B$2:$B$5000,A50))</f>
        <v>14</v>
      </c>
    </row>
    <row r="51" spans="1:28" x14ac:dyDescent="0.2">
      <c r="A51" t="s">
        <v>415</v>
      </c>
      <c r="B51" t="s">
        <v>416</v>
      </c>
      <c r="C51" t="s">
        <v>417</v>
      </c>
      <c r="D51" t="s">
        <v>193</v>
      </c>
      <c r="E51" t="s">
        <v>307</v>
      </c>
      <c r="F51" t="s">
        <v>300</v>
      </c>
      <c r="G51" t="s">
        <v>249</v>
      </c>
      <c r="H51" t="s">
        <v>290</v>
      </c>
      <c r="I51" t="s">
        <v>337</v>
      </c>
      <c r="K51" t="s">
        <v>189</v>
      </c>
      <c r="L51" t="s">
        <v>190</v>
      </c>
      <c r="M51" t="str">
        <f t="shared" si="0"/>
        <v>Translucent area</v>
      </c>
      <c r="N51">
        <v>400</v>
      </c>
      <c r="O51" s="2">
        <f>COUNTIFS(attestations!$B$2:$B$5000,$A51,attestations!$T$2:$T$5000,"&lt;&gt;Retracted",attestations!$D$2:$D$5000,"&lt;&gt;Negative*")</f>
        <v>27</v>
      </c>
      <c r="P51" s="2">
        <f>COUNTIFS(attestations!$B$2:$B$5000,$A51,attestations!$T$2:$T$5000,"&lt;&gt;Retracted",attestations!$D$2:$D$5000,"&lt;&gt;Negative*",attestations!$R$2:$R$5000,"Map")</f>
        <v>16</v>
      </c>
      <c r="Q51" s="2">
        <f>COUNTIFS(attestations!$B$2:$B$5000,$A51,attestations!$T$2:$T$5000,"&lt;&gt;Retracted",attestations!$D$2:$D$5000,"&lt;&gt;Negative*",attestations!$R$2:$R$5000,"Image")</f>
        <v>1</v>
      </c>
      <c r="R51" s="2">
        <f>COUNTIFS(attestations!$B$2:$B$5000,$A51,attestations!$T$2:$T$5000,"&lt;&gt;Retracted",attestations!$D$2:$D$5000,"&lt;&gt;Negative*",attestations!$R$2:$R$5000,"Textual")</f>
        <v>10</v>
      </c>
      <c r="S51" s="2">
        <f>COUNTIFS(attestations!$B$2:$B$5000,$A51,attestations!$T$2:$T$5000,"&lt;&gt;Retracted",attestations!$D$2:$D$5000,"Geometry (Setting)")</f>
        <v>7</v>
      </c>
      <c r="T51" s="2" t="str">
        <f t="shared" si="1"/>
        <v>High</v>
      </c>
      <c r="U51" s="2" t="str">
        <f>IF(COUNTIFS(attestations!$B$2:$B$5000,$A51,attestations!$T$2:$T$5000,"&lt;&gt;Retracted",attestations!$I$2:$I$5000,"Georeferenced map GCP")&gt;0,"Y","N")</f>
        <v>Y</v>
      </c>
      <c r="V51" t="s">
        <v>191</v>
      </c>
      <c r="X51" t="s">
        <v>418</v>
      </c>
      <c r="Y51" t="s">
        <v>193</v>
      </c>
      <c r="AA51" t="s">
        <v>419</v>
      </c>
      <c r="AB51">
        <f>IF(A51="","",SUMIFS(attestations!$U$2:$U$5000,attestations!$B$2:$B$5000,A51))</f>
        <v>22</v>
      </c>
    </row>
    <row r="52" spans="1:28" x14ac:dyDescent="0.2">
      <c r="A52" t="s">
        <v>420</v>
      </c>
      <c r="B52" t="s">
        <v>421</v>
      </c>
      <c r="D52" t="s">
        <v>196</v>
      </c>
      <c r="E52" t="s">
        <v>307</v>
      </c>
      <c r="F52" t="s">
        <v>300</v>
      </c>
      <c r="G52" t="s">
        <v>300</v>
      </c>
      <c r="H52" t="s">
        <v>186</v>
      </c>
      <c r="I52" t="s">
        <v>197</v>
      </c>
      <c r="K52" t="s">
        <v>189</v>
      </c>
      <c r="L52" t="s">
        <v>209</v>
      </c>
      <c r="M52" t="str">
        <f t="shared" si="0"/>
        <v>Point + buffer</v>
      </c>
      <c r="N52">
        <v>300</v>
      </c>
      <c r="O52" s="2">
        <f>COUNTIFS(attestations!$B$2:$B$5000,$A52,attestations!$T$2:$T$5000,"&lt;&gt;Retracted",attestations!$D$2:$D$5000,"&lt;&gt;Negative*")</f>
        <v>14</v>
      </c>
      <c r="P52" s="2">
        <f>COUNTIFS(attestations!$B$2:$B$5000,$A52,attestations!$T$2:$T$5000,"&lt;&gt;Retracted",attestations!$D$2:$D$5000,"&lt;&gt;Negative*",attestations!$R$2:$R$5000,"Map")</f>
        <v>4</v>
      </c>
      <c r="Q52" s="2">
        <f>COUNTIFS(attestations!$B$2:$B$5000,$A52,attestations!$T$2:$T$5000,"&lt;&gt;Retracted",attestations!$D$2:$D$5000,"&lt;&gt;Negative*",attestations!$R$2:$R$5000,"Image")</f>
        <v>2</v>
      </c>
      <c r="R52" s="2">
        <f>COUNTIFS(attestations!$B$2:$B$5000,$A52,attestations!$T$2:$T$5000,"&lt;&gt;Retracted",attestations!$D$2:$D$5000,"&lt;&gt;Negative*",attestations!$R$2:$R$5000,"Textual")</f>
        <v>7</v>
      </c>
      <c r="S52" s="2">
        <f>COUNTIFS(attestations!$B$2:$B$5000,$A52,attestations!$T$2:$T$5000,"&lt;&gt;Retracted",attestations!$D$2:$D$5000,"Geometry (Setting)")</f>
        <v>1</v>
      </c>
      <c r="T52" s="2" t="str">
        <f t="shared" si="1"/>
        <v>High</v>
      </c>
      <c r="U52" s="2" t="str">
        <f>IF(COUNTIFS(attestations!$B$2:$B$5000,$A52,attestations!$T$2:$T$5000,"&lt;&gt;Retracted",attestations!$I$2:$I$5000,"Georeferenced map GCP")&gt;0,"Y","N")</f>
        <v>Y</v>
      </c>
      <c r="V52" t="s">
        <v>191</v>
      </c>
      <c r="X52" t="s">
        <v>422</v>
      </c>
      <c r="Y52" t="s">
        <v>193</v>
      </c>
      <c r="AA52" t="s">
        <v>423</v>
      </c>
      <c r="AB52">
        <f>IF(A52="","",SUMIFS(attestations!$U$2:$U$5000,attestations!$B$2:$B$5000,A52))</f>
        <v>13</v>
      </c>
    </row>
    <row r="53" spans="1:28" x14ac:dyDescent="0.2">
      <c r="A53" t="s">
        <v>424</v>
      </c>
      <c r="B53" t="s">
        <v>425</v>
      </c>
      <c r="C53" t="s">
        <v>426</v>
      </c>
      <c r="D53" t="s">
        <v>193</v>
      </c>
      <c r="E53" t="s">
        <v>307</v>
      </c>
      <c r="F53" t="s">
        <v>300</v>
      </c>
      <c r="G53" t="s">
        <v>238</v>
      </c>
      <c r="H53" t="s">
        <v>186</v>
      </c>
      <c r="I53" t="s">
        <v>187</v>
      </c>
      <c r="K53" t="s">
        <v>189</v>
      </c>
      <c r="L53" t="s">
        <v>209</v>
      </c>
      <c r="M53" t="str">
        <f t="shared" si="0"/>
        <v>Point + buffer</v>
      </c>
      <c r="N53">
        <v>300</v>
      </c>
      <c r="O53" s="2">
        <f>COUNTIFS(attestations!$B$2:$B$5000,$A53,attestations!$T$2:$T$5000,"&lt;&gt;Retracted",attestations!$D$2:$D$5000,"&lt;&gt;Negative*")</f>
        <v>10</v>
      </c>
      <c r="P53" s="2">
        <f>COUNTIFS(attestations!$B$2:$B$5000,$A53,attestations!$T$2:$T$5000,"&lt;&gt;Retracted",attestations!$D$2:$D$5000,"&lt;&gt;Negative*",attestations!$R$2:$R$5000,"Map")</f>
        <v>1</v>
      </c>
      <c r="Q53" s="2">
        <f>COUNTIFS(attestations!$B$2:$B$5000,$A53,attestations!$T$2:$T$5000,"&lt;&gt;Retracted",attestations!$D$2:$D$5000,"&lt;&gt;Negative*",attestations!$R$2:$R$5000,"Image")</f>
        <v>1</v>
      </c>
      <c r="R53" s="2">
        <f>COUNTIFS(attestations!$B$2:$B$5000,$A53,attestations!$T$2:$T$5000,"&lt;&gt;Retracted",attestations!$D$2:$D$5000,"&lt;&gt;Negative*",attestations!$R$2:$R$5000,"Textual")</f>
        <v>7</v>
      </c>
      <c r="S53" s="2">
        <f>COUNTIFS(attestations!$B$2:$B$5000,$A53,attestations!$T$2:$T$5000,"&lt;&gt;Retracted",attestations!$D$2:$D$5000,"Geometry (Setting)")</f>
        <v>1</v>
      </c>
      <c r="T53" s="2" t="str">
        <f t="shared" si="1"/>
        <v>High</v>
      </c>
      <c r="U53" s="2" t="str">
        <f>IF(COUNTIFS(attestations!$B$2:$B$5000,$A53,attestations!$T$2:$T$5000,"&lt;&gt;Retracted",attestations!$I$2:$I$5000,"Georeferenced map GCP")&gt;0,"Y","N")</f>
        <v>Y</v>
      </c>
      <c r="V53" t="s">
        <v>191</v>
      </c>
      <c r="X53" t="s">
        <v>427</v>
      </c>
      <c r="Y53" t="s">
        <v>193</v>
      </c>
      <c r="AA53" t="s">
        <v>428</v>
      </c>
      <c r="AB53">
        <f>IF(A53="","",SUMIFS(attestations!$U$2:$U$5000,attestations!$B$2:$B$5000,A53))</f>
        <v>9</v>
      </c>
    </row>
    <row r="54" spans="1:28" x14ac:dyDescent="0.2">
      <c r="A54" t="s">
        <v>429</v>
      </c>
      <c r="B54" t="s">
        <v>430</v>
      </c>
      <c r="D54" t="s">
        <v>207</v>
      </c>
      <c r="E54" t="s">
        <v>208</v>
      </c>
      <c r="F54" t="s">
        <v>208</v>
      </c>
      <c r="G54" t="s">
        <v>314</v>
      </c>
      <c r="H54" t="s">
        <v>186</v>
      </c>
      <c r="I54" t="s">
        <v>431</v>
      </c>
      <c r="K54" t="s">
        <v>208</v>
      </c>
      <c r="L54" t="s">
        <v>208</v>
      </c>
      <c r="M54" t="str">
        <f t="shared" si="0"/>
        <v>Unplotted (unlocated panel)</v>
      </c>
      <c r="O54" s="2">
        <f>COUNTIFS(attestations!$B$2:$B$5000,$A54,attestations!$T$2:$T$5000,"&lt;&gt;Retracted",attestations!$D$2:$D$5000,"&lt;&gt;Negative*")</f>
        <v>11</v>
      </c>
      <c r="P54" s="2">
        <f>COUNTIFS(attestations!$B$2:$B$5000,$A54,attestations!$T$2:$T$5000,"&lt;&gt;Retracted",attestations!$D$2:$D$5000,"&lt;&gt;Negative*",attestations!$R$2:$R$5000,"Map")</f>
        <v>4</v>
      </c>
      <c r="Q54" s="2">
        <f>COUNTIFS(attestations!$B$2:$B$5000,$A54,attestations!$T$2:$T$5000,"&lt;&gt;Retracted",attestations!$D$2:$D$5000,"&lt;&gt;Negative*",attestations!$R$2:$R$5000,"Image")</f>
        <v>1</v>
      </c>
      <c r="R54" s="2">
        <f>COUNTIFS(attestations!$B$2:$B$5000,$A54,attestations!$T$2:$T$5000,"&lt;&gt;Retracted",attestations!$D$2:$D$5000,"&lt;&gt;Negative*",attestations!$R$2:$R$5000,"Textual")</f>
        <v>6</v>
      </c>
      <c r="S54" s="2">
        <f>COUNTIFS(attestations!$B$2:$B$5000,$A54,attestations!$T$2:$T$5000,"&lt;&gt;Retracted",attestations!$D$2:$D$5000,"Geometry (Setting)")</f>
        <v>1</v>
      </c>
      <c r="T54" s="2" t="str">
        <f t="shared" si="1"/>
        <v>High</v>
      </c>
      <c r="U54" s="2" t="str">
        <f>IF(COUNTIFS(attestations!$B$2:$B$5000,$A54,attestations!$T$2:$T$5000,"&lt;&gt;Retracted",attestations!$I$2:$I$5000,"Georeferenced map GCP")&gt;0,"Y","N")</f>
        <v>Y</v>
      </c>
      <c r="V54" t="s">
        <v>191</v>
      </c>
      <c r="X54" t="s">
        <v>432</v>
      </c>
      <c r="Y54" t="s">
        <v>193</v>
      </c>
      <c r="AB54">
        <f>IF(A54="","",SUMIFS(attestations!$U$2:$U$5000,attestations!$B$2:$B$5000,A54))</f>
        <v>10</v>
      </c>
    </row>
    <row r="55" spans="1:28" x14ac:dyDescent="0.2">
      <c r="A55" t="s">
        <v>433</v>
      </c>
      <c r="B55" t="s">
        <v>434</v>
      </c>
      <c r="D55" t="s">
        <v>207</v>
      </c>
      <c r="E55" t="s">
        <v>208</v>
      </c>
      <c r="F55" t="s">
        <v>208</v>
      </c>
      <c r="G55" t="s">
        <v>300</v>
      </c>
      <c r="H55" t="s">
        <v>186</v>
      </c>
      <c r="K55" t="s">
        <v>208</v>
      </c>
      <c r="L55" t="s">
        <v>209</v>
      </c>
      <c r="M55" t="str">
        <f t="shared" si="0"/>
        <v>Point + buffer</v>
      </c>
      <c r="N55">
        <v>250</v>
      </c>
      <c r="O55" s="2">
        <f>COUNTIFS(attestations!$B$2:$B$5000,$A55,attestations!$T$2:$T$5000,"&lt;&gt;Retracted",attestations!$D$2:$D$5000,"&lt;&gt;Negative*")</f>
        <v>17</v>
      </c>
      <c r="P55" s="2">
        <f>COUNTIFS(attestations!$B$2:$B$5000,$A55,attestations!$T$2:$T$5000,"&lt;&gt;Retracted",attestations!$D$2:$D$5000,"&lt;&gt;Negative*",attestations!$R$2:$R$5000,"Map")</f>
        <v>10</v>
      </c>
      <c r="Q55" s="2">
        <f>COUNTIFS(attestations!$B$2:$B$5000,$A55,attestations!$T$2:$T$5000,"&lt;&gt;Retracted",attestations!$D$2:$D$5000,"&lt;&gt;Negative*",attestations!$R$2:$R$5000,"Image")</f>
        <v>1</v>
      </c>
      <c r="R55" s="2">
        <f>COUNTIFS(attestations!$B$2:$B$5000,$A55,attestations!$T$2:$T$5000,"&lt;&gt;Retracted",attestations!$D$2:$D$5000,"&lt;&gt;Negative*",attestations!$R$2:$R$5000,"Textual")</f>
        <v>6</v>
      </c>
      <c r="S55" s="2">
        <f>COUNTIFS(attestations!$B$2:$B$5000,$A55,attestations!$T$2:$T$5000,"&lt;&gt;Retracted",attestations!$D$2:$D$5000,"Geometry (Setting)")</f>
        <v>6</v>
      </c>
      <c r="T55" s="2" t="str">
        <f t="shared" si="1"/>
        <v>High</v>
      </c>
      <c r="U55" s="2" t="str">
        <f>IF(COUNTIFS(attestations!$B$2:$B$5000,$A55,attestations!$T$2:$T$5000,"&lt;&gt;Retracted",attestations!$I$2:$I$5000,"Georeferenced map GCP")&gt;0,"Y","N")</f>
        <v>Y</v>
      </c>
      <c r="V55" t="s">
        <v>191</v>
      </c>
      <c r="X55" t="s">
        <v>435</v>
      </c>
      <c r="Y55" t="s">
        <v>193</v>
      </c>
      <c r="AB55">
        <f>IF(A55="","",SUMIFS(attestations!$U$2:$U$5000,attestations!$B$2:$B$5000,A55))</f>
        <v>16</v>
      </c>
    </row>
    <row r="56" spans="1:28" x14ac:dyDescent="0.2">
      <c r="A56" t="s">
        <v>436</v>
      </c>
      <c r="B56" t="s">
        <v>437</v>
      </c>
      <c r="D56" t="s">
        <v>207</v>
      </c>
      <c r="E56" t="s">
        <v>208</v>
      </c>
      <c r="F56" t="s">
        <v>208</v>
      </c>
      <c r="G56" t="s">
        <v>300</v>
      </c>
      <c r="H56" t="s">
        <v>186</v>
      </c>
      <c r="K56" t="s">
        <v>208</v>
      </c>
      <c r="L56" t="s">
        <v>208</v>
      </c>
      <c r="M56" t="str">
        <f t="shared" si="0"/>
        <v>Unplotted (unlocated panel)</v>
      </c>
      <c r="O56" s="2">
        <f>COUNTIFS(attestations!$B$2:$B$5000,$A56,attestations!$T$2:$T$5000,"&lt;&gt;Retracted",attestations!$D$2:$D$5000,"&lt;&gt;Negative*")</f>
        <v>9</v>
      </c>
      <c r="P56" s="2">
        <f>COUNTIFS(attestations!$B$2:$B$5000,$A56,attestations!$T$2:$T$5000,"&lt;&gt;Retracted",attestations!$D$2:$D$5000,"&lt;&gt;Negative*",attestations!$R$2:$R$5000,"Map")</f>
        <v>2</v>
      </c>
      <c r="Q56" s="2">
        <f>COUNTIFS(attestations!$B$2:$B$5000,$A56,attestations!$T$2:$T$5000,"&lt;&gt;Retracted",attestations!$D$2:$D$5000,"&lt;&gt;Negative*",attestations!$R$2:$R$5000,"Image")</f>
        <v>0</v>
      </c>
      <c r="R56" s="2">
        <f>COUNTIFS(attestations!$B$2:$B$5000,$A56,attestations!$T$2:$T$5000,"&lt;&gt;Retracted",attestations!$D$2:$D$5000,"&lt;&gt;Negative*",attestations!$R$2:$R$5000,"Textual")</f>
        <v>7</v>
      </c>
      <c r="S56" s="2">
        <f>COUNTIFS(attestations!$B$2:$B$5000,$A56,attestations!$T$2:$T$5000,"&lt;&gt;Retracted",attestations!$D$2:$D$5000,"Geometry (Setting)")</f>
        <v>0</v>
      </c>
      <c r="T56" s="2" t="str">
        <f t="shared" si="1"/>
        <v>Medium</v>
      </c>
      <c r="U56" s="2" t="str">
        <f>IF(COUNTIFS(attestations!$B$2:$B$5000,$A56,attestations!$T$2:$T$5000,"&lt;&gt;Retracted",attestations!$I$2:$I$5000,"Georeferenced map GCP")&gt;0,"Y","N")</f>
        <v>N</v>
      </c>
      <c r="V56" t="s">
        <v>191</v>
      </c>
      <c r="X56" t="s">
        <v>438</v>
      </c>
      <c r="Y56" t="s">
        <v>193</v>
      </c>
      <c r="AB56">
        <f>IF(A56="","",SUMIFS(attestations!$U$2:$U$5000,attestations!$B$2:$B$5000,A56))</f>
        <v>8</v>
      </c>
    </row>
    <row r="57" spans="1:28" x14ac:dyDescent="0.2">
      <c r="A57" t="s">
        <v>439</v>
      </c>
      <c r="B57" t="s">
        <v>440</v>
      </c>
      <c r="D57" t="s">
        <v>193</v>
      </c>
      <c r="E57" t="s">
        <v>307</v>
      </c>
      <c r="F57" t="s">
        <v>300</v>
      </c>
      <c r="G57" t="s">
        <v>249</v>
      </c>
      <c r="H57" t="s">
        <v>250</v>
      </c>
      <c r="I57" t="s">
        <v>381</v>
      </c>
      <c r="K57" t="s">
        <v>189</v>
      </c>
      <c r="L57" t="s">
        <v>208</v>
      </c>
      <c r="M57" t="str">
        <f t="shared" si="0"/>
        <v>Unplotted (unlocated panel)</v>
      </c>
      <c r="O57" s="2">
        <f>COUNTIFS(attestations!$B$2:$B$5000,$A57,attestations!$T$2:$T$5000,"&lt;&gt;Retracted",attestations!$D$2:$D$5000,"&lt;&gt;Negative*")</f>
        <v>8</v>
      </c>
      <c r="P57" s="2">
        <f>COUNTIFS(attestations!$B$2:$B$5000,$A57,attestations!$T$2:$T$5000,"&lt;&gt;Retracted",attestations!$D$2:$D$5000,"&lt;&gt;Negative*",attestations!$R$2:$R$5000,"Map")</f>
        <v>3</v>
      </c>
      <c r="Q57" s="2">
        <f>COUNTIFS(attestations!$B$2:$B$5000,$A57,attestations!$T$2:$T$5000,"&lt;&gt;Retracted",attestations!$D$2:$D$5000,"&lt;&gt;Negative*",attestations!$R$2:$R$5000,"Image")</f>
        <v>1</v>
      </c>
      <c r="R57" s="2">
        <f>COUNTIFS(attestations!$B$2:$B$5000,$A57,attestations!$T$2:$T$5000,"&lt;&gt;Retracted",attestations!$D$2:$D$5000,"&lt;&gt;Negative*",attestations!$R$2:$R$5000,"Textual")</f>
        <v>4</v>
      </c>
      <c r="S57" s="2">
        <f>COUNTIFS(attestations!$B$2:$B$5000,$A57,attestations!$T$2:$T$5000,"&lt;&gt;Retracted",attestations!$D$2:$D$5000,"Geometry (Setting)")</f>
        <v>2</v>
      </c>
      <c r="T57" s="2" t="str">
        <f t="shared" si="1"/>
        <v>Medium</v>
      </c>
      <c r="U57" s="2" t="str">
        <f>IF(COUNTIFS(attestations!$B$2:$B$5000,$A57,attestations!$T$2:$T$5000,"&lt;&gt;Retracted",attestations!$I$2:$I$5000,"Georeferenced map GCP")&gt;0,"Y","N")</f>
        <v>N</v>
      </c>
      <c r="V57" t="s">
        <v>191</v>
      </c>
      <c r="W57" t="s">
        <v>209</v>
      </c>
      <c r="X57" t="s">
        <v>441</v>
      </c>
      <c r="Y57" t="s">
        <v>193</v>
      </c>
      <c r="AA57" t="s">
        <v>442</v>
      </c>
      <c r="AB57">
        <f>IF(A57="","",SUMIFS(attestations!$U$2:$U$5000,attestations!$B$2:$B$5000,A57))</f>
        <v>8</v>
      </c>
    </row>
    <row r="58" spans="1:28" x14ac:dyDescent="0.2">
      <c r="A58" t="s">
        <v>443</v>
      </c>
      <c r="B58" t="s">
        <v>444</v>
      </c>
      <c r="D58" t="s">
        <v>196</v>
      </c>
      <c r="E58" t="s">
        <v>236</v>
      </c>
      <c r="F58" t="s">
        <v>300</v>
      </c>
      <c r="G58" t="s">
        <v>185</v>
      </c>
      <c r="H58" t="s">
        <v>186</v>
      </c>
      <c r="I58" t="s">
        <v>197</v>
      </c>
      <c r="J58" t="s">
        <v>445</v>
      </c>
      <c r="K58" t="s">
        <v>189</v>
      </c>
      <c r="L58" t="s">
        <v>209</v>
      </c>
      <c r="M58" t="str">
        <f t="shared" si="0"/>
        <v>Point + buffer</v>
      </c>
      <c r="N58">
        <v>300</v>
      </c>
      <c r="O58" s="2">
        <f>COUNTIFS(attestations!$B$2:$B$5000,$A58,attestations!$T$2:$T$5000,"&lt;&gt;Retracted",attestations!$D$2:$D$5000,"&lt;&gt;Negative*")</f>
        <v>16</v>
      </c>
      <c r="P58" s="2">
        <f>COUNTIFS(attestations!$B$2:$B$5000,$A58,attestations!$T$2:$T$5000,"&lt;&gt;Retracted",attestations!$D$2:$D$5000,"&lt;&gt;Negative*",attestations!$R$2:$R$5000,"Map")</f>
        <v>9</v>
      </c>
      <c r="Q58" s="2">
        <f>COUNTIFS(attestations!$B$2:$B$5000,$A58,attestations!$T$2:$T$5000,"&lt;&gt;Retracted",attestations!$D$2:$D$5000,"&lt;&gt;Negative*",attestations!$R$2:$R$5000,"Image")</f>
        <v>1</v>
      </c>
      <c r="R58" s="2">
        <f>COUNTIFS(attestations!$B$2:$B$5000,$A58,attestations!$T$2:$T$5000,"&lt;&gt;Retracted",attestations!$D$2:$D$5000,"&lt;&gt;Negative*",attestations!$R$2:$R$5000,"Textual")</f>
        <v>6</v>
      </c>
      <c r="S58" s="2">
        <f>COUNTIFS(attestations!$B$2:$B$5000,$A58,attestations!$T$2:$T$5000,"&lt;&gt;Retracted",attestations!$D$2:$D$5000,"Geometry (Setting)")</f>
        <v>2</v>
      </c>
      <c r="T58" s="2" t="str">
        <f t="shared" si="1"/>
        <v>High</v>
      </c>
      <c r="U58" s="2" t="str">
        <f>IF(COUNTIFS(attestations!$B$2:$B$5000,$A58,attestations!$T$2:$T$5000,"&lt;&gt;Retracted",attestations!$I$2:$I$5000,"Georeferenced map GCP")&gt;0,"Y","N")</f>
        <v>Y</v>
      </c>
      <c r="V58" t="s">
        <v>191</v>
      </c>
      <c r="W58" t="s">
        <v>203</v>
      </c>
      <c r="X58" t="s">
        <v>446</v>
      </c>
      <c r="Y58" t="s">
        <v>193</v>
      </c>
      <c r="AB58">
        <f>IF(A58="","",SUMIFS(attestations!$U$2:$U$5000,attestations!$B$2:$B$5000,A58))</f>
        <v>16</v>
      </c>
    </row>
    <row r="59" spans="1:28" x14ac:dyDescent="0.2">
      <c r="A59" t="s">
        <v>447</v>
      </c>
      <c r="B59" t="s">
        <v>448</v>
      </c>
      <c r="C59" t="s">
        <v>449</v>
      </c>
      <c r="D59" t="s">
        <v>271</v>
      </c>
      <c r="E59" t="s">
        <v>307</v>
      </c>
      <c r="F59" t="s">
        <v>300</v>
      </c>
      <c r="G59" t="s">
        <v>249</v>
      </c>
      <c r="H59" t="s">
        <v>223</v>
      </c>
      <c r="I59" t="s">
        <v>409</v>
      </c>
      <c r="K59" t="s">
        <v>189</v>
      </c>
      <c r="L59" t="s">
        <v>209</v>
      </c>
      <c r="M59" t="str">
        <f t="shared" si="0"/>
        <v>Point + buffer</v>
      </c>
      <c r="N59">
        <v>300</v>
      </c>
      <c r="O59" s="2">
        <f>COUNTIFS(attestations!$B$2:$B$5000,$A59,attestations!$T$2:$T$5000,"&lt;&gt;Retracted",attestations!$D$2:$D$5000,"&lt;&gt;Negative*")</f>
        <v>15</v>
      </c>
      <c r="P59" s="2">
        <f>COUNTIFS(attestations!$B$2:$B$5000,$A59,attestations!$T$2:$T$5000,"&lt;&gt;Retracted",attestations!$D$2:$D$5000,"&lt;&gt;Negative*",attestations!$R$2:$R$5000,"Map")</f>
        <v>9</v>
      </c>
      <c r="Q59" s="2">
        <f>COUNTIFS(attestations!$B$2:$B$5000,$A59,attestations!$T$2:$T$5000,"&lt;&gt;Retracted",attestations!$D$2:$D$5000,"&lt;&gt;Negative*",attestations!$R$2:$R$5000,"Image")</f>
        <v>1</v>
      </c>
      <c r="R59" s="2">
        <f>COUNTIFS(attestations!$B$2:$B$5000,$A59,attestations!$T$2:$T$5000,"&lt;&gt;Retracted",attestations!$D$2:$D$5000,"&lt;&gt;Negative*",attestations!$R$2:$R$5000,"Textual")</f>
        <v>5</v>
      </c>
      <c r="S59" s="2">
        <f>COUNTIFS(attestations!$B$2:$B$5000,$A59,attestations!$T$2:$T$5000,"&lt;&gt;Retracted",attestations!$D$2:$D$5000,"Geometry (Setting)")</f>
        <v>2</v>
      </c>
      <c r="T59" s="2" t="str">
        <f t="shared" si="1"/>
        <v>High</v>
      </c>
      <c r="U59" s="2" t="str">
        <f>IF(COUNTIFS(attestations!$B$2:$B$5000,$A59,attestations!$T$2:$T$5000,"&lt;&gt;Retracted",attestations!$I$2:$I$5000,"Georeferenced map GCP")&gt;0,"Y","N")</f>
        <v>Y</v>
      </c>
      <c r="V59" t="s">
        <v>191</v>
      </c>
      <c r="W59" t="s">
        <v>209</v>
      </c>
      <c r="X59" t="s">
        <v>450</v>
      </c>
      <c r="Y59" t="s">
        <v>275</v>
      </c>
      <c r="AA59" t="s">
        <v>451</v>
      </c>
      <c r="AB59">
        <f>IF(A59="","",SUMIFS(attestations!$U$2:$U$5000,attestations!$B$2:$B$5000,A59))</f>
        <v>13</v>
      </c>
    </row>
    <row r="60" spans="1:28" x14ac:dyDescent="0.2">
      <c r="A60" t="s">
        <v>452</v>
      </c>
      <c r="B60" t="s">
        <v>453</v>
      </c>
      <c r="D60" t="s">
        <v>182</v>
      </c>
      <c r="E60" t="s">
        <v>208</v>
      </c>
      <c r="F60" t="s">
        <v>208</v>
      </c>
      <c r="G60" t="s">
        <v>314</v>
      </c>
      <c r="H60" t="s">
        <v>223</v>
      </c>
      <c r="I60" t="s">
        <v>454</v>
      </c>
      <c r="K60" t="s">
        <v>189</v>
      </c>
      <c r="L60" t="s">
        <v>209</v>
      </c>
      <c r="M60" t="str">
        <f t="shared" si="0"/>
        <v>Point + buffer</v>
      </c>
      <c r="N60">
        <v>150</v>
      </c>
      <c r="O60" s="2">
        <f>COUNTIFS(attestations!$B$2:$B$5000,$A60,attestations!$T$2:$T$5000,"&lt;&gt;Retracted",attestations!$D$2:$D$5000,"&lt;&gt;Negative*")</f>
        <v>6</v>
      </c>
      <c r="P60" s="2">
        <f>COUNTIFS(attestations!$B$2:$B$5000,$A60,attestations!$T$2:$T$5000,"&lt;&gt;Retracted",attestations!$D$2:$D$5000,"&lt;&gt;Negative*",attestations!$R$2:$R$5000,"Map")</f>
        <v>1</v>
      </c>
      <c r="Q60" s="2">
        <f>COUNTIFS(attestations!$B$2:$B$5000,$A60,attestations!$T$2:$T$5000,"&lt;&gt;Retracted",attestations!$D$2:$D$5000,"&lt;&gt;Negative*",attestations!$R$2:$R$5000,"Image")</f>
        <v>1</v>
      </c>
      <c r="R60" s="2">
        <f>COUNTIFS(attestations!$B$2:$B$5000,$A60,attestations!$T$2:$T$5000,"&lt;&gt;Retracted",attestations!$D$2:$D$5000,"&lt;&gt;Negative*",attestations!$R$2:$R$5000,"Textual")</f>
        <v>4</v>
      </c>
      <c r="S60" s="2">
        <f>COUNTIFS(attestations!$B$2:$B$5000,$A60,attestations!$T$2:$T$5000,"&lt;&gt;Retracted",attestations!$D$2:$D$5000,"Geometry (Setting)")</f>
        <v>1</v>
      </c>
      <c r="T60" s="2" t="str">
        <f t="shared" si="1"/>
        <v>Medium</v>
      </c>
      <c r="U60" s="2" t="str">
        <f>IF(COUNTIFS(attestations!$B$2:$B$5000,$A60,attestations!$T$2:$T$5000,"&lt;&gt;Retracted",attestations!$I$2:$I$5000,"Georeferenced map GCP")&gt;0,"Y","N")</f>
        <v>Y</v>
      </c>
      <c r="V60" t="s">
        <v>191</v>
      </c>
      <c r="W60" t="s">
        <v>209</v>
      </c>
      <c r="X60" t="s">
        <v>455</v>
      </c>
      <c r="Y60" t="s">
        <v>193</v>
      </c>
      <c r="AB60">
        <f>IF(A60="","",SUMIFS(attestations!$U$2:$U$5000,attestations!$B$2:$B$5000,A60))</f>
        <v>6</v>
      </c>
    </row>
    <row r="61" spans="1:28" x14ac:dyDescent="0.2">
      <c r="A61" t="s">
        <v>456</v>
      </c>
      <c r="B61" t="s">
        <v>457</v>
      </c>
      <c r="C61" t="s">
        <v>458</v>
      </c>
      <c r="D61" t="s">
        <v>182</v>
      </c>
      <c r="E61" t="s">
        <v>307</v>
      </c>
      <c r="F61" t="s">
        <v>300</v>
      </c>
      <c r="G61" t="s">
        <v>314</v>
      </c>
      <c r="H61" t="s">
        <v>223</v>
      </c>
      <c r="I61" t="s">
        <v>401</v>
      </c>
      <c r="K61" t="s">
        <v>189</v>
      </c>
      <c r="L61" t="s">
        <v>209</v>
      </c>
      <c r="M61" t="str">
        <f t="shared" si="0"/>
        <v>Point + buffer</v>
      </c>
      <c r="N61">
        <v>150</v>
      </c>
      <c r="O61" s="2">
        <f>COUNTIFS(attestations!$B$2:$B$5000,$A61,attestations!$T$2:$T$5000,"&lt;&gt;Retracted",attestations!$D$2:$D$5000,"&lt;&gt;Negative*")</f>
        <v>12</v>
      </c>
      <c r="P61" s="2">
        <f>COUNTIFS(attestations!$B$2:$B$5000,$A61,attestations!$T$2:$T$5000,"&lt;&gt;Retracted",attestations!$D$2:$D$5000,"&lt;&gt;Negative*",attestations!$R$2:$R$5000,"Map")</f>
        <v>6</v>
      </c>
      <c r="Q61" s="2">
        <f>COUNTIFS(attestations!$B$2:$B$5000,$A61,attestations!$T$2:$T$5000,"&lt;&gt;Retracted",attestations!$D$2:$D$5000,"&lt;&gt;Negative*",attestations!$R$2:$R$5000,"Image")</f>
        <v>1</v>
      </c>
      <c r="R61" s="2">
        <f>COUNTIFS(attestations!$B$2:$B$5000,$A61,attestations!$T$2:$T$5000,"&lt;&gt;Retracted",attestations!$D$2:$D$5000,"&lt;&gt;Negative*",attestations!$R$2:$R$5000,"Textual")</f>
        <v>5</v>
      </c>
      <c r="S61" s="2">
        <f>COUNTIFS(attestations!$B$2:$B$5000,$A61,attestations!$T$2:$T$5000,"&lt;&gt;Retracted",attestations!$D$2:$D$5000,"Geometry (Setting)")</f>
        <v>2</v>
      </c>
      <c r="T61" s="2" t="str">
        <f t="shared" si="1"/>
        <v>High</v>
      </c>
      <c r="U61" s="2" t="str">
        <f>IF(COUNTIFS(attestations!$B$2:$B$5000,$A61,attestations!$T$2:$T$5000,"&lt;&gt;Retracted",attestations!$I$2:$I$5000,"Georeferenced map GCP")&gt;0,"Y","N")</f>
        <v>Y</v>
      </c>
      <c r="V61" t="s">
        <v>191</v>
      </c>
      <c r="W61" t="s">
        <v>209</v>
      </c>
      <c r="X61" t="s">
        <v>459</v>
      </c>
      <c r="Y61" t="s">
        <v>193</v>
      </c>
      <c r="AA61" t="s">
        <v>460</v>
      </c>
      <c r="AB61">
        <f>IF(A61="","",SUMIFS(attestations!$U$2:$U$5000,attestations!$B$2:$B$5000,A61))</f>
        <v>10</v>
      </c>
    </row>
    <row r="62" spans="1:28" x14ac:dyDescent="0.2">
      <c r="A62" t="s">
        <v>461</v>
      </c>
      <c r="B62" t="s">
        <v>462</v>
      </c>
      <c r="D62" t="s">
        <v>196</v>
      </c>
      <c r="E62" t="s">
        <v>236</v>
      </c>
      <c r="F62" t="s">
        <v>300</v>
      </c>
      <c r="G62" t="s">
        <v>320</v>
      </c>
      <c r="H62" t="s">
        <v>290</v>
      </c>
      <c r="I62" t="s">
        <v>463</v>
      </c>
      <c r="K62" t="s">
        <v>189</v>
      </c>
      <c r="L62" t="s">
        <v>209</v>
      </c>
      <c r="M62" t="str">
        <f t="shared" si="0"/>
        <v>Point + buffer</v>
      </c>
      <c r="N62">
        <v>250</v>
      </c>
      <c r="O62" s="2">
        <f>COUNTIFS(attestations!$B$2:$B$5000,$A62,attestations!$T$2:$T$5000,"&lt;&gt;Retracted",attestations!$D$2:$D$5000,"&lt;&gt;Negative*")</f>
        <v>9</v>
      </c>
      <c r="P62" s="2">
        <f>COUNTIFS(attestations!$B$2:$B$5000,$A62,attestations!$T$2:$T$5000,"&lt;&gt;Retracted",attestations!$D$2:$D$5000,"&lt;&gt;Negative*",attestations!$R$2:$R$5000,"Map")</f>
        <v>4</v>
      </c>
      <c r="Q62" s="2">
        <f>COUNTIFS(attestations!$B$2:$B$5000,$A62,attestations!$T$2:$T$5000,"&lt;&gt;Retracted",attestations!$D$2:$D$5000,"&lt;&gt;Negative*",attestations!$R$2:$R$5000,"Image")</f>
        <v>1</v>
      </c>
      <c r="R62" s="2">
        <f>COUNTIFS(attestations!$B$2:$B$5000,$A62,attestations!$T$2:$T$5000,"&lt;&gt;Retracted",attestations!$D$2:$D$5000,"&lt;&gt;Negative*",attestations!$R$2:$R$5000,"Textual")</f>
        <v>4</v>
      </c>
      <c r="S62" s="2">
        <f>COUNTIFS(attestations!$B$2:$B$5000,$A62,attestations!$T$2:$T$5000,"&lt;&gt;Retracted",attestations!$D$2:$D$5000,"Geometry (Setting)")</f>
        <v>2</v>
      </c>
      <c r="T62" s="2" t="str">
        <f t="shared" si="1"/>
        <v>Medium</v>
      </c>
      <c r="U62" s="2" t="str">
        <f>IF(COUNTIFS(attestations!$B$2:$B$5000,$A62,attestations!$T$2:$T$5000,"&lt;&gt;Retracted",attestations!$I$2:$I$5000,"Georeferenced map GCP")&gt;0,"Y","N")</f>
        <v>Y</v>
      </c>
      <c r="V62" t="s">
        <v>191</v>
      </c>
      <c r="W62" t="s">
        <v>203</v>
      </c>
      <c r="X62" t="s">
        <v>464</v>
      </c>
      <c r="Y62" t="s">
        <v>193</v>
      </c>
      <c r="AB62">
        <f>IF(A62="","",SUMIFS(attestations!$U$2:$U$5000,attestations!$B$2:$B$5000,A62))</f>
        <v>8</v>
      </c>
    </row>
    <row r="63" spans="1:28" x14ac:dyDescent="0.2">
      <c r="A63" t="s">
        <v>465</v>
      </c>
      <c r="B63" t="s">
        <v>466</v>
      </c>
      <c r="D63" t="s">
        <v>196</v>
      </c>
      <c r="E63" t="s">
        <v>236</v>
      </c>
      <c r="F63" t="s">
        <v>300</v>
      </c>
      <c r="G63" t="s">
        <v>238</v>
      </c>
      <c r="H63" t="s">
        <v>223</v>
      </c>
      <c r="I63" t="s">
        <v>409</v>
      </c>
      <c r="K63" t="s">
        <v>208</v>
      </c>
      <c r="L63" t="s">
        <v>190</v>
      </c>
      <c r="M63" t="str">
        <f t="shared" si="0"/>
        <v>Translucent area</v>
      </c>
      <c r="N63">
        <v>400</v>
      </c>
      <c r="O63" s="2">
        <f>COUNTIFS(attestations!$B$2:$B$5000,$A63,attestations!$T$2:$T$5000,"&lt;&gt;Retracted",attestations!$D$2:$D$5000,"&lt;&gt;Negative*")</f>
        <v>8</v>
      </c>
      <c r="P63" s="2">
        <f>COUNTIFS(attestations!$B$2:$B$5000,$A63,attestations!$T$2:$T$5000,"&lt;&gt;Retracted",attestations!$D$2:$D$5000,"&lt;&gt;Negative*",attestations!$R$2:$R$5000,"Map")</f>
        <v>3</v>
      </c>
      <c r="Q63" s="2">
        <f>COUNTIFS(attestations!$B$2:$B$5000,$A63,attestations!$T$2:$T$5000,"&lt;&gt;Retracted",attestations!$D$2:$D$5000,"&lt;&gt;Negative*",attestations!$R$2:$R$5000,"Image")</f>
        <v>1</v>
      </c>
      <c r="R63" s="2">
        <f>COUNTIFS(attestations!$B$2:$B$5000,$A63,attestations!$T$2:$T$5000,"&lt;&gt;Retracted",attestations!$D$2:$D$5000,"&lt;&gt;Negative*",attestations!$R$2:$R$5000,"Textual")</f>
        <v>4</v>
      </c>
      <c r="S63" s="2">
        <f>COUNTIFS(attestations!$B$2:$B$5000,$A63,attestations!$T$2:$T$5000,"&lt;&gt;Retracted",attestations!$D$2:$D$5000,"Geometry (Setting)")</f>
        <v>2</v>
      </c>
      <c r="T63" s="2" t="str">
        <f t="shared" si="1"/>
        <v>Medium</v>
      </c>
      <c r="U63" s="2" t="str">
        <f>IF(COUNTIFS(attestations!$B$2:$B$5000,$A63,attestations!$T$2:$T$5000,"&lt;&gt;Retracted",attestations!$I$2:$I$5000,"Georeferenced map GCP")&gt;0,"Y","N")</f>
        <v>Y</v>
      </c>
      <c r="V63" t="s">
        <v>191</v>
      </c>
      <c r="W63" t="s">
        <v>209</v>
      </c>
      <c r="X63" t="s">
        <v>467</v>
      </c>
      <c r="Y63" t="s">
        <v>193</v>
      </c>
      <c r="AB63">
        <f>IF(A63="","",SUMIFS(attestations!$U$2:$U$5000,attestations!$B$2:$B$5000,A63))</f>
        <v>7</v>
      </c>
    </row>
    <row r="64" spans="1:28" x14ac:dyDescent="0.2">
      <c r="A64" t="s">
        <v>468</v>
      </c>
      <c r="B64" t="s">
        <v>469</v>
      </c>
      <c r="D64" t="s">
        <v>256</v>
      </c>
      <c r="E64" t="s">
        <v>236</v>
      </c>
      <c r="F64" t="s">
        <v>300</v>
      </c>
      <c r="G64" t="s">
        <v>238</v>
      </c>
      <c r="H64" t="s">
        <v>290</v>
      </c>
      <c r="I64" t="s">
        <v>470</v>
      </c>
      <c r="K64" t="s">
        <v>189</v>
      </c>
      <c r="L64" t="s">
        <v>190</v>
      </c>
      <c r="M64" t="str">
        <f t="shared" si="0"/>
        <v>Translucent area</v>
      </c>
      <c r="N64">
        <v>400</v>
      </c>
      <c r="O64" s="2">
        <f>COUNTIFS(attestations!$B$2:$B$5000,$A64,attestations!$T$2:$T$5000,"&lt;&gt;Retracted",attestations!$D$2:$D$5000,"&lt;&gt;Negative*")</f>
        <v>13</v>
      </c>
      <c r="P64" s="2">
        <f>COUNTIFS(attestations!$B$2:$B$5000,$A64,attestations!$T$2:$T$5000,"&lt;&gt;Retracted",attestations!$D$2:$D$5000,"&lt;&gt;Negative*",attestations!$R$2:$R$5000,"Map")</f>
        <v>7</v>
      </c>
      <c r="Q64" s="2">
        <f>COUNTIFS(attestations!$B$2:$B$5000,$A64,attestations!$T$2:$T$5000,"&lt;&gt;Retracted",attestations!$D$2:$D$5000,"&lt;&gt;Negative*",attestations!$R$2:$R$5000,"Image")</f>
        <v>1</v>
      </c>
      <c r="R64" s="2">
        <f>COUNTIFS(attestations!$B$2:$B$5000,$A64,attestations!$T$2:$T$5000,"&lt;&gt;Retracted",attestations!$D$2:$D$5000,"&lt;&gt;Negative*",attestations!$R$2:$R$5000,"Textual")</f>
        <v>5</v>
      </c>
      <c r="S64" s="2">
        <f>COUNTIFS(attestations!$B$2:$B$5000,$A64,attestations!$T$2:$T$5000,"&lt;&gt;Retracted",attestations!$D$2:$D$5000,"Geometry (Setting)")</f>
        <v>3</v>
      </c>
      <c r="T64" s="2" t="str">
        <f t="shared" si="1"/>
        <v>High</v>
      </c>
      <c r="U64" s="2" t="str">
        <f>IF(COUNTIFS(attestations!$B$2:$B$5000,$A64,attestations!$T$2:$T$5000,"&lt;&gt;Retracted",attestations!$I$2:$I$5000,"Georeferenced map GCP")&gt;0,"Y","N")</f>
        <v>Y</v>
      </c>
      <c r="V64" t="s">
        <v>191</v>
      </c>
      <c r="W64" t="s">
        <v>209</v>
      </c>
      <c r="X64" t="s">
        <v>471</v>
      </c>
      <c r="Y64" t="s">
        <v>193</v>
      </c>
      <c r="AB64">
        <f>IF(A64="","",SUMIFS(attestations!$U$2:$U$5000,attestations!$B$2:$B$5000,A64))</f>
        <v>13</v>
      </c>
    </row>
    <row r="65" spans="1:28" x14ac:dyDescent="0.2">
      <c r="A65" t="s">
        <v>472</v>
      </c>
      <c r="B65" t="s">
        <v>473</v>
      </c>
      <c r="D65" t="s">
        <v>182</v>
      </c>
      <c r="E65" t="s">
        <v>208</v>
      </c>
      <c r="F65" t="s">
        <v>208</v>
      </c>
      <c r="G65" t="s">
        <v>314</v>
      </c>
      <c r="H65" t="s">
        <v>186</v>
      </c>
      <c r="K65" t="s">
        <v>208</v>
      </c>
      <c r="L65" t="s">
        <v>208</v>
      </c>
      <c r="M65" t="str">
        <f t="shared" si="0"/>
        <v>Unplotted (unlocated panel)</v>
      </c>
      <c r="O65" s="2">
        <f>COUNTIFS(attestations!$B$2:$B$5000,$A65,attestations!$T$2:$T$5000,"&lt;&gt;Retracted",attestations!$D$2:$D$5000,"&lt;&gt;Negative*")</f>
        <v>10</v>
      </c>
      <c r="P65" s="2">
        <f>COUNTIFS(attestations!$B$2:$B$5000,$A65,attestations!$T$2:$T$5000,"&lt;&gt;Retracted",attestations!$D$2:$D$5000,"&lt;&gt;Negative*",attestations!$R$2:$R$5000,"Map")</f>
        <v>4</v>
      </c>
      <c r="Q65" s="2">
        <f>COUNTIFS(attestations!$B$2:$B$5000,$A65,attestations!$T$2:$T$5000,"&lt;&gt;Retracted",attestations!$D$2:$D$5000,"&lt;&gt;Negative*",attestations!$R$2:$R$5000,"Image")</f>
        <v>1</v>
      </c>
      <c r="R65" s="2">
        <f>COUNTIFS(attestations!$B$2:$B$5000,$A65,attestations!$T$2:$T$5000,"&lt;&gt;Retracted",attestations!$D$2:$D$5000,"&lt;&gt;Negative*",attestations!$R$2:$R$5000,"Textual")</f>
        <v>5</v>
      </c>
      <c r="S65" s="2">
        <f>COUNTIFS(attestations!$B$2:$B$5000,$A65,attestations!$T$2:$T$5000,"&lt;&gt;Retracted",attestations!$D$2:$D$5000,"Geometry (Setting)")</f>
        <v>1</v>
      </c>
      <c r="T65" s="2" t="str">
        <f t="shared" si="1"/>
        <v>High</v>
      </c>
      <c r="U65" s="2" t="str">
        <f>IF(COUNTIFS(attestations!$B$2:$B$5000,$A65,attestations!$T$2:$T$5000,"&lt;&gt;Retracted",attestations!$I$2:$I$5000,"Georeferenced map GCP")&gt;0,"Y","N")</f>
        <v>Y</v>
      </c>
      <c r="V65" t="s">
        <v>191</v>
      </c>
      <c r="X65" t="s">
        <v>474</v>
      </c>
      <c r="Y65" t="s">
        <v>193</v>
      </c>
      <c r="AB65">
        <f>IF(A65="","",SUMIFS(attestations!$U$2:$U$5000,attestations!$B$2:$B$5000,A65))</f>
        <v>10</v>
      </c>
    </row>
    <row r="66" spans="1:28" x14ac:dyDescent="0.2">
      <c r="A66" t="s">
        <v>475</v>
      </c>
      <c r="B66" t="s">
        <v>476</v>
      </c>
      <c r="C66" t="s">
        <v>477</v>
      </c>
      <c r="D66" t="s">
        <v>196</v>
      </c>
      <c r="E66" t="s">
        <v>236</v>
      </c>
      <c r="F66" t="s">
        <v>300</v>
      </c>
      <c r="G66" t="s">
        <v>185</v>
      </c>
      <c r="H66" t="s">
        <v>223</v>
      </c>
      <c r="I66" t="s">
        <v>470</v>
      </c>
      <c r="J66" t="s">
        <v>478</v>
      </c>
      <c r="K66" t="s">
        <v>189</v>
      </c>
      <c r="L66" t="s">
        <v>209</v>
      </c>
      <c r="M66" t="str">
        <f t="shared" ref="M66:M129" si="2">IF($A66="","",IF($L66="High","Solid point",IF($L66="Medium","Point + buffer",IF($L66="Low","Translucent area",IF($L66="Disputed","Candidate points",IF($L66="Unknown","Unplotted (unlocated panel)","-"))))))</f>
        <v>Point + buffer</v>
      </c>
      <c r="N66">
        <v>250</v>
      </c>
      <c r="O66" s="2">
        <f>COUNTIFS(attestations!$B$2:$B$5000,$A66,attestations!$T$2:$T$5000,"&lt;&gt;Retracted",attestations!$D$2:$D$5000,"&lt;&gt;Negative*")</f>
        <v>6</v>
      </c>
      <c r="P66" s="2">
        <f>COUNTIFS(attestations!$B$2:$B$5000,$A66,attestations!$T$2:$T$5000,"&lt;&gt;Retracted",attestations!$D$2:$D$5000,"&lt;&gt;Negative*",attestations!$R$2:$R$5000,"Map")</f>
        <v>2</v>
      </c>
      <c r="Q66" s="2">
        <f>COUNTIFS(attestations!$B$2:$B$5000,$A66,attestations!$T$2:$T$5000,"&lt;&gt;Retracted",attestations!$D$2:$D$5000,"&lt;&gt;Negative*",attestations!$R$2:$R$5000,"Image")</f>
        <v>0</v>
      </c>
      <c r="R66" s="2">
        <f>COUNTIFS(attestations!$B$2:$B$5000,$A66,attestations!$T$2:$T$5000,"&lt;&gt;Retracted",attestations!$D$2:$D$5000,"&lt;&gt;Negative*",attestations!$R$2:$R$5000,"Textual")</f>
        <v>4</v>
      </c>
      <c r="S66" s="2">
        <f>COUNTIFS(attestations!$B$2:$B$5000,$A66,attestations!$T$2:$T$5000,"&lt;&gt;Retracted",attestations!$D$2:$D$5000,"Geometry (Setting)")</f>
        <v>2</v>
      </c>
      <c r="T66" s="2" t="str">
        <f t="shared" si="1"/>
        <v>Medium</v>
      </c>
      <c r="U66" s="2" t="str">
        <f>IF(COUNTIFS(attestations!$B$2:$B$5000,$A66,attestations!$T$2:$T$5000,"&lt;&gt;Retracted",attestations!$I$2:$I$5000,"Georeferenced map GCP")&gt;0,"Y","N")</f>
        <v>Y</v>
      </c>
      <c r="V66" t="s">
        <v>191</v>
      </c>
      <c r="W66" t="s">
        <v>203</v>
      </c>
      <c r="X66" t="s">
        <v>479</v>
      </c>
      <c r="Y66" t="s">
        <v>193</v>
      </c>
      <c r="AB66">
        <f>IF(A66="","",SUMIFS(attestations!$U$2:$U$5000,attestations!$B$2:$B$5000,A66))</f>
        <v>6</v>
      </c>
    </row>
    <row r="67" spans="1:28" x14ac:dyDescent="0.2">
      <c r="A67" t="s">
        <v>480</v>
      </c>
      <c r="B67" t="s">
        <v>481</v>
      </c>
      <c r="D67" t="s">
        <v>196</v>
      </c>
      <c r="E67" t="s">
        <v>183</v>
      </c>
      <c r="F67" t="s">
        <v>184</v>
      </c>
      <c r="G67" t="s">
        <v>185</v>
      </c>
      <c r="H67" t="s">
        <v>186</v>
      </c>
      <c r="J67" t="s">
        <v>482</v>
      </c>
      <c r="K67" t="s">
        <v>189</v>
      </c>
      <c r="L67" t="s">
        <v>208</v>
      </c>
      <c r="M67" t="str">
        <f t="shared" si="2"/>
        <v>Unplotted (unlocated panel)</v>
      </c>
      <c r="O67" s="2">
        <f>COUNTIFS(attestations!$B$2:$B$5000,$A67,attestations!$T$2:$T$5000,"&lt;&gt;Retracted",attestations!$D$2:$D$5000,"&lt;&gt;Negative*")</f>
        <v>10</v>
      </c>
      <c r="P67" s="2">
        <f>COUNTIFS(attestations!$B$2:$B$5000,$A67,attestations!$T$2:$T$5000,"&lt;&gt;Retracted",attestations!$D$2:$D$5000,"&lt;&gt;Negative*",attestations!$R$2:$R$5000,"Map")</f>
        <v>3</v>
      </c>
      <c r="Q67" s="2">
        <f>COUNTIFS(attestations!$B$2:$B$5000,$A67,attestations!$T$2:$T$5000,"&lt;&gt;Retracted",attestations!$D$2:$D$5000,"&lt;&gt;Negative*",attestations!$R$2:$R$5000,"Image")</f>
        <v>1</v>
      </c>
      <c r="R67" s="2">
        <f>COUNTIFS(attestations!$B$2:$B$5000,$A67,attestations!$T$2:$T$5000,"&lt;&gt;Retracted",attestations!$D$2:$D$5000,"&lt;&gt;Negative*",attestations!$R$2:$R$5000,"Textual")</f>
        <v>6</v>
      </c>
      <c r="S67" s="2">
        <f>COUNTIFS(attestations!$B$2:$B$5000,$A67,attestations!$T$2:$T$5000,"&lt;&gt;Retracted",attestations!$D$2:$D$5000,"Geometry (Setting)")</f>
        <v>0</v>
      </c>
      <c r="T67" s="2" t="str">
        <f t="shared" ref="T67:T130" si="3">IF(A67="","",IF(AB67&gt;=9,"High",IF(AB67&gt;=3,"Medium",IF(AB67&gt;=1,"Low","None"))))</f>
        <v>High</v>
      </c>
      <c r="U67" s="2" t="str">
        <f>IF(COUNTIFS(attestations!$B$2:$B$5000,$A67,attestations!$T$2:$T$5000,"&lt;&gt;Retracted",attestations!$I$2:$I$5000,"Georeferenced map GCP")&gt;0,"Y","N")</f>
        <v>N</v>
      </c>
      <c r="V67" t="s">
        <v>191</v>
      </c>
      <c r="W67" t="s">
        <v>203</v>
      </c>
      <c r="X67" t="s">
        <v>483</v>
      </c>
      <c r="Y67" t="s">
        <v>193</v>
      </c>
      <c r="AB67">
        <f>IF(A67="","",SUMIFS(attestations!$U$2:$U$5000,attestations!$B$2:$B$5000,A67))</f>
        <v>10</v>
      </c>
    </row>
    <row r="68" spans="1:28" x14ac:dyDescent="0.2">
      <c r="A68" t="s">
        <v>484</v>
      </c>
      <c r="B68" t="s">
        <v>485</v>
      </c>
      <c r="D68" t="s">
        <v>196</v>
      </c>
      <c r="E68" t="s">
        <v>236</v>
      </c>
      <c r="F68" t="s">
        <v>300</v>
      </c>
      <c r="G68" t="s">
        <v>185</v>
      </c>
      <c r="H68" t="s">
        <v>186</v>
      </c>
      <c r="K68" t="s">
        <v>208</v>
      </c>
      <c r="L68" t="s">
        <v>208</v>
      </c>
      <c r="M68" t="str">
        <f t="shared" si="2"/>
        <v>Unplotted (unlocated panel)</v>
      </c>
      <c r="O68" s="2">
        <f>COUNTIFS(attestations!$B$2:$B$5000,$A68,attestations!$T$2:$T$5000,"&lt;&gt;Retracted",attestations!$D$2:$D$5000,"&lt;&gt;Negative*")</f>
        <v>9</v>
      </c>
      <c r="P68" s="2">
        <f>COUNTIFS(attestations!$B$2:$B$5000,$A68,attestations!$T$2:$T$5000,"&lt;&gt;Retracted",attestations!$D$2:$D$5000,"&lt;&gt;Negative*",attestations!$R$2:$R$5000,"Map")</f>
        <v>4</v>
      </c>
      <c r="Q68" s="2">
        <f>COUNTIFS(attestations!$B$2:$B$5000,$A68,attestations!$T$2:$T$5000,"&lt;&gt;Retracted",attestations!$D$2:$D$5000,"&lt;&gt;Negative*",attestations!$R$2:$R$5000,"Image")</f>
        <v>1</v>
      </c>
      <c r="R68" s="2">
        <f>COUNTIFS(attestations!$B$2:$B$5000,$A68,attestations!$T$2:$T$5000,"&lt;&gt;Retracted",attestations!$D$2:$D$5000,"&lt;&gt;Negative*",attestations!$R$2:$R$5000,"Textual")</f>
        <v>4</v>
      </c>
      <c r="S68" s="2">
        <f>COUNTIFS(attestations!$B$2:$B$5000,$A68,attestations!$T$2:$T$5000,"&lt;&gt;Retracted",attestations!$D$2:$D$5000,"Geometry (Setting)")</f>
        <v>2</v>
      </c>
      <c r="T68" s="2" t="str">
        <f t="shared" si="3"/>
        <v>High</v>
      </c>
      <c r="U68" s="2" t="str">
        <f>IF(COUNTIFS(attestations!$B$2:$B$5000,$A68,attestations!$T$2:$T$5000,"&lt;&gt;Retracted",attestations!$I$2:$I$5000,"Georeferenced map GCP")&gt;0,"Y","N")</f>
        <v>Y</v>
      </c>
      <c r="V68" t="s">
        <v>191</v>
      </c>
      <c r="W68" t="s">
        <v>203</v>
      </c>
      <c r="X68" t="s">
        <v>486</v>
      </c>
      <c r="Y68" t="s">
        <v>193</v>
      </c>
      <c r="AB68">
        <f>IF(A68="","",SUMIFS(attestations!$U$2:$U$5000,attestations!$B$2:$B$5000,A68))</f>
        <v>9</v>
      </c>
    </row>
    <row r="69" spans="1:28" x14ac:dyDescent="0.2">
      <c r="A69" t="s">
        <v>487</v>
      </c>
      <c r="B69" t="s">
        <v>488</v>
      </c>
      <c r="D69" t="s">
        <v>207</v>
      </c>
      <c r="E69" t="s">
        <v>208</v>
      </c>
      <c r="F69" t="s">
        <v>208</v>
      </c>
      <c r="G69" t="s">
        <v>238</v>
      </c>
      <c r="H69" t="s">
        <v>223</v>
      </c>
      <c r="I69" t="s">
        <v>239</v>
      </c>
      <c r="K69" t="s">
        <v>208</v>
      </c>
      <c r="L69" t="s">
        <v>190</v>
      </c>
      <c r="M69" t="str">
        <f t="shared" si="2"/>
        <v>Translucent area</v>
      </c>
      <c r="N69">
        <v>400</v>
      </c>
      <c r="O69" s="2">
        <f>COUNTIFS(attestations!$B$2:$B$5000,$A69,attestations!$T$2:$T$5000,"&lt;&gt;Retracted",attestations!$D$2:$D$5000,"&lt;&gt;Negative*")</f>
        <v>7</v>
      </c>
      <c r="P69" s="2">
        <f>COUNTIFS(attestations!$B$2:$B$5000,$A69,attestations!$T$2:$T$5000,"&lt;&gt;Retracted",attestations!$D$2:$D$5000,"&lt;&gt;Negative*",attestations!$R$2:$R$5000,"Map")</f>
        <v>3</v>
      </c>
      <c r="Q69" s="2">
        <f>COUNTIFS(attestations!$B$2:$B$5000,$A69,attestations!$T$2:$T$5000,"&lt;&gt;Retracted",attestations!$D$2:$D$5000,"&lt;&gt;Negative*",attestations!$R$2:$R$5000,"Image")</f>
        <v>0</v>
      </c>
      <c r="R69" s="2">
        <f>COUNTIFS(attestations!$B$2:$B$5000,$A69,attestations!$T$2:$T$5000,"&lt;&gt;Retracted",attestations!$D$2:$D$5000,"&lt;&gt;Negative*",attestations!$R$2:$R$5000,"Textual")</f>
        <v>4</v>
      </c>
      <c r="S69" s="2">
        <f>COUNTIFS(attestations!$B$2:$B$5000,$A69,attestations!$T$2:$T$5000,"&lt;&gt;Retracted",attestations!$D$2:$D$5000,"Geometry (Setting)")</f>
        <v>3</v>
      </c>
      <c r="T69" s="2" t="str">
        <f t="shared" si="3"/>
        <v>Medium</v>
      </c>
      <c r="U69" s="2" t="str">
        <f>IF(COUNTIFS(attestations!$B$2:$B$5000,$A69,attestations!$T$2:$T$5000,"&lt;&gt;Retracted",attestations!$I$2:$I$5000,"Georeferenced map GCP")&gt;0,"Y","N")</f>
        <v>Y</v>
      </c>
      <c r="V69" t="s">
        <v>191</v>
      </c>
      <c r="W69" t="s">
        <v>209</v>
      </c>
      <c r="X69" t="s">
        <v>489</v>
      </c>
      <c r="Y69" t="s">
        <v>193</v>
      </c>
      <c r="AB69">
        <f>IF(A69="","",SUMIFS(attestations!$U$2:$U$5000,attestations!$B$2:$B$5000,A69))</f>
        <v>7</v>
      </c>
    </row>
    <row r="70" spans="1:28" x14ac:dyDescent="0.2">
      <c r="A70" t="s">
        <v>490</v>
      </c>
      <c r="B70" t="s">
        <v>491</v>
      </c>
      <c r="C70" t="s">
        <v>492</v>
      </c>
      <c r="D70" t="s">
        <v>207</v>
      </c>
      <c r="E70" t="s">
        <v>208</v>
      </c>
      <c r="F70" t="s">
        <v>208</v>
      </c>
      <c r="G70" t="s">
        <v>238</v>
      </c>
      <c r="H70" t="s">
        <v>223</v>
      </c>
      <c r="I70" t="s">
        <v>493</v>
      </c>
      <c r="K70" t="s">
        <v>208</v>
      </c>
      <c r="L70" t="s">
        <v>209</v>
      </c>
      <c r="M70" t="str">
        <f t="shared" si="2"/>
        <v>Point + buffer</v>
      </c>
      <c r="N70">
        <v>300</v>
      </c>
      <c r="O70" s="2">
        <f>COUNTIFS(attestations!$B$2:$B$5000,$A70,attestations!$T$2:$T$5000,"&lt;&gt;Retracted",attestations!$D$2:$D$5000,"&lt;&gt;Negative*")</f>
        <v>13</v>
      </c>
      <c r="P70" s="2">
        <f>COUNTIFS(attestations!$B$2:$B$5000,$A70,attestations!$T$2:$T$5000,"&lt;&gt;Retracted",attestations!$D$2:$D$5000,"&lt;&gt;Negative*",attestations!$R$2:$R$5000,"Map")</f>
        <v>8</v>
      </c>
      <c r="Q70" s="2">
        <f>COUNTIFS(attestations!$B$2:$B$5000,$A70,attestations!$T$2:$T$5000,"&lt;&gt;Retracted",attestations!$D$2:$D$5000,"&lt;&gt;Negative*",attestations!$R$2:$R$5000,"Image")</f>
        <v>1</v>
      </c>
      <c r="R70" s="2">
        <f>COUNTIFS(attestations!$B$2:$B$5000,$A70,attestations!$T$2:$T$5000,"&lt;&gt;Retracted",attestations!$D$2:$D$5000,"&lt;&gt;Negative*",attestations!$R$2:$R$5000,"Textual")</f>
        <v>4</v>
      </c>
      <c r="S70" s="2">
        <f>COUNTIFS(attestations!$B$2:$B$5000,$A70,attestations!$T$2:$T$5000,"&lt;&gt;Retracted",attestations!$D$2:$D$5000,"Geometry (Setting)")</f>
        <v>5</v>
      </c>
      <c r="T70" s="2" t="str">
        <f t="shared" si="3"/>
        <v>High</v>
      </c>
      <c r="U70" s="2" t="str">
        <f>IF(COUNTIFS(attestations!$B$2:$B$5000,$A70,attestations!$T$2:$T$5000,"&lt;&gt;Retracted",attestations!$I$2:$I$5000,"Georeferenced map GCP")&gt;0,"Y","N")</f>
        <v>Y</v>
      </c>
      <c r="V70" t="s">
        <v>191</v>
      </c>
      <c r="W70" t="s">
        <v>209</v>
      </c>
      <c r="X70" t="s">
        <v>494</v>
      </c>
      <c r="Y70" t="s">
        <v>193</v>
      </c>
      <c r="AB70">
        <f>IF(A70="","",SUMIFS(attestations!$U$2:$U$5000,attestations!$B$2:$B$5000,A70))</f>
        <v>11</v>
      </c>
    </row>
    <row r="71" spans="1:28" x14ac:dyDescent="0.2">
      <c r="A71" t="s">
        <v>495</v>
      </c>
      <c r="B71" t="s">
        <v>496</v>
      </c>
      <c r="D71" t="s">
        <v>207</v>
      </c>
      <c r="E71" t="s">
        <v>183</v>
      </c>
      <c r="F71" t="s">
        <v>184</v>
      </c>
      <c r="G71" t="s">
        <v>185</v>
      </c>
      <c r="H71" t="s">
        <v>186</v>
      </c>
      <c r="I71" t="s">
        <v>197</v>
      </c>
      <c r="J71" t="s">
        <v>188</v>
      </c>
      <c r="K71" t="s">
        <v>189</v>
      </c>
      <c r="L71" t="s">
        <v>208</v>
      </c>
      <c r="M71" t="str">
        <f t="shared" si="2"/>
        <v>Unplotted (unlocated panel)</v>
      </c>
      <c r="O71" s="2">
        <f>COUNTIFS(attestations!$B$2:$B$5000,$A71,attestations!$T$2:$T$5000,"&lt;&gt;Retracted",attestations!$D$2:$D$5000,"&lt;&gt;Negative*")</f>
        <v>14</v>
      </c>
      <c r="P71" s="2">
        <f>COUNTIFS(attestations!$B$2:$B$5000,$A71,attestations!$T$2:$T$5000,"&lt;&gt;Retracted",attestations!$D$2:$D$5000,"&lt;&gt;Negative*",attestations!$R$2:$R$5000,"Map")</f>
        <v>7</v>
      </c>
      <c r="Q71" s="2">
        <f>COUNTIFS(attestations!$B$2:$B$5000,$A71,attestations!$T$2:$T$5000,"&lt;&gt;Retracted",attestations!$D$2:$D$5000,"&lt;&gt;Negative*",attestations!$R$2:$R$5000,"Image")</f>
        <v>1</v>
      </c>
      <c r="R71" s="2">
        <f>COUNTIFS(attestations!$B$2:$B$5000,$A71,attestations!$T$2:$T$5000,"&lt;&gt;Retracted",attestations!$D$2:$D$5000,"&lt;&gt;Negative*",attestations!$R$2:$R$5000,"Textual")</f>
        <v>6</v>
      </c>
      <c r="S71" s="2">
        <f>COUNTIFS(attestations!$B$2:$B$5000,$A71,attestations!$T$2:$T$5000,"&lt;&gt;Retracted",attestations!$D$2:$D$5000,"Geometry (Setting)")</f>
        <v>2</v>
      </c>
      <c r="T71" s="2" t="str">
        <f t="shared" si="3"/>
        <v>High</v>
      </c>
      <c r="U71" s="2" t="str">
        <f>IF(COUNTIFS(attestations!$B$2:$B$5000,$A71,attestations!$T$2:$T$5000,"&lt;&gt;Retracted",attestations!$I$2:$I$5000,"Georeferenced map GCP")&gt;0,"Y","N")</f>
        <v>Y</v>
      </c>
      <c r="V71" t="s">
        <v>191</v>
      </c>
      <c r="W71" t="s">
        <v>203</v>
      </c>
      <c r="X71" t="s">
        <v>497</v>
      </c>
      <c r="Y71" t="s">
        <v>193</v>
      </c>
      <c r="AB71">
        <f>IF(A71="","",SUMIFS(attestations!$U$2:$U$5000,attestations!$B$2:$B$5000,A71))</f>
        <v>14</v>
      </c>
    </row>
    <row r="72" spans="1:28" x14ac:dyDescent="0.2">
      <c r="A72" t="s">
        <v>498</v>
      </c>
      <c r="B72" t="s">
        <v>499</v>
      </c>
      <c r="C72" t="s">
        <v>500</v>
      </c>
      <c r="D72" t="s">
        <v>207</v>
      </c>
      <c r="E72" t="s">
        <v>183</v>
      </c>
      <c r="F72" t="s">
        <v>184</v>
      </c>
      <c r="G72" t="s">
        <v>185</v>
      </c>
      <c r="H72" t="s">
        <v>186</v>
      </c>
      <c r="I72" t="s">
        <v>501</v>
      </c>
      <c r="J72" t="s">
        <v>188</v>
      </c>
      <c r="K72" t="s">
        <v>189</v>
      </c>
      <c r="L72" t="s">
        <v>209</v>
      </c>
      <c r="M72" t="str">
        <f t="shared" si="2"/>
        <v>Point + buffer</v>
      </c>
      <c r="N72">
        <v>300</v>
      </c>
      <c r="O72" s="2">
        <f>COUNTIFS(attestations!$B$2:$B$5000,$A72,attestations!$T$2:$T$5000,"&lt;&gt;Retracted",attestations!$D$2:$D$5000,"&lt;&gt;Negative*")</f>
        <v>16</v>
      </c>
      <c r="P72" s="2">
        <f>COUNTIFS(attestations!$B$2:$B$5000,$A72,attestations!$T$2:$T$5000,"&lt;&gt;Retracted",attestations!$D$2:$D$5000,"&lt;&gt;Negative*",attestations!$R$2:$R$5000,"Map")</f>
        <v>10</v>
      </c>
      <c r="Q72" s="2">
        <f>COUNTIFS(attestations!$B$2:$B$5000,$A72,attestations!$T$2:$T$5000,"&lt;&gt;Retracted",attestations!$D$2:$D$5000,"&lt;&gt;Negative*",attestations!$R$2:$R$5000,"Image")</f>
        <v>1</v>
      </c>
      <c r="R72" s="2">
        <f>COUNTIFS(attestations!$B$2:$B$5000,$A72,attestations!$T$2:$T$5000,"&lt;&gt;Retracted",attestations!$D$2:$D$5000,"&lt;&gt;Negative*",attestations!$R$2:$R$5000,"Textual")</f>
        <v>5</v>
      </c>
      <c r="S72" s="2">
        <f>COUNTIFS(attestations!$B$2:$B$5000,$A72,attestations!$T$2:$T$5000,"&lt;&gt;Retracted",attestations!$D$2:$D$5000,"Geometry (Setting)")</f>
        <v>5</v>
      </c>
      <c r="T72" s="2" t="str">
        <f t="shared" si="3"/>
        <v>High</v>
      </c>
      <c r="U72" s="2" t="str">
        <f>IF(COUNTIFS(attestations!$B$2:$B$5000,$A72,attestations!$T$2:$T$5000,"&lt;&gt;Retracted",attestations!$I$2:$I$5000,"Georeferenced map GCP")&gt;0,"Y","N")</f>
        <v>Y</v>
      </c>
      <c r="V72" t="s">
        <v>191</v>
      </c>
      <c r="W72" t="s">
        <v>203</v>
      </c>
      <c r="X72" t="s">
        <v>502</v>
      </c>
      <c r="Y72" t="s">
        <v>193</v>
      </c>
      <c r="AB72">
        <f>IF(A72="","",SUMIFS(attestations!$U$2:$U$5000,attestations!$B$2:$B$5000,A72))</f>
        <v>15</v>
      </c>
    </row>
    <row r="73" spans="1:28" x14ac:dyDescent="0.2">
      <c r="A73" t="s">
        <v>503</v>
      </c>
      <c r="B73" t="s">
        <v>504</v>
      </c>
      <c r="C73" t="s">
        <v>505</v>
      </c>
      <c r="D73" t="s">
        <v>207</v>
      </c>
      <c r="E73" t="s">
        <v>208</v>
      </c>
      <c r="F73" t="s">
        <v>208</v>
      </c>
      <c r="G73" t="s">
        <v>238</v>
      </c>
      <c r="H73" t="s">
        <v>223</v>
      </c>
      <c r="K73" t="s">
        <v>208</v>
      </c>
      <c r="L73" t="s">
        <v>209</v>
      </c>
      <c r="M73" t="str">
        <f t="shared" si="2"/>
        <v>Point + buffer</v>
      </c>
      <c r="N73">
        <v>300</v>
      </c>
      <c r="O73" s="2">
        <f>COUNTIFS(attestations!$B$2:$B$5000,$A73,attestations!$T$2:$T$5000,"&lt;&gt;Retracted",attestations!$D$2:$D$5000,"&lt;&gt;Negative*")</f>
        <v>13</v>
      </c>
      <c r="P73" s="2">
        <f>COUNTIFS(attestations!$B$2:$B$5000,$A73,attestations!$T$2:$T$5000,"&lt;&gt;Retracted",attestations!$D$2:$D$5000,"&lt;&gt;Negative*",attestations!$R$2:$R$5000,"Map")</f>
        <v>6</v>
      </c>
      <c r="Q73" s="2">
        <f>COUNTIFS(attestations!$B$2:$B$5000,$A73,attestations!$T$2:$T$5000,"&lt;&gt;Retracted",attestations!$D$2:$D$5000,"&lt;&gt;Negative*",attestations!$R$2:$R$5000,"Image")</f>
        <v>1</v>
      </c>
      <c r="R73" s="2">
        <f>COUNTIFS(attestations!$B$2:$B$5000,$A73,attestations!$T$2:$T$5000,"&lt;&gt;Retracted",attestations!$D$2:$D$5000,"&lt;&gt;Negative*",attestations!$R$2:$R$5000,"Textual")</f>
        <v>6</v>
      </c>
      <c r="S73" s="2">
        <f>COUNTIFS(attestations!$B$2:$B$5000,$A73,attestations!$T$2:$T$5000,"&lt;&gt;Retracted",attestations!$D$2:$D$5000,"Geometry (Setting)")</f>
        <v>4</v>
      </c>
      <c r="T73" s="2" t="str">
        <f t="shared" si="3"/>
        <v>High</v>
      </c>
      <c r="U73" s="2" t="str">
        <f>IF(COUNTIFS(attestations!$B$2:$B$5000,$A73,attestations!$T$2:$T$5000,"&lt;&gt;Retracted",attestations!$I$2:$I$5000,"Georeferenced map GCP")&gt;0,"Y","N")</f>
        <v>Y</v>
      </c>
      <c r="V73" t="s">
        <v>191</v>
      </c>
      <c r="W73" t="s">
        <v>209</v>
      </c>
      <c r="X73" t="s">
        <v>506</v>
      </c>
      <c r="Y73" t="s">
        <v>193</v>
      </c>
      <c r="AB73">
        <f>IF(A73="","",SUMIFS(attestations!$U$2:$U$5000,attestations!$B$2:$B$5000,A73))</f>
        <v>11</v>
      </c>
    </row>
    <row r="74" spans="1:28" x14ac:dyDescent="0.2">
      <c r="A74" t="s">
        <v>507</v>
      </c>
      <c r="B74" t="s">
        <v>508</v>
      </c>
      <c r="D74" t="s">
        <v>207</v>
      </c>
      <c r="E74" t="s">
        <v>208</v>
      </c>
      <c r="F74" t="s">
        <v>208</v>
      </c>
      <c r="G74" t="s">
        <v>300</v>
      </c>
      <c r="H74" t="s">
        <v>186</v>
      </c>
      <c r="K74" t="s">
        <v>208</v>
      </c>
      <c r="L74" t="s">
        <v>208</v>
      </c>
      <c r="M74" t="str">
        <f t="shared" si="2"/>
        <v>Unplotted (unlocated panel)</v>
      </c>
      <c r="O74" s="2">
        <f>COUNTIFS(attestations!$B$2:$B$5000,$A74,attestations!$T$2:$T$5000,"&lt;&gt;Retracted",attestations!$D$2:$D$5000,"&lt;&gt;Negative*")</f>
        <v>9</v>
      </c>
      <c r="P74" s="2">
        <f>COUNTIFS(attestations!$B$2:$B$5000,$A74,attestations!$T$2:$T$5000,"&lt;&gt;Retracted",attestations!$D$2:$D$5000,"&lt;&gt;Negative*",attestations!$R$2:$R$5000,"Map")</f>
        <v>5</v>
      </c>
      <c r="Q74" s="2">
        <f>COUNTIFS(attestations!$B$2:$B$5000,$A74,attestations!$T$2:$T$5000,"&lt;&gt;Retracted",attestations!$D$2:$D$5000,"&lt;&gt;Negative*",attestations!$R$2:$R$5000,"Image")</f>
        <v>0</v>
      </c>
      <c r="R74" s="2">
        <f>COUNTIFS(attestations!$B$2:$B$5000,$A74,attestations!$T$2:$T$5000,"&lt;&gt;Retracted",attestations!$D$2:$D$5000,"&lt;&gt;Negative*",attestations!$R$2:$R$5000,"Textual")</f>
        <v>4</v>
      </c>
      <c r="S74" s="2">
        <f>COUNTIFS(attestations!$B$2:$B$5000,$A74,attestations!$T$2:$T$5000,"&lt;&gt;Retracted",attestations!$D$2:$D$5000,"Geometry (Setting)")</f>
        <v>2</v>
      </c>
      <c r="T74" s="2" t="str">
        <f t="shared" si="3"/>
        <v>High</v>
      </c>
      <c r="U74" s="2" t="str">
        <f>IF(COUNTIFS(attestations!$B$2:$B$5000,$A74,attestations!$T$2:$T$5000,"&lt;&gt;Retracted",attestations!$I$2:$I$5000,"Georeferenced map GCP")&gt;0,"Y","N")</f>
        <v>Y</v>
      </c>
      <c r="V74" t="s">
        <v>191</v>
      </c>
      <c r="W74" t="s">
        <v>209</v>
      </c>
      <c r="X74" t="s">
        <v>509</v>
      </c>
      <c r="Y74" t="s">
        <v>193</v>
      </c>
      <c r="AB74">
        <f>IF(A74="","",SUMIFS(attestations!$U$2:$U$5000,attestations!$B$2:$B$5000,A74))</f>
        <v>9</v>
      </c>
    </row>
    <row r="75" spans="1:28" x14ac:dyDescent="0.2">
      <c r="A75" t="s">
        <v>510</v>
      </c>
      <c r="B75" t="s">
        <v>511</v>
      </c>
      <c r="D75" t="s">
        <v>196</v>
      </c>
      <c r="E75" t="s">
        <v>307</v>
      </c>
      <c r="F75" t="s">
        <v>300</v>
      </c>
      <c r="G75" t="s">
        <v>314</v>
      </c>
      <c r="H75" t="s">
        <v>223</v>
      </c>
      <c r="I75" t="s">
        <v>512</v>
      </c>
      <c r="K75" t="s">
        <v>189</v>
      </c>
      <c r="L75" t="s">
        <v>190</v>
      </c>
      <c r="M75" t="str">
        <f t="shared" si="2"/>
        <v>Translucent area</v>
      </c>
      <c r="N75">
        <v>400</v>
      </c>
      <c r="O75" s="2">
        <f>COUNTIFS(attestations!$B$2:$B$5000,$A75,attestations!$T$2:$T$5000,"&lt;&gt;Retracted",attestations!$D$2:$D$5000,"&lt;&gt;Negative*")</f>
        <v>15</v>
      </c>
      <c r="P75" s="2">
        <f>COUNTIFS(attestations!$B$2:$B$5000,$A75,attestations!$T$2:$T$5000,"&lt;&gt;Retracted",attestations!$D$2:$D$5000,"&lt;&gt;Negative*",attestations!$R$2:$R$5000,"Map")</f>
        <v>7</v>
      </c>
      <c r="Q75" s="2">
        <f>COUNTIFS(attestations!$B$2:$B$5000,$A75,attestations!$T$2:$T$5000,"&lt;&gt;Retracted",attestations!$D$2:$D$5000,"&lt;&gt;Negative*",attestations!$R$2:$R$5000,"Image")</f>
        <v>1</v>
      </c>
      <c r="R75" s="2">
        <f>COUNTIFS(attestations!$B$2:$B$5000,$A75,attestations!$T$2:$T$5000,"&lt;&gt;Retracted",attestations!$D$2:$D$5000,"&lt;&gt;Negative*",attestations!$R$2:$R$5000,"Textual")</f>
        <v>7</v>
      </c>
      <c r="S75" s="2">
        <f>COUNTIFS(attestations!$B$2:$B$5000,$A75,attestations!$T$2:$T$5000,"&lt;&gt;Retracted",attestations!$D$2:$D$5000,"Geometry (Setting)")</f>
        <v>1</v>
      </c>
      <c r="T75" s="2" t="str">
        <f t="shared" si="3"/>
        <v>High</v>
      </c>
      <c r="U75" s="2" t="str">
        <f>IF(COUNTIFS(attestations!$B$2:$B$5000,$A75,attestations!$T$2:$T$5000,"&lt;&gt;Retracted",attestations!$I$2:$I$5000,"Georeferenced map GCP")&gt;0,"Y","N")</f>
        <v>Y</v>
      </c>
      <c r="V75" t="s">
        <v>191</v>
      </c>
      <c r="W75" t="s">
        <v>209</v>
      </c>
      <c r="X75" t="s">
        <v>513</v>
      </c>
      <c r="Y75" t="s">
        <v>193</v>
      </c>
      <c r="AA75" t="s">
        <v>514</v>
      </c>
      <c r="AB75">
        <f>IF(A75="","",SUMIFS(attestations!$U$2:$U$5000,attestations!$B$2:$B$5000,A75))</f>
        <v>15</v>
      </c>
    </row>
    <row r="76" spans="1:28" x14ac:dyDescent="0.2">
      <c r="A76" t="s">
        <v>515</v>
      </c>
      <c r="B76" t="s">
        <v>516</v>
      </c>
      <c r="D76" t="s">
        <v>193</v>
      </c>
      <c r="E76" t="s">
        <v>307</v>
      </c>
      <c r="F76" t="s">
        <v>300</v>
      </c>
      <c r="G76" t="s">
        <v>314</v>
      </c>
      <c r="H76" t="s">
        <v>223</v>
      </c>
      <c r="I76" t="s">
        <v>517</v>
      </c>
      <c r="K76" t="s">
        <v>189</v>
      </c>
      <c r="L76" t="s">
        <v>209</v>
      </c>
      <c r="M76" t="str">
        <f t="shared" si="2"/>
        <v>Point + buffer</v>
      </c>
      <c r="N76">
        <v>250</v>
      </c>
      <c r="O76" s="2">
        <f>COUNTIFS(attestations!$B$2:$B$5000,$A76,attestations!$T$2:$T$5000,"&lt;&gt;Retracted",attestations!$D$2:$D$5000,"&lt;&gt;Negative*")</f>
        <v>11</v>
      </c>
      <c r="P76" s="2">
        <f>COUNTIFS(attestations!$B$2:$B$5000,$A76,attestations!$T$2:$T$5000,"&lt;&gt;Retracted",attestations!$D$2:$D$5000,"&lt;&gt;Negative*",attestations!$R$2:$R$5000,"Map")</f>
        <v>4</v>
      </c>
      <c r="Q76" s="2">
        <f>COUNTIFS(attestations!$B$2:$B$5000,$A76,attestations!$T$2:$T$5000,"&lt;&gt;Retracted",attestations!$D$2:$D$5000,"&lt;&gt;Negative*",attestations!$R$2:$R$5000,"Image")</f>
        <v>1</v>
      </c>
      <c r="R76" s="2">
        <f>COUNTIFS(attestations!$B$2:$B$5000,$A76,attestations!$T$2:$T$5000,"&lt;&gt;Retracted",attestations!$D$2:$D$5000,"&lt;&gt;Negative*",attestations!$R$2:$R$5000,"Textual")</f>
        <v>6</v>
      </c>
      <c r="S76" s="2">
        <f>COUNTIFS(attestations!$B$2:$B$5000,$A76,attestations!$T$2:$T$5000,"&lt;&gt;Retracted",attestations!$D$2:$D$5000,"Geometry (Setting)")</f>
        <v>2</v>
      </c>
      <c r="T76" s="2" t="str">
        <f t="shared" si="3"/>
        <v>High</v>
      </c>
      <c r="U76" s="2" t="str">
        <f>IF(COUNTIFS(attestations!$B$2:$B$5000,$A76,attestations!$T$2:$T$5000,"&lt;&gt;Retracted",attestations!$I$2:$I$5000,"Georeferenced map GCP")&gt;0,"Y","N")</f>
        <v>Y</v>
      </c>
      <c r="V76" t="s">
        <v>191</v>
      </c>
      <c r="W76" t="s">
        <v>209</v>
      </c>
      <c r="X76" t="s">
        <v>518</v>
      </c>
      <c r="Y76" t="s">
        <v>193</v>
      </c>
      <c r="AA76" t="s">
        <v>519</v>
      </c>
      <c r="AB76">
        <f>IF(A76="","",SUMIFS(attestations!$U$2:$U$5000,attestations!$B$2:$B$5000,A76))</f>
        <v>10</v>
      </c>
    </row>
    <row r="77" spans="1:28" x14ac:dyDescent="0.2">
      <c r="A77" t="s">
        <v>520</v>
      </c>
      <c r="B77" t="s">
        <v>521</v>
      </c>
      <c r="D77" t="s">
        <v>400</v>
      </c>
      <c r="E77" t="s">
        <v>307</v>
      </c>
      <c r="F77" t="s">
        <v>300</v>
      </c>
      <c r="G77" t="s">
        <v>249</v>
      </c>
      <c r="H77" t="s">
        <v>223</v>
      </c>
      <c r="I77" t="s">
        <v>522</v>
      </c>
      <c r="K77" t="s">
        <v>189</v>
      </c>
      <c r="L77" t="s">
        <v>209</v>
      </c>
      <c r="M77" t="str">
        <f t="shared" si="2"/>
        <v>Point + buffer</v>
      </c>
      <c r="N77">
        <v>250</v>
      </c>
      <c r="O77" s="2">
        <f>COUNTIFS(attestations!$B$2:$B$5000,$A77,attestations!$T$2:$T$5000,"&lt;&gt;Retracted",attestations!$D$2:$D$5000,"&lt;&gt;Negative*")</f>
        <v>10</v>
      </c>
      <c r="P77" s="2">
        <f>COUNTIFS(attestations!$B$2:$B$5000,$A77,attestations!$T$2:$T$5000,"&lt;&gt;Retracted",attestations!$D$2:$D$5000,"&lt;&gt;Negative*",attestations!$R$2:$R$5000,"Map")</f>
        <v>3</v>
      </c>
      <c r="Q77" s="2">
        <f>COUNTIFS(attestations!$B$2:$B$5000,$A77,attestations!$T$2:$T$5000,"&lt;&gt;Retracted",attestations!$D$2:$D$5000,"&lt;&gt;Negative*",attestations!$R$2:$R$5000,"Image")</f>
        <v>1</v>
      </c>
      <c r="R77" s="2">
        <f>COUNTIFS(attestations!$B$2:$B$5000,$A77,attestations!$T$2:$T$5000,"&lt;&gt;Retracted",attestations!$D$2:$D$5000,"&lt;&gt;Negative*",attestations!$R$2:$R$5000,"Textual")</f>
        <v>6</v>
      </c>
      <c r="S77" s="2">
        <f>COUNTIFS(attestations!$B$2:$B$5000,$A77,attestations!$T$2:$T$5000,"&lt;&gt;Retracted",attestations!$D$2:$D$5000,"Geometry (Setting)")</f>
        <v>1</v>
      </c>
      <c r="T77" s="2" t="str">
        <f t="shared" si="3"/>
        <v>High</v>
      </c>
      <c r="U77" s="2" t="str">
        <f>IF(COUNTIFS(attestations!$B$2:$B$5000,$A77,attestations!$T$2:$T$5000,"&lt;&gt;Retracted",attestations!$I$2:$I$5000,"Georeferenced map GCP")&gt;0,"Y","N")</f>
        <v>Y</v>
      </c>
      <c r="V77" t="s">
        <v>191</v>
      </c>
      <c r="W77" t="s">
        <v>209</v>
      </c>
      <c r="X77" t="s">
        <v>523</v>
      </c>
      <c r="Y77" t="s">
        <v>193</v>
      </c>
      <c r="AA77" t="s">
        <v>524</v>
      </c>
      <c r="AB77">
        <f>IF(A77="","",SUMIFS(attestations!$U$2:$U$5000,attestations!$B$2:$B$5000,A77))</f>
        <v>9</v>
      </c>
    </row>
    <row r="78" spans="1:28" x14ac:dyDescent="0.2">
      <c r="A78" t="s">
        <v>525</v>
      </c>
      <c r="B78" t="s">
        <v>526</v>
      </c>
      <c r="D78" t="s">
        <v>400</v>
      </c>
      <c r="E78" t="s">
        <v>307</v>
      </c>
      <c r="F78" t="s">
        <v>300</v>
      </c>
      <c r="G78" t="s">
        <v>249</v>
      </c>
      <c r="H78" t="s">
        <v>223</v>
      </c>
      <c r="I78" t="s">
        <v>527</v>
      </c>
      <c r="K78" t="s">
        <v>189</v>
      </c>
      <c r="L78" t="s">
        <v>209</v>
      </c>
      <c r="M78" t="str">
        <f t="shared" si="2"/>
        <v>Point + buffer</v>
      </c>
      <c r="N78">
        <v>250</v>
      </c>
      <c r="O78" s="2">
        <f>COUNTIFS(attestations!$B$2:$B$5000,$A78,attestations!$T$2:$T$5000,"&lt;&gt;Retracted",attestations!$D$2:$D$5000,"&lt;&gt;Negative*")</f>
        <v>12</v>
      </c>
      <c r="P78" s="2">
        <f>COUNTIFS(attestations!$B$2:$B$5000,$A78,attestations!$T$2:$T$5000,"&lt;&gt;Retracted",attestations!$D$2:$D$5000,"&lt;&gt;Negative*",attestations!$R$2:$R$5000,"Map")</f>
        <v>6</v>
      </c>
      <c r="Q78" s="2">
        <f>COUNTIFS(attestations!$B$2:$B$5000,$A78,attestations!$T$2:$T$5000,"&lt;&gt;Retracted",attestations!$D$2:$D$5000,"&lt;&gt;Negative*",attestations!$R$2:$R$5000,"Image")</f>
        <v>1</v>
      </c>
      <c r="R78" s="2">
        <f>COUNTIFS(attestations!$B$2:$B$5000,$A78,attestations!$T$2:$T$5000,"&lt;&gt;Retracted",attestations!$D$2:$D$5000,"&lt;&gt;Negative*",attestations!$R$2:$R$5000,"Textual")</f>
        <v>5</v>
      </c>
      <c r="S78" s="2">
        <f>COUNTIFS(attestations!$B$2:$B$5000,$A78,attestations!$T$2:$T$5000,"&lt;&gt;Retracted",attestations!$D$2:$D$5000,"Geometry (Setting)")</f>
        <v>2</v>
      </c>
      <c r="T78" s="2" t="str">
        <f t="shared" si="3"/>
        <v>High</v>
      </c>
      <c r="U78" s="2" t="str">
        <f>IF(COUNTIFS(attestations!$B$2:$B$5000,$A78,attestations!$T$2:$T$5000,"&lt;&gt;Retracted",attestations!$I$2:$I$5000,"Georeferenced map GCP")&gt;0,"Y","N")</f>
        <v>Y</v>
      </c>
      <c r="V78" t="s">
        <v>191</v>
      </c>
      <c r="W78" t="s">
        <v>190</v>
      </c>
      <c r="X78" t="s">
        <v>528</v>
      </c>
      <c r="Y78" t="s">
        <v>193</v>
      </c>
      <c r="AA78" t="s">
        <v>529</v>
      </c>
      <c r="AB78">
        <f>IF(A78="","",SUMIFS(attestations!$U$2:$U$5000,attestations!$B$2:$B$5000,A78))</f>
        <v>10</v>
      </c>
    </row>
    <row r="79" spans="1:28" x14ac:dyDescent="0.2">
      <c r="A79" t="s">
        <v>530</v>
      </c>
      <c r="B79" t="s">
        <v>531</v>
      </c>
      <c r="D79" t="s">
        <v>400</v>
      </c>
      <c r="E79" t="s">
        <v>307</v>
      </c>
      <c r="F79" t="s">
        <v>300</v>
      </c>
      <c r="G79" t="s">
        <v>249</v>
      </c>
      <c r="H79" t="s">
        <v>223</v>
      </c>
      <c r="I79" t="s">
        <v>527</v>
      </c>
      <c r="K79" t="s">
        <v>189</v>
      </c>
      <c r="L79" t="s">
        <v>209</v>
      </c>
      <c r="M79" t="str">
        <f t="shared" si="2"/>
        <v>Point + buffer</v>
      </c>
      <c r="N79">
        <v>250</v>
      </c>
      <c r="O79" s="2">
        <f>COUNTIFS(attestations!$B$2:$B$5000,$A79,attestations!$T$2:$T$5000,"&lt;&gt;Retracted",attestations!$D$2:$D$5000,"&lt;&gt;Negative*")</f>
        <v>10</v>
      </c>
      <c r="P79" s="2">
        <f>COUNTIFS(attestations!$B$2:$B$5000,$A79,attestations!$T$2:$T$5000,"&lt;&gt;Retracted",attestations!$D$2:$D$5000,"&lt;&gt;Negative*",attestations!$R$2:$R$5000,"Map")</f>
        <v>4</v>
      </c>
      <c r="Q79" s="2">
        <f>COUNTIFS(attestations!$B$2:$B$5000,$A79,attestations!$T$2:$T$5000,"&lt;&gt;Retracted",attestations!$D$2:$D$5000,"&lt;&gt;Negative*",attestations!$R$2:$R$5000,"Image")</f>
        <v>1</v>
      </c>
      <c r="R79" s="2">
        <f>COUNTIFS(attestations!$B$2:$B$5000,$A79,attestations!$T$2:$T$5000,"&lt;&gt;Retracted",attestations!$D$2:$D$5000,"&lt;&gt;Negative*",attestations!$R$2:$R$5000,"Textual")</f>
        <v>5</v>
      </c>
      <c r="S79" s="2">
        <f>COUNTIFS(attestations!$B$2:$B$5000,$A79,attestations!$T$2:$T$5000,"&lt;&gt;Retracted",attestations!$D$2:$D$5000,"Geometry (Setting)")</f>
        <v>2</v>
      </c>
      <c r="T79" s="2" t="str">
        <f t="shared" si="3"/>
        <v>Medium</v>
      </c>
      <c r="U79" s="2" t="str">
        <f>IF(COUNTIFS(attestations!$B$2:$B$5000,$A79,attestations!$T$2:$T$5000,"&lt;&gt;Retracted",attestations!$I$2:$I$5000,"Georeferenced map GCP")&gt;0,"Y","N")</f>
        <v>Y</v>
      </c>
      <c r="V79" t="s">
        <v>191</v>
      </c>
      <c r="W79" t="s">
        <v>190</v>
      </c>
      <c r="X79" t="s">
        <v>532</v>
      </c>
      <c r="Y79" t="s">
        <v>193</v>
      </c>
      <c r="AA79" t="s">
        <v>533</v>
      </c>
      <c r="AB79">
        <f>IF(A79="","",SUMIFS(attestations!$U$2:$U$5000,attestations!$B$2:$B$5000,A79))</f>
        <v>8</v>
      </c>
    </row>
    <row r="80" spans="1:28" x14ac:dyDescent="0.2">
      <c r="A80" t="s">
        <v>534</v>
      </c>
      <c r="B80" t="s">
        <v>535</v>
      </c>
      <c r="D80" t="s">
        <v>400</v>
      </c>
      <c r="E80" t="s">
        <v>307</v>
      </c>
      <c r="F80" t="s">
        <v>300</v>
      </c>
      <c r="G80" t="s">
        <v>249</v>
      </c>
      <c r="H80" t="s">
        <v>223</v>
      </c>
      <c r="I80" t="s">
        <v>454</v>
      </c>
      <c r="K80" t="s">
        <v>189</v>
      </c>
      <c r="L80" t="s">
        <v>209</v>
      </c>
      <c r="M80" t="str">
        <f t="shared" si="2"/>
        <v>Point + buffer</v>
      </c>
      <c r="N80">
        <v>300</v>
      </c>
      <c r="O80" s="2">
        <f>COUNTIFS(attestations!$B$2:$B$5000,$A80,attestations!$T$2:$T$5000,"&lt;&gt;Retracted",attestations!$D$2:$D$5000,"&lt;&gt;Negative*")</f>
        <v>8</v>
      </c>
      <c r="P80" s="2">
        <f>COUNTIFS(attestations!$B$2:$B$5000,$A80,attestations!$T$2:$T$5000,"&lt;&gt;Retracted",attestations!$D$2:$D$5000,"&lt;&gt;Negative*",attestations!$R$2:$R$5000,"Map")</f>
        <v>2</v>
      </c>
      <c r="Q80" s="2">
        <f>COUNTIFS(attestations!$B$2:$B$5000,$A80,attestations!$T$2:$T$5000,"&lt;&gt;Retracted",attestations!$D$2:$D$5000,"&lt;&gt;Negative*",attestations!$R$2:$R$5000,"Image")</f>
        <v>1</v>
      </c>
      <c r="R80" s="2">
        <f>COUNTIFS(attestations!$B$2:$B$5000,$A80,attestations!$T$2:$T$5000,"&lt;&gt;Retracted",attestations!$D$2:$D$5000,"&lt;&gt;Negative*",attestations!$R$2:$R$5000,"Textual")</f>
        <v>5</v>
      </c>
      <c r="S80" s="2">
        <f>COUNTIFS(attestations!$B$2:$B$5000,$A80,attestations!$T$2:$T$5000,"&lt;&gt;Retracted",attestations!$D$2:$D$5000,"Geometry (Setting)")</f>
        <v>1</v>
      </c>
      <c r="T80" s="2" t="str">
        <f t="shared" si="3"/>
        <v>Medium</v>
      </c>
      <c r="U80" s="2" t="str">
        <f>IF(COUNTIFS(attestations!$B$2:$B$5000,$A80,attestations!$T$2:$T$5000,"&lt;&gt;Retracted",attestations!$I$2:$I$5000,"Georeferenced map GCP")&gt;0,"Y","N")</f>
        <v>Y</v>
      </c>
      <c r="V80" t="s">
        <v>191</v>
      </c>
      <c r="W80" t="s">
        <v>190</v>
      </c>
      <c r="X80" t="s">
        <v>536</v>
      </c>
      <c r="Y80" t="s">
        <v>193</v>
      </c>
      <c r="AA80" t="s">
        <v>537</v>
      </c>
      <c r="AB80">
        <f>IF(A80="","",SUMIFS(attestations!$U$2:$U$5000,attestations!$B$2:$B$5000,A80))</f>
        <v>8</v>
      </c>
    </row>
    <row r="81" spans="1:28" x14ac:dyDescent="0.2">
      <c r="A81" t="s">
        <v>538</v>
      </c>
      <c r="B81" t="s">
        <v>539</v>
      </c>
      <c r="D81" t="s">
        <v>400</v>
      </c>
      <c r="E81" t="s">
        <v>307</v>
      </c>
      <c r="F81" t="s">
        <v>300</v>
      </c>
      <c r="G81" t="s">
        <v>249</v>
      </c>
      <c r="H81" t="s">
        <v>223</v>
      </c>
      <c r="I81" t="s">
        <v>366</v>
      </c>
      <c r="K81" t="s">
        <v>189</v>
      </c>
      <c r="L81" t="s">
        <v>209</v>
      </c>
      <c r="M81" t="str">
        <f t="shared" si="2"/>
        <v>Point + buffer</v>
      </c>
      <c r="N81">
        <v>250</v>
      </c>
      <c r="O81" s="2">
        <f>COUNTIFS(attestations!$B$2:$B$5000,$A81,attestations!$T$2:$T$5000,"&lt;&gt;Retracted",attestations!$D$2:$D$5000,"&lt;&gt;Negative*")</f>
        <v>12</v>
      </c>
      <c r="P81" s="2">
        <f>COUNTIFS(attestations!$B$2:$B$5000,$A81,attestations!$T$2:$T$5000,"&lt;&gt;Retracted",attestations!$D$2:$D$5000,"&lt;&gt;Negative*",attestations!$R$2:$R$5000,"Map")</f>
        <v>3</v>
      </c>
      <c r="Q81" s="2">
        <f>COUNTIFS(attestations!$B$2:$B$5000,$A81,attestations!$T$2:$T$5000,"&lt;&gt;Retracted",attestations!$D$2:$D$5000,"&lt;&gt;Negative*",attestations!$R$2:$R$5000,"Image")</f>
        <v>1</v>
      </c>
      <c r="R81" s="2">
        <f>COUNTIFS(attestations!$B$2:$B$5000,$A81,attestations!$T$2:$T$5000,"&lt;&gt;Retracted",attestations!$D$2:$D$5000,"&lt;&gt;Negative*",attestations!$R$2:$R$5000,"Textual")</f>
        <v>8</v>
      </c>
      <c r="S81" s="2">
        <f>COUNTIFS(attestations!$B$2:$B$5000,$A81,attestations!$T$2:$T$5000,"&lt;&gt;Retracted",attestations!$D$2:$D$5000,"Geometry (Setting)")</f>
        <v>1</v>
      </c>
      <c r="T81" s="2" t="str">
        <f t="shared" si="3"/>
        <v>High</v>
      </c>
      <c r="U81" s="2" t="str">
        <f>IF(COUNTIFS(attestations!$B$2:$B$5000,$A81,attestations!$T$2:$T$5000,"&lt;&gt;Retracted",attestations!$I$2:$I$5000,"Georeferenced map GCP")&gt;0,"Y","N")</f>
        <v>Y</v>
      </c>
      <c r="V81" t="s">
        <v>191</v>
      </c>
      <c r="W81" t="s">
        <v>190</v>
      </c>
      <c r="X81" t="s">
        <v>540</v>
      </c>
      <c r="Y81" t="s">
        <v>193</v>
      </c>
      <c r="AA81" t="s">
        <v>541</v>
      </c>
      <c r="AB81">
        <f>IF(A81="","",SUMIFS(attestations!$U$2:$U$5000,attestations!$B$2:$B$5000,A81))</f>
        <v>11</v>
      </c>
    </row>
    <row r="82" spans="1:28" x14ac:dyDescent="0.2">
      <c r="A82" t="s">
        <v>542</v>
      </c>
      <c r="B82" t="s">
        <v>543</v>
      </c>
      <c r="D82" t="s">
        <v>400</v>
      </c>
      <c r="E82" t="s">
        <v>307</v>
      </c>
      <c r="F82" t="s">
        <v>300</v>
      </c>
      <c r="G82" t="s">
        <v>249</v>
      </c>
      <c r="H82" t="s">
        <v>223</v>
      </c>
      <c r="I82" t="s">
        <v>544</v>
      </c>
      <c r="K82" t="s">
        <v>189</v>
      </c>
      <c r="L82" t="s">
        <v>209</v>
      </c>
      <c r="M82" t="str">
        <f t="shared" si="2"/>
        <v>Point + buffer</v>
      </c>
      <c r="N82">
        <v>250</v>
      </c>
      <c r="O82" s="2">
        <f>COUNTIFS(attestations!$B$2:$B$5000,$A82,attestations!$T$2:$T$5000,"&lt;&gt;Retracted",attestations!$D$2:$D$5000,"&lt;&gt;Negative*")</f>
        <v>10</v>
      </c>
      <c r="P82" s="2">
        <f>COUNTIFS(attestations!$B$2:$B$5000,$A82,attestations!$T$2:$T$5000,"&lt;&gt;Retracted",attestations!$D$2:$D$5000,"&lt;&gt;Negative*",attestations!$R$2:$R$5000,"Map")</f>
        <v>4</v>
      </c>
      <c r="Q82" s="2">
        <f>COUNTIFS(attestations!$B$2:$B$5000,$A82,attestations!$T$2:$T$5000,"&lt;&gt;Retracted",attestations!$D$2:$D$5000,"&lt;&gt;Negative*",attestations!$R$2:$R$5000,"Image")</f>
        <v>1</v>
      </c>
      <c r="R82" s="2">
        <f>COUNTIFS(attestations!$B$2:$B$5000,$A82,attestations!$T$2:$T$5000,"&lt;&gt;Retracted",attestations!$D$2:$D$5000,"&lt;&gt;Negative*",attestations!$R$2:$R$5000,"Textual")</f>
        <v>5</v>
      </c>
      <c r="S82" s="2">
        <f>COUNTIFS(attestations!$B$2:$B$5000,$A82,attestations!$T$2:$T$5000,"&lt;&gt;Retracted",attestations!$D$2:$D$5000,"Geometry (Setting)")</f>
        <v>2</v>
      </c>
      <c r="T82" s="2" t="str">
        <f t="shared" si="3"/>
        <v>High</v>
      </c>
      <c r="U82" s="2" t="str">
        <f>IF(COUNTIFS(attestations!$B$2:$B$5000,$A82,attestations!$T$2:$T$5000,"&lt;&gt;Retracted",attestations!$I$2:$I$5000,"Georeferenced map GCP")&gt;0,"Y","N")</f>
        <v>Y</v>
      </c>
      <c r="V82" t="s">
        <v>191</v>
      </c>
      <c r="W82" t="s">
        <v>190</v>
      </c>
      <c r="X82" t="s">
        <v>545</v>
      </c>
      <c r="Y82" t="s">
        <v>193</v>
      </c>
      <c r="AA82" t="s">
        <v>546</v>
      </c>
      <c r="AB82">
        <f>IF(A82="","",SUMIFS(attestations!$U$2:$U$5000,attestations!$B$2:$B$5000,A82))</f>
        <v>9</v>
      </c>
    </row>
    <row r="83" spans="1:28" x14ac:dyDescent="0.2">
      <c r="A83" t="s">
        <v>547</v>
      </c>
      <c r="B83" t="s">
        <v>548</v>
      </c>
      <c r="D83" t="s">
        <v>400</v>
      </c>
      <c r="E83" t="s">
        <v>307</v>
      </c>
      <c r="F83" t="s">
        <v>300</v>
      </c>
      <c r="G83" t="s">
        <v>249</v>
      </c>
      <c r="H83" t="s">
        <v>223</v>
      </c>
      <c r="I83" t="s">
        <v>549</v>
      </c>
      <c r="K83" t="s">
        <v>189</v>
      </c>
      <c r="L83" t="s">
        <v>208</v>
      </c>
      <c r="M83" t="str">
        <f t="shared" si="2"/>
        <v>Unplotted (unlocated panel)</v>
      </c>
      <c r="O83" s="2">
        <f>COUNTIFS(attestations!$B$2:$B$5000,$A83,attestations!$T$2:$T$5000,"&lt;&gt;Retracted",attestations!$D$2:$D$5000,"&lt;&gt;Negative*")</f>
        <v>9</v>
      </c>
      <c r="P83" s="2">
        <f>COUNTIFS(attestations!$B$2:$B$5000,$A83,attestations!$T$2:$T$5000,"&lt;&gt;Retracted",attestations!$D$2:$D$5000,"&lt;&gt;Negative*",attestations!$R$2:$R$5000,"Map")</f>
        <v>3</v>
      </c>
      <c r="Q83" s="2">
        <f>COUNTIFS(attestations!$B$2:$B$5000,$A83,attestations!$T$2:$T$5000,"&lt;&gt;Retracted",attestations!$D$2:$D$5000,"&lt;&gt;Negative*",attestations!$R$2:$R$5000,"Image")</f>
        <v>1</v>
      </c>
      <c r="R83" s="2">
        <f>COUNTIFS(attestations!$B$2:$B$5000,$A83,attestations!$T$2:$T$5000,"&lt;&gt;Retracted",attestations!$D$2:$D$5000,"&lt;&gt;Negative*",attestations!$R$2:$R$5000,"Textual")</f>
        <v>5</v>
      </c>
      <c r="S83" s="2">
        <f>COUNTIFS(attestations!$B$2:$B$5000,$A83,attestations!$T$2:$T$5000,"&lt;&gt;Retracted",attestations!$D$2:$D$5000,"Geometry (Setting)")</f>
        <v>1</v>
      </c>
      <c r="T83" s="2" t="str">
        <f t="shared" si="3"/>
        <v>High</v>
      </c>
      <c r="U83" s="2" t="str">
        <f>IF(COUNTIFS(attestations!$B$2:$B$5000,$A83,attestations!$T$2:$T$5000,"&lt;&gt;Retracted",attestations!$I$2:$I$5000,"Georeferenced map GCP")&gt;0,"Y","N")</f>
        <v>N</v>
      </c>
      <c r="V83" t="s">
        <v>191</v>
      </c>
      <c r="W83" t="s">
        <v>190</v>
      </c>
      <c r="X83" t="s">
        <v>550</v>
      </c>
      <c r="Y83" t="s">
        <v>193</v>
      </c>
      <c r="AA83" t="s">
        <v>551</v>
      </c>
      <c r="AB83">
        <f>IF(A83="","",SUMIFS(attestations!$U$2:$U$5000,attestations!$B$2:$B$5000,A83))</f>
        <v>9</v>
      </c>
    </row>
    <row r="84" spans="1:28" x14ac:dyDescent="0.2">
      <c r="A84" t="s">
        <v>552</v>
      </c>
      <c r="B84" t="s">
        <v>553</v>
      </c>
      <c r="C84" t="s">
        <v>554</v>
      </c>
      <c r="D84" t="s">
        <v>555</v>
      </c>
      <c r="E84" t="s">
        <v>307</v>
      </c>
      <c r="F84" t="s">
        <v>556</v>
      </c>
      <c r="G84" t="s">
        <v>185</v>
      </c>
      <c r="I84" t="s">
        <v>381</v>
      </c>
      <c r="K84" t="s">
        <v>189</v>
      </c>
      <c r="L84" t="s">
        <v>209</v>
      </c>
      <c r="M84" t="str">
        <f t="shared" si="2"/>
        <v>Point + buffer</v>
      </c>
      <c r="N84">
        <v>150</v>
      </c>
      <c r="O84" s="2">
        <f>COUNTIFS(attestations!$B$2:$B$5000,$A84,attestations!$T$2:$T$5000,"&lt;&gt;Retracted",attestations!$D$2:$D$5000,"&lt;&gt;Negative*")</f>
        <v>8</v>
      </c>
      <c r="P84" s="2">
        <f>COUNTIFS(attestations!$B$2:$B$5000,$A84,attestations!$T$2:$T$5000,"&lt;&gt;Retracted",attestations!$D$2:$D$5000,"&lt;&gt;Negative*",attestations!$R$2:$R$5000,"Map")</f>
        <v>2</v>
      </c>
      <c r="Q84" s="2">
        <f>COUNTIFS(attestations!$B$2:$B$5000,$A84,attestations!$T$2:$T$5000,"&lt;&gt;Retracted",attestations!$D$2:$D$5000,"&lt;&gt;Negative*",attestations!$R$2:$R$5000,"Image")</f>
        <v>1</v>
      </c>
      <c r="R84" s="2">
        <f>COUNTIFS(attestations!$B$2:$B$5000,$A84,attestations!$T$2:$T$5000,"&lt;&gt;Retracted",attestations!$D$2:$D$5000,"&lt;&gt;Negative*",attestations!$R$2:$R$5000,"Textual")</f>
        <v>5</v>
      </c>
      <c r="S84" s="2">
        <f>COUNTIFS(attestations!$B$2:$B$5000,$A84,attestations!$T$2:$T$5000,"&lt;&gt;Retracted",attestations!$D$2:$D$5000,"Geometry (Setting)")</f>
        <v>1</v>
      </c>
      <c r="T84" s="2" t="str">
        <f t="shared" si="3"/>
        <v>Medium</v>
      </c>
      <c r="U84" s="2" t="str">
        <f>IF(COUNTIFS(attestations!$B$2:$B$5000,$A84,attestations!$T$2:$T$5000,"&lt;&gt;Retracted",attestations!$I$2:$I$5000,"Georeferenced map GCP")&gt;0,"Y","N")</f>
        <v>Y</v>
      </c>
      <c r="V84" t="s">
        <v>191</v>
      </c>
      <c r="W84" t="s">
        <v>190</v>
      </c>
      <c r="X84" t="s">
        <v>557</v>
      </c>
      <c r="Y84" t="s">
        <v>275</v>
      </c>
      <c r="AA84" t="s">
        <v>558</v>
      </c>
      <c r="AB84">
        <f>IF(A84="","",SUMIFS(attestations!$U$2:$U$5000,attestations!$B$2:$B$5000,A84))</f>
        <v>7</v>
      </c>
    </row>
    <row r="85" spans="1:28" x14ac:dyDescent="0.2">
      <c r="A85" t="s">
        <v>559</v>
      </c>
      <c r="B85" t="s">
        <v>560</v>
      </c>
      <c r="C85" t="s">
        <v>561</v>
      </c>
      <c r="D85" t="s">
        <v>196</v>
      </c>
      <c r="E85" t="s">
        <v>183</v>
      </c>
      <c r="F85" t="s">
        <v>184</v>
      </c>
      <c r="G85" t="s">
        <v>185</v>
      </c>
      <c r="H85" t="s">
        <v>186</v>
      </c>
      <c r="I85" t="s">
        <v>562</v>
      </c>
      <c r="J85" t="s">
        <v>563</v>
      </c>
      <c r="K85" t="s">
        <v>259</v>
      </c>
      <c r="L85" t="s">
        <v>190</v>
      </c>
      <c r="M85" t="str">
        <f t="shared" si="2"/>
        <v>Translucent area</v>
      </c>
      <c r="N85">
        <v>800</v>
      </c>
      <c r="O85" s="2">
        <f>COUNTIFS(attestations!$B$2:$B$5000,$A85,attestations!$T$2:$T$5000,"&lt;&gt;Retracted",attestations!$D$2:$D$5000,"&lt;&gt;Negative*")</f>
        <v>0</v>
      </c>
      <c r="P85" s="2">
        <f>COUNTIFS(attestations!$B$2:$B$5000,$A85,attestations!$T$2:$T$5000,"&lt;&gt;Retracted",attestations!$D$2:$D$5000,"&lt;&gt;Negative*",attestations!$R$2:$R$5000,"Map")</f>
        <v>0</v>
      </c>
      <c r="Q85" s="2">
        <f>COUNTIFS(attestations!$B$2:$B$5000,$A85,attestations!$T$2:$T$5000,"&lt;&gt;Retracted",attestations!$D$2:$D$5000,"&lt;&gt;Negative*",attestations!$R$2:$R$5000,"Image")</f>
        <v>0</v>
      </c>
      <c r="R85" s="2">
        <f>COUNTIFS(attestations!$B$2:$B$5000,$A85,attestations!$T$2:$T$5000,"&lt;&gt;Retracted",attestations!$D$2:$D$5000,"&lt;&gt;Negative*",attestations!$R$2:$R$5000,"Textual")</f>
        <v>0</v>
      </c>
      <c r="S85" s="2">
        <f>COUNTIFS(attestations!$B$2:$B$5000,$A85,attestations!$T$2:$T$5000,"&lt;&gt;Retracted",attestations!$D$2:$D$5000,"Geometry (Setting)")</f>
        <v>0</v>
      </c>
      <c r="T85" s="2" t="str">
        <f t="shared" si="3"/>
        <v>None</v>
      </c>
      <c r="U85" s="2" t="str">
        <f>IF(COUNTIFS(attestations!$B$2:$B$5000,$A85,attestations!$T$2:$T$5000,"&lt;&gt;Retracted",attestations!$I$2:$I$5000,"Georeferenced map GCP")&gt;0,"Y","N")</f>
        <v>N</v>
      </c>
      <c r="V85" t="s">
        <v>284</v>
      </c>
      <c r="X85" t="s">
        <v>564</v>
      </c>
      <c r="Y85" t="s">
        <v>193</v>
      </c>
      <c r="AB85">
        <f>IF(A85="","",SUMIFS(attestations!$U$2:$U$5000,attestations!$B$2:$B$5000,A85))</f>
        <v>0</v>
      </c>
    </row>
    <row r="86" spans="1:28" x14ac:dyDescent="0.2">
      <c r="A86" t="s">
        <v>565</v>
      </c>
      <c r="B86" t="s">
        <v>566</v>
      </c>
      <c r="C86" t="s">
        <v>567</v>
      </c>
      <c r="D86" t="s">
        <v>207</v>
      </c>
      <c r="E86" t="s">
        <v>236</v>
      </c>
      <c r="F86" t="s">
        <v>237</v>
      </c>
      <c r="G86" t="s">
        <v>185</v>
      </c>
      <c r="H86" t="s">
        <v>186</v>
      </c>
      <c r="I86" t="s">
        <v>257</v>
      </c>
      <c r="J86" t="s">
        <v>568</v>
      </c>
      <c r="K86" t="s">
        <v>259</v>
      </c>
      <c r="L86" t="s">
        <v>209</v>
      </c>
      <c r="M86" t="str">
        <f t="shared" si="2"/>
        <v>Point + buffer</v>
      </c>
      <c r="N86">
        <v>250</v>
      </c>
      <c r="O86" s="2">
        <f>COUNTIFS(attestations!$B$2:$B$5000,$A86,attestations!$T$2:$T$5000,"&lt;&gt;Retracted",attestations!$D$2:$D$5000,"&lt;&gt;Negative*")</f>
        <v>11</v>
      </c>
      <c r="P86" s="2">
        <f>COUNTIFS(attestations!$B$2:$B$5000,$A86,attestations!$T$2:$T$5000,"&lt;&gt;Retracted",attestations!$D$2:$D$5000,"&lt;&gt;Negative*",attestations!$R$2:$R$5000,"Map")</f>
        <v>6</v>
      </c>
      <c r="Q86" s="2">
        <f>COUNTIFS(attestations!$B$2:$B$5000,$A86,attestations!$T$2:$T$5000,"&lt;&gt;Retracted",attestations!$D$2:$D$5000,"&lt;&gt;Negative*",attestations!$R$2:$R$5000,"Image")</f>
        <v>1</v>
      </c>
      <c r="R86" s="2">
        <f>COUNTIFS(attestations!$B$2:$B$5000,$A86,attestations!$T$2:$T$5000,"&lt;&gt;Retracted",attestations!$D$2:$D$5000,"&lt;&gt;Negative*",attestations!$R$2:$R$5000,"Textual")</f>
        <v>4</v>
      </c>
      <c r="S86" s="2">
        <f>COUNTIFS(attestations!$B$2:$B$5000,$A86,attestations!$T$2:$T$5000,"&lt;&gt;Retracted",attestations!$D$2:$D$5000,"Geometry (Setting)")</f>
        <v>5</v>
      </c>
      <c r="T86" s="2" t="str">
        <f t="shared" si="3"/>
        <v>High</v>
      </c>
      <c r="U86" s="2" t="str">
        <f>IF(COUNTIFS(attestations!$B$2:$B$5000,$A86,attestations!$T$2:$T$5000,"&lt;&gt;Retracted",attestations!$I$2:$I$5000,"Georeferenced map GCP")&gt;0,"Y","N")</f>
        <v>Y</v>
      </c>
      <c r="V86" t="s">
        <v>191</v>
      </c>
      <c r="X86" t="s">
        <v>569</v>
      </c>
      <c r="Y86" t="s">
        <v>193</v>
      </c>
      <c r="AB86">
        <f>IF(A86="","",SUMIFS(attestations!$U$2:$U$5000,attestations!$B$2:$B$5000,A86))</f>
        <v>10</v>
      </c>
    </row>
    <row r="87" spans="1:28" x14ac:dyDescent="0.2">
      <c r="A87" t="s">
        <v>570</v>
      </c>
      <c r="B87" t="s">
        <v>571</v>
      </c>
      <c r="D87" t="s">
        <v>207</v>
      </c>
      <c r="E87" t="s">
        <v>236</v>
      </c>
      <c r="F87" t="s">
        <v>300</v>
      </c>
      <c r="G87" t="s">
        <v>185</v>
      </c>
      <c r="H87" t="s">
        <v>186</v>
      </c>
      <c r="I87" t="s">
        <v>572</v>
      </c>
      <c r="J87" t="s">
        <v>573</v>
      </c>
      <c r="K87" t="s">
        <v>259</v>
      </c>
      <c r="L87" t="s">
        <v>190</v>
      </c>
      <c r="M87" t="str">
        <f t="shared" si="2"/>
        <v>Translucent area</v>
      </c>
      <c r="N87">
        <v>400</v>
      </c>
      <c r="O87" s="2">
        <f>COUNTIFS(attestations!$B$2:$B$5000,$A87,attestations!$T$2:$T$5000,"&lt;&gt;Retracted",attestations!$D$2:$D$5000,"&lt;&gt;Negative*")</f>
        <v>2</v>
      </c>
      <c r="P87" s="2">
        <f>COUNTIFS(attestations!$B$2:$B$5000,$A87,attestations!$T$2:$T$5000,"&lt;&gt;Retracted",attestations!$D$2:$D$5000,"&lt;&gt;Negative*",attestations!$R$2:$R$5000,"Map")</f>
        <v>2</v>
      </c>
      <c r="Q87" s="2">
        <f>COUNTIFS(attestations!$B$2:$B$5000,$A87,attestations!$T$2:$T$5000,"&lt;&gt;Retracted",attestations!$D$2:$D$5000,"&lt;&gt;Negative*",attestations!$R$2:$R$5000,"Image")</f>
        <v>0</v>
      </c>
      <c r="R87" s="2">
        <f>COUNTIFS(attestations!$B$2:$B$5000,$A87,attestations!$T$2:$T$5000,"&lt;&gt;Retracted",attestations!$D$2:$D$5000,"&lt;&gt;Negative*",attestations!$R$2:$R$5000,"Textual")</f>
        <v>0</v>
      </c>
      <c r="S87" s="2">
        <f>COUNTIFS(attestations!$B$2:$B$5000,$A87,attestations!$T$2:$T$5000,"&lt;&gt;Retracted",attestations!$D$2:$D$5000,"Geometry (Setting)")</f>
        <v>2</v>
      </c>
      <c r="T87" s="2" t="str">
        <f t="shared" si="3"/>
        <v>Low</v>
      </c>
      <c r="U87" s="2" t="str">
        <f>IF(COUNTIFS(attestations!$B$2:$B$5000,$A87,attestations!$T$2:$T$5000,"&lt;&gt;Retracted",attestations!$I$2:$I$5000,"Georeferenced map GCP")&gt;0,"Y","N")</f>
        <v>Y</v>
      </c>
      <c r="V87" t="s">
        <v>191</v>
      </c>
      <c r="X87" t="s">
        <v>574</v>
      </c>
      <c r="Y87" t="s">
        <v>293</v>
      </c>
      <c r="Z87" t="s">
        <v>233</v>
      </c>
      <c r="AB87">
        <f>IF(A87="","",SUMIFS(attestations!$U$2:$U$5000,attestations!$B$2:$B$5000,A87))</f>
        <v>2</v>
      </c>
    </row>
    <row r="88" spans="1:28" x14ac:dyDescent="0.2">
      <c r="A88" t="s">
        <v>575</v>
      </c>
      <c r="B88" t="s">
        <v>576</v>
      </c>
      <c r="C88" t="s">
        <v>577</v>
      </c>
      <c r="D88" t="s">
        <v>256</v>
      </c>
      <c r="E88" t="s">
        <v>236</v>
      </c>
      <c r="F88" t="s">
        <v>300</v>
      </c>
      <c r="G88" t="s">
        <v>238</v>
      </c>
      <c r="H88" t="s">
        <v>223</v>
      </c>
      <c r="I88" t="s">
        <v>578</v>
      </c>
      <c r="J88" t="s">
        <v>366</v>
      </c>
      <c r="K88" t="s">
        <v>259</v>
      </c>
      <c r="L88" t="s">
        <v>209</v>
      </c>
      <c r="M88" t="str">
        <f t="shared" si="2"/>
        <v>Point + buffer</v>
      </c>
      <c r="N88">
        <v>200</v>
      </c>
      <c r="O88" s="2">
        <f>COUNTIFS(attestations!$B$2:$B$5000,$A88,attestations!$T$2:$T$5000,"&lt;&gt;Retracted",attestations!$D$2:$D$5000,"&lt;&gt;Negative*")</f>
        <v>3</v>
      </c>
      <c r="P88" s="2">
        <f>COUNTIFS(attestations!$B$2:$B$5000,$A88,attestations!$T$2:$T$5000,"&lt;&gt;Retracted",attestations!$D$2:$D$5000,"&lt;&gt;Negative*",attestations!$R$2:$R$5000,"Map")</f>
        <v>2</v>
      </c>
      <c r="Q88" s="2">
        <f>COUNTIFS(attestations!$B$2:$B$5000,$A88,attestations!$T$2:$T$5000,"&lt;&gt;Retracted",attestations!$D$2:$D$5000,"&lt;&gt;Negative*",attestations!$R$2:$R$5000,"Image")</f>
        <v>0</v>
      </c>
      <c r="R88" s="2">
        <f>COUNTIFS(attestations!$B$2:$B$5000,$A88,attestations!$T$2:$T$5000,"&lt;&gt;Retracted",attestations!$D$2:$D$5000,"&lt;&gt;Negative*",attestations!$R$2:$R$5000,"Textual")</f>
        <v>1</v>
      </c>
      <c r="S88" s="2">
        <f>COUNTIFS(attestations!$B$2:$B$5000,$A88,attestations!$T$2:$T$5000,"&lt;&gt;Retracted",attestations!$D$2:$D$5000,"Geometry (Setting)")</f>
        <v>1</v>
      </c>
      <c r="T88" s="2" t="str">
        <f t="shared" si="3"/>
        <v>Medium</v>
      </c>
      <c r="U88" s="2" t="str">
        <f>IF(COUNTIFS(attestations!$B$2:$B$5000,$A88,attestations!$T$2:$T$5000,"&lt;&gt;Retracted",attestations!$I$2:$I$5000,"Georeferenced map GCP")&gt;0,"Y","N")</f>
        <v>Y</v>
      </c>
      <c r="V88" t="s">
        <v>191</v>
      </c>
      <c r="X88" t="s">
        <v>579</v>
      </c>
      <c r="Y88" t="s">
        <v>193</v>
      </c>
      <c r="AB88">
        <f>IF(A88="","",SUMIFS(attestations!$U$2:$U$5000,attestations!$B$2:$B$5000,A88))</f>
        <v>3</v>
      </c>
    </row>
    <row r="89" spans="1:28" x14ac:dyDescent="0.2">
      <c r="A89" t="s">
        <v>580</v>
      </c>
      <c r="B89" t="s">
        <v>581</v>
      </c>
      <c r="C89" t="s">
        <v>582</v>
      </c>
      <c r="D89" t="s">
        <v>256</v>
      </c>
      <c r="E89" t="s">
        <v>236</v>
      </c>
      <c r="F89" t="s">
        <v>300</v>
      </c>
      <c r="G89" t="s">
        <v>238</v>
      </c>
      <c r="H89" t="s">
        <v>223</v>
      </c>
      <c r="I89" t="s">
        <v>578</v>
      </c>
      <c r="J89" t="s">
        <v>366</v>
      </c>
      <c r="K89" t="s">
        <v>259</v>
      </c>
      <c r="L89" t="s">
        <v>190</v>
      </c>
      <c r="M89" t="str">
        <f t="shared" si="2"/>
        <v>Translucent area</v>
      </c>
      <c r="N89">
        <v>400</v>
      </c>
      <c r="O89" s="2">
        <f>COUNTIFS(attestations!$B$2:$B$5000,$A89,attestations!$T$2:$T$5000,"&lt;&gt;Retracted",attestations!$D$2:$D$5000,"&lt;&gt;Negative*")</f>
        <v>10</v>
      </c>
      <c r="P89" s="2">
        <f>COUNTIFS(attestations!$B$2:$B$5000,$A89,attestations!$T$2:$T$5000,"&lt;&gt;Retracted",attestations!$D$2:$D$5000,"&lt;&gt;Negative*",attestations!$R$2:$R$5000,"Map")</f>
        <v>7</v>
      </c>
      <c r="Q89" s="2">
        <f>COUNTIFS(attestations!$B$2:$B$5000,$A89,attestations!$T$2:$T$5000,"&lt;&gt;Retracted",attestations!$D$2:$D$5000,"&lt;&gt;Negative*",attestations!$R$2:$R$5000,"Image")</f>
        <v>1</v>
      </c>
      <c r="R89" s="2">
        <f>COUNTIFS(attestations!$B$2:$B$5000,$A89,attestations!$T$2:$T$5000,"&lt;&gt;Retracted",attestations!$D$2:$D$5000,"&lt;&gt;Negative*",attestations!$R$2:$R$5000,"Textual")</f>
        <v>2</v>
      </c>
      <c r="S89" s="2">
        <f>COUNTIFS(attestations!$B$2:$B$5000,$A89,attestations!$T$2:$T$5000,"&lt;&gt;Retracted",attestations!$D$2:$D$5000,"Geometry (Setting)")</f>
        <v>6</v>
      </c>
      <c r="T89" s="2" t="str">
        <f t="shared" si="3"/>
        <v>Medium</v>
      </c>
      <c r="U89" s="2" t="str">
        <f>IF(COUNTIFS(attestations!$B$2:$B$5000,$A89,attestations!$T$2:$T$5000,"&lt;&gt;Retracted",attestations!$I$2:$I$5000,"Georeferenced map GCP")&gt;0,"Y","N")</f>
        <v>Y</v>
      </c>
      <c r="V89" t="s">
        <v>191</v>
      </c>
      <c r="X89" t="s">
        <v>583</v>
      </c>
      <c r="Y89" t="s">
        <v>193</v>
      </c>
      <c r="AB89">
        <f>IF(A89="","",SUMIFS(attestations!$U$2:$U$5000,attestations!$B$2:$B$5000,A89))</f>
        <v>7</v>
      </c>
    </row>
    <row r="90" spans="1:28" x14ac:dyDescent="0.2">
      <c r="A90" t="s">
        <v>584</v>
      </c>
      <c r="B90" t="s">
        <v>585</v>
      </c>
      <c r="C90" t="s">
        <v>586</v>
      </c>
      <c r="D90" t="s">
        <v>256</v>
      </c>
      <c r="E90" t="s">
        <v>236</v>
      </c>
      <c r="F90" t="s">
        <v>300</v>
      </c>
      <c r="G90" t="s">
        <v>238</v>
      </c>
      <c r="H90" t="s">
        <v>223</v>
      </c>
      <c r="I90" t="s">
        <v>578</v>
      </c>
      <c r="J90" t="s">
        <v>445</v>
      </c>
      <c r="K90" t="s">
        <v>259</v>
      </c>
      <c r="L90" t="s">
        <v>209</v>
      </c>
      <c r="M90" t="str">
        <f t="shared" si="2"/>
        <v>Point + buffer</v>
      </c>
      <c r="N90">
        <v>200</v>
      </c>
      <c r="O90" s="2">
        <f>COUNTIFS(attestations!$B$2:$B$5000,$A90,attestations!$T$2:$T$5000,"&lt;&gt;Retracted",attestations!$D$2:$D$5000,"&lt;&gt;Negative*")</f>
        <v>6</v>
      </c>
      <c r="P90" s="2">
        <f>COUNTIFS(attestations!$B$2:$B$5000,$A90,attestations!$T$2:$T$5000,"&lt;&gt;Retracted",attestations!$D$2:$D$5000,"&lt;&gt;Negative*",attestations!$R$2:$R$5000,"Map")</f>
        <v>3</v>
      </c>
      <c r="Q90" s="2">
        <f>COUNTIFS(attestations!$B$2:$B$5000,$A90,attestations!$T$2:$T$5000,"&lt;&gt;Retracted",attestations!$D$2:$D$5000,"&lt;&gt;Negative*",attestations!$R$2:$R$5000,"Image")</f>
        <v>1</v>
      </c>
      <c r="R90" s="2">
        <f>COUNTIFS(attestations!$B$2:$B$5000,$A90,attestations!$T$2:$T$5000,"&lt;&gt;Retracted",attestations!$D$2:$D$5000,"&lt;&gt;Negative*",attestations!$R$2:$R$5000,"Textual")</f>
        <v>2</v>
      </c>
      <c r="S90" s="2">
        <f>COUNTIFS(attestations!$B$2:$B$5000,$A90,attestations!$T$2:$T$5000,"&lt;&gt;Retracted",attestations!$D$2:$D$5000,"Geometry (Setting)")</f>
        <v>2</v>
      </c>
      <c r="T90" s="2" t="str">
        <f t="shared" si="3"/>
        <v>Medium</v>
      </c>
      <c r="U90" s="2" t="str">
        <f>IF(COUNTIFS(attestations!$B$2:$B$5000,$A90,attestations!$T$2:$T$5000,"&lt;&gt;Retracted",attestations!$I$2:$I$5000,"Georeferenced map GCP")&gt;0,"Y","N")</f>
        <v>Y</v>
      </c>
      <c r="V90" t="s">
        <v>191</v>
      </c>
      <c r="X90" t="s">
        <v>587</v>
      </c>
      <c r="Y90" t="s">
        <v>193</v>
      </c>
      <c r="AB90">
        <f>IF(A90="","",SUMIFS(attestations!$U$2:$U$5000,attestations!$B$2:$B$5000,A90))</f>
        <v>5</v>
      </c>
    </row>
    <row r="91" spans="1:28" x14ac:dyDescent="0.2">
      <c r="A91" t="s">
        <v>588</v>
      </c>
      <c r="B91" t="s">
        <v>589</v>
      </c>
      <c r="C91" t="s">
        <v>590</v>
      </c>
      <c r="D91" t="s">
        <v>256</v>
      </c>
      <c r="E91" t="s">
        <v>236</v>
      </c>
      <c r="F91" t="s">
        <v>300</v>
      </c>
      <c r="G91" t="s">
        <v>238</v>
      </c>
      <c r="H91" t="s">
        <v>223</v>
      </c>
      <c r="I91" t="s">
        <v>578</v>
      </c>
      <c r="J91" t="s">
        <v>445</v>
      </c>
      <c r="K91" t="s">
        <v>259</v>
      </c>
      <c r="L91" t="s">
        <v>209</v>
      </c>
      <c r="M91" t="str">
        <f t="shared" si="2"/>
        <v>Point + buffer</v>
      </c>
      <c r="N91">
        <v>200</v>
      </c>
      <c r="O91" s="2">
        <f>COUNTIFS(attestations!$B$2:$B$5000,$A91,attestations!$T$2:$T$5000,"&lt;&gt;Retracted",attestations!$D$2:$D$5000,"&lt;&gt;Negative*")</f>
        <v>8</v>
      </c>
      <c r="P91" s="2">
        <f>COUNTIFS(attestations!$B$2:$B$5000,$A91,attestations!$T$2:$T$5000,"&lt;&gt;Retracted",attestations!$D$2:$D$5000,"&lt;&gt;Negative*",attestations!$R$2:$R$5000,"Map")</f>
        <v>5</v>
      </c>
      <c r="Q91" s="2">
        <f>COUNTIFS(attestations!$B$2:$B$5000,$A91,attestations!$T$2:$T$5000,"&lt;&gt;Retracted",attestations!$D$2:$D$5000,"&lt;&gt;Negative*",attestations!$R$2:$R$5000,"Image")</f>
        <v>0</v>
      </c>
      <c r="R91" s="2">
        <f>COUNTIFS(attestations!$B$2:$B$5000,$A91,attestations!$T$2:$T$5000,"&lt;&gt;Retracted",attestations!$D$2:$D$5000,"&lt;&gt;Negative*",attestations!$R$2:$R$5000,"Textual")</f>
        <v>3</v>
      </c>
      <c r="S91" s="2">
        <f>COUNTIFS(attestations!$B$2:$B$5000,$A91,attestations!$T$2:$T$5000,"&lt;&gt;Retracted",attestations!$D$2:$D$5000,"Geometry (Setting)")</f>
        <v>4</v>
      </c>
      <c r="T91" s="2" t="str">
        <f t="shared" si="3"/>
        <v>Medium</v>
      </c>
      <c r="U91" s="2" t="str">
        <f>IF(COUNTIFS(attestations!$B$2:$B$5000,$A91,attestations!$T$2:$T$5000,"&lt;&gt;Retracted",attestations!$I$2:$I$5000,"Georeferenced map GCP")&gt;0,"Y","N")</f>
        <v>Y</v>
      </c>
      <c r="V91" t="s">
        <v>191</v>
      </c>
      <c r="X91" t="s">
        <v>591</v>
      </c>
      <c r="Y91" t="s">
        <v>193</v>
      </c>
      <c r="AB91">
        <f>IF(A91="","",SUMIFS(attestations!$U$2:$U$5000,attestations!$B$2:$B$5000,A91))</f>
        <v>8</v>
      </c>
    </row>
    <row r="92" spans="1:28" x14ac:dyDescent="0.2">
      <c r="A92" t="s">
        <v>592</v>
      </c>
      <c r="B92" t="s">
        <v>593</v>
      </c>
      <c r="D92" t="s">
        <v>196</v>
      </c>
      <c r="E92" t="s">
        <v>183</v>
      </c>
      <c r="F92" t="s">
        <v>184</v>
      </c>
      <c r="G92" t="s">
        <v>185</v>
      </c>
      <c r="H92" t="s">
        <v>186</v>
      </c>
      <c r="I92" t="s">
        <v>572</v>
      </c>
      <c r="J92" t="s">
        <v>188</v>
      </c>
      <c r="K92" t="s">
        <v>259</v>
      </c>
      <c r="L92" t="s">
        <v>209</v>
      </c>
      <c r="M92" t="str">
        <f t="shared" si="2"/>
        <v>Point + buffer</v>
      </c>
      <c r="N92">
        <v>250</v>
      </c>
      <c r="O92" s="2">
        <f>COUNTIFS(attestations!$B$2:$B$5000,$A92,attestations!$T$2:$T$5000,"&lt;&gt;Retracted",attestations!$D$2:$D$5000,"&lt;&gt;Negative*")</f>
        <v>10</v>
      </c>
      <c r="P92" s="2">
        <f>COUNTIFS(attestations!$B$2:$B$5000,$A92,attestations!$T$2:$T$5000,"&lt;&gt;Retracted",attestations!$D$2:$D$5000,"&lt;&gt;Negative*",attestations!$R$2:$R$5000,"Map")</f>
        <v>6</v>
      </c>
      <c r="Q92" s="2">
        <f>COUNTIFS(attestations!$B$2:$B$5000,$A92,attestations!$T$2:$T$5000,"&lt;&gt;Retracted",attestations!$D$2:$D$5000,"&lt;&gt;Negative*",attestations!$R$2:$R$5000,"Image")</f>
        <v>1</v>
      </c>
      <c r="R92" s="2">
        <f>COUNTIFS(attestations!$B$2:$B$5000,$A92,attestations!$T$2:$T$5000,"&lt;&gt;Retracted",attestations!$D$2:$D$5000,"&lt;&gt;Negative*",attestations!$R$2:$R$5000,"Textual")</f>
        <v>3</v>
      </c>
      <c r="S92" s="2">
        <f>COUNTIFS(attestations!$B$2:$B$5000,$A92,attestations!$T$2:$T$5000,"&lt;&gt;Retracted",attestations!$D$2:$D$5000,"Geometry (Setting)")</f>
        <v>5</v>
      </c>
      <c r="T92" s="2" t="str">
        <f t="shared" si="3"/>
        <v>Medium</v>
      </c>
      <c r="U92" s="2" t="str">
        <f>IF(COUNTIFS(attestations!$B$2:$B$5000,$A92,attestations!$T$2:$T$5000,"&lt;&gt;Retracted",attestations!$I$2:$I$5000,"Georeferenced map GCP")&gt;0,"Y","N")</f>
        <v>Y</v>
      </c>
      <c r="V92" t="s">
        <v>191</v>
      </c>
      <c r="X92" t="s">
        <v>594</v>
      </c>
      <c r="Y92" t="s">
        <v>193</v>
      </c>
      <c r="AB92">
        <f>IF(A92="","",SUMIFS(attestations!$U$2:$U$5000,attestations!$B$2:$B$5000,A92))</f>
        <v>8</v>
      </c>
    </row>
    <row r="93" spans="1:28" x14ac:dyDescent="0.2">
      <c r="A93" t="s">
        <v>595</v>
      </c>
      <c r="B93" t="s">
        <v>596</v>
      </c>
      <c r="D93" t="s">
        <v>207</v>
      </c>
      <c r="E93" t="s">
        <v>183</v>
      </c>
      <c r="F93" t="s">
        <v>184</v>
      </c>
      <c r="G93" t="s">
        <v>185</v>
      </c>
      <c r="H93" t="s">
        <v>186</v>
      </c>
      <c r="I93" t="s">
        <v>597</v>
      </c>
      <c r="J93" t="s">
        <v>188</v>
      </c>
      <c r="K93" t="s">
        <v>259</v>
      </c>
      <c r="L93" t="s">
        <v>190</v>
      </c>
      <c r="M93" t="str">
        <f t="shared" si="2"/>
        <v>Translucent area</v>
      </c>
      <c r="N93">
        <v>400</v>
      </c>
      <c r="O93" s="2">
        <f>COUNTIFS(attestations!$B$2:$B$5000,$A93,attestations!$T$2:$T$5000,"&lt;&gt;Retracted",attestations!$D$2:$D$5000,"&lt;&gt;Negative*")</f>
        <v>5</v>
      </c>
      <c r="P93" s="2">
        <f>COUNTIFS(attestations!$B$2:$B$5000,$A93,attestations!$T$2:$T$5000,"&lt;&gt;Retracted",attestations!$D$2:$D$5000,"&lt;&gt;Negative*",attestations!$R$2:$R$5000,"Map")</f>
        <v>3</v>
      </c>
      <c r="Q93" s="2">
        <f>COUNTIFS(attestations!$B$2:$B$5000,$A93,attestations!$T$2:$T$5000,"&lt;&gt;Retracted",attestations!$D$2:$D$5000,"&lt;&gt;Negative*",attestations!$R$2:$R$5000,"Image")</f>
        <v>1</v>
      </c>
      <c r="R93" s="2">
        <f>COUNTIFS(attestations!$B$2:$B$5000,$A93,attestations!$T$2:$T$5000,"&lt;&gt;Retracted",attestations!$D$2:$D$5000,"&lt;&gt;Negative*",attestations!$R$2:$R$5000,"Textual")</f>
        <v>1</v>
      </c>
      <c r="S93" s="2">
        <f>COUNTIFS(attestations!$B$2:$B$5000,$A93,attestations!$T$2:$T$5000,"&lt;&gt;Retracted",attestations!$D$2:$D$5000,"Geometry (Setting)")</f>
        <v>2</v>
      </c>
      <c r="T93" s="2" t="str">
        <f t="shared" si="3"/>
        <v>Medium</v>
      </c>
      <c r="U93" s="2" t="str">
        <f>IF(COUNTIFS(attestations!$B$2:$B$5000,$A93,attestations!$T$2:$T$5000,"&lt;&gt;Retracted",attestations!$I$2:$I$5000,"Georeferenced map GCP")&gt;0,"Y","N")</f>
        <v>Y</v>
      </c>
      <c r="V93" t="s">
        <v>191</v>
      </c>
      <c r="X93" t="s">
        <v>598</v>
      </c>
      <c r="Y93" t="s">
        <v>193</v>
      </c>
      <c r="AB93">
        <f>IF(A93="","",SUMIFS(attestations!$U$2:$U$5000,attestations!$B$2:$B$5000,A93))</f>
        <v>5</v>
      </c>
    </row>
    <row r="94" spans="1:28" x14ac:dyDescent="0.2">
      <c r="A94" t="s">
        <v>599</v>
      </c>
      <c r="B94" t="s">
        <v>600</v>
      </c>
      <c r="D94" t="s">
        <v>207</v>
      </c>
      <c r="E94" t="s">
        <v>183</v>
      </c>
      <c r="F94" t="s">
        <v>184</v>
      </c>
      <c r="G94" t="s">
        <v>185</v>
      </c>
      <c r="H94" t="s">
        <v>186</v>
      </c>
      <c r="I94" t="s">
        <v>601</v>
      </c>
      <c r="J94" t="s">
        <v>188</v>
      </c>
      <c r="K94" t="s">
        <v>259</v>
      </c>
      <c r="L94" t="s">
        <v>190</v>
      </c>
      <c r="M94" t="str">
        <f t="shared" si="2"/>
        <v>Translucent area</v>
      </c>
      <c r="N94">
        <v>400</v>
      </c>
      <c r="O94" s="2">
        <f>COUNTIFS(attestations!$B$2:$B$5000,$A94,attestations!$T$2:$T$5000,"&lt;&gt;Retracted",attestations!$D$2:$D$5000,"&lt;&gt;Negative*")</f>
        <v>7</v>
      </c>
      <c r="P94" s="2">
        <f>COUNTIFS(attestations!$B$2:$B$5000,$A94,attestations!$T$2:$T$5000,"&lt;&gt;Retracted",attestations!$D$2:$D$5000,"&lt;&gt;Negative*",attestations!$R$2:$R$5000,"Map")</f>
        <v>3</v>
      </c>
      <c r="Q94" s="2">
        <f>COUNTIFS(attestations!$B$2:$B$5000,$A94,attestations!$T$2:$T$5000,"&lt;&gt;Retracted",attestations!$D$2:$D$5000,"&lt;&gt;Negative*",attestations!$R$2:$R$5000,"Image")</f>
        <v>1</v>
      </c>
      <c r="R94" s="2">
        <f>COUNTIFS(attestations!$B$2:$B$5000,$A94,attestations!$T$2:$T$5000,"&lt;&gt;Retracted",attestations!$D$2:$D$5000,"&lt;&gt;Negative*",attestations!$R$2:$R$5000,"Textual")</f>
        <v>3</v>
      </c>
      <c r="S94" s="2">
        <f>COUNTIFS(attestations!$B$2:$B$5000,$A94,attestations!$T$2:$T$5000,"&lt;&gt;Retracted",attestations!$D$2:$D$5000,"Geometry (Setting)")</f>
        <v>2</v>
      </c>
      <c r="T94" s="2" t="str">
        <f t="shared" si="3"/>
        <v>Medium</v>
      </c>
      <c r="U94" s="2" t="str">
        <f>IF(COUNTIFS(attestations!$B$2:$B$5000,$A94,attestations!$T$2:$T$5000,"&lt;&gt;Retracted",attestations!$I$2:$I$5000,"Georeferenced map GCP")&gt;0,"Y","N")</f>
        <v>Y</v>
      </c>
      <c r="V94" t="s">
        <v>191</v>
      </c>
      <c r="X94" t="s">
        <v>602</v>
      </c>
      <c r="Y94" t="s">
        <v>193</v>
      </c>
      <c r="AB94">
        <f>IF(A94="","",SUMIFS(attestations!$U$2:$U$5000,attestations!$B$2:$B$5000,A94))</f>
        <v>7</v>
      </c>
    </row>
    <row r="95" spans="1:28" x14ac:dyDescent="0.2">
      <c r="A95" t="s">
        <v>603</v>
      </c>
      <c r="B95" t="s">
        <v>604</v>
      </c>
      <c r="C95" t="s">
        <v>604</v>
      </c>
      <c r="D95" t="s">
        <v>207</v>
      </c>
      <c r="E95" t="s">
        <v>183</v>
      </c>
      <c r="F95" t="s">
        <v>184</v>
      </c>
      <c r="G95" t="s">
        <v>185</v>
      </c>
      <c r="H95" t="s">
        <v>186</v>
      </c>
      <c r="I95" t="s">
        <v>605</v>
      </c>
      <c r="J95" t="s">
        <v>188</v>
      </c>
      <c r="K95" t="s">
        <v>259</v>
      </c>
      <c r="L95" t="s">
        <v>190</v>
      </c>
      <c r="M95" t="str">
        <f t="shared" si="2"/>
        <v>Translucent area</v>
      </c>
      <c r="N95">
        <v>400</v>
      </c>
      <c r="O95" s="2">
        <f>COUNTIFS(attestations!$B$2:$B$5000,$A95,attestations!$T$2:$T$5000,"&lt;&gt;Retracted",attestations!$D$2:$D$5000,"&lt;&gt;Negative*")</f>
        <v>6</v>
      </c>
      <c r="P95" s="2">
        <f>COUNTIFS(attestations!$B$2:$B$5000,$A95,attestations!$T$2:$T$5000,"&lt;&gt;Retracted",attestations!$D$2:$D$5000,"&lt;&gt;Negative*",attestations!$R$2:$R$5000,"Map")</f>
        <v>6</v>
      </c>
      <c r="Q95" s="2">
        <f>COUNTIFS(attestations!$B$2:$B$5000,$A95,attestations!$T$2:$T$5000,"&lt;&gt;Retracted",attestations!$D$2:$D$5000,"&lt;&gt;Negative*",attestations!$R$2:$R$5000,"Image")</f>
        <v>0</v>
      </c>
      <c r="R95" s="2">
        <f>COUNTIFS(attestations!$B$2:$B$5000,$A95,attestations!$T$2:$T$5000,"&lt;&gt;Retracted",attestations!$D$2:$D$5000,"&lt;&gt;Negative*",attestations!$R$2:$R$5000,"Textual")</f>
        <v>0</v>
      </c>
      <c r="S95" s="2">
        <f>COUNTIFS(attestations!$B$2:$B$5000,$A95,attestations!$T$2:$T$5000,"&lt;&gt;Retracted",attestations!$D$2:$D$5000,"Geometry (Setting)")</f>
        <v>3</v>
      </c>
      <c r="T95" s="2" t="str">
        <f t="shared" si="3"/>
        <v>Medium</v>
      </c>
      <c r="U95" s="2" t="str">
        <f>IF(COUNTIFS(attestations!$B$2:$B$5000,$A95,attestations!$T$2:$T$5000,"&lt;&gt;Retracted",attestations!$I$2:$I$5000,"Georeferenced map GCP")&gt;0,"Y","N")</f>
        <v>Y</v>
      </c>
      <c r="V95" t="s">
        <v>191</v>
      </c>
      <c r="X95" t="s">
        <v>606</v>
      </c>
      <c r="Y95" t="s">
        <v>193</v>
      </c>
      <c r="AB95">
        <f>IF(A95="","",SUMIFS(attestations!$U$2:$U$5000,attestations!$B$2:$B$5000,A95))</f>
        <v>6</v>
      </c>
    </row>
    <row r="96" spans="1:28" x14ac:dyDescent="0.2">
      <c r="A96" t="s">
        <v>607</v>
      </c>
      <c r="B96" t="s">
        <v>608</v>
      </c>
      <c r="C96" t="s">
        <v>609</v>
      </c>
      <c r="D96" t="s">
        <v>207</v>
      </c>
      <c r="E96" t="s">
        <v>183</v>
      </c>
      <c r="F96" t="s">
        <v>184</v>
      </c>
      <c r="G96" t="s">
        <v>185</v>
      </c>
      <c r="H96" t="s">
        <v>186</v>
      </c>
      <c r="I96" t="s">
        <v>257</v>
      </c>
      <c r="J96" t="s">
        <v>188</v>
      </c>
      <c r="K96" t="s">
        <v>259</v>
      </c>
      <c r="L96" t="s">
        <v>190</v>
      </c>
      <c r="M96" t="str">
        <f t="shared" si="2"/>
        <v>Translucent area</v>
      </c>
      <c r="N96">
        <v>400</v>
      </c>
      <c r="O96" s="2">
        <f>COUNTIFS(attestations!$B$2:$B$5000,$A96,attestations!$T$2:$T$5000,"&lt;&gt;Retracted",attestations!$D$2:$D$5000,"&lt;&gt;Negative*")</f>
        <v>8</v>
      </c>
      <c r="P96" s="2">
        <f>COUNTIFS(attestations!$B$2:$B$5000,$A96,attestations!$T$2:$T$5000,"&lt;&gt;Retracted",attestations!$D$2:$D$5000,"&lt;&gt;Negative*",attestations!$R$2:$R$5000,"Map")</f>
        <v>6</v>
      </c>
      <c r="Q96" s="2">
        <f>COUNTIFS(attestations!$B$2:$B$5000,$A96,attestations!$T$2:$T$5000,"&lt;&gt;Retracted",attestations!$D$2:$D$5000,"&lt;&gt;Negative*",attestations!$R$2:$R$5000,"Image")</f>
        <v>1</v>
      </c>
      <c r="R96" s="2">
        <f>COUNTIFS(attestations!$B$2:$B$5000,$A96,attestations!$T$2:$T$5000,"&lt;&gt;Retracted",attestations!$D$2:$D$5000,"&lt;&gt;Negative*",attestations!$R$2:$R$5000,"Textual")</f>
        <v>1</v>
      </c>
      <c r="S96" s="2">
        <f>COUNTIFS(attestations!$B$2:$B$5000,$A96,attestations!$T$2:$T$5000,"&lt;&gt;Retracted",attestations!$D$2:$D$5000,"Geometry (Setting)")</f>
        <v>4</v>
      </c>
      <c r="T96" s="2" t="str">
        <f t="shared" si="3"/>
        <v>Medium</v>
      </c>
      <c r="U96" s="2" t="str">
        <f>IF(COUNTIFS(attestations!$B$2:$B$5000,$A96,attestations!$T$2:$T$5000,"&lt;&gt;Retracted",attestations!$I$2:$I$5000,"Georeferenced map GCP")&gt;0,"Y","N")</f>
        <v>Y</v>
      </c>
      <c r="V96" t="s">
        <v>191</v>
      </c>
      <c r="X96" t="s">
        <v>610</v>
      </c>
      <c r="Y96" t="s">
        <v>193</v>
      </c>
      <c r="AB96">
        <f>IF(A96="","",SUMIFS(attestations!$U$2:$U$5000,attestations!$B$2:$B$5000,A96))</f>
        <v>8</v>
      </c>
    </row>
    <row r="97" spans="1:28" x14ac:dyDescent="0.2">
      <c r="A97" t="s">
        <v>611</v>
      </c>
      <c r="B97" t="s">
        <v>491</v>
      </c>
      <c r="C97" t="s">
        <v>612</v>
      </c>
      <c r="D97" t="s">
        <v>256</v>
      </c>
      <c r="E97" t="s">
        <v>236</v>
      </c>
      <c r="F97" t="s">
        <v>300</v>
      </c>
      <c r="G97" t="s">
        <v>238</v>
      </c>
      <c r="H97" t="s">
        <v>223</v>
      </c>
      <c r="I97" t="s">
        <v>613</v>
      </c>
      <c r="J97" t="s">
        <v>366</v>
      </c>
      <c r="K97" t="s">
        <v>259</v>
      </c>
      <c r="L97" t="s">
        <v>209</v>
      </c>
      <c r="M97" t="str">
        <f t="shared" si="2"/>
        <v>Point + buffer</v>
      </c>
      <c r="N97">
        <v>200</v>
      </c>
      <c r="O97" s="2">
        <f>COUNTIFS(attestations!$B$2:$B$5000,$A97,attestations!$T$2:$T$5000,"&lt;&gt;Retracted",attestations!$D$2:$D$5000,"&lt;&gt;Negative*")</f>
        <v>0</v>
      </c>
      <c r="P97" s="2">
        <f>COUNTIFS(attestations!$B$2:$B$5000,$A97,attestations!$T$2:$T$5000,"&lt;&gt;Retracted",attestations!$D$2:$D$5000,"&lt;&gt;Negative*",attestations!$R$2:$R$5000,"Map")</f>
        <v>0</v>
      </c>
      <c r="Q97" s="2">
        <f>COUNTIFS(attestations!$B$2:$B$5000,$A97,attestations!$T$2:$T$5000,"&lt;&gt;Retracted",attestations!$D$2:$D$5000,"&lt;&gt;Negative*",attestations!$R$2:$R$5000,"Image")</f>
        <v>0</v>
      </c>
      <c r="R97" s="2">
        <f>COUNTIFS(attestations!$B$2:$B$5000,$A97,attestations!$T$2:$T$5000,"&lt;&gt;Retracted",attestations!$D$2:$D$5000,"&lt;&gt;Negative*",attestations!$R$2:$R$5000,"Textual")</f>
        <v>0</v>
      </c>
      <c r="S97" s="2">
        <f>COUNTIFS(attestations!$B$2:$B$5000,$A97,attestations!$T$2:$T$5000,"&lt;&gt;Retracted",attestations!$D$2:$D$5000,"Geometry (Setting)")</f>
        <v>0</v>
      </c>
      <c r="T97" s="2" t="str">
        <f t="shared" si="3"/>
        <v>None</v>
      </c>
      <c r="U97" s="2" t="str">
        <f>IF(COUNTIFS(attestations!$B$2:$B$5000,$A97,attestations!$T$2:$T$5000,"&lt;&gt;Retracted",attestations!$I$2:$I$5000,"Georeferenced map GCP")&gt;0,"Y","N")</f>
        <v>N</v>
      </c>
      <c r="V97" t="s">
        <v>284</v>
      </c>
      <c r="X97" t="s">
        <v>614</v>
      </c>
      <c r="Y97" t="s">
        <v>193</v>
      </c>
      <c r="AB97">
        <f>IF(A97="","",SUMIFS(attestations!$U$2:$U$5000,attestations!$B$2:$B$5000,A97))</f>
        <v>0</v>
      </c>
    </row>
    <row r="98" spans="1:28" x14ac:dyDescent="0.2">
      <c r="A98" t="s">
        <v>615</v>
      </c>
      <c r="B98" t="s">
        <v>505</v>
      </c>
      <c r="C98" t="s">
        <v>504</v>
      </c>
      <c r="D98" t="s">
        <v>207</v>
      </c>
      <c r="E98" t="s">
        <v>236</v>
      </c>
      <c r="F98" t="s">
        <v>300</v>
      </c>
      <c r="G98" t="s">
        <v>185</v>
      </c>
      <c r="H98" t="s">
        <v>186</v>
      </c>
      <c r="I98" t="s">
        <v>616</v>
      </c>
      <c r="J98" t="s">
        <v>617</v>
      </c>
      <c r="K98" t="s">
        <v>208</v>
      </c>
      <c r="L98" t="s">
        <v>209</v>
      </c>
      <c r="M98" t="str">
        <f t="shared" si="2"/>
        <v>Point + buffer</v>
      </c>
      <c r="N98">
        <v>250</v>
      </c>
      <c r="O98" s="2">
        <f>COUNTIFS(attestations!$B$2:$B$5000,$A98,attestations!$T$2:$T$5000,"&lt;&gt;Retracted",attestations!$D$2:$D$5000,"&lt;&gt;Negative*")</f>
        <v>0</v>
      </c>
      <c r="P98" s="2">
        <f>COUNTIFS(attestations!$B$2:$B$5000,$A98,attestations!$T$2:$T$5000,"&lt;&gt;Retracted",attestations!$D$2:$D$5000,"&lt;&gt;Negative*",attestations!$R$2:$R$5000,"Map")</f>
        <v>0</v>
      </c>
      <c r="Q98" s="2">
        <f>COUNTIFS(attestations!$B$2:$B$5000,$A98,attestations!$T$2:$T$5000,"&lt;&gt;Retracted",attestations!$D$2:$D$5000,"&lt;&gt;Negative*",attestations!$R$2:$R$5000,"Image")</f>
        <v>0</v>
      </c>
      <c r="R98" s="2">
        <f>COUNTIFS(attestations!$B$2:$B$5000,$A98,attestations!$T$2:$T$5000,"&lt;&gt;Retracted",attestations!$D$2:$D$5000,"&lt;&gt;Negative*",attestations!$R$2:$R$5000,"Textual")</f>
        <v>0</v>
      </c>
      <c r="S98" s="2">
        <f>COUNTIFS(attestations!$B$2:$B$5000,$A98,attestations!$T$2:$T$5000,"&lt;&gt;Retracted",attestations!$D$2:$D$5000,"Geometry (Setting)")</f>
        <v>0</v>
      </c>
      <c r="T98" s="2" t="str">
        <f t="shared" si="3"/>
        <v>None</v>
      </c>
      <c r="U98" s="2" t="str">
        <f>IF(COUNTIFS(attestations!$B$2:$B$5000,$A98,attestations!$T$2:$T$5000,"&lt;&gt;Retracted",attestations!$I$2:$I$5000,"Georeferenced map GCP")&gt;0,"Y","N")</f>
        <v>N</v>
      </c>
      <c r="V98" t="s">
        <v>284</v>
      </c>
      <c r="X98" t="s">
        <v>618</v>
      </c>
      <c r="Y98" t="s">
        <v>193</v>
      </c>
      <c r="AB98">
        <f>IF(A98="","",SUMIFS(attestations!$U$2:$U$5000,attestations!$B$2:$B$5000,A98))</f>
        <v>0</v>
      </c>
    </row>
    <row r="99" spans="1:28" x14ac:dyDescent="0.2">
      <c r="A99" t="s">
        <v>619</v>
      </c>
      <c r="B99" t="s">
        <v>620</v>
      </c>
      <c r="D99" t="s">
        <v>621</v>
      </c>
      <c r="E99" t="s">
        <v>236</v>
      </c>
      <c r="F99" t="s">
        <v>300</v>
      </c>
      <c r="G99" t="s">
        <v>238</v>
      </c>
      <c r="H99" t="s">
        <v>223</v>
      </c>
      <c r="I99" t="s">
        <v>622</v>
      </c>
      <c r="J99" t="s">
        <v>623</v>
      </c>
      <c r="K99" t="s">
        <v>208</v>
      </c>
      <c r="L99" t="s">
        <v>209</v>
      </c>
      <c r="M99" t="str">
        <f t="shared" si="2"/>
        <v>Point + buffer</v>
      </c>
      <c r="N99">
        <v>350</v>
      </c>
      <c r="O99" s="2">
        <f>COUNTIFS(attestations!$B$2:$B$5000,$A99,attestations!$T$2:$T$5000,"&lt;&gt;Retracted",attestations!$D$2:$D$5000,"&lt;&gt;Negative*")</f>
        <v>7</v>
      </c>
      <c r="P99" s="2">
        <f>COUNTIFS(attestations!$B$2:$B$5000,$A99,attestations!$T$2:$T$5000,"&lt;&gt;Retracted",attestations!$D$2:$D$5000,"&lt;&gt;Negative*",attestations!$R$2:$R$5000,"Map")</f>
        <v>1</v>
      </c>
      <c r="Q99" s="2">
        <f>COUNTIFS(attestations!$B$2:$B$5000,$A99,attestations!$T$2:$T$5000,"&lt;&gt;Retracted",attestations!$D$2:$D$5000,"&lt;&gt;Negative*",attestations!$R$2:$R$5000,"Image")</f>
        <v>1</v>
      </c>
      <c r="R99" s="2">
        <f>COUNTIFS(attestations!$B$2:$B$5000,$A99,attestations!$T$2:$T$5000,"&lt;&gt;Retracted",attestations!$D$2:$D$5000,"&lt;&gt;Negative*",attestations!$R$2:$R$5000,"Textual")</f>
        <v>5</v>
      </c>
      <c r="S99" s="2">
        <f>COUNTIFS(attestations!$B$2:$B$5000,$A99,attestations!$T$2:$T$5000,"&lt;&gt;Retracted",attestations!$D$2:$D$5000,"Geometry (Setting)")</f>
        <v>1</v>
      </c>
      <c r="T99" s="2" t="str">
        <f t="shared" si="3"/>
        <v>Medium</v>
      </c>
      <c r="U99" s="2" t="str">
        <f>IF(COUNTIFS(attestations!$B$2:$B$5000,$A99,attestations!$T$2:$T$5000,"&lt;&gt;Retracted",attestations!$I$2:$I$5000,"Georeferenced map GCP")&gt;0,"Y","N")</f>
        <v>Y</v>
      </c>
      <c r="V99" t="s">
        <v>191</v>
      </c>
      <c r="W99" t="s">
        <v>203</v>
      </c>
      <c r="X99" t="s">
        <v>624</v>
      </c>
      <c r="Y99" t="s">
        <v>193</v>
      </c>
      <c r="AB99">
        <f>IF(A99="","",SUMIFS(attestations!$U$2:$U$5000,attestations!$B$2:$B$5000,A99))</f>
        <v>5</v>
      </c>
    </row>
    <row r="100" spans="1:28" x14ac:dyDescent="0.2">
      <c r="A100" t="s">
        <v>625</v>
      </c>
      <c r="B100" t="s">
        <v>626</v>
      </c>
      <c r="D100" t="s">
        <v>256</v>
      </c>
      <c r="E100" t="s">
        <v>236</v>
      </c>
      <c r="F100" t="s">
        <v>300</v>
      </c>
      <c r="G100" t="s">
        <v>238</v>
      </c>
      <c r="H100" t="s">
        <v>223</v>
      </c>
      <c r="I100" t="s">
        <v>627</v>
      </c>
      <c r="J100" t="s">
        <v>628</v>
      </c>
      <c r="K100" t="s">
        <v>208</v>
      </c>
      <c r="L100" t="s">
        <v>209</v>
      </c>
      <c r="M100" t="str">
        <f t="shared" si="2"/>
        <v>Point + buffer</v>
      </c>
      <c r="N100">
        <v>350</v>
      </c>
      <c r="O100" s="2">
        <f>COUNTIFS(attestations!$B$2:$B$5000,$A100,attestations!$T$2:$T$5000,"&lt;&gt;Retracted",attestations!$D$2:$D$5000,"&lt;&gt;Negative*")</f>
        <v>8</v>
      </c>
      <c r="P100" s="2">
        <f>COUNTIFS(attestations!$B$2:$B$5000,$A100,attestations!$T$2:$T$5000,"&lt;&gt;Retracted",attestations!$D$2:$D$5000,"&lt;&gt;Negative*",attestations!$R$2:$R$5000,"Map")</f>
        <v>2</v>
      </c>
      <c r="Q100" s="2">
        <f>COUNTIFS(attestations!$B$2:$B$5000,$A100,attestations!$T$2:$T$5000,"&lt;&gt;Retracted",attestations!$D$2:$D$5000,"&lt;&gt;Negative*",attestations!$R$2:$R$5000,"Image")</f>
        <v>1</v>
      </c>
      <c r="R100" s="2">
        <f>COUNTIFS(attestations!$B$2:$B$5000,$A100,attestations!$T$2:$T$5000,"&lt;&gt;Retracted",attestations!$D$2:$D$5000,"&lt;&gt;Negative*",attestations!$R$2:$R$5000,"Textual")</f>
        <v>5</v>
      </c>
      <c r="S100" s="2">
        <f>COUNTIFS(attestations!$B$2:$B$5000,$A100,attestations!$T$2:$T$5000,"&lt;&gt;Retracted",attestations!$D$2:$D$5000,"Geometry (Setting)")</f>
        <v>1</v>
      </c>
      <c r="T100" s="2" t="str">
        <f t="shared" si="3"/>
        <v>Medium</v>
      </c>
      <c r="U100" s="2" t="str">
        <f>IF(COUNTIFS(attestations!$B$2:$B$5000,$A100,attestations!$T$2:$T$5000,"&lt;&gt;Retracted",attestations!$I$2:$I$5000,"Georeferenced map GCP")&gt;0,"Y","N")</f>
        <v>Y</v>
      </c>
      <c r="V100" t="s">
        <v>191</v>
      </c>
      <c r="W100" t="s">
        <v>203</v>
      </c>
      <c r="X100" t="s">
        <v>629</v>
      </c>
      <c r="Y100" t="s">
        <v>193</v>
      </c>
      <c r="AB100">
        <f>IF(A100="","",SUMIFS(attestations!$U$2:$U$5000,attestations!$B$2:$B$5000,A100))</f>
        <v>7</v>
      </c>
    </row>
    <row r="101" spans="1:28" x14ac:dyDescent="0.2">
      <c r="A101" t="s">
        <v>630</v>
      </c>
      <c r="B101" t="s">
        <v>631</v>
      </c>
      <c r="C101" t="s">
        <v>632</v>
      </c>
      <c r="D101" t="s">
        <v>207</v>
      </c>
      <c r="E101" t="s">
        <v>208</v>
      </c>
      <c r="F101" t="s">
        <v>208</v>
      </c>
      <c r="G101" t="s">
        <v>320</v>
      </c>
      <c r="H101" t="s">
        <v>186</v>
      </c>
      <c r="I101" t="s">
        <v>633</v>
      </c>
      <c r="K101" t="s">
        <v>208</v>
      </c>
      <c r="L101" t="s">
        <v>190</v>
      </c>
      <c r="M101" t="str">
        <f t="shared" si="2"/>
        <v>Translucent area</v>
      </c>
      <c r="N101">
        <v>500</v>
      </c>
      <c r="O101" s="2">
        <f>COUNTIFS(attestations!$B$2:$B$5000,$A101,attestations!$T$2:$T$5000,"&lt;&gt;Retracted",attestations!$D$2:$D$5000,"&lt;&gt;Negative*")</f>
        <v>11</v>
      </c>
      <c r="P101" s="2">
        <f>COUNTIFS(attestations!$B$2:$B$5000,$A101,attestations!$T$2:$T$5000,"&lt;&gt;Retracted",attestations!$D$2:$D$5000,"&lt;&gt;Negative*",attestations!$R$2:$R$5000,"Map")</f>
        <v>7</v>
      </c>
      <c r="Q101" s="2">
        <f>COUNTIFS(attestations!$B$2:$B$5000,$A101,attestations!$T$2:$T$5000,"&lt;&gt;Retracted",attestations!$D$2:$D$5000,"&lt;&gt;Negative*",attestations!$R$2:$R$5000,"Image")</f>
        <v>1</v>
      </c>
      <c r="R101" s="2">
        <f>COUNTIFS(attestations!$B$2:$B$5000,$A101,attestations!$T$2:$T$5000,"&lt;&gt;Retracted",attestations!$D$2:$D$5000,"&lt;&gt;Negative*",attestations!$R$2:$R$5000,"Textual")</f>
        <v>3</v>
      </c>
      <c r="S101" s="2">
        <f>COUNTIFS(attestations!$B$2:$B$5000,$A101,attestations!$T$2:$T$5000,"&lt;&gt;Retracted",attestations!$D$2:$D$5000,"Geometry (Setting)")</f>
        <v>1</v>
      </c>
      <c r="T101" s="2" t="str">
        <f t="shared" si="3"/>
        <v>High</v>
      </c>
      <c r="U101" s="2" t="str">
        <f>IF(COUNTIFS(attestations!$B$2:$B$5000,$A101,attestations!$T$2:$T$5000,"&lt;&gt;Retracted",attestations!$I$2:$I$5000,"Georeferenced map GCP")&gt;0,"Y","N")</f>
        <v>Y</v>
      </c>
      <c r="V101" t="s">
        <v>191</v>
      </c>
      <c r="W101" t="s">
        <v>203</v>
      </c>
      <c r="X101" t="s">
        <v>634</v>
      </c>
      <c r="Y101" t="s">
        <v>193</v>
      </c>
      <c r="AB101">
        <f>IF(A101="","",SUMIFS(attestations!$U$2:$U$5000,attestations!$B$2:$B$5000,A101))</f>
        <v>11</v>
      </c>
    </row>
    <row r="102" spans="1:28" x14ac:dyDescent="0.2">
      <c r="A102" t="s">
        <v>635</v>
      </c>
      <c r="B102" t="s">
        <v>636</v>
      </c>
      <c r="D102" t="s">
        <v>207</v>
      </c>
      <c r="E102" t="s">
        <v>208</v>
      </c>
      <c r="F102" t="s">
        <v>208</v>
      </c>
      <c r="G102" t="s">
        <v>300</v>
      </c>
      <c r="H102" t="s">
        <v>186</v>
      </c>
      <c r="I102" t="s">
        <v>637</v>
      </c>
      <c r="K102" t="s">
        <v>208</v>
      </c>
      <c r="L102" t="s">
        <v>209</v>
      </c>
      <c r="M102" t="str">
        <f t="shared" si="2"/>
        <v>Point + buffer</v>
      </c>
      <c r="N102">
        <v>500</v>
      </c>
      <c r="O102" s="2">
        <f>COUNTIFS(attestations!$B$2:$B$5000,$A102,attestations!$T$2:$T$5000,"&lt;&gt;Retracted",attestations!$D$2:$D$5000,"&lt;&gt;Negative*")</f>
        <v>5</v>
      </c>
      <c r="P102" s="2">
        <f>COUNTIFS(attestations!$B$2:$B$5000,$A102,attestations!$T$2:$T$5000,"&lt;&gt;Retracted",attestations!$D$2:$D$5000,"&lt;&gt;Negative*",attestations!$R$2:$R$5000,"Map")</f>
        <v>3</v>
      </c>
      <c r="Q102" s="2">
        <f>COUNTIFS(attestations!$B$2:$B$5000,$A102,attestations!$T$2:$T$5000,"&lt;&gt;Retracted",attestations!$D$2:$D$5000,"&lt;&gt;Negative*",attestations!$R$2:$R$5000,"Image")</f>
        <v>1</v>
      </c>
      <c r="R102" s="2">
        <f>COUNTIFS(attestations!$B$2:$B$5000,$A102,attestations!$T$2:$T$5000,"&lt;&gt;Retracted",attestations!$D$2:$D$5000,"&lt;&gt;Negative*",attestations!$R$2:$R$5000,"Textual")</f>
        <v>1</v>
      </c>
      <c r="S102" s="2">
        <f>COUNTIFS(attestations!$B$2:$B$5000,$A102,attestations!$T$2:$T$5000,"&lt;&gt;Retracted",attestations!$D$2:$D$5000,"Geometry (Setting)")</f>
        <v>1</v>
      </c>
      <c r="T102" s="2" t="str">
        <f t="shared" si="3"/>
        <v>Medium</v>
      </c>
      <c r="U102" s="2" t="str">
        <f>IF(COUNTIFS(attestations!$B$2:$B$5000,$A102,attestations!$T$2:$T$5000,"&lt;&gt;Retracted",attestations!$I$2:$I$5000,"Georeferenced map GCP")&gt;0,"Y","N")</f>
        <v>Y</v>
      </c>
      <c r="V102" t="s">
        <v>191</v>
      </c>
      <c r="W102" t="s">
        <v>209</v>
      </c>
      <c r="X102" t="s">
        <v>638</v>
      </c>
      <c r="Y102" t="s">
        <v>193</v>
      </c>
      <c r="AB102">
        <f>IF(A102="","",SUMIFS(attestations!$U$2:$U$5000,attestations!$B$2:$B$5000,A102))</f>
        <v>5</v>
      </c>
    </row>
    <row r="103" spans="1:28" x14ac:dyDescent="0.2">
      <c r="A103" t="s">
        <v>639</v>
      </c>
      <c r="B103" t="s">
        <v>640</v>
      </c>
      <c r="D103" t="s">
        <v>196</v>
      </c>
      <c r="E103" t="s">
        <v>183</v>
      </c>
      <c r="F103" t="s">
        <v>300</v>
      </c>
      <c r="G103" t="s">
        <v>185</v>
      </c>
      <c r="H103" t="s">
        <v>186</v>
      </c>
      <c r="I103" t="s">
        <v>637</v>
      </c>
      <c r="J103" t="s">
        <v>641</v>
      </c>
      <c r="K103" t="s">
        <v>208</v>
      </c>
      <c r="L103" t="s">
        <v>209</v>
      </c>
      <c r="M103" t="str">
        <f t="shared" si="2"/>
        <v>Point + buffer</v>
      </c>
      <c r="N103">
        <v>600</v>
      </c>
      <c r="O103" s="2">
        <f>COUNTIFS(attestations!$B$2:$B$5000,$A103,attestations!$T$2:$T$5000,"&lt;&gt;Retracted",attestations!$D$2:$D$5000,"&lt;&gt;Negative*")</f>
        <v>6</v>
      </c>
      <c r="P103" s="2">
        <f>COUNTIFS(attestations!$B$2:$B$5000,$A103,attestations!$T$2:$T$5000,"&lt;&gt;Retracted",attestations!$D$2:$D$5000,"&lt;&gt;Negative*",attestations!$R$2:$R$5000,"Map")</f>
        <v>4</v>
      </c>
      <c r="Q103" s="2">
        <f>COUNTIFS(attestations!$B$2:$B$5000,$A103,attestations!$T$2:$T$5000,"&lt;&gt;Retracted",attestations!$D$2:$D$5000,"&lt;&gt;Negative*",attestations!$R$2:$R$5000,"Image")</f>
        <v>1</v>
      </c>
      <c r="R103" s="2">
        <f>COUNTIFS(attestations!$B$2:$B$5000,$A103,attestations!$T$2:$T$5000,"&lt;&gt;Retracted",attestations!$D$2:$D$5000,"&lt;&gt;Negative*",attestations!$R$2:$R$5000,"Textual")</f>
        <v>1</v>
      </c>
      <c r="S103" s="2">
        <f>COUNTIFS(attestations!$B$2:$B$5000,$A103,attestations!$T$2:$T$5000,"&lt;&gt;Retracted",attestations!$D$2:$D$5000,"Geometry (Setting)")</f>
        <v>1</v>
      </c>
      <c r="T103" s="2" t="str">
        <f t="shared" si="3"/>
        <v>Medium</v>
      </c>
      <c r="U103" s="2" t="str">
        <f>IF(COUNTIFS(attestations!$B$2:$B$5000,$A103,attestations!$T$2:$T$5000,"&lt;&gt;Retracted",attestations!$I$2:$I$5000,"Georeferenced map GCP")&gt;0,"Y","N")</f>
        <v>Y</v>
      </c>
      <c r="V103" t="s">
        <v>191</v>
      </c>
      <c r="W103" t="s">
        <v>203</v>
      </c>
      <c r="X103" t="s">
        <v>642</v>
      </c>
      <c r="Y103" t="s">
        <v>193</v>
      </c>
      <c r="AB103">
        <f>IF(A103="","",SUMIFS(attestations!$U$2:$U$5000,attestations!$B$2:$B$5000,A103))</f>
        <v>6</v>
      </c>
    </row>
    <row r="104" spans="1:28" x14ac:dyDescent="0.2">
      <c r="A104" t="s">
        <v>643</v>
      </c>
      <c r="B104" t="s">
        <v>644</v>
      </c>
      <c r="D104" t="s">
        <v>207</v>
      </c>
      <c r="E104" t="s">
        <v>183</v>
      </c>
      <c r="F104" t="s">
        <v>300</v>
      </c>
      <c r="G104" t="s">
        <v>185</v>
      </c>
      <c r="H104" t="s">
        <v>186</v>
      </c>
      <c r="I104" t="s">
        <v>637</v>
      </c>
      <c r="J104" t="s">
        <v>641</v>
      </c>
      <c r="K104" t="s">
        <v>208</v>
      </c>
      <c r="L104" t="s">
        <v>209</v>
      </c>
      <c r="M104" t="str">
        <f t="shared" si="2"/>
        <v>Point + buffer</v>
      </c>
      <c r="N104">
        <v>600</v>
      </c>
      <c r="O104" s="2">
        <f>COUNTIFS(attestations!$B$2:$B$5000,$A104,attestations!$T$2:$T$5000,"&lt;&gt;Retracted",attestations!$D$2:$D$5000,"&lt;&gt;Negative*")</f>
        <v>6</v>
      </c>
      <c r="P104" s="2">
        <f>COUNTIFS(attestations!$B$2:$B$5000,$A104,attestations!$T$2:$T$5000,"&lt;&gt;Retracted",attestations!$D$2:$D$5000,"&lt;&gt;Negative*",attestations!$R$2:$R$5000,"Map")</f>
        <v>3</v>
      </c>
      <c r="Q104" s="2">
        <f>COUNTIFS(attestations!$B$2:$B$5000,$A104,attestations!$T$2:$T$5000,"&lt;&gt;Retracted",attestations!$D$2:$D$5000,"&lt;&gt;Negative*",attestations!$R$2:$R$5000,"Image")</f>
        <v>1</v>
      </c>
      <c r="R104" s="2">
        <f>COUNTIFS(attestations!$B$2:$B$5000,$A104,attestations!$T$2:$T$5000,"&lt;&gt;Retracted",attestations!$D$2:$D$5000,"&lt;&gt;Negative*",attestations!$R$2:$R$5000,"Textual")</f>
        <v>2</v>
      </c>
      <c r="S104" s="2">
        <f>COUNTIFS(attestations!$B$2:$B$5000,$A104,attestations!$T$2:$T$5000,"&lt;&gt;Retracted",attestations!$D$2:$D$5000,"Geometry (Setting)")</f>
        <v>1</v>
      </c>
      <c r="T104" s="2" t="str">
        <f t="shared" si="3"/>
        <v>Medium</v>
      </c>
      <c r="U104" s="2" t="str">
        <f>IF(COUNTIFS(attestations!$B$2:$B$5000,$A104,attestations!$T$2:$T$5000,"&lt;&gt;Retracted",attestations!$I$2:$I$5000,"Georeferenced map GCP")&gt;0,"Y","N")</f>
        <v>Y</v>
      </c>
      <c r="V104" t="s">
        <v>191</v>
      </c>
      <c r="W104" t="s">
        <v>203</v>
      </c>
      <c r="X104" t="s">
        <v>645</v>
      </c>
      <c r="Y104" t="s">
        <v>193</v>
      </c>
      <c r="AB104">
        <f>IF(A104="","",SUMIFS(attestations!$U$2:$U$5000,attestations!$B$2:$B$5000,A104))</f>
        <v>6</v>
      </c>
    </row>
    <row r="105" spans="1:28" x14ac:dyDescent="0.2">
      <c r="A105" t="s">
        <v>646</v>
      </c>
      <c r="B105" t="s">
        <v>647</v>
      </c>
      <c r="D105" t="s">
        <v>207</v>
      </c>
      <c r="E105" t="s">
        <v>183</v>
      </c>
      <c r="F105" t="s">
        <v>300</v>
      </c>
      <c r="G105" t="s">
        <v>185</v>
      </c>
      <c r="H105" t="s">
        <v>186</v>
      </c>
      <c r="I105" t="s">
        <v>637</v>
      </c>
      <c r="J105" t="s">
        <v>641</v>
      </c>
      <c r="K105" t="s">
        <v>208</v>
      </c>
      <c r="L105" t="s">
        <v>190</v>
      </c>
      <c r="M105" t="str">
        <f t="shared" si="2"/>
        <v>Translucent area</v>
      </c>
      <c r="N105">
        <v>700</v>
      </c>
      <c r="O105" s="2">
        <f>COUNTIFS(attestations!$B$2:$B$5000,$A105,attestations!$T$2:$T$5000,"&lt;&gt;Retracted",attestations!$D$2:$D$5000,"&lt;&gt;Negative*")</f>
        <v>4</v>
      </c>
      <c r="P105" s="2">
        <f>COUNTIFS(attestations!$B$2:$B$5000,$A105,attestations!$T$2:$T$5000,"&lt;&gt;Retracted",attestations!$D$2:$D$5000,"&lt;&gt;Negative*",attestations!$R$2:$R$5000,"Map")</f>
        <v>1</v>
      </c>
      <c r="Q105" s="2">
        <f>COUNTIFS(attestations!$B$2:$B$5000,$A105,attestations!$T$2:$T$5000,"&lt;&gt;Retracted",attestations!$D$2:$D$5000,"&lt;&gt;Negative*",attestations!$R$2:$R$5000,"Image")</f>
        <v>1</v>
      </c>
      <c r="R105" s="2">
        <f>COUNTIFS(attestations!$B$2:$B$5000,$A105,attestations!$T$2:$T$5000,"&lt;&gt;Retracted",attestations!$D$2:$D$5000,"&lt;&gt;Negative*",attestations!$R$2:$R$5000,"Textual")</f>
        <v>2</v>
      </c>
      <c r="S105" s="2">
        <f>COUNTIFS(attestations!$B$2:$B$5000,$A105,attestations!$T$2:$T$5000,"&lt;&gt;Retracted",attestations!$D$2:$D$5000,"Geometry (Setting)")</f>
        <v>1</v>
      </c>
      <c r="T105" s="2" t="str">
        <f t="shared" si="3"/>
        <v>Medium</v>
      </c>
      <c r="U105" s="2" t="str">
        <f>IF(COUNTIFS(attestations!$B$2:$B$5000,$A105,attestations!$T$2:$T$5000,"&lt;&gt;Retracted",attestations!$I$2:$I$5000,"Georeferenced map GCP")&gt;0,"Y","N")</f>
        <v>Y</v>
      </c>
      <c r="V105" t="s">
        <v>191</v>
      </c>
      <c r="W105" t="s">
        <v>209</v>
      </c>
      <c r="X105" t="s">
        <v>648</v>
      </c>
      <c r="Y105" t="s">
        <v>193</v>
      </c>
      <c r="AB105">
        <f>IF(A105="","",SUMIFS(attestations!$U$2:$U$5000,attestations!$B$2:$B$5000,A105))</f>
        <v>4</v>
      </c>
    </row>
    <row r="106" spans="1:28" x14ac:dyDescent="0.2">
      <c r="A106" t="s">
        <v>649</v>
      </c>
      <c r="B106" t="s">
        <v>650</v>
      </c>
      <c r="D106" t="s">
        <v>207</v>
      </c>
      <c r="E106" t="s">
        <v>208</v>
      </c>
      <c r="F106" t="s">
        <v>208</v>
      </c>
      <c r="G106" t="s">
        <v>185</v>
      </c>
      <c r="H106" t="s">
        <v>186</v>
      </c>
      <c r="I106" t="s">
        <v>637</v>
      </c>
      <c r="K106" t="s">
        <v>208</v>
      </c>
      <c r="L106" t="s">
        <v>209</v>
      </c>
      <c r="M106" t="str">
        <f t="shared" si="2"/>
        <v>Point + buffer</v>
      </c>
      <c r="N106">
        <v>600</v>
      </c>
      <c r="O106" s="2">
        <f>COUNTIFS(attestations!$B$2:$B$5000,$A106,attestations!$T$2:$T$5000,"&lt;&gt;Retracted",attestations!$D$2:$D$5000,"&lt;&gt;Negative*")</f>
        <v>5</v>
      </c>
      <c r="P106" s="2">
        <f>COUNTIFS(attestations!$B$2:$B$5000,$A106,attestations!$T$2:$T$5000,"&lt;&gt;Retracted",attestations!$D$2:$D$5000,"&lt;&gt;Negative*",attestations!$R$2:$R$5000,"Map")</f>
        <v>3</v>
      </c>
      <c r="Q106" s="2">
        <f>COUNTIFS(attestations!$B$2:$B$5000,$A106,attestations!$T$2:$T$5000,"&lt;&gt;Retracted",attestations!$D$2:$D$5000,"&lt;&gt;Negative*",attestations!$R$2:$R$5000,"Image")</f>
        <v>1</v>
      </c>
      <c r="R106" s="2">
        <f>COUNTIFS(attestations!$B$2:$B$5000,$A106,attestations!$T$2:$T$5000,"&lt;&gt;Retracted",attestations!$D$2:$D$5000,"&lt;&gt;Negative*",attestations!$R$2:$R$5000,"Textual")</f>
        <v>1</v>
      </c>
      <c r="S106" s="2">
        <f>COUNTIFS(attestations!$B$2:$B$5000,$A106,attestations!$T$2:$T$5000,"&lt;&gt;Retracted",attestations!$D$2:$D$5000,"Geometry (Setting)")</f>
        <v>1</v>
      </c>
      <c r="T106" s="2" t="str">
        <f t="shared" si="3"/>
        <v>Medium</v>
      </c>
      <c r="U106" s="2" t="str">
        <f>IF(COUNTIFS(attestations!$B$2:$B$5000,$A106,attestations!$T$2:$T$5000,"&lt;&gt;Retracted",attestations!$I$2:$I$5000,"Georeferenced map GCP")&gt;0,"Y","N")</f>
        <v>Y</v>
      </c>
      <c r="V106" t="s">
        <v>191</v>
      </c>
      <c r="W106" t="s">
        <v>203</v>
      </c>
      <c r="X106" t="s">
        <v>651</v>
      </c>
      <c r="Y106" t="s">
        <v>193</v>
      </c>
      <c r="AB106">
        <f>IF(A106="","",SUMIFS(attestations!$U$2:$U$5000,attestations!$B$2:$B$5000,A106))</f>
        <v>5</v>
      </c>
    </row>
    <row r="107" spans="1:28" x14ac:dyDescent="0.2">
      <c r="A107" t="s">
        <v>652</v>
      </c>
      <c r="B107" t="s">
        <v>653</v>
      </c>
      <c r="D107" t="s">
        <v>654</v>
      </c>
      <c r="E107" t="s">
        <v>236</v>
      </c>
      <c r="F107" t="s">
        <v>237</v>
      </c>
      <c r="G107" t="s">
        <v>249</v>
      </c>
      <c r="H107" t="s">
        <v>223</v>
      </c>
      <c r="I107" t="s">
        <v>616</v>
      </c>
      <c r="J107" t="s">
        <v>273</v>
      </c>
      <c r="K107" t="s">
        <v>259</v>
      </c>
      <c r="L107" t="s">
        <v>209</v>
      </c>
      <c r="M107" t="str">
        <f t="shared" si="2"/>
        <v>Point + buffer</v>
      </c>
      <c r="N107">
        <v>200</v>
      </c>
      <c r="O107" s="2">
        <f>COUNTIFS(attestations!$B$2:$B$5000,$A107,attestations!$T$2:$T$5000,"&lt;&gt;Retracted",attestations!$D$2:$D$5000,"&lt;&gt;Negative*")</f>
        <v>4</v>
      </c>
      <c r="P107" s="2">
        <f>COUNTIFS(attestations!$B$2:$B$5000,$A107,attestations!$T$2:$T$5000,"&lt;&gt;Retracted",attestations!$D$2:$D$5000,"&lt;&gt;Negative*",attestations!$R$2:$R$5000,"Map")</f>
        <v>1</v>
      </c>
      <c r="Q107" s="2">
        <f>COUNTIFS(attestations!$B$2:$B$5000,$A107,attestations!$T$2:$T$5000,"&lt;&gt;Retracted",attestations!$D$2:$D$5000,"&lt;&gt;Negative*",attestations!$R$2:$R$5000,"Image")</f>
        <v>0</v>
      </c>
      <c r="R107" s="2">
        <f>COUNTIFS(attestations!$B$2:$B$5000,$A107,attestations!$T$2:$T$5000,"&lt;&gt;Retracted",attestations!$D$2:$D$5000,"&lt;&gt;Negative*",attestations!$R$2:$R$5000,"Textual")</f>
        <v>3</v>
      </c>
      <c r="S107" s="2">
        <f>COUNTIFS(attestations!$B$2:$B$5000,$A107,attestations!$T$2:$T$5000,"&lt;&gt;Retracted",attestations!$D$2:$D$5000,"Geometry (Setting)")</f>
        <v>1</v>
      </c>
      <c r="T107" s="2" t="str">
        <f t="shared" si="3"/>
        <v>Medium</v>
      </c>
      <c r="U107" s="2" t="str">
        <f>IF(COUNTIFS(attestations!$B$2:$B$5000,$A107,attestations!$T$2:$T$5000,"&lt;&gt;Retracted",attestations!$I$2:$I$5000,"Georeferenced map GCP")&gt;0,"Y","N")</f>
        <v>Y</v>
      </c>
      <c r="V107" t="s">
        <v>191</v>
      </c>
      <c r="X107" t="s">
        <v>655</v>
      </c>
      <c r="Y107" t="s">
        <v>286</v>
      </c>
      <c r="Z107" t="s">
        <v>233</v>
      </c>
      <c r="AB107">
        <f>IF(A107="","",SUMIFS(attestations!$U$2:$U$5000,attestations!$B$2:$B$5000,A107))</f>
        <v>4</v>
      </c>
    </row>
    <row r="108" spans="1:28" x14ac:dyDescent="0.2">
      <c r="A108" t="s">
        <v>656</v>
      </c>
      <c r="B108" t="s">
        <v>657</v>
      </c>
      <c r="D108" t="s">
        <v>658</v>
      </c>
      <c r="E108" t="s">
        <v>236</v>
      </c>
      <c r="F108" t="s">
        <v>237</v>
      </c>
      <c r="G108" t="s">
        <v>314</v>
      </c>
      <c r="H108" t="s">
        <v>223</v>
      </c>
      <c r="I108" t="s">
        <v>616</v>
      </c>
      <c r="J108" t="s">
        <v>273</v>
      </c>
      <c r="K108" t="s">
        <v>259</v>
      </c>
      <c r="L108" t="s">
        <v>209</v>
      </c>
      <c r="M108" t="str">
        <f t="shared" si="2"/>
        <v>Point + buffer</v>
      </c>
      <c r="N108">
        <v>200</v>
      </c>
      <c r="O108" s="2">
        <f>COUNTIFS(attestations!$B$2:$B$5000,$A108,attestations!$T$2:$T$5000,"&lt;&gt;Retracted",attestations!$D$2:$D$5000,"&lt;&gt;Negative*")</f>
        <v>3</v>
      </c>
      <c r="P108" s="2">
        <f>COUNTIFS(attestations!$B$2:$B$5000,$A108,attestations!$T$2:$T$5000,"&lt;&gt;Retracted",attestations!$D$2:$D$5000,"&lt;&gt;Negative*",attestations!$R$2:$R$5000,"Map")</f>
        <v>1</v>
      </c>
      <c r="Q108" s="2">
        <f>COUNTIFS(attestations!$B$2:$B$5000,$A108,attestations!$T$2:$T$5000,"&lt;&gt;Retracted",attestations!$D$2:$D$5000,"&lt;&gt;Negative*",attestations!$R$2:$R$5000,"Image")</f>
        <v>0</v>
      </c>
      <c r="R108" s="2">
        <f>COUNTIFS(attestations!$B$2:$B$5000,$A108,attestations!$T$2:$T$5000,"&lt;&gt;Retracted",attestations!$D$2:$D$5000,"&lt;&gt;Negative*",attestations!$R$2:$R$5000,"Textual")</f>
        <v>2</v>
      </c>
      <c r="S108" s="2">
        <f>COUNTIFS(attestations!$B$2:$B$5000,$A108,attestations!$T$2:$T$5000,"&lt;&gt;Retracted",attestations!$D$2:$D$5000,"Geometry (Setting)")</f>
        <v>1</v>
      </c>
      <c r="T108" s="2" t="str">
        <f t="shared" si="3"/>
        <v>Medium</v>
      </c>
      <c r="U108" s="2" t="str">
        <f>IF(COUNTIFS(attestations!$B$2:$B$5000,$A108,attestations!$T$2:$T$5000,"&lt;&gt;Retracted",attestations!$I$2:$I$5000,"Georeferenced map GCP")&gt;0,"Y","N")</f>
        <v>Y</v>
      </c>
      <c r="V108" t="s">
        <v>191</v>
      </c>
      <c r="X108" t="s">
        <v>659</v>
      </c>
      <c r="Y108" t="s">
        <v>314</v>
      </c>
      <c r="Z108" t="s">
        <v>233</v>
      </c>
      <c r="AB108">
        <f>IF(A108="","",SUMIFS(attestations!$U$2:$U$5000,attestations!$B$2:$B$5000,A108))</f>
        <v>3</v>
      </c>
    </row>
    <row r="109" spans="1:28" x14ac:dyDescent="0.2">
      <c r="A109" t="s">
        <v>660</v>
      </c>
      <c r="B109" t="s">
        <v>661</v>
      </c>
      <c r="D109" t="s">
        <v>299</v>
      </c>
      <c r="E109" t="s">
        <v>236</v>
      </c>
      <c r="F109" t="s">
        <v>237</v>
      </c>
      <c r="G109" t="s">
        <v>249</v>
      </c>
      <c r="H109" t="s">
        <v>250</v>
      </c>
      <c r="I109" t="s">
        <v>470</v>
      </c>
      <c r="J109" t="s">
        <v>273</v>
      </c>
      <c r="K109" t="s">
        <v>259</v>
      </c>
      <c r="L109" t="s">
        <v>209</v>
      </c>
      <c r="M109" t="str">
        <f t="shared" si="2"/>
        <v>Point + buffer</v>
      </c>
      <c r="N109">
        <v>200</v>
      </c>
      <c r="O109" s="2">
        <f>COUNTIFS(attestations!$B$2:$B$5000,$A109,attestations!$T$2:$T$5000,"&lt;&gt;Retracted",attestations!$D$2:$D$5000,"&lt;&gt;Negative*")</f>
        <v>7</v>
      </c>
      <c r="P109" s="2">
        <f>COUNTIFS(attestations!$B$2:$B$5000,$A109,attestations!$T$2:$T$5000,"&lt;&gt;Retracted",attestations!$D$2:$D$5000,"&lt;&gt;Negative*",attestations!$R$2:$R$5000,"Map")</f>
        <v>5</v>
      </c>
      <c r="Q109" s="2">
        <f>COUNTIFS(attestations!$B$2:$B$5000,$A109,attestations!$T$2:$T$5000,"&lt;&gt;Retracted",attestations!$D$2:$D$5000,"&lt;&gt;Negative*",attestations!$R$2:$R$5000,"Image")</f>
        <v>0</v>
      </c>
      <c r="R109" s="2">
        <f>COUNTIFS(attestations!$B$2:$B$5000,$A109,attestations!$T$2:$T$5000,"&lt;&gt;Retracted",attestations!$D$2:$D$5000,"&lt;&gt;Negative*",attestations!$R$2:$R$5000,"Textual")</f>
        <v>2</v>
      </c>
      <c r="S109" s="2">
        <f>COUNTIFS(attestations!$B$2:$B$5000,$A109,attestations!$T$2:$T$5000,"&lt;&gt;Retracted",attestations!$D$2:$D$5000,"Geometry (Setting)")</f>
        <v>5</v>
      </c>
      <c r="T109" s="2" t="str">
        <f t="shared" si="3"/>
        <v>Medium</v>
      </c>
      <c r="U109" s="2" t="str">
        <f>IF(COUNTIFS(attestations!$B$2:$B$5000,$A109,attestations!$T$2:$T$5000,"&lt;&gt;Retracted",attestations!$I$2:$I$5000,"Georeferenced map GCP")&gt;0,"Y","N")</f>
        <v>Y</v>
      </c>
      <c r="V109" t="s">
        <v>191</v>
      </c>
      <c r="X109" t="s">
        <v>662</v>
      </c>
      <c r="Y109" t="s">
        <v>275</v>
      </c>
      <c r="Z109" t="s">
        <v>233</v>
      </c>
      <c r="AB109">
        <f>IF(A109="","",SUMIFS(attestations!$U$2:$U$5000,attestations!$B$2:$B$5000,A109))</f>
        <v>5</v>
      </c>
    </row>
    <row r="110" spans="1:28" x14ac:dyDescent="0.2">
      <c r="A110" t="s">
        <v>663</v>
      </c>
      <c r="B110" t="s">
        <v>664</v>
      </c>
      <c r="D110" t="s">
        <v>289</v>
      </c>
      <c r="E110" t="s">
        <v>236</v>
      </c>
      <c r="F110" t="s">
        <v>237</v>
      </c>
      <c r="G110" t="s">
        <v>249</v>
      </c>
      <c r="H110" t="s">
        <v>250</v>
      </c>
      <c r="I110" t="s">
        <v>665</v>
      </c>
      <c r="J110" t="s">
        <v>273</v>
      </c>
      <c r="K110" t="s">
        <v>259</v>
      </c>
      <c r="L110" t="s">
        <v>209</v>
      </c>
      <c r="M110" t="str">
        <f t="shared" si="2"/>
        <v>Point + buffer</v>
      </c>
      <c r="N110">
        <v>200</v>
      </c>
      <c r="O110" s="2">
        <f>COUNTIFS(attestations!$B$2:$B$5000,$A110,attestations!$T$2:$T$5000,"&lt;&gt;Retracted",attestations!$D$2:$D$5000,"&lt;&gt;Negative*")</f>
        <v>6</v>
      </c>
      <c r="P110" s="2">
        <f>COUNTIFS(attestations!$B$2:$B$5000,$A110,attestations!$T$2:$T$5000,"&lt;&gt;Retracted",attestations!$D$2:$D$5000,"&lt;&gt;Negative*",attestations!$R$2:$R$5000,"Map")</f>
        <v>1</v>
      </c>
      <c r="Q110" s="2">
        <f>COUNTIFS(attestations!$B$2:$B$5000,$A110,attestations!$T$2:$T$5000,"&lt;&gt;Retracted",attestations!$D$2:$D$5000,"&lt;&gt;Negative*",attestations!$R$2:$R$5000,"Image")</f>
        <v>1</v>
      </c>
      <c r="R110" s="2">
        <f>COUNTIFS(attestations!$B$2:$B$5000,$A110,attestations!$T$2:$T$5000,"&lt;&gt;Retracted",attestations!$D$2:$D$5000,"&lt;&gt;Negative*",attestations!$R$2:$R$5000,"Textual")</f>
        <v>4</v>
      </c>
      <c r="S110" s="2">
        <f>COUNTIFS(attestations!$B$2:$B$5000,$A110,attestations!$T$2:$T$5000,"&lt;&gt;Retracted",attestations!$D$2:$D$5000,"Geometry (Setting)")</f>
        <v>1</v>
      </c>
      <c r="T110" s="2" t="str">
        <f t="shared" si="3"/>
        <v>Medium</v>
      </c>
      <c r="U110" s="2" t="str">
        <f>IF(COUNTIFS(attestations!$B$2:$B$5000,$A110,attestations!$T$2:$T$5000,"&lt;&gt;Retracted",attestations!$I$2:$I$5000,"Georeferenced map GCP")&gt;0,"Y","N")</f>
        <v>Y</v>
      </c>
      <c r="V110" t="s">
        <v>191</v>
      </c>
      <c r="X110" t="s">
        <v>666</v>
      </c>
      <c r="Y110" t="s">
        <v>286</v>
      </c>
      <c r="Z110" t="s">
        <v>233</v>
      </c>
      <c r="AB110">
        <f>IF(A110="","",SUMIFS(attestations!$U$2:$U$5000,attestations!$B$2:$B$5000,A110))</f>
        <v>6</v>
      </c>
    </row>
    <row r="111" spans="1:28" x14ac:dyDescent="0.2">
      <c r="A111" t="s">
        <v>667</v>
      </c>
      <c r="B111" t="s">
        <v>668</v>
      </c>
      <c r="D111" t="s">
        <v>654</v>
      </c>
      <c r="E111" t="s">
        <v>236</v>
      </c>
      <c r="F111" t="s">
        <v>237</v>
      </c>
      <c r="G111" t="s">
        <v>249</v>
      </c>
      <c r="H111" t="s">
        <v>223</v>
      </c>
      <c r="I111" t="s">
        <v>401</v>
      </c>
      <c r="J111" t="s">
        <v>273</v>
      </c>
      <c r="K111" t="s">
        <v>259</v>
      </c>
      <c r="L111" t="s">
        <v>209</v>
      </c>
      <c r="M111" t="str">
        <f t="shared" si="2"/>
        <v>Point + buffer</v>
      </c>
      <c r="N111">
        <v>200</v>
      </c>
      <c r="O111" s="2">
        <f>COUNTIFS(attestations!$B$2:$B$5000,$A111,attestations!$T$2:$T$5000,"&lt;&gt;Retracted",attestations!$D$2:$D$5000,"&lt;&gt;Negative*")</f>
        <v>5</v>
      </c>
      <c r="P111" s="2">
        <f>COUNTIFS(attestations!$B$2:$B$5000,$A111,attestations!$T$2:$T$5000,"&lt;&gt;Retracted",attestations!$D$2:$D$5000,"&lt;&gt;Negative*",attestations!$R$2:$R$5000,"Map")</f>
        <v>1</v>
      </c>
      <c r="Q111" s="2">
        <f>COUNTIFS(attestations!$B$2:$B$5000,$A111,attestations!$T$2:$T$5000,"&lt;&gt;Retracted",attestations!$D$2:$D$5000,"&lt;&gt;Negative*",attestations!$R$2:$R$5000,"Image")</f>
        <v>1</v>
      </c>
      <c r="R111" s="2">
        <f>COUNTIFS(attestations!$B$2:$B$5000,$A111,attestations!$T$2:$T$5000,"&lt;&gt;Retracted",attestations!$D$2:$D$5000,"&lt;&gt;Negative*",attestations!$R$2:$R$5000,"Textual")</f>
        <v>3</v>
      </c>
      <c r="S111" s="2">
        <f>COUNTIFS(attestations!$B$2:$B$5000,$A111,attestations!$T$2:$T$5000,"&lt;&gt;Retracted",attestations!$D$2:$D$5000,"Geometry (Setting)")</f>
        <v>1</v>
      </c>
      <c r="T111" s="2" t="str">
        <f t="shared" si="3"/>
        <v>Medium</v>
      </c>
      <c r="U111" s="2" t="str">
        <f>IF(COUNTIFS(attestations!$B$2:$B$5000,$A111,attestations!$T$2:$T$5000,"&lt;&gt;Retracted",attestations!$I$2:$I$5000,"Georeferenced map GCP")&gt;0,"Y","N")</f>
        <v>Y</v>
      </c>
      <c r="V111" t="s">
        <v>191</v>
      </c>
      <c r="X111" t="s">
        <v>669</v>
      </c>
      <c r="Y111" t="s">
        <v>286</v>
      </c>
      <c r="Z111" t="s">
        <v>233</v>
      </c>
      <c r="AB111">
        <f>IF(A111="","",SUMIFS(attestations!$U$2:$U$5000,attestations!$B$2:$B$5000,A111))</f>
        <v>5</v>
      </c>
    </row>
    <row r="112" spans="1:28" x14ac:dyDescent="0.2">
      <c r="A112" t="s">
        <v>670</v>
      </c>
      <c r="B112" t="s">
        <v>671</v>
      </c>
      <c r="D112" t="s">
        <v>654</v>
      </c>
      <c r="E112" t="s">
        <v>236</v>
      </c>
      <c r="F112" t="s">
        <v>237</v>
      </c>
      <c r="G112" t="s">
        <v>249</v>
      </c>
      <c r="H112" t="s">
        <v>223</v>
      </c>
      <c r="I112" t="s">
        <v>616</v>
      </c>
      <c r="J112" t="s">
        <v>273</v>
      </c>
      <c r="K112" t="s">
        <v>259</v>
      </c>
      <c r="L112" t="s">
        <v>209</v>
      </c>
      <c r="M112" t="str">
        <f t="shared" si="2"/>
        <v>Point + buffer</v>
      </c>
      <c r="N112">
        <v>200</v>
      </c>
      <c r="O112" s="2">
        <f>COUNTIFS(attestations!$B$2:$B$5000,$A112,attestations!$T$2:$T$5000,"&lt;&gt;Retracted",attestations!$D$2:$D$5000,"&lt;&gt;Negative*")</f>
        <v>2</v>
      </c>
      <c r="P112" s="2">
        <f>COUNTIFS(attestations!$B$2:$B$5000,$A112,attestations!$T$2:$T$5000,"&lt;&gt;Retracted",attestations!$D$2:$D$5000,"&lt;&gt;Negative*",attestations!$R$2:$R$5000,"Map")</f>
        <v>1</v>
      </c>
      <c r="Q112" s="2">
        <f>COUNTIFS(attestations!$B$2:$B$5000,$A112,attestations!$T$2:$T$5000,"&lt;&gt;Retracted",attestations!$D$2:$D$5000,"&lt;&gt;Negative*",attestations!$R$2:$R$5000,"Image")</f>
        <v>0</v>
      </c>
      <c r="R112" s="2">
        <f>COUNTIFS(attestations!$B$2:$B$5000,$A112,attestations!$T$2:$T$5000,"&lt;&gt;Retracted",attestations!$D$2:$D$5000,"&lt;&gt;Negative*",attestations!$R$2:$R$5000,"Textual")</f>
        <v>1</v>
      </c>
      <c r="S112" s="2">
        <f>COUNTIFS(attestations!$B$2:$B$5000,$A112,attestations!$T$2:$T$5000,"&lt;&gt;Retracted",attestations!$D$2:$D$5000,"Geometry (Setting)")</f>
        <v>1</v>
      </c>
      <c r="T112" s="2" t="str">
        <f t="shared" si="3"/>
        <v>Low</v>
      </c>
      <c r="U112" s="2" t="str">
        <f>IF(COUNTIFS(attestations!$B$2:$B$5000,$A112,attestations!$T$2:$T$5000,"&lt;&gt;Retracted",attestations!$I$2:$I$5000,"Georeferenced map GCP")&gt;0,"Y","N")</f>
        <v>Y</v>
      </c>
      <c r="V112" t="s">
        <v>191</v>
      </c>
      <c r="X112" t="s">
        <v>672</v>
      </c>
      <c r="Y112" t="s">
        <v>286</v>
      </c>
      <c r="Z112" t="s">
        <v>233</v>
      </c>
      <c r="AB112">
        <f>IF(A112="","",SUMIFS(attestations!$U$2:$U$5000,attestations!$B$2:$B$5000,A112))</f>
        <v>2</v>
      </c>
    </row>
    <row r="113" spans="1:28" x14ac:dyDescent="0.2">
      <c r="A113" t="s">
        <v>673</v>
      </c>
      <c r="B113" t="s">
        <v>674</v>
      </c>
      <c r="D113" t="s">
        <v>658</v>
      </c>
      <c r="E113" t="s">
        <v>236</v>
      </c>
      <c r="F113" t="s">
        <v>237</v>
      </c>
      <c r="G113" t="s">
        <v>314</v>
      </c>
      <c r="H113" t="s">
        <v>223</v>
      </c>
      <c r="I113" t="s">
        <v>675</v>
      </c>
      <c r="J113" t="s">
        <v>273</v>
      </c>
      <c r="K113" t="s">
        <v>259</v>
      </c>
      <c r="L113" t="s">
        <v>209</v>
      </c>
      <c r="M113" t="str">
        <f t="shared" si="2"/>
        <v>Point + buffer</v>
      </c>
      <c r="N113">
        <v>250</v>
      </c>
      <c r="O113" s="2">
        <f>COUNTIFS(attestations!$B$2:$B$5000,$A113,attestations!$T$2:$T$5000,"&lt;&gt;Retracted",attestations!$D$2:$D$5000,"&lt;&gt;Negative*")</f>
        <v>18</v>
      </c>
      <c r="P113" s="2">
        <f>COUNTIFS(attestations!$B$2:$B$5000,$A113,attestations!$T$2:$T$5000,"&lt;&gt;Retracted",attestations!$D$2:$D$5000,"&lt;&gt;Negative*",attestations!$R$2:$R$5000,"Map")</f>
        <v>14</v>
      </c>
      <c r="Q113" s="2">
        <f>COUNTIFS(attestations!$B$2:$B$5000,$A113,attestations!$T$2:$T$5000,"&lt;&gt;Retracted",attestations!$D$2:$D$5000,"&lt;&gt;Negative*",attestations!$R$2:$R$5000,"Image")</f>
        <v>1</v>
      </c>
      <c r="R113" s="2">
        <f>COUNTIFS(attestations!$B$2:$B$5000,$A113,attestations!$T$2:$T$5000,"&lt;&gt;Retracted",attestations!$D$2:$D$5000,"&lt;&gt;Negative*",attestations!$R$2:$R$5000,"Textual")</f>
        <v>3</v>
      </c>
      <c r="S113" s="2">
        <f>COUNTIFS(attestations!$B$2:$B$5000,$A113,attestations!$T$2:$T$5000,"&lt;&gt;Retracted",attestations!$D$2:$D$5000,"Geometry (Setting)")</f>
        <v>11</v>
      </c>
      <c r="T113" s="2" t="str">
        <f t="shared" si="3"/>
        <v>High</v>
      </c>
      <c r="U113" s="2" t="str">
        <f>IF(COUNTIFS(attestations!$B$2:$B$5000,$A113,attestations!$T$2:$T$5000,"&lt;&gt;Retracted",attestations!$I$2:$I$5000,"Georeferenced map GCP")&gt;0,"Y","N")</f>
        <v>Y</v>
      </c>
      <c r="V113" t="s">
        <v>191</v>
      </c>
      <c r="W113" t="s">
        <v>209</v>
      </c>
      <c r="X113" t="s">
        <v>676</v>
      </c>
      <c r="Y113" t="s">
        <v>275</v>
      </c>
      <c r="Z113" t="s">
        <v>233</v>
      </c>
      <c r="AB113">
        <f>IF(A113="","",SUMIFS(attestations!$U$2:$U$5000,attestations!$B$2:$B$5000,A113))</f>
        <v>9</v>
      </c>
    </row>
    <row r="114" spans="1:28" x14ac:dyDescent="0.2">
      <c r="A114" t="s">
        <v>677</v>
      </c>
      <c r="B114" t="s">
        <v>678</v>
      </c>
      <c r="D114" t="s">
        <v>282</v>
      </c>
      <c r="E114" t="s">
        <v>236</v>
      </c>
      <c r="F114" t="s">
        <v>237</v>
      </c>
      <c r="G114" t="s">
        <v>249</v>
      </c>
      <c r="H114" t="s">
        <v>250</v>
      </c>
      <c r="I114" t="s">
        <v>616</v>
      </c>
      <c r="J114" t="s">
        <v>273</v>
      </c>
      <c r="K114" t="s">
        <v>259</v>
      </c>
      <c r="L114" t="s">
        <v>209</v>
      </c>
      <c r="M114" t="str">
        <f t="shared" si="2"/>
        <v>Point + buffer</v>
      </c>
      <c r="N114">
        <v>200</v>
      </c>
      <c r="O114" s="2">
        <f>COUNTIFS(attestations!$B$2:$B$5000,$A114,attestations!$T$2:$T$5000,"&lt;&gt;Retracted",attestations!$D$2:$D$5000,"&lt;&gt;Negative*")</f>
        <v>5</v>
      </c>
      <c r="P114" s="2">
        <f>COUNTIFS(attestations!$B$2:$B$5000,$A114,attestations!$T$2:$T$5000,"&lt;&gt;Retracted",attestations!$D$2:$D$5000,"&lt;&gt;Negative*",attestations!$R$2:$R$5000,"Map")</f>
        <v>1</v>
      </c>
      <c r="Q114" s="2">
        <f>COUNTIFS(attestations!$B$2:$B$5000,$A114,attestations!$T$2:$T$5000,"&lt;&gt;Retracted",attestations!$D$2:$D$5000,"&lt;&gt;Negative*",attestations!$R$2:$R$5000,"Image")</f>
        <v>1</v>
      </c>
      <c r="R114" s="2">
        <f>COUNTIFS(attestations!$B$2:$B$5000,$A114,attestations!$T$2:$T$5000,"&lt;&gt;Retracted",attestations!$D$2:$D$5000,"&lt;&gt;Negative*",attestations!$R$2:$R$5000,"Textual")</f>
        <v>3</v>
      </c>
      <c r="S114" s="2">
        <f>COUNTIFS(attestations!$B$2:$B$5000,$A114,attestations!$T$2:$T$5000,"&lt;&gt;Retracted",attestations!$D$2:$D$5000,"Geometry (Setting)")</f>
        <v>1</v>
      </c>
      <c r="T114" s="2" t="str">
        <f t="shared" si="3"/>
        <v>Medium</v>
      </c>
      <c r="U114" s="2" t="str">
        <f>IF(COUNTIFS(attestations!$B$2:$B$5000,$A114,attestations!$T$2:$T$5000,"&lt;&gt;Retracted",attestations!$I$2:$I$5000,"Georeferenced map GCP")&gt;0,"Y","N")</f>
        <v>Y</v>
      </c>
      <c r="V114" t="s">
        <v>191</v>
      </c>
      <c r="X114" t="s">
        <v>679</v>
      </c>
      <c r="Y114" t="s">
        <v>286</v>
      </c>
      <c r="Z114" t="s">
        <v>233</v>
      </c>
      <c r="AB114">
        <f>IF(A114="","",SUMIFS(attestations!$U$2:$U$5000,attestations!$B$2:$B$5000,A114))</f>
        <v>4</v>
      </c>
    </row>
    <row r="115" spans="1:28" x14ac:dyDescent="0.2">
      <c r="A115" t="s">
        <v>680</v>
      </c>
      <c r="B115" t="s">
        <v>681</v>
      </c>
      <c r="D115" t="s">
        <v>654</v>
      </c>
      <c r="E115" t="s">
        <v>236</v>
      </c>
      <c r="F115" t="s">
        <v>237</v>
      </c>
      <c r="G115" t="s">
        <v>249</v>
      </c>
      <c r="H115" t="s">
        <v>223</v>
      </c>
      <c r="I115" t="s">
        <v>616</v>
      </c>
      <c r="J115" t="s">
        <v>273</v>
      </c>
      <c r="K115" t="s">
        <v>259</v>
      </c>
      <c r="L115" t="s">
        <v>209</v>
      </c>
      <c r="M115" t="str">
        <f t="shared" si="2"/>
        <v>Point + buffer</v>
      </c>
      <c r="N115">
        <v>200</v>
      </c>
      <c r="O115" s="2">
        <f>COUNTIFS(attestations!$B$2:$B$5000,$A115,attestations!$T$2:$T$5000,"&lt;&gt;Retracted",attestations!$D$2:$D$5000,"&lt;&gt;Negative*")</f>
        <v>3</v>
      </c>
      <c r="P115" s="2">
        <f>COUNTIFS(attestations!$B$2:$B$5000,$A115,attestations!$T$2:$T$5000,"&lt;&gt;Retracted",attestations!$D$2:$D$5000,"&lt;&gt;Negative*",attestations!$R$2:$R$5000,"Map")</f>
        <v>1</v>
      </c>
      <c r="Q115" s="2">
        <f>COUNTIFS(attestations!$B$2:$B$5000,$A115,attestations!$T$2:$T$5000,"&lt;&gt;Retracted",attestations!$D$2:$D$5000,"&lt;&gt;Negative*",attestations!$R$2:$R$5000,"Image")</f>
        <v>0</v>
      </c>
      <c r="R115" s="2">
        <f>COUNTIFS(attestations!$B$2:$B$5000,$A115,attestations!$T$2:$T$5000,"&lt;&gt;Retracted",attestations!$D$2:$D$5000,"&lt;&gt;Negative*",attestations!$R$2:$R$5000,"Textual")</f>
        <v>2</v>
      </c>
      <c r="S115" s="2">
        <f>COUNTIFS(attestations!$B$2:$B$5000,$A115,attestations!$T$2:$T$5000,"&lt;&gt;Retracted",attestations!$D$2:$D$5000,"Geometry (Setting)")</f>
        <v>1</v>
      </c>
      <c r="T115" s="2" t="str">
        <f t="shared" si="3"/>
        <v>Medium</v>
      </c>
      <c r="U115" s="2" t="str">
        <f>IF(COUNTIFS(attestations!$B$2:$B$5000,$A115,attestations!$T$2:$T$5000,"&lt;&gt;Retracted",attestations!$I$2:$I$5000,"Georeferenced map GCP")&gt;0,"Y","N")</f>
        <v>Y</v>
      </c>
      <c r="V115" t="s">
        <v>191</v>
      </c>
      <c r="X115" t="s">
        <v>682</v>
      </c>
      <c r="Y115" t="s">
        <v>286</v>
      </c>
      <c r="Z115" t="s">
        <v>233</v>
      </c>
      <c r="AB115">
        <f>IF(A115="","",SUMIFS(attestations!$U$2:$U$5000,attestations!$B$2:$B$5000,A115))</f>
        <v>3</v>
      </c>
    </row>
    <row r="116" spans="1:28" x14ac:dyDescent="0.2">
      <c r="A116" t="s">
        <v>683</v>
      </c>
      <c r="B116" t="s">
        <v>684</v>
      </c>
      <c r="D116" t="s">
        <v>654</v>
      </c>
      <c r="E116" t="s">
        <v>236</v>
      </c>
      <c r="F116" t="s">
        <v>237</v>
      </c>
      <c r="G116" t="s">
        <v>249</v>
      </c>
      <c r="H116" t="s">
        <v>223</v>
      </c>
      <c r="I116" t="s">
        <v>616</v>
      </c>
      <c r="J116" t="s">
        <v>273</v>
      </c>
      <c r="K116" t="s">
        <v>259</v>
      </c>
      <c r="L116" t="s">
        <v>209</v>
      </c>
      <c r="M116" t="str">
        <f t="shared" si="2"/>
        <v>Point + buffer</v>
      </c>
      <c r="N116">
        <v>200</v>
      </c>
      <c r="O116" s="2">
        <f>COUNTIFS(attestations!$B$2:$B$5000,$A116,attestations!$T$2:$T$5000,"&lt;&gt;Retracted",attestations!$D$2:$D$5000,"&lt;&gt;Negative*")</f>
        <v>3</v>
      </c>
      <c r="P116" s="2">
        <f>COUNTIFS(attestations!$B$2:$B$5000,$A116,attestations!$T$2:$T$5000,"&lt;&gt;Retracted",attestations!$D$2:$D$5000,"&lt;&gt;Negative*",attestations!$R$2:$R$5000,"Map")</f>
        <v>1</v>
      </c>
      <c r="Q116" s="2">
        <f>COUNTIFS(attestations!$B$2:$B$5000,$A116,attestations!$T$2:$T$5000,"&lt;&gt;Retracted",attestations!$D$2:$D$5000,"&lt;&gt;Negative*",attestations!$R$2:$R$5000,"Image")</f>
        <v>0</v>
      </c>
      <c r="R116" s="2">
        <f>COUNTIFS(attestations!$B$2:$B$5000,$A116,attestations!$T$2:$T$5000,"&lt;&gt;Retracted",attestations!$D$2:$D$5000,"&lt;&gt;Negative*",attestations!$R$2:$R$5000,"Textual")</f>
        <v>2</v>
      </c>
      <c r="S116" s="2">
        <f>COUNTIFS(attestations!$B$2:$B$5000,$A116,attestations!$T$2:$T$5000,"&lt;&gt;Retracted",attestations!$D$2:$D$5000,"Geometry (Setting)")</f>
        <v>1</v>
      </c>
      <c r="T116" s="2" t="str">
        <f t="shared" si="3"/>
        <v>Medium</v>
      </c>
      <c r="U116" s="2" t="str">
        <f>IF(COUNTIFS(attestations!$B$2:$B$5000,$A116,attestations!$T$2:$T$5000,"&lt;&gt;Retracted",attestations!$I$2:$I$5000,"Georeferenced map GCP")&gt;0,"Y","N")</f>
        <v>Y</v>
      </c>
      <c r="V116" t="s">
        <v>191</v>
      </c>
      <c r="X116" t="s">
        <v>685</v>
      </c>
      <c r="Y116" t="s">
        <v>286</v>
      </c>
      <c r="Z116" t="s">
        <v>233</v>
      </c>
      <c r="AB116">
        <f>IF(A116="","",SUMIFS(attestations!$U$2:$U$5000,attestations!$B$2:$B$5000,A116))</f>
        <v>3</v>
      </c>
    </row>
    <row r="117" spans="1:28" x14ac:dyDescent="0.2">
      <c r="A117" t="s">
        <v>686</v>
      </c>
      <c r="B117" t="s">
        <v>687</v>
      </c>
      <c r="D117" t="s">
        <v>654</v>
      </c>
      <c r="E117" t="s">
        <v>236</v>
      </c>
      <c r="F117" t="s">
        <v>237</v>
      </c>
      <c r="G117" t="s">
        <v>249</v>
      </c>
      <c r="H117" t="s">
        <v>223</v>
      </c>
      <c r="I117" t="s">
        <v>616</v>
      </c>
      <c r="J117" t="s">
        <v>273</v>
      </c>
      <c r="K117" t="s">
        <v>259</v>
      </c>
      <c r="L117" t="s">
        <v>209</v>
      </c>
      <c r="M117" t="str">
        <f t="shared" si="2"/>
        <v>Point + buffer</v>
      </c>
      <c r="N117">
        <v>200</v>
      </c>
      <c r="O117" s="2">
        <f>COUNTIFS(attestations!$B$2:$B$5000,$A117,attestations!$T$2:$T$5000,"&lt;&gt;Retracted",attestations!$D$2:$D$5000,"&lt;&gt;Negative*")</f>
        <v>3</v>
      </c>
      <c r="P117" s="2">
        <f>COUNTIFS(attestations!$B$2:$B$5000,$A117,attestations!$T$2:$T$5000,"&lt;&gt;Retracted",attestations!$D$2:$D$5000,"&lt;&gt;Negative*",attestations!$R$2:$R$5000,"Map")</f>
        <v>1</v>
      </c>
      <c r="Q117" s="2">
        <f>COUNTIFS(attestations!$B$2:$B$5000,$A117,attestations!$T$2:$T$5000,"&lt;&gt;Retracted",attestations!$D$2:$D$5000,"&lt;&gt;Negative*",attestations!$R$2:$R$5000,"Image")</f>
        <v>1</v>
      </c>
      <c r="R117" s="2">
        <f>COUNTIFS(attestations!$B$2:$B$5000,$A117,attestations!$T$2:$T$5000,"&lt;&gt;Retracted",attestations!$D$2:$D$5000,"&lt;&gt;Negative*",attestations!$R$2:$R$5000,"Textual")</f>
        <v>1</v>
      </c>
      <c r="S117" s="2">
        <f>COUNTIFS(attestations!$B$2:$B$5000,$A117,attestations!$T$2:$T$5000,"&lt;&gt;Retracted",attestations!$D$2:$D$5000,"Geometry (Setting)")</f>
        <v>1</v>
      </c>
      <c r="T117" s="2" t="str">
        <f t="shared" si="3"/>
        <v>Medium</v>
      </c>
      <c r="U117" s="2" t="str">
        <f>IF(COUNTIFS(attestations!$B$2:$B$5000,$A117,attestations!$T$2:$T$5000,"&lt;&gt;Retracted",attestations!$I$2:$I$5000,"Georeferenced map GCP")&gt;0,"Y","N")</f>
        <v>Y</v>
      </c>
      <c r="V117" t="s">
        <v>191</v>
      </c>
      <c r="X117" t="s">
        <v>688</v>
      </c>
      <c r="Y117" t="s">
        <v>286</v>
      </c>
      <c r="Z117" t="s">
        <v>233</v>
      </c>
      <c r="AB117">
        <f>IF(A117="","",SUMIFS(attestations!$U$2:$U$5000,attestations!$B$2:$B$5000,A117))</f>
        <v>3</v>
      </c>
    </row>
    <row r="118" spans="1:28" x14ac:dyDescent="0.2">
      <c r="A118" t="s">
        <v>689</v>
      </c>
      <c r="B118" t="s">
        <v>690</v>
      </c>
      <c r="D118" t="s">
        <v>271</v>
      </c>
      <c r="E118" t="s">
        <v>236</v>
      </c>
      <c r="F118" t="s">
        <v>237</v>
      </c>
      <c r="G118" t="s">
        <v>249</v>
      </c>
      <c r="H118" t="s">
        <v>223</v>
      </c>
      <c r="I118" t="s">
        <v>691</v>
      </c>
      <c r="J118" t="s">
        <v>273</v>
      </c>
      <c r="K118" t="s">
        <v>259</v>
      </c>
      <c r="L118" t="s">
        <v>209</v>
      </c>
      <c r="M118" t="str">
        <f t="shared" si="2"/>
        <v>Point + buffer</v>
      </c>
      <c r="N118">
        <v>200</v>
      </c>
      <c r="O118" s="2">
        <f>COUNTIFS(attestations!$B$2:$B$5000,$A118,attestations!$T$2:$T$5000,"&lt;&gt;Retracted",attestations!$D$2:$D$5000,"&lt;&gt;Negative*")</f>
        <v>5</v>
      </c>
      <c r="P118" s="2">
        <f>COUNTIFS(attestations!$B$2:$B$5000,$A118,attestations!$T$2:$T$5000,"&lt;&gt;Retracted",attestations!$D$2:$D$5000,"&lt;&gt;Negative*",attestations!$R$2:$R$5000,"Map")</f>
        <v>1</v>
      </c>
      <c r="Q118" s="2">
        <f>COUNTIFS(attestations!$B$2:$B$5000,$A118,attestations!$T$2:$T$5000,"&lt;&gt;Retracted",attestations!$D$2:$D$5000,"&lt;&gt;Negative*",attestations!$R$2:$R$5000,"Image")</f>
        <v>0</v>
      </c>
      <c r="R118" s="2">
        <f>COUNTIFS(attestations!$B$2:$B$5000,$A118,attestations!$T$2:$T$5000,"&lt;&gt;Retracted",attestations!$D$2:$D$5000,"&lt;&gt;Negative*",attestations!$R$2:$R$5000,"Textual")</f>
        <v>4</v>
      </c>
      <c r="S118" s="2">
        <f>COUNTIFS(attestations!$B$2:$B$5000,$A118,attestations!$T$2:$T$5000,"&lt;&gt;Retracted",attestations!$D$2:$D$5000,"Geometry (Setting)")</f>
        <v>1</v>
      </c>
      <c r="T118" s="2" t="str">
        <f t="shared" si="3"/>
        <v>Medium</v>
      </c>
      <c r="U118" s="2" t="str">
        <f>IF(COUNTIFS(attestations!$B$2:$B$5000,$A118,attestations!$T$2:$T$5000,"&lt;&gt;Retracted",attestations!$I$2:$I$5000,"Georeferenced map GCP")&gt;0,"Y","N")</f>
        <v>Y</v>
      </c>
      <c r="V118" t="s">
        <v>191</v>
      </c>
      <c r="X118" t="s">
        <v>692</v>
      </c>
      <c r="Y118" t="s">
        <v>275</v>
      </c>
      <c r="Z118" t="s">
        <v>233</v>
      </c>
      <c r="AB118">
        <f>IF(A118="","",SUMIFS(attestations!$U$2:$U$5000,attestations!$B$2:$B$5000,A118))</f>
        <v>5</v>
      </c>
    </row>
    <row r="119" spans="1:28" x14ac:dyDescent="0.2">
      <c r="A119" t="s">
        <v>693</v>
      </c>
      <c r="B119" t="s">
        <v>694</v>
      </c>
      <c r="D119" t="s">
        <v>695</v>
      </c>
      <c r="E119" t="s">
        <v>236</v>
      </c>
      <c r="F119" t="s">
        <v>237</v>
      </c>
      <c r="G119" t="s">
        <v>300</v>
      </c>
      <c r="H119" t="s">
        <v>223</v>
      </c>
      <c r="I119" t="s">
        <v>696</v>
      </c>
      <c r="J119" t="s">
        <v>245</v>
      </c>
      <c r="K119" t="s">
        <v>259</v>
      </c>
      <c r="L119" t="s">
        <v>209</v>
      </c>
      <c r="M119" t="str">
        <f t="shared" si="2"/>
        <v>Point + buffer</v>
      </c>
      <c r="N119">
        <v>400</v>
      </c>
      <c r="O119" s="2">
        <f>COUNTIFS(attestations!$B$2:$B$5000,$A119,attestations!$T$2:$T$5000,"&lt;&gt;Retracted",attestations!$D$2:$D$5000,"&lt;&gt;Negative*")</f>
        <v>3</v>
      </c>
      <c r="P119" s="2">
        <f>COUNTIFS(attestations!$B$2:$B$5000,$A119,attestations!$T$2:$T$5000,"&lt;&gt;Retracted",attestations!$D$2:$D$5000,"&lt;&gt;Negative*",attestations!$R$2:$R$5000,"Map")</f>
        <v>1</v>
      </c>
      <c r="Q119" s="2">
        <f>COUNTIFS(attestations!$B$2:$B$5000,$A119,attestations!$T$2:$T$5000,"&lt;&gt;Retracted",attestations!$D$2:$D$5000,"&lt;&gt;Negative*",attestations!$R$2:$R$5000,"Image")</f>
        <v>0</v>
      </c>
      <c r="R119" s="2">
        <f>COUNTIFS(attestations!$B$2:$B$5000,$A119,attestations!$T$2:$T$5000,"&lt;&gt;Retracted",attestations!$D$2:$D$5000,"&lt;&gt;Negative*",attestations!$R$2:$R$5000,"Textual")</f>
        <v>2</v>
      </c>
      <c r="S119" s="2">
        <f>COUNTIFS(attestations!$B$2:$B$5000,$A119,attestations!$T$2:$T$5000,"&lt;&gt;Retracted",attestations!$D$2:$D$5000,"Geometry (Setting)")</f>
        <v>1</v>
      </c>
      <c r="T119" s="2" t="str">
        <f t="shared" si="3"/>
        <v>Medium</v>
      </c>
      <c r="U119" s="2" t="str">
        <f>IF(COUNTIFS(attestations!$B$2:$B$5000,$A119,attestations!$T$2:$T$5000,"&lt;&gt;Retracted",attestations!$I$2:$I$5000,"Georeferenced map GCP")&gt;0,"Y","N")</f>
        <v>Y</v>
      </c>
      <c r="V119" t="s">
        <v>191</v>
      </c>
      <c r="X119" t="s">
        <v>697</v>
      </c>
      <c r="Y119" t="s">
        <v>286</v>
      </c>
      <c r="Z119" t="s">
        <v>242</v>
      </c>
      <c r="AB119">
        <f>IF(A119="","",SUMIFS(attestations!$U$2:$U$5000,attestations!$B$2:$B$5000,A119))</f>
        <v>3</v>
      </c>
    </row>
    <row r="120" spans="1:28" x14ac:dyDescent="0.2">
      <c r="A120" t="s">
        <v>698</v>
      </c>
      <c r="B120" t="s">
        <v>699</v>
      </c>
      <c r="D120" t="s">
        <v>282</v>
      </c>
      <c r="E120" t="s">
        <v>236</v>
      </c>
      <c r="F120" t="s">
        <v>237</v>
      </c>
      <c r="G120" t="s">
        <v>249</v>
      </c>
      <c r="H120" t="s">
        <v>250</v>
      </c>
      <c r="I120" t="s">
        <v>696</v>
      </c>
      <c r="J120" t="s">
        <v>245</v>
      </c>
      <c r="K120" t="s">
        <v>259</v>
      </c>
      <c r="L120" t="s">
        <v>209</v>
      </c>
      <c r="M120" t="str">
        <f t="shared" si="2"/>
        <v>Point + buffer</v>
      </c>
      <c r="N120">
        <v>400</v>
      </c>
      <c r="O120" s="2">
        <f>COUNTIFS(attestations!$B$2:$B$5000,$A120,attestations!$T$2:$T$5000,"&lt;&gt;Retracted",attestations!$D$2:$D$5000,"&lt;&gt;Negative*")</f>
        <v>4</v>
      </c>
      <c r="P120" s="2">
        <f>COUNTIFS(attestations!$B$2:$B$5000,$A120,attestations!$T$2:$T$5000,"&lt;&gt;Retracted",attestations!$D$2:$D$5000,"&lt;&gt;Negative*",attestations!$R$2:$R$5000,"Map")</f>
        <v>1</v>
      </c>
      <c r="Q120" s="2">
        <f>COUNTIFS(attestations!$B$2:$B$5000,$A120,attestations!$T$2:$T$5000,"&lt;&gt;Retracted",attestations!$D$2:$D$5000,"&lt;&gt;Negative*",attestations!$R$2:$R$5000,"Image")</f>
        <v>0</v>
      </c>
      <c r="R120" s="2">
        <f>COUNTIFS(attestations!$B$2:$B$5000,$A120,attestations!$T$2:$T$5000,"&lt;&gt;Retracted",attestations!$D$2:$D$5000,"&lt;&gt;Negative*",attestations!$R$2:$R$5000,"Textual")</f>
        <v>3</v>
      </c>
      <c r="S120" s="2">
        <f>COUNTIFS(attestations!$B$2:$B$5000,$A120,attestations!$T$2:$T$5000,"&lt;&gt;Retracted",attestations!$D$2:$D$5000,"Geometry (Setting)")</f>
        <v>1</v>
      </c>
      <c r="T120" s="2" t="str">
        <f t="shared" si="3"/>
        <v>Medium</v>
      </c>
      <c r="U120" s="2" t="str">
        <f>IF(COUNTIFS(attestations!$B$2:$B$5000,$A120,attestations!$T$2:$T$5000,"&lt;&gt;Retracted",attestations!$I$2:$I$5000,"Georeferenced map GCP")&gt;0,"Y","N")</f>
        <v>Y</v>
      </c>
      <c r="V120" t="s">
        <v>191</v>
      </c>
      <c r="X120" t="s">
        <v>700</v>
      </c>
      <c r="Y120" t="s">
        <v>286</v>
      </c>
      <c r="Z120" t="s">
        <v>242</v>
      </c>
      <c r="AB120">
        <f>IF(A120="","",SUMIFS(attestations!$U$2:$U$5000,attestations!$B$2:$B$5000,A120))</f>
        <v>4</v>
      </c>
    </row>
    <row r="121" spans="1:28" x14ac:dyDescent="0.2">
      <c r="A121" t="s">
        <v>701</v>
      </c>
      <c r="B121" t="s">
        <v>702</v>
      </c>
      <c r="D121" t="s">
        <v>299</v>
      </c>
      <c r="E121" t="s">
        <v>236</v>
      </c>
      <c r="F121" t="s">
        <v>237</v>
      </c>
      <c r="G121" t="s">
        <v>249</v>
      </c>
      <c r="H121" t="s">
        <v>223</v>
      </c>
      <c r="I121" t="s">
        <v>696</v>
      </c>
      <c r="J121" t="s">
        <v>245</v>
      </c>
      <c r="K121" t="s">
        <v>259</v>
      </c>
      <c r="L121" t="s">
        <v>209</v>
      </c>
      <c r="M121" t="str">
        <f t="shared" si="2"/>
        <v>Point + buffer</v>
      </c>
      <c r="N121">
        <v>400</v>
      </c>
      <c r="O121" s="2">
        <f>COUNTIFS(attestations!$B$2:$B$5000,$A121,attestations!$T$2:$T$5000,"&lt;&gt;Retracted",attestations!$D$2:$D$5000,"&lt;&gt;Negative*")</f>
        <v>2</v>
      </c>
      <c r="P121" s="2">
        <f>COUNTIFS(attestations!$B$2:$B$5000,$A121,attestations!$T$2:$T$5000,"&lt;&gt;Retracted",attestations!$D$2:$D$5000,"&lt;&gt;Negative*",attestations!$R$2:$R$5000,"Map")</f>
        <v>1</v>
      </c>
      <c r="Q121" s="2">
        <f>COUNTIFS(attestations!$B$2:$B$5000,$A121,attestations!$T$2:$T$5000,"&lt;&gt;Retracted",attestations!$D$2:$D$5000,"&lt;&gt;Negative*",attestations!$R$2:$R$5000,"Image")</f>
        <v>0</v>
      </c>
      <c r="R121" s="2">
        <f>COUNTIFS(attestations!$B$2:$B$5000,$A121,attestations!$T$2:$T$5000,"&lt;&gt;Retracted",attestations!$D$2:$D$5000,"&lt;&gt;Negative*",attestations!$R$2:$R$5000,"Textual")</f>
        <v>1</v>
      </c>
      <c r="S121" s="2">
        <f>COUNTIFS(attestations!$B$2:$B$5000,$A121,attestations!$T$2:$T$5000,"&lt;&gt;Retracted",attestations!$D$2:$D$5000,"Geometry (Setting)")</f>
        <v>1</v>
      </c>
      <c r="T121" s="2" t="str">
        <f t="shared" si="3"/>
        <v>Low</v>
      </c>
      <c r="U121" s="2" t="str">
        <f>IF(COUNTIFS(attestations!$B$2:$B$5000,$A121,attestations!$T$2:$T$5000,"&lt;&gt;Retracted",attestations!$I$2:$I$5000,"Georeferenced map GCP")&gt;0,"Y","N")</f>
        <v>Y</v>
      </c>
      <c r="V121" t="s">
        <v>191</v>
      </c>
      <c r="X121" t="s">
        <v>703</v>
      </c>
      <c r="Y121" t="s">
        <v>275</v>
      </c>
      <c r="Z121" t="s">
        <v>242</v>
      </c>
      <c r="AB121">
        <f>IF(A121="","",SUMIFS(attestations!$U$2:$U$5000,attestations!$B$2:$B$5000,A121))</f>
        <v>2</v>
      </c>
    </row>
    <row r="122" spans="1:28" x14ac:dyDescent="0.2">
      <c r="A122" t="s">
        <v>704</v>
      </c>
      <c r="B122" t="s">
        <v>705</v>
      </c>
      <c r="D122" t="s">
        <v>289</v>
      </c>
      <c r="E122" t="s">
        <v>236</v>
      </c>
      <c r="F122" t="s">
        <v>237</v>
      </c>
      <c r="G122" t="s">
        <v>249</v>
      </c>
      <c r="H122" t="s">
        <v>250</v>
      </c>
      <c r="I122" t="s">
        <v>665</v>
      </c>
      <c r="J122" t="s">
        <v>245</v>
      </c>
      <c r="K122" t="s">
        <v>259</v>
      </c>
      <c r="L122" t="s">
        <v>209</v>
      </c>
      <c r="M122" t="str">
        <f t="shared" si="2"/>
        <v>Point + buffer</v>
      </c>
      <c r="N122">
        <v>400</v>
      </c>
      <c r="O122" s="2">
        <f>COUNTIFS(attestations!$B$2:$B$5000,$A122,attestations!$T$2:$T$5000,"&lt;&gt;Retracted",attestations!$D$2:$D$5000,"&lt;&gt;Negative*")</f>
        <v>6</v>
      </c>
      <c r="P122" s="2">
        <f>COUNTIFS(attestations!$B$2:$B$5000,$A122,attestations!$T$2:$T$5000,"&lt;&gt;Retracted",attestations!$D$2:$D$5000,"&lt;&gt;Negative*",attestations!$R$2:$R$5000,"Map")</f>
        <v>1</v>
      </c>
      <c r="Q122" s="2">
        <f>COUNTIFS(attestations!$B$2:$B$5000,$A122,attestations!$T$2:$T$5000,"&lt;&gt;Retracted",attestations!$D$2:$D$5000,"&lt;&gt;Negative*",attestations!$R$2:$R$5000,"Image")</f>
        <v>1</v>
      </c>
      <c r="R122" s="2">
        <f>COUNTIFS(attestations!$B$2:$B$5000,$A122,attestations!$T$2:$T$5000,"&lt;&gt;Retracted",attestations!$D$2:$D$5000,"&lt;&gt;Negative*",attestations!$R$2:$R$5000,"Textual")</f>
        <v>4</v>
      </c>
      <c r="S122" s="2">
        <f>COUNTIFS(attestations!$B$2:$B$5000,$A122,attestations!$T$2:$T$5000,"&lt;&gt;Retracted",attestations!$D$2:$D$5000,"Geometry (Setting)")</f>
        <v>1</v>
      </c>
      <c r="T122" s="2" t="str">
        <f t="shared" si="3"/>
        <v>Medium</v>
      </c>
      <c r="U122" s="2" t="str">
        <f>IF(COUNTIFS(attestations!$B$2:$B$5000,$A122,attestations!$T$2:$T$5000,"&lt;&gt;Retracted",attestations!$I$2:$I$5000,"Georeferenced map GCP")&gt;0,"Y","N")</f>
        <v>Y</v>
      </c>
      <c r="V122" t="s">
        <v>191</v>
      </c>
      <c r="X122" t="s">
        <v>706</v>
      </c>
      <c r="Y122" t="s">
        <v>286</v>
      </c>
      <c r="Z122" t="s">
        <v>242</v>
      </c>
      <c r="AB122">
        <f>IF(A122="","",SUMIFS(attestations!$U$2:$U$5000,attestations!$B$2:$B$5000,A122))</f>
        <v>6</v>
      </c>
    </row>
    <row r="123" spans="1:28" x14ac:dyDescent="0.2">
      <c r="A123" t="s">
        <v>707</v>
      </c>
      <c r="B123" t="s">
        <v>708</v>
      </c>
      <c r="D123" t="s">
        <v>709</v>
      </c>
      <c r="E123" t="s">
        <v>236</v>
      </c>
      <c r="F123" t="s">
        <v>237</v>
      </c>
      <c r="G123" t="s">
        <v>300</v>
      </c>
      <c r="H123" t="s">
        <v>223</v>
      </c>
      <c r="I123" t="s">
        <v>637</v>
      </c>
      <c r="J123" t="s">
        <v>245</v>
      </c>
      <c r="K123" t="s">
        <v>259</v>
      </c>
      <c r="L123" t="s">
        <v>209</v>
      </c>
      <c r="M123" t="str">
        <f t="shared" si="2"/>
        <v>Point + buffer</v>
      </c>
      <c r="N123">
        <v>400</v>
      </c>
      <c r="O123" s="2">
        <f>COUNTIFS(attestations!$B$2:$B$5000,$A123,attestations!$T$2:$T$5000,"&lt;&gt;Retracted",attestations!$D$2:$D$5000,"&lt;&gt;Negative*")</f>
        <v>1</v>
      </c>
      <c r="P123" s="2">
        <f>COUNTIFS(attestations!$B$2:$B$5000,$A123,attestations!$T$2:$T$5000,"&lt;&gt;Retracted",attestations!$D$2:$D$5000,"&lt;&gt;Negative*",attestations!$R$2:$R$5000,"Map")</f>
        <v>1</v>
      </c>
      <c r="Q123" s="2">
        <f>COUNTIFS(attestations!$B$2:$B$5000,$A123,attestations!$T$2:$T$5000,"&lt;&gt;Retracted",attestations!$D$2:$D$5000,"&lt;&gt;Negative*",attestations!$R$2:$R$5000,"Image")</f>
        <v>0</v>
      </c>
      <c r="R123" s="2">
        <f>COUNTIFS(attestations!$B$2:$B$5000,$A123,attestations!$T$2:$T$5000,"&lt;&gt;Retracted",attestations!$D$2:$D$5000,"&lt;&gt;Negative*",attestations!$R$2:$R$5000,"Textual")</f>
        <v>0</v>
      </c>
      <c r="S123" s="2">
        <f>COUNTIFS(attestations!$B$2:$B$5000,$A123,attestations!$T$2:$T$5000,"&lt;&gt;Retracted",attestations!$D$2:$D$5000,"Geometry (Setting)")</f>
        <v>1</v>
      </c>
      <c r="T123" s="2" t="str">
        <f t="shared" si="3"/>
        <v>Low</v>
      </c>
      <c r="U123" s="2" t="str">
        <f>IF(COUNTIFS(attestations!$B$2:$B$5000,$A123,attestations!$T$2:$T$5000,"&lt;&gt;Retracted",attestations!$I$2:$I$5000,"Georeferenced map GCP")&gt;0,"Y","N")</f>
        <v>Y</v>
      </c>
      <c r="V123" t="s">
        <v>191</v>
      </c>
      <c r="X123" t="s">
        <v>710</v>
      </c>
      <c r="Y123" t="s">
        <v>286</v>
      </c>
      <c r="Z123" t="s">
        <v>242</v>
      </c>
      <c r="AB123">
        <f>IF(A123="","",SUMIFS(attestations!$U$2:$U$5000,attestations!$B$2:$B$5000,A123))</f>
        <v>1</v>
      </c>
    </row>
    <row r="124" spans="1:28" x14ac:dyDescent="0.2">
      <c r="A124" t="s">
        <v>711</v>
      </c>
      <c r="B124" t="s">
        <v>712</v>
      </c>
      <c r="D124" t="s">
        <v>282</v>
      </c>
      <c r="E124" t="s">
        <v>236</v>
      </c>
      <c r="F124" t="s">
        <v>237</v>
      </c>
      <c r="G124" t="s">
        <v>249</v>
      </c>
      <c r="H124" t="s">
        <v>250</v>
      </c>
      <c r="I124" t="s">
        <v>616</v>
      </c>
      <c r="J124" t="s">
        <v>245</v>
      </c>
      <c r="K124" t="s">
        <v>259</v>
      </c>
      <c r="L124" t="s">
        <v>209</v>
      </c>
      <c r="M124" t="str">
        <f t="shared" si="2"/>
        <v>Point + buffer</v>
      </c>
      <c r="N124">
        <v>200</v>
      </c>
      <c r="O124" s="2">
        <f>COUNTIFS(attestations!$B$2:$B$5000,$A124,attestations!$T$2:$T$5000,"&lt;&gt;Retracted",attestations!$D$2:$D$5000,"&lt;&gt;Negative*")</f>
        <v>6</v>
      </c>
      <c r="P124" s="2">
        <f>COUNTIFS(attestations!$B$2:$B$5000,$A124,attestations!$T$2:$T$5000,"&lt;&gt;Retracted",attestations!$D$2:$D$5000,"&lt;&gt;Negative*",attestations!$R$2:$R$5000,"Map")</f>
        <v>2</v>
      </c>
      <c r="Q124" s="2">
        <f>COUNTIFS(attestations!$B$2:$B$5000,$A124,attestations!$T$2:$T$5000,"&lt;&gt;Retracted",attestations!$D$2:$D$5000,"&lt;&gt;Negative*",attestations!$R$2:$R$5000,"Image")</f>
        <v>1</v>
      </c>
      <c r="R124" s="2">
        <f>COUNTIFS(attestations!$B$2:$B$5000,$A124,attestations!$T$2:$T$5000,"&lt;&gt;Retracted",attestations!$D$2:$D$5000,"&lt;&gt;Negative*",attestations!$R$2:$R$5000,"Textual")</f>
        <v>3</v>
      </c>
      <c r="S124" s="2">
        <f>COUNTIFS(attestations!$B$2:$B$5000,$A124,attestations!$T$2:$T$5000,"&lt;&gt;Retracted",attestations!$D$2:$D$5000,"Geometry (Setting)")</f>
        <v>2</v>
      </c>
      <c r="T124" s="2" t="str">
        <f t="shared" si="3"/>
        <v>Medium</v>
      </c>
      <c r="U124" s="2" t="str">
        <f>IF(COUNTIFS(attestations!$B$2:$B$5000,$A124,attestations!$T$2:$T$5000,"&lt;&gt;Retracted",attestations!$I$2:$I$5000,"Georeferenced map GCP")&gt;0,"Y","N")</f>
        <v>Y</v>
      </c>
      <c r="V124" t="s">
        <v>191</v>
      </c>
      <c r="X124" t="s">
        <v>713</v>
      </c>
      <c r="Y124" t="s">
        <v>286</v>
      </c>
      <c r="Z124" t="s">
        <v>247</v>
      </c>
      <c r="AB124">
        <f>IF(A124="","",SUMIFS(attestations!$U$2:$U$5000,attestations!$B$2:$B$5000,A124))</f>
        <v>6</v>
      </c>
    </row>
    <row r="125" spans="1:28" x14ac:dyDescent="0.2">
      <c r="A125" t="s">
        <v>714</v>
      </c>
      <c r="B125" t="s">
        <v>715</v>
      </c>
      <c r="D125" t="s">
        <v>289</v>
      </c>
      <c r="E125" t="s">
        <v>236</v>
      </c>
      <c r="F125" t="s">
        <v>237</v>
      </c>
      <c r="G125" t="s">
        <v>249</v>
      </c>
      <c r="H125" t="s">
        <v>250</v>
      </c>
      <c r="I125" t="s">
        <v>691</v>
      </c>
      <c r="J125" t="s">
        <v>245</v>
      </c>
      <c r="K125" t="s">
        <v>259</v>
      </c>
      <c r="L125" t="s">
        <v>209</v>
      </c>
      <c r="M125" t="str">
        <f t="shared" si="2"/>
        <v>Point + buffer</v>
      </c>
      <c r="N125">
        <v>200</v>
      </c>
      <c r="O125" s="2">
        <f>COUNTIFS(attestations!$B$2:$B$5000,$A125,attestations!$T$2:$T$5000,"&lt;&gt;Retracted",attestations!$D$2:$D$5000,"&lt;&gt;Negative*")</f>
        <v>7</v>
      </c>
      <c r="P125" s="2">
        <f>COUNTIFS(attestations!$B$2:$B$5000,$A125,attestations!$T$2:$T$5000,"&lt;&gt;Retracted",attestations!$D$2:$D$5000,"&lt;&gt;Negative*",attestations!$R$2:$R$5000,"Map")</f>
        <v>2</v>
      </c>
      <c r="Q125" s="2">
        <f>COUNTIFS(attestations!$B$2:$B$5000,$A125,attestations!$T$2:$T$5000,"&lt;&gt;Retracted",attestations!$D$2:$D$5000,"&lt;&gt;Negative*",attestations!$R$2:$R$5000,"Image")</f>
        <v>1</v>
      </c>
      <c r="R125" s="2">
        <f>COUNTIFS(attestations!$B$2:$B$5000,$A125,attestations!$T$2:$T$5000,"&lt;&gt;Retracted",attestations!$D$2:$D$5000,"&lt;&gt;Negative*",attestations!$R$2:$R$5000,"Textual")</f>
        <v>4</v>
      </c>
      <c r="S125" s="2">
        <f>COUNTIFS(attestations!$B$2:$B$5000,$A125,attestations!$T$2:$T$5000,"&lt;&gt;Retracted",attestations!$D$2:$D$5000,"Geometry (Setting)")</f>
        <v>2</v>
      </c>
      <c r="T125" s="2" t="str">
        <f t="shared" si="3"/>
        <v>Medium</v>
      </c>
      <c r="U125" s="2" t="str">
        <f>IF(COUNTIFS(attestations!$B$2:$B$5000,$A125,attestations!$T$2:$T$5000,"&lt;&gt;Retracted",attestations!$I$2:$I$5000,"Georeferenced map GCP")&gt;0,"Y","N")</f>
        <v>Y</v>
      </c>
      <c r="V125" t="s">
        <v>191</v>
      </c>
      <c r="X125" t="s">
        <v>716</v>
      </c>
      <c r="Y125" t="s">
        <v>286</v>
      </c>
      <c r="Z125" t="s">
        <v>247</v>
      </c>
      <c r="AB125">
        <f>IF(A125="","",SUMIFS(attestations!$U$2:$U$5000,attestations!$B$2:$B$5000,A125))</f>
        <v>7</v>
      </c>
    </row>
    <row r="126" spans="1:28" x14ac:dyDescent="0.2">
      <c r="A126" t="s">
        <v>717</v>
      </c>
      <c r="B126" t="s">
        <v>718</v>
      </c>
      <c r="D126" t="s">
        <v>654</v>
      </c>
      <c r="E126" t="s">
        <v>236</v>
      </c>
      <c r="F126" t="s">
        <v>237</v>
      </c>
      <c r="G126" t="s">
        <v>249</v>
      </c>
      <c r="H126" t="s">
        <v>223</v>
      </c>
      <c r="I126" t="s">
        <v>616</v>
      </c>
      <c r="J126" t="s">
        <v>245</v>
      </c>
      <c r="K126" t="s">
        <v>259</v>
      </c>
      <c r="L126" t="s">
        <v>209</v>
      </c>
      <c r="M126" t="str">
        <f t="shared" si="2"/>
        <v>Point + buffer</v>
      </c>
      <c r="N126">
        <v>200</v>
      </c>
      <c r="O126" s="2">
        <f>COUNTIFS(attestations!$B$2:$B$5000,$A126,attestations!$T$2:$T$5000,"&lt;&gt;Retracted",attestations!$D$2:$D$5000,"&lt;&gt;Negative*")</f>
        <v>6</v>
      </c>
      <c r="P126" s="2">
        <f>COUNTIFS(attestations!$B$2:$B$5000,$A126,attestations!$T$2:$T$5000,"&lt;&gt;Retracted",attestations!$D$2:$D$5000,"&lt;&gt;Negative*",attestations!$R$2:$R$5000,"Map")</f>
        <v>2</v>
      </c>
      <c r="Q126" s="2">
        <f>COUNTIFS(attestations!$B$2:$B$5000,$A126,attestations!$T$2:$T$5000,"&lt;&gt;Retracted",attestations!$D$2:$D$5000,"&lt;&gt;Negative*",attestations!$R$2:$R$5000,"Image")</f>
        <v>1</v>
      </c>
      <c r="R126" s="2">
        <f>COUNTIFS(attestations!$B$2:$B$5000,$A126,attestations!$T$2:$T$5000,"&lt;&gt;Retracted",attestations!$D$2:$D$5000,"&lt;&gt;Negative*",attestations!$R$2:$R$5000,"Textual")</f>
        <v>3</v>
      </c>
      <c r="S126" s="2">
        <f>COUNTIFS(attestations!$B$2:$B$5000,$A126,attestations!$T$2:$T$5000,"&lt;&gt;Retracted",attestations!$D$2:$D$5000,"Geometry (Setting)")</f>
        <v>2</v>
      </c>
      <c r="T126" s="2" t="str">
        <f t="shared" si="3"/>
        <v>Medium</v>
      </c>
      <c r="U126" s="2" t="str">
        <f>IF(COUNTIFS(attestations!$B$2:$B$5000,$A126,attestations!$T$2:$T$5000,"&lt;&gt;Retracted",attestations!$I$2:$I$5000,"Georeferenced map GCP")&gt;0,"Y","N")</f>
        <v>Y</v>
      </c>
      <c r="V126" t="s">
        <v>191</v>
      </c>
      <c r="X126" t="s">
        <v>719</v>
      </c>
      <c r="Y126" t="s">
        <v>286</v>
      </c>
      <c r="Z126" t="s">
        <v>247</v>
      </c>
      <c r="AB126">
        <f>IF(A126="","",SUMIFS(attestations!$U$2:$U$5000,attestations!$B$2:$B$5000,A126))</f>
        <v>6</v>
      </c>
    </row>
    <row r="127" spans="1:28" x14ac:dyDescent="0.2">
      <c r="A127" t="s">
        <v>720</v>
      </c>
      <c r="B127" t="s">
        <v>721</v>
      </c>
      <c r="D127" t="s">
        <v>319</v>
      </c>
      <c r="E127" t="s">
        <v>236</v>
      </c>
      <c r="F127" t="s">
        <v>237</v>
      </c>
      <c r="G127" t="s">
        <v>300</v>
      </c>
      <c r="H127" t="s">
        <v>223</v>
      </c>
      <c r="I127" t="s">
        <v>691</v>
      </c>
      <c r="J127" t="s">
        <v>245</v>
      </c>
      <c r="K127" t="s">
        <v>259</v>
      </c>
      <c r="L127" t="s">
        <v>209</v>
      </c>
      <c r="M127" t="str">
        <f t="shared" si="2"/>
        <v>Point + buffer</v>
      </c>
      <c r="N127">
        <v>200</v>
      </c>
      <c r="O127" s="2">
        <f>COUNTIFS(attestations!$B$2:$B$5000,$A127,attestations!$T$2:$T$5000,"&lt;&gt;Retracted",attestations!$D$2:$D$5000,"&lt;&gt;Negative*")</f>
        <v>6</v>
      </c>
      <c r="P127" s="2">
        <f>COUNTIFS(attestations!$B$2:$B$5000,$A127,attestations!$T$2:$T$5000,"&lt;&gt;Retracted",attestations!$D$2:$D$5000,"&lt;&gt;Negative*",attestations!$R$2:$R$5000,"Map")</f>
        <v>3</v>
      </c>
      <c r="Q127" s="2">
        <f>COUNTIFS(attestations!$B$2:$B$5000,$A127,attestations!$T$2:$T$5000,"&lt;&gt;Retracted",attestations!$D$2:$D$5000,"&lt;&gt;Negative*",attestations!$R$2:$R$5000,"Image")</f>
        <v>1</v>
      </c>
      <c r="R127" s="2">
        <f>COUNTIFS(attestations!$B$2:$B$5000,$A127,attestations!$T$2:$T$5000,"&lt;&gt;Retracted",attestations!$D$2:$D$5000,"&lt;&gt;Negative*",attestations!$R$2:$R$5000,"Textual")</f>
        <v>2</v>
      </c>
      <c r="S127" s="2">
        <f>COUNTIFS(attestations!$B$2:$B$5000,$A127,attestations!$T$2:$T$5000,"&lt;&gt;Retracted",attestations!$D$2:$D$5000,"Geometry (Setting)")</f>
        <v>3</v>
      </c>
      <c r="T127" s="2" t="str">
        <f t="shared" si="3"/>
        <v>Medium</v>
      </c>
      <c r="U127" s="2" t="str">
        <f>IF(COUNTIFS(attestations!$B$2:$B$5000,$A127,attestations!$T$2:$T$5000,"&lt;&gt;Retracted",attestations!$I$2:$I$5000,"Georeferenced map GCP")&gt;0,"Y","N")</f>
        <v>Y</v>
      </c>
      <c r="V127" t="s">
        <v>191</v>
      </c>
      <c r="X127" t="s">
        <v>722</v>
      </c>
      <c r="Y127" t="s">
        <v>286</v>
      </c>
      <c r="Z127" t="s">
        <v>247</v>
      </c>
      <c r="AB127">
        <f>IF(A127="","",SUMIFS(attestations!$U$2:$U$5000,attestations!$B$2:$B$5000,A127))</f>
        <v>5</v>
      </c>
    </row>
    <row r="128" spans="1:28" x14ac:dyDescent="0.2">
      <c r="A128" t="s">
        <v>723</v>
      </c>
      <c r="B128" t="s">
        <v>724</v>
      </c>
      <c r="D128" t="s">
        <v>328</v>
      </c>
      <c r="E128" t="s">
        <v>236</v>
      </c>
      <c r="F128" t="s">
        <v>237</v>
      </c>
      <c r="G128" t="s">
        <v>320</v>
      </c>
      <c r="H128" t="s">
        <v>290</v>
      </c>
      <c r="I128" t="s">
        <v>616</v>
      </c>
      <c r="J128" t="s">
        <v>725</v>
      </c>
      <c r="K128" t="s">
        <v>259</v>
      </c>
      <c r="L128" t="s">
        <v>209</v>
      </c>
      <c r="M128" t="str">
        <f t="shared" si="2"/>
        <v>Point + buffer</v>
      </c>
      <c r="N128">
        <v>200</v>
      </c>
      <c r="O128" s="2">
        <f>COUNTIFS(attestations!$B$2:$B$5000,$A128,attestations!$T$2:$T$5000,"&lt;&gt;Retracted",attestations!$D$2:$D$5000,"&lt;&gt;Negative*")</f>
        <v>3</v>
      </c>
      <c r="P128" s="2">
        <f>COUNTIFS(attestations!$B$2:$B$5000,$A128,attestations!$T$2:$T$5000,"&lt;&gt;Retracted",attestations!$D$2:$D$5000,"&lt;&gt;Negative*",attestations!$R$2:$R$5000,"Map")</f>
        <v>2</v>
      </c>
      <c r="Q128" s="2">
        <f>COUNTIFS(attestations!$B$2:$B$5000,$A128,attestations!$T$2:$T$5000,"&lt;&gt;Retracted",attestations!$D$2:$D$5000,"&lt;&gt;Negative*",attestations!$R$2:$R$5000,"Image")</f>
        <v>0</v>
      </c>
      <c r="R128" s="2">
        <f>COUNTIFS(attestations!$B$2:$B$5000,$A128,attestations!$T$2:$T$5000,"&lt;&gt;Retracted",attestations!$D$2:$D$5000,"&lt;&gt;Negative*",attestations!$R$2:$R$5000,"Textual")</f>
        <v>1</v>
      </c>
      <c r="S128" s="2">
        <f>COUNTIFS(attestations!$B$2:$B$5000,$A128,attestations!$T$2:$T$5000,"&lt;&gt;Retracted",attestations!$D$2:$D$5000,"Geometry (Setting)")</f>
        <v>2</v>
      </c>
      <c r="T128" s="2" t="str">
        <f t="shared" si="3"/>
        <v>Medium</v>
      </c>
      <c r="U128" s="2" t="str">
        <f>IF(COUNTIFS(attestations!$B$2:$B$5000,$A128,attestations!$T$2:$T$5000,"&lt;&gt;Retracted",attestations!$I$2:$I$5000,"Georeferenced map GCP")&gt;0,"Y","N")</f>
        <v>Y</v>
      </c>
      <c r="V128" t="s">
        <v>191</v>
      </c>
      <c r="W128" t="s">
        <v>203</v>
      </c>
      <c r="X128" t="s">
        <v>726</v>
      </c>
      <c r="Y128" t="s">
        <v>286</v>
      </c>
      <c r="Z128" t="s">
        <v>247</v>
      </c>
      <c r="AB128">
        <f>IF(A128="","",SUMIFS(attestations!$U$2:$U$5000,attestations!$B$2:$B$5000,A128))</f>
        <v>3</v>
      </c>
    </row>
    <row r="129" spans="1:28" x14ac:dyDescent="0.2">
      <c r="A129" t="s">
        <v>727</v>
      </c>
      <c r="B129" t="s">
        <v>728</v>
      </c>
      <c r="D129" t="s">
        <v>278</v>
      </c>
      <c r="E129" t="s">
        <v>236</v>
      </c>
      <c r="F129" t="s">
        <v>237</v>
      </c>
      <c r="G129" t="s">
        <v>249</v>
      </c>
      <c r="H129" t="s">
        <v>223</v>
      </c>
      <c r="I129" t="s">
        <v>616</v>
      </c>
      <c r="J129" t="s">
        <v>527</v>
      </c>
      <c r="K129" t="s">
        <v>259</v>
      </c>
      <c r="L129" t="s">
        <v>209</v>
      </c>
      <c r="M129" t="str">
        <f t="shared" si="2"/>
        <v>Point + buffer</v>
      </c>
      <c r="N129">
        <v>200</v>
      </c>
      <c r="O129" s="2">
        <f>COUNTIFS(attestations!$B$2:$B$5000,$A129,attestations!$T$2:$T$5000,"&lt;&gt;Retracted",attestations!$D$2:$D$5000,"&lt;&gt;Negative*")</f>
        <v>6</v>
      </c>
      <c r="P129" s="2">
        <f>COUNTIFS(attestations!$B$2:$B$5000,$A129,attestations!$T$2:$T$5000,"&lt;&gt;Retracted",attestations!$D$2:$D$5000,"&lt;&gt;Negative*",attestations!$R$2:$R$5000,"Map")</f>
        <v>2</v>
      </c>
      <c r="Q129" s="2">
        <f>COUNTIFS(attestations!$B$2:$B$5000,$A129,attestations!$T$2:$T$5000,"&lt;&gt;Retracted",attestations!$D$2:$D$5000,"&lt;&gt;Negative*",attestations!$R$2:$R$5000,"Image")</f>
        <v>1</v>
      </c>
      <c r="R129" s="2">
        <f>COUNTIFS(attestations!$B$2:$B$5000,$A129,attestations!$T$2:$T$5000,"&lt;&gt;Retracted",attestations!$D$2:$D$5000,"&lt;&gt;Negative*",attestations!$R$2:$R$5000,"Textual")</f>
        <v>3</v>
      </c>
      <c r="S129" s="2">
        <f>COUNTIFS(attestations!$B$2:$B$5000,$A129,attestations!$T$2:$T$5000,"&lt;&gt;Retracted",attestations!$D$2:$D$5000,"Geometry (Setting)")</f>
        <v>2</v>
      </c>
      <c r="T129" s="2" t="str">
        <f t="shared" si="3"/>
        <v>Medium</v>
      </c>
      <c r="U129" s="2" t="str">
        <f>IF(COUNTIFS(attestations!$B$2:$B$5000,$A129,attestations!$T$2:$T$5000,"&lt;&gt;Retracted",attestations!$I$2:$I$5000,"Georeferenced map GCP")&gt;0,"Y","N")</f>
        <v>Y</v>
      </c>
      <c r="V129" t="s">
        <v>191</v>
      </c>
      <c r="X129" t="s">
        <v>729</v>
      </c>
      <c r="Y129" t="s">
        <v>286</v>
      </c>
      <c r="Z129" t="s">
        <v>247</v>
      </c>
      <c r="AB129">
        <f>IF(A129="","",SUMIFS(attestations!$U$2:$U$5000,attestations!$B$2:$B$5000,A129))</f>
        <v>6</v>
      </c>
    </row>
    <row r="130" spans="1:28" x14ac:dyDescent="0.2">
      <c r="A130" t="s">
        <v>730</v>
      </c>
      <c r="B130" t="s">
        <v>731</v>
      </c>
      <c r="D130" t="s">
        <v>654</v>
      </c>
      <c r="E130" t="s">
        <v>236</v>
      </c>
      <c r="F130" t="s">
        <v>237</v>
      </c>
      <c r="G130" t="s">
        <v>249</v>
      </c>
      <c r="H130" t="s">
        <v>223</v>
      </c>
      <c r="I130" t="s">
        <v>616</v>
      </c>
      <c r="J130" t="s">
        <v>245</v>
      </c>
      <c r="K130" t="s">
        <v>259</v>
      </c>
      <c r="L130" t="s">
        <v>209</v>
      </c>
      <c r="M130" t="str">
        <f t="shared" ref="M130:M193" si="4">IF($A130="","",IF($L130="High","Solid point",IF($L130="Medium","Point + buffer",IF($L130="Low","Translucent area",IF($L130="Disputed","Candidate points",IF($L130="Unknown","Unplotted (unlocated panel)","-"))))))</f>
        <v>Point + buffer</v>
      </c>
      <c r="N130">
        <v>200</v>
      </c>
      <c r="O130" s="2">
        <f>COUNTIFS(attestations!$B$2:$B$5000,$A130,attestations!$T$2:$T$5000,"&lt;&gt;Retracted",attestations!$D$2:$D$5000,"&lt;&gt;Negative*")</f>
        <v>2</v>
      </c>
      <c r="P130" s="2">
        <f>COUNTIFS(attestations!$B$2:$B$5000,$A130,attestations!$T$2:$T$5000,"&lt;&gt;Retracted",attestations!$D$2:$D$5000,"&lt;&gt;Negative*",attestations!$R$2:$R$5000,"Map")</f>
        <v>1</v>
      </c>
      <c r="Q130" s="2">
        <f>COUNTIFS(attestations!$B$2:$B$5000,$A130,attestations!$T$2:$T$5000,"&lt;&gt;Retracted",attestations!$D$2:$D$5000,"&lt;&gt;Negative*",attestations!$R$2:$R$5000,"Image")</f>
        <v>0</v>
      </c>
      <c r="R130" s="2">
        <f>COUNTIFS(attestations!$B$2:$B$5000,$A130,attestations!$T$2:$T$5000,"&lt;&gt;Retracted",attestations!$D$2:$D$5000,"&lt;&gt;Negative*",attestations!$R$2:$R$5000,"Textual")</f>
        <v>1</v>
      </c>
      <c r="S130" s="2">
        <f>COUNTIFS(attestations!$B$2:$B$5000,$A130,attestations!$T$2:$T$5000,"&lt;&gt;Retracted",attestations!$D$2:$D$5000,"Geometry (Setting)")</f>
        <v>1</v>
      </c>
      <c r="T130" s="2" t="str">
        <f t="shared" si="3"/>
        <v>Low</v>
      </c>
      <c r="U130" s="2" t="str">
        <f>IF(COUNTIFS(attestations!$B$2:$B$5000,$A130,attestations!$T$2:$T$5000,"&lt;&gt;Retracted",attestations!$I$2:$I$5000,"Georeferenced map GCP")&gt;0,"Y","N")</f>
        <v>Y</v>
      </c>
      <c r="V130" t="s">
        <v>191</v>
      </c>
      <c r="X130" t="s">
        <v>732</v>
      </c>
      <c r="Y130" t="s">
        <v>286</v>
      </c>
      <c r="Z130" t="s">
        <v>247</v>
      </c>
      <c r="AB130">
        <f>IF(A130="","",SUMIFS(attestations!$U$2:$U$5000,attestations!$B$2:$B$5000,A130))</f>
        <v>2</v>
      </c>
    </row>
    <row r="131" spans="1:28" x14ac:dyDescent="0.2">
      <c r="A131" t="s">
        <v>733</v>
      </c>
      <c r="B131" t="s">
        <v>734</v>
      </c>
      <c r="D131" t="s">
        <v>271</v>
      </c>
      <c r="E131" t="s">
        <v>236</v>
      </c>
      <c r="F131" t="s">
        <v>237</v>
      </c>
      <c r="G131" t="s">
        <v>249</v>
      </c>
      <c r="H131" t="s">
        <v>223</v>
      </c>
      <c r="I131" t="s">
        <v>735</v>
      </c>
      <c r="J131" t="s">
        <v>245</v>
      </c>
      <c r="K131" t="s">
        <v>259</v>
      </c>
      <c r="L131" t="s">
        <v>209</v>
      </c>
      <c r="M131" t="str">
        <f t="shared" si="4"/>
        <v>Point + buffer</v>
      </c>
      <c r="N131">
        <v>200</v>
      </c>
      <c r="O131" s="2">
        <f>COUNTIFS(attestations!$B$2:$B$5000,$A131,attestations!$T$2:$T$5000,"&lt;&gt;Retracted",attestations!$D$2:$D$5000,"&lt;&gt;Negative*")</f>
        <v>3</v>
      </c>
      <c r="P131" s="2">
        <f>COUNTIFS(attestations!$B$2:$B$5000,$A131,attestations!$T$2:$T$5000,"&lt;&gt;Retracted",attestations!$D$2:$D$5000,"&lt;&gt;Negative*",attestations!$R$2:$R$5000,"Map")</f>
        <v>1</v>
      </c>
      <c r="Q131" s="2">
        <f>COUNTIFS(attestations!$B$2:$B$5000,$A131,attestations!$T$2:$T$5000,"&lt;&gt;Retracted",attestations!$D$2:$D$5000,"&lt;&gt;Negative*",attestations!$R$2:$R$5000,"Image")</f>
        <v>0</v>
      </c>
      <c r="R131" s="2">
        <f>COUNTIFS(attestations!$B$2:$B$5000,$A131,attestations!$T$2:$T$5000,"&lt;&gt;Retracted",attestations!$D$2:$D$5000,"&lt;&gt;Negative*",attestations!$R$2:$R$5000,"Textual")</f>
        <v>2</v>
      </c>
      <c r="S131" s="2">
        <f>COUNTIFS(attestations!$B$2:$B$5000,$A131,attestations!$T$2:$T$5000,"&lt;&gt;Retracted",attestations!$D$2:$D$5000,"Geometry (Setting)")</f>
        <v>1</v>
      </c>
      <c r="T131" s="2" t="str">
        <f t="shared" ref="T131:T194" si="5">IF(A131="","",IF(AB131&gt;=9,"High",IF(AB131&gt;=3,"Medium",IF(AB131&gt;=1,"Low","None"))))</f>
        <v>Medium</v>
      </c>
      <c r="U131" s="2" t="str">
        <f>IF(COUNTIFS(attestations!$B$2:$B$5000,$A131,attestations!$T$2:$T$5000,"&lt;&gt;Retracted",attestations!$I$2:$I$5000,"Georeferenced map GCP")&gt;0,"Y","N")</f>
        <v>Y</v>
      </c>
      <c r="V131" t="s">
        <v>191</v>
      </c>
      <c r="X131" t="s">
        <v>736</v>
      </c>
      <c r="Y131" t="s">
        <v>275</v>
      </c>
      <c r="Z131" t="s">
        <v>247</v>
      </c>
      <c r="AB131">
        <f>IF(A131="","",SUMIFS(attestations!$U$2:$U$5000,attestations!$B$2:$B$5000,A131))</f>
        <v>3</v>
      </c>
    </row>
    <row r="132" spans="1:28" x14ac:dyDescent="0.2">
      <c r="A132" t="s">
        <v>737</v>
      </c>
      <c r="B132" t="s">
        <v>738</v>
      </c>
      <c r="D132" t="s">
        <v>658</v>
      </c>
      <c r="E132" t="s">
        <v>236</v>
      </c>
      <c r="F132" t="s">
        <v>237</v>
      </c>
      <c r="G132" t="s">
        <v>314</v>
      </c>
      <c r="H132" t="s">
        <v>223</v>
      </c>
      <c r="I132" t="s">
        <v>616</v>
      </c>
      <c r="J132" t="s">
        <v>245</v>
      </c>
      <c r="K132" t="s">
        <v>259</v>
      </c>
      <c r="L132" t="s">
        <v>209</v>
      </c>
      <c r="M132" t="str">
        <f t="shared" si="4"/>
        <v>Point + buffer</v>
      </c>
      <c r="N132">
        <v>200</v>
      </c>
      <c r="O132" s="2">
        <f>COUNTIFS(attestations!$B$2:$B$5000,$A132,attestations!$T$2:$T$5000,"&lt;&gt;Retracted",attestations!$D$2:$D$5000,"&lt;&gt;Negative*")</f>
        <v>3</v>
      </c>
      <c r="P132" s="2">
        <f>COUNTIFS(attestations!$B$2:$B$5000,$A132,attestations!$T$2:$T$5000,"&lt;&gt;Retracted",attestations!$D$2:$D$5000,"&lt;&gt;Negative*",attestations!$R$2:$R$5000,"Map")</f>
        <v>1</v>
      </c>
      <c r="Q132" s="2">
        <f>COUNTIFS(attestations!$B$2:$B$5000,$A132,attestations!$T$2:$T$5000,"&lt;&gt;Retracted",attestations!$D$2:$D$5000,"&lt;&gt;Negative*",attestations!$R$2:$R$5000,"Image")</f>
        <v>0</v>
      </c>
      <c r="R132" s="2">
        <f>COUNTIFS(attestations!$B$2:$B$5000,$A132,attestations!$T$2:$T$5000,"&lt;&gt;Retracted",attestations!$D$2:$D$5000,"&lt;&gt;Negative*",attestations!$R$2:$R$5000,"Textual")</f>
        <v>2</v>
      </c>
      <c r="S132" s="2">
        <f>COUNTIFS(attestations!$B$2:$B$5000,$A132,attestations!$T$2:$T$5000,"&lt;&gt;Retracted",attestations!$D$2:$D$5000,"Geometry (Setting)")</f>
        <v>1</v>
      </c>
      <c r="T132" s="2" t="str">
        <f t="shared" si="5"/>
        <v>Medium</v>
      </c>
      <c r="U132" s="2" t="str">
        <f>IF(COUNTIFS(attestations!$B$2:$B$5000,$A132,attestations!$T$2:$T$5000,"&lt;&gt;Retracted",attestations!$I$2:$I$5000,"Georeferenced map GCP")&gt;0,"Y","N")</f>
        <v>Y</v>
      </c>
      <c r="V132" t="s">
        <v>191</v>
      </c>
      <c r="X132" t="s">
        <v>739</v>
      </c>
      <c r="Y132" t="s">
        <v>314</v>
      </c>
      <c r="Z132" t="s">
        <v>247</v>
      </c>
      <c r="AB132">
        <f>IF(A132="","",SUMIFS(attestations!$U$2:$U$5000,attestations!$B$2:$B$5000,A132))</f>
        <v>3</v>
      </c>
    </row>
    <row r="133" spans="1:28" x14ac:dyDescent="0.2">
      <c r="A133" t="s">
        <v>740</v>
      </c>
      <c r="B133" t="s">
        <v>741</v>
      </c>
      <c r="D133" t="s">
        <v>709</v>
      </c>
      <c r="E133" t="s">
        <v>236</v>
      </c>
      <c r="F133" t="s">
        <v>237</v>
      </c>
      <c r="G133" t="s">
        <v>314</v>
      </c>
      <c r="H133" t="s">
        <v>223</v>
      </c>
      <c r="I133" t="s">
        <v>691</v>
      </c>
      <c r="J133" t="s">
        <v>245</v>
      </c>
      <c r="K133" t="s">
        <v>259</v>
      </c>
      <c r="L133" t="s">
        <v>209</v>
      </c>
      <c r="M133" t="str">
        <f t="shared" si="4"/>
        <v>Point + buffer</v>
      </c>
      <c r="N133">
        <v>200</v>
      </c>
      <c r="O133" s="2">
        <f>COUNTIFS(attestations!$B$2:$B$5000,$A133,attestations!$T$2:$T$5000,"&lt;&gt;Retracted",attestations!$D$2:$D$5000,"&lt;&gt;Negative*")</f>
        <v>3</v>
      </c>
      <c r="P133" s="2">
        <f>COUNTIFS(attestations!$B$2:$B$5000,$A133,attestations!$T$2:$T$5000,"&lt;&gt;Retracted",attestations!$D$2:$D$5000,"&lt;&gt;Negative*",attestations!$R$2:$R$5000,"Map")</f>
        <v>2</v>
      </c>
      <c r="Q133" s="2">
        <f>COUNTIFS(attestations!$B$2:$B$5000,$A133,attestations!$T$2:$T$5000,"&lt;&gt;Retracted",attestations!$D$2:$D$5000,"&lt;&gt;Negative*",attestations!$R$2:$R$5000,"Image")</f>
        <v>0</v>
      </c>
      <c r="R133" s="2">
        <f>COUNTIFS(attestations!$B$2:$B$5000,$A133,attestations!$T$2:$T$5000,"&lt;&gt;Retracted",attestations!$D$2:$D$5000,"&lt;&gt;Negative*",attestations!$R$2:$R$5000,"Textual")</f>
        <v>1</v>
      </c>
      <c r="S133" s="2">
        <f>COUNTIFS(attestations!$B$2:$B$5000,$A133,attestations!$T$2:$T$5000,"&lt;&gt;Retracted",attestations!$D$2:$D$5000,"Geometry (Setting)")</f>
        <v>2</v>
      </c>
      <c r="T133" s="2" t="str">
        <f t="shared" si="5"/>
        <v>Medium</v>
      </c>
      <c r="U133" s="2" t="str">
        <f>IF(COUNTIFS(attestations!$B$2:$B$5000,$A133,attestations!$T$2:$T$5000,"&lt;&gt;Retracted",attestations!$I$2:$I$5000,"Georeferenced map GCP")&gt;0,"Y","N")</f>
        <v>Y</v>
      </c>
      <c r="V133" t="s">
        <v>191</v>
      </c>
      <c r="X133" t="s">
        <v>742</v>
      </c>
      <c r="Y133" t="s">
        <v>314</v>
      </c>
      <c r="Z133" t="s">
        <v>247</v>
      </c>
      <c r="AB133">
        <f>IF(A133="","",SUMIFS(attestations!$U$2:$U$5000,attestations!$B$2:$B$5000,A133))</f>
        <v>3</v>
      </c>
    </row>
    <row r="134" spans="1:28" x14ac:dyDescent="0.2">
      <c r="A134" t="s">
        <v>743</v>
      </c>
      <c r="B134" t="s">
        <v>744</v>
      </c>
      <c r="D134" t="s">
        <v>658</v>
      </c>
      <c r="E134" t="s">
        <v>236</v>
      </c>
      <c r="F134" t="s">
        <v>237</v>
      </c>
      <c r="G134" t="s">
        <v>314</v>
      </c>
      <c r="H134" t="s">
        <v>223</v>
      </c>
      <c r="I134" t="s">
        <v>691</v>
      </c>
      <c r="J134" t="s">
        <v>245</v>
      </c>
      <c r="K134" t="s">
        <v>259</v>
      </c>
      <c r="L134" t="s">
        <v>209</v>
      </c>
      <c r="M134" t="str">
        <f t="shared" si="4"/>
        <v>Point + buffer</v>
      </c>
      <c r="N134">
        <v>200</v>
      </c>
      <c r="O134" s="2">
        <f>COUNTIFS(attestations!$B$2:$B$5000,$A134,attestations!$T$2:$T$5000,"&lt;&gt;Retracted",attestations!$D$2:$D$5000,"&lt;&gt;Negative*")</f>
        <v>3</v>
      </c>
      <c r="P134" s="2">
        <f>COUNTIFS(attestations!$B$2:$B$5000,$A134,attestations!$T$2:$T$5000,"&lt;&gt;Retracted",attestations!$D$2:$D$5000,"&lt;&gt;Negative*",attestations!$R$2:$R$5000,"Map")</f>
        <v>1</v>
      </c>
      <c r="Q134" s="2">
        <f>COUNTIFS(attestations!$B$2:$B$5000,$A134,attestations!$T$2:$T$5000,"&lt;&gt;Retracted",attestations!$D$2:$D$5000,"&lt;&gt;Negative*",attestations!$R$2:$R$5000,"Image")</f>
        <v>0</v>
      </c>
      <c r="R134" s="2">
        <f>COUNTIFS(attestations!$B$2:$B$5000,$A134,attestations!$T$2:$T$5000,"&lt;&gt;Retracted",attestations!$D$2:$D$5000,"&lt;&gt;Negative*",attestations!$R$2:$R$5000,"Textual")</f>
        <v>2</v>
      </c>
      <c r="S134" s="2">
        <f>COUNTIFS(attestations!$B$2:$B$5000,$A134,attestations!$T$2:$T$5000,"&lt;&gt;Retracted",attestations!$D$2:$D$5000,"Geometry (Setting)")</f>
        <v>1</v>
      </c>
      <c r="T134" s="2" t="str">
        <f t="shared" si="5"/>
        <v>Medium</v>
      </c>
      <c r="U134" s="2" t="str">
        <f>IF(COUNTIFS(attestations!$B$2:$B$5000,$A134,attestations!$T$2:$T$5000,"&lt;&gt;Retracted",attestations!$I$2:$I$5000,"Georeferenced map GCP")&gt;0,"Y","N")</f>
        <v>Y</v>
      </c>
      <c r="V134" t="s">
        <v>191</v>
      </c>
      <c r="X134" t="s">
        <v>745</v>
      </c>
      <c r="Y134" t="s">
        <v>314</v>
      </c>
      <c r="Z134" t="s">
        <v>247</v>
      </c>
      <c r="AB134">
        <f>IF(A134="","",SUMIFS(attestations!$U$2:$U$5000,attestations!$B$2:$B$5000,A134))</f>
        <v>3</v>
      </c>
    </row>
    <row r="135" spans="1:28" x14ac:dyDescent="0.2">
      <c r="A135" t="s">
        <v>746</v>
      </c>
      <c r="B135" t="s">
        <v>747</v>
      </c>
      <c r="D135" t="s">
        <v>182</v>
      </c>
      <c r="E135" t="s">
        <v>236</v>
      </c>
      <c r="F135" t="s">
        <v>237</v>
      </c>
      <c r="G135" t="s">
        <v>314</v>
      </c>
      <c r="H135" t="s">
        <v>223</v>
      </c>
      <c r="I135" t="s">
        <v>616</v>
      </c>
      <c r="J135" t="s">
        <v>245</v>
      </c>
      <c r="K135" t="s">
        <v>259</v>
      </c>
      <c r="L135" t="s">
        <v>209</v>
      </c>
      <c r="M135" t="str">
        <f t="shared" si="4"/>
        <v>Point + buffer</v>
      </c>
      <c r="N135">
        <v>200</v>
      </c>
      <c r="O135" s="2">
        <f>COUNTIFS(attestations!$B$2:$B$5000,$A135,attestations!$T$2:$T$5000,"&lt;&gt;Retracted",attestations!$D$2:$D$5000,"&lt;&gt;Negative*")</f>
        <v>4</v>
      </c>
      <c r="P135" s="2">
        <f>COUNTIFS(attestations!$B$2:$B$5000,$A135,attestations!$T$2:$T$5000,"&lt;&gt;Retracted",attestations!$D$2:$D$5000,"&lt;&gt;Negative*",attestations!$R$2:$R$5000,"Map")</f>
        <v>1</v>
      </c>
      <c r="Q135" s="2">
        <f>COUNTIFS(attestations!$B$2:$B$5000,$A135,attestations!$T$2:$T$5000,"&lt;&gt;Retracted",attestations!$D$2:$D$5000,"&lt;&gt;Negative*",attestations!$R$2:$R$5000,"Image")</f>
        <v>0</v>
      </c>
      <c r="R135" s="2">
        <f>COUNTIFS(attestations!$B$2:$B$5000,$A135,attestations!$T$2:$T$5000,"&lt;&gt;Retracted",attestations!$D$2:$D$5000,"&lt;&gt;Negative*",attestations!$R$2:$R$5000,"Textual")</f>
        <v>3</v>
      </c>
      <c r="S135" s="2">
        <f>COUNTIFS(attestations!$B$2:$B$5000,$A135,attestations!$T$2:$T$5000,"&lt;&gt;Retracted",attestations!$D$2:$D$5000,"Geometry (Setting)")</f>
        <v>1</v>
      </c>
      <c r="T135" s="2" t="str">
        <f t="shared" si="5"/>
        <v>Medium</v>
      </c>
      <c r="U135" s="2" t="str">
        <f>IF(COUNTIFS(attestations!$B$2:$B$5000,$A135,attestations!$T$2:$T$5000,"&lt;&gt;Retracted",attestations!$I$2:$I$5000,"Georeferenced map GCP")&gt;0,"Y","N")</f>
        <v>Y</v>
      </c>
      <c r="V135" t="s">
        <v>191</v>
      </c>
      <c r="X135" t="s">
        <v>748</v>
      </c>
      <c r="Y135" t="s">
        <v>314</v>
      </c>
      <c r="Z135" t="s">
        <v>247</v>
      </c>
      <c r="AB135">
        <f>IF(A135="","",SUMIFS(attestations!$U$2:$U$5000,attestations!$B$2:$B$5000,A135))</f>
        <v>4</v>
      </c>
    </row>
    <row r="136" spans="1:28" x14ac:dyDescent="0.2">
      <c r="A136" t="s">
        <v>749</v>
      </c>
      <c r="B136" t="s">
        <v>750</v>
      </c>
      <c r="D136" t="s">
        <v>658</v>
      </c>
      <c r="E136" t="s">
        <v>236</v>
      </c>
      <c r="F136" t="s">
        <v>237</v>
      </c>
      <c r="G136" t="s">
        <v>314</v>
      </c>
      <c r="H136" t="s">
        <v>223</v>
      </c>
      <c r="I136" t="s">
        <v>665</v>
      </c>
      <c r="J136" t="s">
        <v>245</v>
      </c>
      <c r="K136" t="s">
        <v>259</v>
      </c>
      <c r="L136" t="s">
        <v>209</v>
      </c>
      <c r="M136" t="str">
        <f t="shared" si="4"/>
        <v>Point + buffer</v>
      </c>
      <c r="N136">
        <v>200</v>
      </c>
      <c r="O136" s="2">
        <f>COUNTIFS(attestations!$B$2:$B$5000,$A136,attestations!$T$2:$T$5000,"&lt;&gt;Retracted",attestations!$D$2:$D$5000,"&lt;&gt;Negative*")</f>
        <v>2</v>
      </c>
      <c r="P136" s="2">
        <f>COUNTIFS(attestations!$B$2:$B$5000,$A136,attestations!$T$2:$T$5000,"&lt;&gt;Retracted",attestations!$D$2:$D$5000,"&lt;&gt;Negative*",attestations!$R$2:$R$5000,"Map")</f>
        <v>1</v>
      </c>
      <c r="Q136" s="2">
        <f>COUNTIFS(attestations!$B$2:$B$5000,$A136,attestations!$T$2:$T$5000,"&lt;&gt;Retracted",attestations!$D$2:$D$5000,"&lt;&gt;Negative*",attestations!$R$2:$R$5000,"Image")</f>
        <v>0</v>
      </c>
      <c r="R136" s="2">
        <f>COUNTIFS(attestations!$B$2:$B$5000,$A136,attestations!$T$2:$T$5000,"&lt;&gt;Retracted",attestations!$D$2:$D$5000,"&lt;&gt;Negative*",attestations!$R$2:$R$5000,"Textual")</f>
        <v>1</v>
      </c>
      <c r="S136" s="2">
        <f>COUNTIFS(attestations!$B$2:$B$5000,$A136,attestations!$T$2:$T$5000,"&lt;&gt;Retracted",attestations!$D$2:$D$5000,"Geometry (Setting)")</f>
        <v>1</v>
      </c>
      <c r="T136" s="2" t="str">
        <f t="shared" si="5"/>
        <v>Low</v>
      </c>
      <c r="U136" s="2" t="str">
        <f>IF(COUNTIFS(attestations!$B$2:$B$5000,$A136,attestations!$T$2:$T$5000,"&lt;&gt;Retracted",attestations!$I$2:$I$5000,"Georeferenced map GCP")&gt;0,"Y","N")</f>
        <v>Y</v>
      </c>
      <c r="V136" t="s">
        <v>191</v>
      </c>
      <c r="X136" t="s">
        <v>751</v>
      </c>
      <c r="Y136" t="s">
        <v>314</v>
      </c>
      <c r="Z136" t="s">
        <v>247</v>
      </c>
      <c r="AB136">
        <f>IF(A136="","",SUMIFS(attestations!$U$2:$U$5000,attestations!$B$2:$B$5000,A136))</f>
        <v>2</v>
      </c>
    </row>
    <row r="137" spans="1:28" x14ac:dyDescent="0.2">
      <c r="A137" t="s">
        <v>752</v>
      </c>
      <c r="B137" t="s">
        <v>753</v>
      </c>
      <c r="D137" t="s">
        <v>658</v>
      </c>
      <c r="E137" t="s">
        <v>208</v>
      </c>
      <c r="F137" t="s">
        <v>208</v>
      </c>
      <c r="G137" t="s">
        <v>314</v>
      </c>
      <c r="H137" t="s">
        <v>223</v>
      </c>
      <c r="I137" t="s">
        <v>616</v>
      </c>
      <c r="K137" t="s">
        <v>259</v>
      </c>
      <c r="L137" t="s">
        <v>209</v>
      </c>
      <c r="M137" t="str">
        <f t="shared" si="4"/>
        <v>Point + buffer</v>
      </c>
      <c r="N137">
        <v>200</v>
      </c>
      <c r="O137" s="2">
        <f>COUNTIFS(attestations!$B$2:$B$5000,$A137,attestations!$T$2:$T$5000,"&lt;&gt;Retracted",attestations!$D$2:$D$5000,"&lt;&gt;Negative*")</f>
        <v>2</v>
      </c>
      <c r="P137" s="2">
        <f>COUNTIFS(attestations!$B$2:$B$5000,$A137,attestations!$T$2:$T$5000,"&lt;&gt;Retracted",attestations!$D$2:$D$5000,"&lt;&gt;Negative*",attestations!$R$2:$R$5000,"Map")</f>
        <v>1</v>
      </c>
      <c r="Q137" s="2">
        <f>COUNTIFS(attestations!$B$2:$B$5000,$A137,attestations!$T$2:$T$5000,"&lt;&gt;Retracted",attestations!$D$2:$D$5000,"&lt;&gt;Negative*",attestations!$R$2:$R$5000,"Image")</f>
        <v>0</v>
      </c>
      <c r="R137" s="2">
        <f>COUNTIFS(attestations!$B$2:$B$5000,$A137,attestations!$T$2:$T$5000,"&lt;&gt;Retracted",attestations!$D$2:$D$5000,"&lt;&gt;Negative*",attestations!$R$2:$R$5000,"Textual")</f>
        <v>1</v>
      </c>
      <c r="S137" s="2">
        <f>COUNTIFS(attestations!$B$2:$B$5000,$A137,attestations!$T$2:$T$5000,"&lt;&gt;Retracted",attestations!$D$2:$D$5000,"Geometry (Setting)")</f>
        <v>1</v>
      </c>
      <c r="T137" s="2" t="str">
        <f t="shared" si="5"/>
        <v>Low</v>
      </c>
      <c r="U137" s="2" t="str">
        <f>IF(COUNTIFS(attestations!$B$2:$B$5000,$A137,attestations!$T$2:$T$5000,"&lt;&gt;Retracted",attestations!$I$2:$I$5000,"Georeferenced map GCP")&gt;0,"Y","N")</f>
        <v>Y</v>
      </c>
      <c r="V137" t="s">
        <v>191</v>
      </c>
      <c r="X137" t="s">
        <v>754</v>
      </c>
      <c r="Y137" t="s">
        <v>314</v>
      </c>
      <c r="Z137" t="s">
        <v>261</v>
      </c>
      <c r="AB137">
        <f>IF(A137="","",SUMIFS(attestations!$U$2:$U$5000,attestations!$B$2:$B$5000,A137))</f>
        <v>2</v>
      </c>
    </row>
    <row r="138" spans="1:28" x14ac:dyDescent="0.2">
      <c r="A138" t="s">
        <v>755</v>
      </c>
      <c r="B138" t="s">
        <v>756</v>
      </c>
      <c r="D138" t="s">
        <v>654</v>
      </c>
      <c r="E138" t="s">
        <v>208</v>
      </c>
      <c r="F138" t="s">
        <v>208</v>
      </c>
      <c r="G138" t="s">
        <v>249</v>
      </c>
      <c r="H138" t="s">
        <v>223</v>
      </c>
      <c r="I138" t="s">
        <v>616</v>
      </c>
      <c r="K138" t="s">
        <v>259</v>
      </c>
      <c r="L138" t="s">
        <v>209</v>
      </c>
      <c r="M138" t="str">
        <f t="shared" si="4"/>
        <v>Point + buffer</v>
      </c>
      <c r="N138">
        <v>200</v>
      </c>
      <c r="O138" s="2">
        <f>COUNTIFS(attestations!$B$2:$B$5000,$A138,attestations!$T$2:$T$5000,"&lt;&gt;Retracted",attestations!$D$2:$D$5000,"&lt;&gt;Negative*")</f>
        <v>2</v>
      </c>
      <c r="P138" s="2">
        <f>COUNTIFS(attestations!$B$2:$B$5000,$A138,attestations!$T$2:$T$5000,"&lt;&gt;Retracted",attestations!$D$2:$D$5000,"&lt;&gt;Negative*",attestations!$R$2:$R$5000,"Map")</f>
        <v>1</v>
      </c>
      <c r="Q138" s="2">
        <f>COUNTIFS(attestations!$B$2:$B$5000,$A138,attestations!$T$2:$T$5000,"&lt;&gt;Retracted",attestations!$D$2:$D$5000,"&lt;&gt;Negative*",attestations!$R$2:$R$5000,"Image")</f>
        <v>0</v>
      </c>
      <c r="R138" s="2">
        <f>COUNTIFS(attestations!$B$2:$B$5000,$A138,attestations!$T$2:$T$5000,"&lt;&gt;Retracted",attestations!$D$2:$D$5000,"&lt;&gt;Negative*",attestations!$R$2:$R$5000,"Textual")</f>
        <v>1</v>
      </c>
      <c r="S138" s="2">
        <f>COUNTIFS(attestations!$B$2:$B$5000,$A138,attestations!$T$2:$T$5000,"&lt;&gt;Retracted",attestations!$D$2:$D$5000,"Geometry (Setting)")</f>
        <v>1</v>
      </c>
      <c r="T138" s="2" t="str">
        <f t="shared" si="5"/>
        <v>Low</v>
      </c>
      <c r="U138" s="2" t="str">
        <f>IF(COUNTIFS(attestations!$B$2:$B$5000,$A138,attestations!$T$2:$T$5000,"&lt;&gt;Retracted",attestations!$I$2:$I$5000,"Georeferenced map GCP")&gt;0,"Y","N")</f>
        <v>Y</v>
      </c>
      <c r="V138" t="s">
        <v>191</v>
      </c>
      <c r="X138" t="s">
        <v>757</v>
      </c>
      <c r="Y138" t="s">
        <v>286</v>
      </c>
      <c r="Z138" t="s">
        <v>261</v>
      </c>
      <c r="AB138">
        <f>IF(A138="","",SUMIFS(attestations!$U$2:$U$5000,attestations!$B$2:$B$5000,A138))</f>
        <v>2</v>
      </c>
    </row>
    <row r="139" spans="1:28" x14ac:dyDescent="0.2">
      <c r="A139" t="s">
        <v>758</v>
      </c>
      <c r="B139" t="s">
        <v>759</v>
      </c>
      <c r="D139" t="s">
        <v>658</v>
      </c>
      <c r="E139" t="s">
        <v>208</v>
      </c>
      <c r="F139" t="s">
        <v>208</v>
      </c>
      <c r="G139" t="s">
        <v>314</v>
      </c>
      <c r="H139" t="s">
        <v>223</v>
      </c>
      <c r="I139" t="s">
        <v>239</v>
      </c>
      <c r="K139" t="s">
        <v>259</v>
      </c>
      <c r="L139" t="s">
        <v>209</v>
      </c>
      <c r="M139" t="str">
        <f t="shared" si="4"/>
        <v>Point + buffer</v>
      </c>
      <c r="N139">
        <v>250</v>
      </c>
      <c r="O139" s="2">
        <f>COUNTIFS(attestations!$B$2:$B$5000,$A139,attestations!$T$2:$T$5000,"&lt;&gt;Retracted",attestations!$D$2:$D$5000,"&lt;&gt;Negative*")</f>
        <v>16</v>
      </c>
      <c r="P139" s="2">
        <f>COUNTIFS(attestations!$B$2:$B$5000,$A139,attestations!$T$2:$T$5000,"&lt;&gt;Retracted",attestations!$D$2:$D$5000,"&lt;&gt;Negative*",attestations!$R$2:$R$5000,"Map")</f>
        <v>12</v>
      </c>
      <c r="Q139" s="2">
        <f>COUNTIFS(attestations!$B$2:$B$5000,$A139,attestations!$T$2:$T$5000,"&lt;&gt;Retracted",attestations!$D$2:$D$5000,"&lt;&gt;Negative*",attestations!$R$2:$R$5000,"Image")</f>
        <v>1</v>
      </c>
      <c r="R139" s="2">
        <f>COUNTIFS(attestations!$B$2:$B$5000,$A139,attestations!$T$2:$T$5000,"&lt;&gt;Retracted",attestations!$D$2:$D$5000,"&lt;&gt;Negative*",attestations!$R$2:$R$5000,"Textual")</f>
        <v>3</v>
      </c>
      <c r="S139" s="2">
        <f>COUNTIFS(attestations!$B$2:$B$5000,$A139,attestations!$T$2:$T$5000,"&lt;&gt;Retracted",attestations!$D$2:$D$5000,"Geometry (Setting)")</f>
        <v>7</v>
      </c>
      <c r="T139" s="2" t="str">
        <f t="shared" si="5"/>
        <v>High</v>
      </c>
      <c r="U139" s="2" t="str">
        <f>IF(COUNTIFS(attestations!$B$2:$B$5000,$A139,attestations!$T$2:$T$5000,"&lt;&gt;Retracted",attestations!$I$2:$I$5000,"Georeferenced map GCP")&gt;0,"Y","N")</f>
        <v>Y</v>
      </c>
      <c r="V139" t="s">
        <v>191</v>
      </c>
      <c r="X139" t="s">
        <v>760</v>
      </c>
      <c r="Y139" t="s">
        <v>275</v>
      </c>
      <c r="Z139" t="s">
        <v>357</v>
      </c>
      <c r="AB139">
        <f>IF(A139="","",SUMIFS(attestations!$U$2:$U$5000,attestations!$B$2:$B$5000,A139))</f>
        <v>11</v>
      </c>
    </row>
    <row r="140" spans="1:28" x14ac:dyDescent="0.2">
      <c r="A140" t="s">
        <v>761</v>
      </c>
      <c r="B140" t="s">
        <v>762</v>
      </c>
      <c r="D140" t="s">
        <v>289</v>
      </c>
      <c r="E140" t="s">
        <v>208</v>
      </c>
      <c r="F140" t="s">
        <v>208</v>
      </c>
      <c r="G140" t="s">
        <v>249</v>
      </c>
      <c r="H140" t="s">
        <v>250</v>
      </c>
      <c r="I140" t="s">
        <v>665</v>
      </c>
      <c r="K140" t="s">
        <v>259</v>
      </c>
      <c r="L140" t="s">
        <v>209</v>
      </c>
      <c r="M140" t="str">
        <f t="shared" si="4"/>
        <v>Point + buffer</v>
      </c>
      <c r="N140">
        <v>200</v>
      </c>
      <c r="O140" s="2">
        <f>COUNTIFS(attestations!$B$2:$B$5000,$A140,attestations!$T$2:$T$5000,"&lt;&gt;Retracted",attestations!$D$2:$D$5000,"&lt;&gt;Negative*")</f>
        <v>5</v>
      </c>
      <c r="P140" s="2">
        <f>COUNTIFS(attestations!$B$2:$B$5000,$A140,attestations!$T$2:$T$5000,"&lt;&gt;Retracted",attestations!$D$2:$D$5000,"&lt;&gt;Negative*",attestations!$R$2:$R$5000,"Map")</f>
        <v>1</v>
      </c>
      <c r="Q140" s="2">
        <f>COUNTIFS(attestations!$B$2:$B$5000,$A140,attestations!$T$2:$T$5000,"&lt;&gt;Retracted",attestations!$D$2:$D$5000,"&lt;&gt;Negative*",attestations!$R$2:$R$5000,"Image")</f>
        <v>0</v>
      </c>
      <c r="R140" s="2">
        <f>COUNTIFS(attestations!$B$2:$B$5000,$A140,attestations!$T$2:$T$5000,"&lt;&gt;Retracted",attestations!$D$2:$D$5000,"&lt;&gt;Negative*",attestations!$R$2:$R$5000,"Textual")</f>
        <v>4</v>
      </c>
      <c r="S140" s="2">
        <f>COUNTIFS(attestations!$B$2:$B$5000,$A140,attestations!$T$2:$T$5000,"&lt;&gt;Retracted",attestations!$D$2:$D$5000,"Geometry (Setting)")</f>
        <v>1</v>
      </c>
      <c r="T140" s="2" t="str">
        <f t="shared" si="5"/>
        <v>Medium</v>
      </c>
      <c r="U140" s="2" t="str">
        <f>IF(COUNTIFS(attestations!$B$2:$B$5000,$A140,attestations!$T$2:$T$5000,"&lt;&gt;Retracted",attestations!$I$2:$I$5000,"Georeferenced map GCP")&gt;0,"Y","N")</f>
        <v>Y</v>
      </c>
      <c r="V140" t="s">
        <v>191</v>
      </c>
      <c r="X140" t="s">
        <v>763</v>
      </c>
      <c r="Y140" t="s">
        <v>286</v>
      </c>
      <c r="Z140" t="s">
        <v>357</v>
      </c>
      <c r="AB140">
        <f>IF(A140="","",SUMIFS(attestations!$U$2:$U$5000,attestations!$B$2:$B$5000,A140))</f>
        <v>5</v>
      </c>
    </row>
    <row r="141" spans="1:28" x14ac:dyDescent="0.2">
      <c r="A141" t="s">
        <v>764</v>
      </c>
      <c r="B141" t="s">
        <v>765</v>
      </c>
      <c r="D141" t="s">
        <v>621</v>
      </c>
      <c r="E141" t="s">
        <v>208</v>
      </c>
      <c r="F141" t="s">
        <v>208</v>
      </c>
      <c r="G141" t="s">
        <v>238</v>
      </c>
      <c r="H141" t="s">
        <v>223</v>
      </c>
      <c r="I141" t="s">
        <v>470</v>
      </c>
      <c r="K141" t="s">
        <v>259</v>
      </c>
      <c r="L141" t="s">
        <v>209</v>
      </c>
      <c r="M141" t="str">
        <f t="shared" si="4"/>
        <v>Point + buffer</v>
      </c>
      <c r="N141">
        <v>250</v>
      </c>
      <c r="O141" s="2">
        <f>COUNTIFS(attestations!$B$2:$B$5000,$A141,attestations!$T$2:$T$5000,"&lt;&gt;Retracted",attestations!$D$2:$D$5000,"&lt;&gt;Negative*")</f>
        <v>7</v>
      </c>
      <c r="P141" s="2">
        <f>COUNTIFS(attestations!$B$2:$B$5000,$A141,attestations!$T$2:$T$5000,"&lt;&gt;Retracted",attestations!$D$2:$D$5000,"&lt;&gt;Negative*",attestations!$R$2:$R$5000,"Map")</f>
        <v>5</v>
      </c>
      <c r="Q141" s="2">
        <f>COUNTIFS(attestations!$B$2:$B$5000,$A141,attestations!$T$2:$T$5000,"&lt;&gt;Retracted",attestations!$D$2:$D$5000,"&lt;&gt;Negative*",attestations!$R$2:$R$5000,"Image")</f>
        <v>0</v>
      </c>
      <c r="R141" s="2">
        <f>COUNTIFS(attestations!$B$2:$B$5000,$A141,attestations!$T$2:$T$5000,"&lt;&gt;Retracted",attestations!$D$2:$D$5000,"&lt;&gt;Negative*",attestations!$R$2:$R$5000,"Textual")</f>
        <v>2</v>
      </c>
      <c r="S141" s="2">
        <f>COUNTIFS(attestations!$B$2:$B$5000,$A141,attestations!$T$2:$T$5000,"&lt;&gt;Retracted",attestations!$D$2:$D$5000,"Geometry (Setting)")</f>
        <v>1</v>
      </c>
      <c r="T141" s="2" t="str">
        <f t="shared" si="5"/>
        <v>Medium</v>
      </c>
      <c r="U141" s="2" t="str">
        <f>IF(COUNTIFS(attestations!$B$2:$B$5000,$A141,attestations!$T$2:$T$5000,"&lt;&gt;Retracted",attestations!$I$2:$I$5000,"Georeferenced map GCP")&gt;0,"Y","N")</f>
        <v>Y</v>
      </c>
      <c r="V141" t="s">
        <v>191</v>
      </c>
      <c r="W141" t="s">
        <v>203</v>
      </c>
      <c r="X141" t="s">
        <v>766</v>
      </c>
      <c r="Y141" t="s">
        <v>293</v>
      </c>
      <c r="Z141" t="s">
        <v>344</v>
      </c>
      <c r="AB141">
        <f>IF(A141="","",SUMIFS(attestations!$U$2:$U$5000,attestations!$B$2:$B$5000,A141))</f>
        <v>7</v>
      </c>
    </row>
    <row r="142" spans="1:28" x14ac:dyDescent="0.2">
      <c r="A142" t="s">
        <v>767</v>
      </c>
      <c r="B142" t="s">
        <v>768</v>
      </c>
      <c r="D142" t="s">
        <v>658</v>
      </c>
      <c r="E142" t="s">
        <v>208</v>
      </c>
      <c r="F142" t="s">
        <v>208</v>
      </c>
      <c r="G142" t="s">
        <v>314</v>
      </c>
      <c r="H142" t="s">
        <v>223</v>
      </c>
      <c r="I142" t="s">
        <v>470</v>
      </c>
      <c r="K142" t="s">
        <v>259</v>
      </c>
      <c r="L142" t="s">
        <v>190</v>
      </c>
      <c r="M142" t="str">
        <f t="shared" si="4"/>
        <v>Translucent area</v>
      </c>
      <c r="N142">
        <v>300</v>
      </c>
      <c r="O142" s="2">
        <f>COUNTIFS(attestations!$B$2:$B$5000,$A142,attestations!$T$2:$T$5000,"&lt;&gt;Retracted",attestations!$D$2:$D$5000,"&lt;&gt;Negative*")</f>
        <v>5</v>
      </c>
      <c r="P142" s="2">
        <f>COUNTIFS(attestations!$B$2:$B$5000,$A142,attestations!$T$2:$T$5000,"&lt;&gt;Retracted",attestations!$D$2:$D$5000,"&lt;&gt;Negative*",attestations!$R$2:$R$5000,"Map")</f>
        <v>3</v>
      </c>
      <c r="Q142" s="2">
        <f>COUNTIFS(attestations!$B$2:$B$5000,$A142,attestations!$T$2:$T$5000,"&lt;&gt;Retracted",attestations!$D$2:$D$5000,"&lt;&gt;Negative*",attestations!$R$2:$R$5000,"Image")</f>
        <v>0</v>
      </c>
      <c r="R142" s="2">
        <f>COUNTIFS(attestations!$B$2:$B$5000,$A142,attestations!$T$2:$T$5000,"&lt;&gt;Retracted",attestations!$D$2:$D$5000,"&lt;&gt;Negative*",attestations!$R$2:$R$5000,"Textual")</f>
        <v>2</v>
      </c>
      <c r="S142" s="2">
        <f>COUNTIFS(attestations!$B$2:$B$5000,$A142,attestations!$T$2:$T$5000,"&lt;&gt;Retracted",attestations!$D$2:$D$5000,"Geometry (Setting)")</f>
        <v>1</v>
      </c>
      <c r="T142" s="2" t="str">
        <f t="shared" si="5"/>
        <v>Medium</v>
      </c>
      <c r="U142" s="2" t="str">
        <f>IF(COUNTIFS(attestations!$B$2:$B$5000,$A142,attestations!$T$2:$T$5000,"&lt;&gt;Retracted",attestations!$I$2:$I$5000,"Georeferenced map GCP")&gt;0,"Y","N")</f>
        <v>Y</v>
      </c>
      <c r="V142" t="s">
        <v>191</v>
      </c>
      <c r="X142" t="s">
        <v>769</v>
      </c>
      <c r="Y142" t="s">
        <v>314</v>
      </c>
      <c r="Z142" t="s">
        <v>344</v>
      </c>
      <c r="AB142">
        <f>IF(A142="","",SUMIFS(attestations!$U$2:$U$5000,attestations!$B$2:$B$5000,A142))</f>
        <v>5</v>
      </c>
    </row>
    <row r="143" spans="1:28" x14ac:dyDescent="0.2">
      <c r="A143" t="s">
        <v>770</v>
      </c>
      <c r="B143" t="s">
        <v>771</v>
      </c>
      <c r="D143" t="s">
        <v>654</v>
      </c>
      <c r="E143" t="s">
        <v>208</v>
      </c>
      <c r="F143" t="s">
        <v>208</v>
      </c>
      <c r="G143" t="s">
        <v>249</v>
      </c>
      <c r="H143" t="s">
        <v>223</v>
      </c>
      <c r="I143" t="s">
        <v>616</v>
      </c>
      <c r="K143" t="s">
        <v>259</v>
      </c>
      <c r="L143" t="s">
        <v>209</v>
      </c>
      <c r="M143" t="str">
        <f t="shared" si="4"/>
        <v>Point + buffer</v>
      </c>
      <c r="N143">
        <v>200</v>
      </c>
      <c r="O143" s="2">
        <f>COUNTIFS(attestations!$B$2:$B$5000,$A143,attestations!$T$2:$T$5000,"&lt;&gt;Retracted",attestations!$D$2:$D$5000,"&lt;&gt;Negative*")</f>
        <v>2</v>
      </c>
      <c r="P143" s="2">
        <f>COUNTIFS(attestations!$B$2:$B$5000,$A143,attestations!$T$2:$T$5000,"&lt;&gt;Retracted",attestations!$D$2:$D$5000,"&lt;&gt;Negative*",attestations!$R$2:$R$5000,"Map")</f>
        <v>1</v>
      </c>
      <c r="Q143" s="2">
        <f>COUNTIFS(attestations!$B$2:$B$5000,$A143,attestations!$T$2:$T$5000,"&lt;&gt;Retracted",attestations!$D$2:$D$5000,"&lt;&gt;Negative*",attestations!$R$2:$R$5000,"Image")</f>
        <v>0</v>
      </c>
      <c r="R143" s="2">
        <f>COUNTIFS(attestations!$B$2:$B$5000,$A143,attestations!$T$2:$T$5000,"&lt;&gt;Retracted",attestations!$D$2:$D$5000,"&lt;&gt;Negative*",attestations!$R$2:$R$5000,"Textual")</f>
        <v>1</v>
      </c>
      <c r="S143" s="2">
        <f>COUNTIFS(attestations!$B$2:$B$5000,$A143,attestations!$T$2:$T$5000,"&lt;&gt;Retracted",attestations!$D$2:$D$5000,"Geometry (Setting)")</f>
        <v>1</v>
      </c>
      <c r="T143" s="2" t="str">
        <f t="shared" si="5"/>
        <v>Low</v>
      </c>
      <c r="U143" s="2" t="str">
        <f>IF(COUNTIFS(attestations!$B$2:$B$5000,$A143,attestations!$T$2:$T$5000,"&lt;&gt;Retracted",attestations!$I$2:$I$5000,"Georeferenced map GCP")&gt;0,"Y","N")</f>
        <v>Y</v>
      </c>
      <c r="V143" t="s">
        <v>191</v>
      </c>
      <c r="X143" t="s">
        <v>772</v>
      </c>
      <c r="Y143" t="s">
        <v>286</v>
      </c>
      <c r="Z143" t="s">
        <v>357</v>
      </c>
      <c r="AB143">
        <f>IF(A143="","",SUMIFS(attestations!$U$2:$U$5000,attestations!$B$2:$B$5000,A143))</f>
        <v>2</v>
      </c>
    </row>
    <row r="144" spans="1:28" x14ac:dyDescent="0.2">
      <c r="A144" t="s">
        <v>773</v>
      </c>
      <c r="B144" t="s">
        <v>774</v>
      </c>
      <c r="D144" t="s">
        <v>256</v>
      </c>
      <c r="E144" t="s">
        <v>236</v>
      </c>
      <c r="F144" t="s">
        <v>300</v>
      </c>
      <c r="G144" t="s">
        <v>238</v>
      </c>
      <c r="H144" t="s">
        <v>223</v>
      </c>
      <c r="I144" t="s">
        <v>578</v>
      </c>
      <c r="J144" t="s">
        <v>366</v>
      </c>
      <c r="K144" t="s">
        <v>259</v>
      </c>
      <c r="L144" t="s">
        <v>209</v>
      </c>
      <c r="M144" t="str">
        <f t="shared" si="4"/>
        <v>Point + buffer</v>
      </c>
      <c r="N144">
        <v>200</v>
      </c>
      <c r="O144" s="2">
        <f>COUNTIFS(attestations!$B$2:$B$5000,$A144,attestations!$T$2:$T$5000,"&lt;&gt;Retracted",attestations!$D$2:$D$5000,"&lt;&gt;Negative*")</f>
        <v>3</v>
      </c>
      <c r="P144" s="2">
        <f>COUNTIFS(attestations!$B$2:$B$5000,$A144,attestations!$T$2:$T$5000,"&lt;&gt;Retracted",attestations!$D$2:$D$5000,"&lt;&gt;Negative*",attestations!$R$2:$R$5000,"Map")</f>
        <v>3</v>
      </c>
      <c r="Q144" s="2">
        <f>COUNTIFS(attestations!$B$2:$B$5000,$A144,attestations!$T$2:$T$5000,"&lt;&gt;Retracted",attestations!$D$2:$D$5000,"&lt;&gt;Negative*",attestations!$R$2:$R$5000,"Image")</f>
        <v>0</v>
      </c>
      <c r="R144" s="2">
        <f>COUNTIFS(attestations!$B$2:$B$5000,$A144,attestations!$T$2:$T$5000,"&lt;&gt;Retracted",attestations!$D$2:$D$5000,"&lt;&gt;Negative*",attestations!$R$2:$R$5000,"Textual")</f>
        <v>0</v>
      </c>
      <c r="S144" s="2">
        <f>COUNTIFS(attestations!$B$2:$B$5000,$A144,attestations!$T$2:$T$5000,"&lt;&gt;Retracted",attestations!$D$2:$D$5000,"Geometry (Setting)")</f>
        <v>3</v>
      </c>
      <c r="T144" s="2" t="str">
        <f t="shared" si="5"/>
        <v>Medium</v>
      </c>
      <c r="U144" s="2" t="str">
        <f>IF(COUNTIFS(attestations!$B$2:$B$5000,$A144,attestations!$T$2:$T$5000,"&lt;&gt;Retracted",attestations!$I$2:$I$5000,"Georeferenced map GCP")&gt;0,"Y","N")</f>
        <v>Y</v>
      </c>
      <c r="V144" t="s">
        <v>191</v>
      </c>
      <c r="X144" t="s">
        <v>775</v>
      </c>
      <c r="Y144" t="s">
        <v>193</v>
      </c>
      <c r="AB144">
        <f>IF(A144="","",SUMIFS(attestations!$U$2:$U$5000,attestations!$B$2:$B$5000,A144))</f>
        <v>3</v>
      </c>
    </row>
    <row r="145" spans="1:28" x14ac:dyDescent="0.2">
      <c r="A145" t="s">
        <v>776</v>
      </c>
      <c r="B145" t="s">
        <v>777</v>
      </c>
      <c r="C145" t="s">
        <v>778</v>
      </c>
      <c r="D145" t="s">
        <v>207</v>
      </c>
      <c r="E145" t="s">
        <v>307</v>
      </c>
      <c r="F145" t="s">
        <v>779</v>
      </c>
      <c r="G145" t="s">
        <v>300</v>
      </c>
      <c r="H145" t="s">
        <v>186</v>
      </c>
      <c r="I145" t="s">
        <v>780</v>
      </c>
      <c r="K145" t="s">
        <v>208</v>
      </c>
      <c r="L145" t="s">
        <v>209</v>
      </c>
      <c r="M145" t="str">
        <f t="shared" si="4"/>
        <v>Point + buffer</v>
      </c>
      <c r="N145">
        <v>200</v>
      </c>
      <c r="O145" s="2">
        <f>COUNTIFS(attestations!$B$2:$B$5000,$A145,attestations!$T$2:$T$5000,"&lt;&gt;Retracted",attestations!$D$2:$D$5000,"&lt;&gt;Negative*")</f>
        <v>14</v>
      </c>
      <c r="P145" s="2">
        <f>COUNTIFS(attestations!$B$2:$B$5000,$A145,attestations!$T$2:$T$5000,"&lt;&gt;Retracted",attestations!$D$2:$D$5000,"&lt;&gt;Negative*",attestations!$R$2:$R$5000,"Map")</f>
        <v>5</v>
      </c>
      <c r="Q145" s="2">
        <f>COUNTIFS(attestations!$B$2:$B$5000,$A145,attestations!$T$2:$T$5000,"&lt;&gt;Retracted",attestations!$D$2:$D$5000,"&lt;&gt;Negative*",attestations!$R$2:$R$5000,"Image")</f>
        <v>1</v>
      </c>
      <c r="R145" s="2">
        <f>COUNTIFS(attestations!$B$2:$B$5000,$A145,attestations!$T$2:$T$5000,"&lt;&gt;Retracted",attestations!$D$2:$D$5000,"&lt;&gt;Negative*",attestations!$R$2:$R$5000,"Textual")</f>
        <v>8</v>
      </c>
      <c r="S145" s="2">
        <f>COUNTIFS(attestations!$B$2:$B$5000,$A145,attestations!$T$2:$T$5000,"&lt;&gt;Retracted",attestations!$D$2:$D$5000,"Geometry (Setting)")</f>
        <v>3</v>
      </c>
      <c r="T145" s="2" t="str">
        <f t="shared" si="5"/>
        <v>High</v>
      </c>
      <c r="U145" s="2" t="str">
        <f>IF(COUNTIFS(attestations!$B$2:$B$5000,$A145,attestations!$T$2:$T$5000,"&lt;&gt;Retracted",attestations!$I$2:$I$5000,"Georeferenced map GCP")&gt;0,"Y","N")</f>
        <v>Y</v>
      </c>
      <c r="V145" t="s">
        <v>191</v>
      </c>
      <c r="W145" t="s">
        <v>203</v>
      </c>
      <c r="X145" t="s">
        <v>781</v>
      </c>
      <c r="Y145" t="s">
        <v>193</v>
      </c>
      <c r="AA145" t="s">
        <v>782</v>
      </c>
      <c r="AB145">
        <f>IF(A145="","",SUMIFS(attestations!$U$2:$U$5000,attestations!$B$2:$B$5000,A145))</f>
        <v>11</v>
      </c>
    </row>
    <row r="146" spans="1:28" x14ac:dyDescent="0.2">
      <c r="A146" t="s">
        <v>783</v>
      </c>
      <c r="B146" t="s">
        <v>784</v>
      </c>
      <c r="D146" t="s">
        <v>207</v>
      </c>
      <c r="E146" t="s">
        <v>183</v>
      </c>
      <c r="F146" t="s">
        <v>184</v>
      </c>
      <c r="G146" t="s">
        <v>185</v>
      </c>
      <c r="H146" t="s">
        <v>186</v>
      </c>
      <c r="I146" t="s">
        <v>257</v>
      </c>
      <c r="J146" t="s">
        <v>188</v>
      </c>
      <c r="K146" t="s">
        <v>208</v>
      </c>
      <c r="L146" t="s">
        <v>209</v>
      </c>
      <c r="M146" t="str">
        <f t="shared" si="4"/>
        <v>Point + buffer</v>
      </c>
      <c r="N146">
        <v>300</v>
      </c>
      <c r="O146" s="2">
        <f>COUNTIFS(attestations!$B$2:$B$5000,$A146,attestations!$T$2:$T$5000,"&lt;&gt;Retracted",attestations!$D$2:$D$5000,"&lt;&gt;Negative*")</f>
        <v>7</v>
      </c>
      <c r="P146" s="2">
        <f>COUNTIFS(attestations!$B$2:$B$5000,$A146,attestations!$T$2:$T$5000,"&lt;&gt;Retracted",attestations!$D$2:$D$5000,"&lt;&gt;Negative*",attestations!$R$2:$R$5000,"Map")</f>
        <v>4</v>
      </c>
      <c r="Q146" s="2">
        <f>COUNTIFS(attestations!$B$2:$B$5000,$A146,attestations!$T$2:$T$5000,"&lt;&gt;Retracted",attestations!$D$2:$D$5000,"&lt;&gt;Negative*",attestations!$R$2:$R$5000,"Image")</f>
        <v>1</v>
      </c>
      <c r="R146" s="2">
        <f>COUNTIFS(attestations!$B$2:$B$5000,$A146,attestations!$T$2:$T$5000,"&lt;&gt;Retracted",attestations!$D$2:$D$5000,"&lt;&gt;Negative*",attestations!$R$2:$R$5000,"Textual")</f>
        <v>2</v>
      </c>
      <c r="S146" s="2">
        <f>COUNTIFS(attestations!$B$2:$B$5000,$A146,attestations!$T$2:$T$5000,"&lt;&gt;Retracted",attestations!$D$2:$D$5000,"Geometry (Setting)")</f>
        <v>2</v>
      </c>
      <c r="T146" s="2" t="str">
        <f t="shared" si="5"/>
        <v>Medium</v>
      </c>
      <c r="U146" s="2" t="str">
        <f>IF(COUNTIFS(attestations!$B$2:$B$5000,$A146,attestations!$T$2:$T$5000,"&lt;&gt;Retracted",attestations!$I$2:$I$5000,"Georeferenced map GCP")&gt;0,"Y","N")</f>
        <v>Y</v>
      </c>
      <c r="V146" t="s">
        <v>191</v>
      </c>
      <c r="W146" t="s">
        <v>209</v>
      </c>
      <c r="X146" t="s">
        <v>785</v>
      </c>
      <c r="Y146" t="s">
        <v>193</v>
      </c>
      <c r="AB146">
        <f>IF(A146="","",SUMIFS(attestations!$U$2:$U$5000,attestations!$B$2:$B$5000,A146))</f>
        <v>7</v>
      </c>
    </row>
    <row r="147" spans="1:28" x14ac:dyDescent="0.2">
      <c r="A147" t="s">
        <v>786</v>
      </c>
      <c r="B147" t="s">
        <v>787</v>
      </c>
      <c r="C147" t="s">
        <v>788</v>
      </c>
      <c r="D147" t="s">
        <v>306</v>
      </c>
      <c r="E147" t="s">
        <v>307</v>
      </c>
      <c r="F147" t="s">
        <v>779</v>
      </c>
      <c r="G147" t="s">
        <v>320</v>
      </c>
      <c r="H147" t="s">
        <v>290</v>
      </c>
      <c r="I147" t="s">
        <v>527</v>
      </c>
      <c r="K147" t="s">
        <v>209</v>
      </c>
      <c r="L147" t="s">
        <v>203</v>
      </c>
      <c r="M147" t="str">
        <f t="shared" si="4"/>
        <v>Solid point</v>
      </c>
      <c r="N147">
        <v>150</v>
      </c>
      <c r="O147" s="2">
        <f>COUNTIFS(attestations!$B$2:$B$5000,$A147,attestations!$T$2:$T$5000,"&lt;&gt;Retracted",attestations!$D$2:$D$5000,"&lt;&gt;Negative*")</f>
        <v>16</v>
      </c>
      <c r="P147" s="2">
        <f>COUNTIFS(attestations!$B$2:$B$5000,$A147,attestations!$T$2:$T$5000,"&lt;&gt;Retracted",attestations!$D$2:$D$5000,"&lt;&gt;Negative*",attestations!$R$2:$R$5000,"Map")</f>
        <v>10</v>
      </c>
      <c r="Q147" s="2">
        <f>COUNTIFS(attestations!$B$2:$B$5000,$A147,attestations!$T$2:$T$5000,"&lt;&gt;Retracted",attestations!$D$2:$D$5000,"&lt;&gt;Negative*",attestations!$R$2:$R$5000,"Image")</f>
        <v>1</v>
      </c>
      <c r="R147" s="2">
        <f>COUNTIFS(attestations!$B$2:$B$5000,$A147,attestations!$T$2:$T$5000,"&lt;&gt;Retracted",attestations!$D$2:$D$5000,"&lt;&gt;Negative*",attestations!$R$2:$R$5000,"Textual")</f>
        <v>5</v>
      </c>
      <c r="S147" s="2">
        <f>COUNTIFS(attestations!$B$2:$B$5000,$A147,attestations!$T$2:$T$5000,"&lt;&gt;Retracted",attestations!$D$2:$D$5000,"Geometry (Setting)")</f>
        <v>3</v>
      </c>
      <c r="T147" s="2" t="str">
        <f t="shared" si="5"/>
        <v>High</v>
      </c>
      <c r="U147" s="2" t="str">
        <f>IF(COUNTIFS(attestations!$B$2:$B$5000,$A147,attestations!$T$2:$T$5000,"&lt;&gt;Retracted",attestations!$I$2:$I$5000,"Georeferenced map GCP")&gt;0,"Y","N")</f>
        <v>Y</v>
      </c>
      <c r="V147" t="s">
        <v>191</v>
      </c>
      <c r="W147" t="s">
        <v>203</v>
      </c>
      <c r="X147" t="s">
        <v>789</v>
      </c>
      <c r="Y147" t="s">
        <v>293</v>
      </c>
      <c r="Z147" t="s">
        <v>415</v>
      </c>
      <c r="AA147" t="s">
        <v>790</v>
      </c>
      <c r="AB147">
        <f>IF(A147="","",SUMIFS(attestations!$U$2:$U$5000,attestations!$B$2:$B$5000,A147))</f>
        <v>11</v>
      </c>
    </row>
    <row r="148" spans="1:28" x14ac:dyDescent="0.2">
      <c r="A148" t="s">
        <v>791</v>
      </c>
      <c r="B148" t="s">
        <v>792</v>
      </c>
      <c r="C148" t="s">
        <v>793</v>
      </c>
      <c r="D148" t="s">
        <v>319</v>
      </c>
      <c r="E148" t="s">
        <v>236</v>
      </c>
      <c r="F148" t="s">
        <v>237</v>
      </c>
      <c r="G148" t="s">
        <v>320</v>
      </c>
      <c r="H148" t="s">
        <v>290</v>
      </c>
      <c r="I148" t="s">
        <v>794</v>
      </c>
      <c r="J148" t="s">
        <v>245</v>
      </c>
      <c r="K148" t="s">
        <v>208</v>
      </c>
      <c r="L148" t="s">
        <v>203</v>
      </c>
      <c r="M148" t="str">
        <f t="shared" si="4"/>
        <v>Solid point</v>
      </c>
      <c r="N148">
        <v>150</v>
      </c>
      <c r="O148" s="2">
        <f>COUNTIFS(attestations!$B$2:$B$5000,$A148,attestations!$T$2:$T$5000,"&lt;&gt;Retracted",attestations!$D$2:$D$5000,"&lt;&gt;Negative*")</f>
        <v>6</v>
      </c>
      <c r="P148" s="2">
        <f>COUNTIFS(attestations!$B$2:$B$5000,$A148,attestations!$T$2:$T$5000,"&lt;&gt;Retracted",attestations!$D$2:$D$5000,"&lt;&gt;Negative*",attestations!$R$2:$R$5000,"Map")</f>
        <v>1</v>
      </c>
      <c r="Q148" s="2">
        <f>COUNTIFS(attestations!$B$2:$B$5000,$A148,attestations!$T$2:$T$5000,"&lt;&gt;Retracted",attestations!$D$2:$D$5000,"&lt;&gt;Negative*",attestations!$R$2:$R$5000,"Image")</f>
        <v>1</v>
      </c>
      <c r="R148" s="2">
        <f>COUNTIFS(attestations!$B$2:$B$5000,$A148,attestations!$T$2:$T$5000,"&lt;&gt;Retracted",attestations!$D$2:$D$5000,"&lt;&gt;Negative*",attestations!$R$2:$R$5000,"Textual")</f>
        <v>4</v>
      </c>
      <c r="S148" s="2">
        <f>COUNTIFS(attestations!$B$2:$B$5000,$A148,attestations!$T$2:$T$5000,"&lt;&gt;Retracted",attestations!$D$2:$D$5000,"Geometry (Setting)")</f>
        <v>1</v>
      </c>
      <c r="T148" s="2" t="str">
        <f t="shared" si="5"/>
        <v>Medium</v>
      </c>
      <c r="U148" s="2" t="str">
        <f>IF(COUNTIFS(attestations!$B$2:$B$5000,$A148,attestations!$T$2:$T$5000,"&lt;&gt;Retracted",attestations!$I$2:$I$5000,"Georeferenced map GCP")&gt;0,"Y","N")</f>
        <v>Y</v>
      </c>
      <c r="V148" t="s">
        <v>191</v>
      </c>
      <c r="W148" t="s">
        <v>203</v>
      </c>
      <c r="X148" t="s">
        <v>795</v>
      </c>
      <c r="Y148" t="s">
        <v>286</v>
      </c>
      <c r="Z148" t="s">
        <v>247</v>
      </c>
      <c r="AB148">
        <f>IF(A148="","",SUMIFS(attestations!$U$2:$U$5000,attestations!$B$2:$B$5000,A148))</f>
        <v>6</v>
      </c>
    </row>
    <row r="149" spans="1:28" x14ac:dyDescent="0.2">
      <c r="A149" t="s">
        <v>796</v>
      </c>
      <c r="B149" t="s">
        <v>797</v>
      </c>
      <c r="C149" t="s">
        <v>798</v>
      </c>
      <c r="D149" t="s">
        <v>319</v>
      </c>
      <c r="E149" t="s">
        <v>236</v>
      </c>
      <c r="F149" t="s">
        <v>237</v>
      </c>
      <c r="G149" t="s">
        <v>320</v>
      </c>
      <c r="H149" t="s">
        <v>290</v>
      </c>
      <c r="I149" t="s">
        <v>799</v>
      </c>
      <c r="J149" t="s">
        <v>245</v>
      </c>
      <c r="K149" t="s">
        <v>208</v>
      </c>
      <c r="L149" t="s">
        <v>209</v>
      </c>
      <c r="M149" t="str">
        <f t="shared" si="4"/>
        <v>Point + buffer</v>
      </c>
      <c r="N149">
        <v>200</v>
      </c>
      <c r="O149" s="2">
        <f>COUNTIFS(attestations!$B$2:$B$5000,$A149,attestations!$T$2:$T$5000,"&lt;&gt;Retracted",attestations!$D$2:$D$5000,"&lt;&gt;Negative*")</f>
        <v>5</v>
      </c>
      <c r="P149" s="2">
        <f>COUNTIFS(attestations!$B$2:$B$5000,$A149,attestations!$T$2:$T$5000,"&lt;&gt;Retracted",attestations!$D$2:$D$5000,"&lt;&gt;Negative*",attestations!$R$2:$R$5000,"Map")</f>
        <v>1</v>
      </c>
      <c r="Q149" s="2">
        <f>COUNTIFS(attestations!$B$2:$B$5000,$A149,attestations!$T$2:$T$5000,"&lt;&gt;Retracted",attestations!$D$2:$D$5000,"&lt;&gt;Negative*",attestations!$R$2:$R$5000,"Image")</f>
        <v>1</v>
      </c>
      <c r="R149" s="2">
        <f>COUNTIFS(attestations!$B$2:$B$5000,$A149,attestations!$T$2:$T$5000,"&lt;&gt;Retracted",attestations!$D$2:$D$5000,"&lt;&gt;Negative*",attestations!$R$2:$R$5000,"Textual")</f>
        <v>3</v>
      </c>
      <c r="S149" s="2">
        <f>COUNTIFS(attestations!$B$2:$B$5000,$A149,attestations!$T$2:$T$5000,"&lt;&gt;Retracted",attestations!$D$2:$D$5000,"Geometry (Setting)")</f>
        <v>1</v>
      </c>
      <c r="T149" s="2" t="str">
        <f t="shared" si="5"/>
        <v>Medium</v>
      </c>
      <c r="U149" s="2" t="str">
        <f>IF(COUNTIFS(attestations!$B$2:$B$5000,$A149,attestations!$T$2:$T$5000,"&lt;&gt;Retracted",attestations!$I$2:$I$5000,"Georeferenced map GCP")&gt;0,"Y","N")</f>
        <v>Y</v>
      </c>
      <c r="V149" t="s">
        <v>191</v>
      </c>
      <c r="W149" t="s">
        <v>209</v>
      </c>
      <c r="X149" t="s">
        <v>800</v>
      </c>
      <c r="Y149" t="s">
        <v>275</v>
      </c>
      <c r="Z149" t="s">
        <v>247</v>
      </c>
      <c r="AB149">
        <f>IF(A149="","",SUMIFS(attestations!$U$2:$U$5000,attestations!$B$2:$B$5000,A149))</f>
        <v>5</v>
      </c>
    </row>
    <row r="150" spans="1:28" x14ac:dyDescent="0.2">
      <c r="A150" t="s">
        <v>801</v>
      </c>
      <c r="B150" t="s">
        <v>802</v>
      </c>
      <c r="D150" t="s">
        <v>271</v>
      </c>
      <c r="E150" t="s">
        <v>307</v>
      </c>
      <c r="F150" t="s">
        <v>779</v>
      </c>
      <c r="G150" t="s">
        <v>249</v>
      </c>
      <c r="H150" t="s">
        <v>223</v>
      </c>
      <c r="I150" t="s">
        <v>605</v>
      </c>
      <c r="K150" t="s">
        <v>208</v>
      </c>
      <c r="L150" t="s">
        <v>208</v>
      </c>
      <c r="M150" t="str">
        <f t="shared" si="4"/>
        <v>Unplotted (unlocated panel)</v>
      </c>
      <c r="O150" s="2">
        <f>COUNTIFS(attestations!$B$2:$B$5000,$A150,attestations!$T$2:$T$5000,"&lt;&gt;Retracted",attestations!$D$2:$D$5000,"&lt;&gt;Negative*")</f>
        <v>16</v>
      </c>
      <c r="P150" s="2">
        <f>COUNTIFS(attestations!$B$2:$B$5000,$A150,attestations!$T$2:$T$5000,"&lt;&gt;Retracted",attestations!$D$2:$D$5000,"&lt;&gt;Negative*",attestations!$R$2:$R$5000,"Map")</f>
        <v>9</v>
      </c>
      <c r="Q150" s="2">
        <f>COUNTIFS(attestations!$B$2:$B$5000,$A150,attestations!$T$2:$T$5000,"&lt;&gt;Retracted",attestations!$D$2:$D$5000,"&lt;&gt;Negative*",attestations!$R$2:$R$5000,"Image")</f>
        <v>1</v>
      </c>
      <c r="R150" s="2">
        <f>COUNTIFS(attestations!$B$2:$B$5000,$A150,attestations!$T$2:$T$5000,"&lt;&gt;Retracted",attestations!$D$2:$D$5000,"&lt;&gt;Negative*",attestations!$R$2:$R$5000,"Textual")</f>
        <v>6</v>
      </c>
      <c r="S150" s="2">
        <f>COUNTIFS(attestations!$B$2:$B$5000,$A150,attestations!$T$2:$T$5000,"&lt;&gt;Retracted",attestations!$D$2:$D$5000,"Geometry (Setting)")</f>
        <v>4</v>
      </c>
      <c r="T150" s="2" t="str">
        <f t="shared" si="5"/>
        <v>High</v>
      </c>
      <c r="U150" s="2" t="str">
        <f>IF(COUNTIFS(attestations!$B$2:$B$5000,$A150,attestations!$T$2:$T$5000,"&lt;&gt;Retracted",attestations!$I$2:$I$5000,"Georeferenced map GCP")&gt;0,"Y","N")</f>
        <v>N</v>
      </c>
      <c r="V150" t="s">
        <v>191</v>
      </c>
      <c r="W150" t="s">
        <v>209</v>
      </c>
      <c r="X150" t="s">
        <v>803</v>
      </c>
      <c r="Y150" t="s">
        <v>275</v>
      </c>
      <c r="Z150" t="s">
        <v>335</v>
      </c>
      <c r="AA150" t="s">
        <v>804</v>
      </c>
      <c r="AB150">
        <f>IF(A150="","",SUMIFS(attestations!$U$2:$U$5000,attestations!$B$2:$B$5000,A150))</f>
        <v>14</v>
      </c>
    </row>
    <row r="151" spans="1:28" x14ac:dyDescent="0.2">
      <c r="A151" t="s">
        <v>805</v>
      </c>
      <c r="B151" t="s">
        <v>806</v>
      </c>
      <c r="D151" t="s">
        <v>324</v>
      </c>
      <c r="E151" t="s">
        <v>208</v>
      </c>
      <c r="F151" t="s">
        <v>208</v>
      </c>
      <c r="G151" t="s">
        <v>300</v>
      </c>
      <c r="H151" t="s">
        <v>223</v>
      </c>
      <c r="I151" t="s">
        <v>799</v>
      </c>
      <c r="K151" t="s">
        <v>208</v>
      </c>
      <c r="L151" t="s">
        <v>209</v>
      </c>
      <c r="M151" t="str">
        <f t="shared" si="4"/>
        <v>Point + buffer</v>
      </c>
      <c r="N151">
        <v>200</v>
      </c>
      <c r="O151" s="2">
        <f>COUNTIFS(attestations!$B$2:$B$5000,$A151,attestations!$T$2:$T$5000,"&lt;&gt;Retracted",attestations!$D$2:$D$5000,"&lt;&gt;Negative*")</f>
        <v>8</v>
      </c>
      <c r="P151" s="2">
        <f>COUNTIFS(attestations!$B$2:$B$5000,$A151,attestations!$T$2:$T$5000,"&lt;&gt;Retracted",attestations!$D$2:$D$5000,"&lt;&gt;Negative*",attestations!$R$2:$R$5000,"Map")</f>
        <v>2</v>
      </c>
      <c r="Q151" s="2">
        <f>COUNTIFS(attestations!$B$2:$B$5000,$A151,attestations!$T$2:$T$5000,"&lt;&gt;Retracted",attestations!$D$2:$D$5000,"&lt;&gt;Negative*",attestations!$R$2:$R$5000,"Image")</f>
        <v>1</v>
      </c>
      <c r="R151" s="2">
        <f>COUNTIFS(attestations!$B$2:$B$5000,$A151,attestations!$T$2:$T$5000,"&lt;&gt;Retracted",attestations!$D$2:$D$5000,"&lt;&gt;Negative*",attestations!$R$2:$R$5000,"Textual")</f>
        <v>5</v>
      </c>
      <c r="S151" s="2">
        <f>COUNTIFS(attestations!$B$2:$B$5000,$A151,attestations!$T$2:$T$5000,"&lt;&gt;Retracted",attestations!$D$2:$D$5000,"Geometry (Setting)")</f>
        <v>2</v>
      </c>
      <c r="T151" s="2" t="str">
        <f t="shared" si="5"/>
        <v>Medium</v>
      </c>
      <c r="U151" s="2" t="str">
        <f>IF(COUNTIFS(attestations!$B$2:$B$5000,$A151,attestations!$T$2:$T$5000,"&lt;&gt;Retracted",attestations!$I$2:$I$5000,"Georeferenced map GCP")&gt;0,"Y","N")</f>
        <v>N</v>
      </c>
      <c r="V151" t="s">
        <v>191</v>
      </c>
      <c r="W151" t="s">
        <v>209</v>
      </c>
      <c r="X151" t="s">
        <v>807</v>
      </c>
      <c r="Y151" t="s">
        <v>275</v>
      </c>
      <c r="Z151" t="s">
        <v>335</v>
      </c>
      <c r="AB151">
        <f>IF(A151="","",SUMIFS(attestations!$U$2:$U$5000,attestations!$B$2:$B$5000,A151))</f>
        <v>7</v>
      </c>
    </row>
    <row r="152" spans="1:28" x14ac:dyDescent="0.2">
      <c r="A152" t="s">
        <v>808</v>
      </c>
      <c r="B152" t="s">
        <v>809</v>
      </c>
      <c r="D152" t="s">
        <v>324</v>
      </c>
      <c r="E152" t="s">
        <v>208</v>
      </c>
      <c r="F152" t="s">
        <v>208</v>
      </c>
      <c r="G152" t="s">
        <v>300</v>
      </c>
      <c r="H152" t="s">
        <v>223</v>
      </c>
      <c r="I152" t="s">
        <v>572</v>
      </c>
      <c r="K152" t="s">
        <v>208</v>
      </c>
      <c r="L152" t="s">
        <v>208</v>
      </c>
      <c r="M152" t="str">
        <f t="shared" si="4"/>
        <v>Unplotted (unlocated panel)</v>
      </c>
      <c r="O152" s="2">
        <f>COUNTIFS(attestations!$B$2:$B$5000,$A152,attestations!$T$2:$T$5000,"&lt;&gt;Retracted",attestations!$D$2:$D$5000,"&lt;&gt;Negative*")</f>
        <v>10</v>
      </c>
      <c r="P152" s="2">
        <f>COUNTIFS(attestations!$B$2:$B$5000,$A152,attestations!$T$2:$T$5000,"&lt;&gt;Retracted",attestations!$D$2:$D$5000,"&lt;&gt;Negative*",attestations!$R$2:$R$5000,"Map")</f>
        <v>5</v>
      </c>
      <c r="Q152" s="2">
        <f>COUNTIFS(attestations!$B$2:$B$5000,$A152,attestations!$T$2:$T$5000,"&lt;&gt;Retracted",attestations!$D$2:$D$5000,"&lt;&gt;Negative*",attestations!$R$2:$R$5000,"Image")</f>
        <v>1</v>
      </c>
      <c r="R152" s="2">
        <f>COUNTIFS(attestations!$B$2:$B$5000,$A152,attestations!$T$2:$T$5000,"&lt;&gt;Retracted",attestations!$D$2:$D$5000,"&lt;&gt;Negative*",attestations!$R$2:$R$5000,"Textual")</f>
        <v>4</v>
      </c>
      <c r="S152" s="2">
        <f>COUNTIFS(attestations!$B$2:$B$5000,$A152,attestations!$T$2:$T$5000,"&lt;&gt;Retracted",attestations!$D$2:$D$5000,"Geometry (Setting)")</f>
        <v>2</v>
      </c>
      <c r="T152" s="2" t="str">
        <f t="shared" si="5"/>
        <v>High</v>
      </c>
      <c r="U152" s="2" t="str">
        <f>IF(COUNTIFS(attestations!$B$2:$B$5000,$A152,attestations!$T$2:$T$5000,"&lt;&gt;Retracted",attestations!$I$2:$I$5000,"Georeferenced map GCP")&gt;0,"Y","N")</f>
        <v>N</v>
      </c>
      <c r="V152" t="s">
        <v>191</v>
      </c>
      <c r="W152" t="s">
        <v>203</v>
      </c>
      <c r="X152" t="s">
        <v>810</v>
      </c>
      <c r="Y152" t="s">
        <v>275</v>
      </c>
      <c r="Z152" t="s">
        <v>335</v>
      </c>
      <c r="AB152">
        <f>IF(A152="","",SUMIFS(attestations!$U$2:$U$5000,attestations!$B$2:$B$5000,A152))</f>
        <v>9</v>
      </c>
    </row>
    <row r="153" spans="1:28" x14ac:dyDescent="0.2">
      <c r="A153" t="s">
        <v>811</v>
      </c>
      <c r="B153" t="s">
        <v>812</v>
      </c>
      <c r="D153" t="s">
        <v>207</v>
      </c>
      <c r="E153" t="s">
        <v>236</v>
      </c>
      <c r="F153" t="s">
        <v>237</v>
      </c>
      <c r="G153" t="s">
        <v>185</v>
      </c>
      <c r="H153" t="s">
        <v>223</v>
      </c>
      <c r="I153" t="s">
        <v>813</v>
      </c>
      <c r="J153" t="s">
        <v>814</v>
      </c>
      <c r="K153" t="s">
        <v>208</v>
      </c>
      <c r="L153" t="s">
        <v>209</v>
      </c>
      <c r="M153" t="str">
        <f t="shared" si="4"/>
        <v>Point + buffer</v>
      </c>
      <c r="N153">
        <v>350</v>
      </c>
      <c r="O153" s="2">
        <f>COUNTIFS(attestations!$B$2:$B$5000,$A153,attestations!$T$2:$T$5000,"&lt;&gt;Retracted",attestations!$D$2:$D$5000,"&lt;&gt;Negative*")</f>
        <v>6</v>
      </c>
      <c r="P153" s="2">
        <f>COUNTIFS(attestations!$B$2:$B$5000,$A153,attestations!$T$2:$T$5000,"&lt;&gt;Retracted",attestations!$D$2:$D$5000,"&lt;&gt;Negative*",attestations!$R$2:$R$5000,"Map")</f>
        <v>1</v>
      </c>
      <c r="Q153" s="2">
        <f>COUNTIFS(attestations!$B$2:$B$5000,$A153,attestations!$T$2:$T$5000,"&lt;&gt;Retracted",attestations!$D$2:$D$5000,"&lt;&gt;Negative*",attestations!$R$2:$R$5000,"Image")</f>
        <v>1</v>
      </c>
      <c r="R153" s="2">
        <f>COUNTIFS(attestations!$B$2:$B$5000,$A153,attestations!$T$2:$T$5000,"&lt;&gt;Retracted",attestations!$D$2:$D$5000,"&lt;&gt;Negative*",attestations!$R$2:$R$5000,"Textual")</f>
        <v>4</v>
      </c>
      <c r="S153" s="2">
        <f>COUNTIFS(attestations!$B$2:$B$5000,$A153,attestations!$T$2:$T$5000,"&lt;&gt;Retracted",attestations!$D$2:$D$5000,"Geometry (Setting)")</f>
        <v>1</v>
      </c>
      <c r="T153" s="2" t="str">
        <f t="shared" si="5"/>
        <v>Medium</v>
      </c>
      <c r="U153" s="2" t="str">
        <f>IF(COUNTIFS(attestations!$B$2:$B$5000,$A153,attestations!$T$2:$T$5000,"&lt;&gt;Retracted",attestations!$I$2:$I$5000,"Georeferenced map GCP")&gt;0,"Y","N")</f>
        <v>Y</v>
      </c>
      <c r="V153" t="s">
        <v>191</v>
      </c>
      <c r="W153" t="s">
        <v>209</v>
      </c>
      <c r="X153" t="s">
        <v>815</v>
      </c>
      <c r="Y153" t="s">
        <v>193</v>
      </c>
      <c r="AB153">
        <f>IF(A153="","",SUMIFS(attestations!$U$2:$U$5000,attestations!$B$2:$B$5000,A153))</f>
        <v>6</v>
      </c>
    </row>
    <row r="154" spans="1:28" x14ac:dyDescent="0.2">
      <c r="A154" t="s">
        <v>816</v>
      </c>
      <c r="B154" t="s">
        <v>817</v>
      </c>
      <c r="D154" t="s">
        <v>256</v>
      </c>
      <c r="E154" t="s">
        <v>236</v>
      </c>
      <c r="F154" t="s">
        <v>237</v>
      </c>
      <c r="G154" t="s">
        <v>238</v>
      </c>
      <c r="H154" t="s">
        <v>223</v>
      </c>
      <c r="I154" t="s">
        <v>627</v>
      </c>
      <c r="J154" t="s">
        <v>381</v>
      </c>
      <c r="K154" t="s">
        <v>208</v>
      </c>
      <c r="L154" t="s">
        <v>209</v>
      </c>
      <c r="M154" t="str">
        <f t="shared" si="4"/>
        <v>Point + buffer</v>
      </c>
      <c r="N154">
        <v>350</v>
      </c>
      <c r="O154" s="2">
        <f>COUNTIFS(attestations!$B$2:$B$5000,$A154,attestations!$T$2:$T$5000,"&lt;&gt;Retracted",attestations!$D$2:$D$5000,"&lt;&gt;Negative*")</f>
        <v>7</v>
      </c>
      <c r="P154" s="2">
        <f>COUNTIFS(attestations!$B$2:$B$5000,$A154,attestations!$T$2:$T$5000,"&lt;&gt;Retracted",attestations!$D$2:$D$5000,"&lt;&gt;Negative*",attestations!$R$2:$R$5000,"Map")</f>
        <v>1</v>
      </c>
      <c r="Q154" s="2">
        <f>COUNTIFS(attestations!$B$2:$B$5000,$A154,attestations!$T$2:$T$5000,"&lt;&gt;Retracted",attestations!$D$2:$D$5000,"&lt;&gt;Negative*",attestations!$R$2:$R$5000,"Image")</f>
        <v>0</v>
      </c>
      <c r="R154" s="2">
        <f>COUNTIFS(attestations!$B$2:$B$5000,$A154,attestations!$T$2:$T$5000,"&lt;&gt;Retracted",attestations!$D$2:$D$5000,"&lt;&gt;Negative*",attestations!$R$2:$R$5000,"Textual")</f>
        <v>6</v>
      </c>
      <c r="S154" s="2">
        <f>COUNTIFS(attestations!$B$2:$B$5000,$A154,attestations!$T$2:$T$5000,"&lt;&gt;Retracted",attestations!$D$2:$D$5000,"Geometry (Setting)")</f>
        <v>1</v>
      </c>
      <c r="T154" s="2" t="str">
        <f t="shared" si="5"/>
        <v>Medium</v>
      </c>
      <c r="U154" s="2" t="str">
        <f>IF(COUNTIFS(attestations!$B$2:$B$5000,$A154,attestations!$T$2:$T$5000,"&lt;&gt;Retracted",attestations!$I$2:$I$5000,"Georeferenced map GCP")&gt;0,"Y","N")</f>
        <v>Y</v>
      </c>
      <c r="V154" t="s">
        <v>191</v>
      </c>
      <c r="W154" t="s">
        <v>209</v>
      </c>
      <c r="X154" t="s">
        <v>818</v>
      </c>
      <c r="Y154" t="s">
        <v>193</v>
      </c>
      <c r="AB154">
        <f>IF(A154="","",SUMIFS(attestations!$U$2:$U$5000,attestations!$B$2:$B$5000,A154))</f>
        <v>7</v>
      </c>
    </row>
    <row r="155" spans="1:28" x14ac:dyDescent="0.2">
      <c r="A155" t="s">
        <v>819</v>
      </c>
      <c r="B155" t="s">
        <v>820</v>
      </c>
      <c r="C155" t="s">
        <v>821</v>
      </c>
      <c r="D155" t="s">
        <v>306</v>
      </c>
      <c r="E155" t="s">
        <v>307</v>
      </c>
      <c r="F155" t="s">
        <v>779</v>
      </c>
      <c r="G155" t="s">
        <v>249</v>
      </c>
      <c r="H155" t="s">
        <v>223</v>
      </c>
      <c r="I155" t="s">
        <v>675</v>
      </c>
      <c r="K155" t="s">
        <v>208</v>
      </c>
      <c r="L155" t="s">
        <v>209</v>
      </c>
      <c r="M155" t="str">
        <f t="shared" si="4"/>
        <v>Point + buffer</v>
      </c>
      <c r="N155">
        <v>300</v>
      </c>
      <c r="O155" s="2">
        <f>COUNTIFS(attestations!$B$2:$B$5000,$A155,attestations!$T$2:$T$5000,"&lt;&gt;Retracted",attestations!$D$2:$D$5000,"&lt;&gt;Negative*")</f>
        <v>11</v>
      </c>
      <c r="P155" s="2">
        <f>COUNTIFS(attestations!$B$2:$B$5000,$A155,attestations!$T$2:$T$5000,"&lt;&gt;Retracted",attestations!$D$2:$D$5000,"&lt;&gt;Negative*",attestations!$R$2:$R$5000,"Map")</f>
        <v>3</v>
      </c>
      <c r="Q155" s="2">
        <f>COUNTIFS(attestations!$B$2:$B$5000,$A155,attestations!$T$2:$T$5000,"&lt;&gt;Retracted",attestations!$D$2:$D$5000,"&lt;&gt;Negative*",attestations!$R$2:$R$5000,"Image")</f>
        <v>1</v>
      </c>
      <c r="R155" s="2">
        <f>COUNTIFS(attestations!$B$2:$B$5000,$A155,attestations!$T$2:$T$5000,"&lt;&gt;Retracted",attestations!$D$2:$D$5000,"&lt;&gt;Negative*",attestations!$R$2:$R$5000,"Textual")</f>
        <v>7</v>
      </c>
      <c r="S155" s="2">
        <f>COUNTIFS(attestations!$B$2:$B$5000,$A155,attestations!$T$2:$T$5000,"&lt;&gt;Retracted",attestations!$D$2:$D$5000,"Geometry (Setting)")</f>
        <v>2</v>
      </c>
      <c r="T155" s="2" t="str">
        <f t="shared" si="5"/>
        <v>High</v>
      </c>
      <c r="U155" s="2" t="str">
        <f>IF(COUNTIFS(attestations!$B$2:$B$5000,$A155,attestations!$T$2:$T$5000,"&lt;&gt;Retracted",attestations!$I$2:$I$5000,"Georeferenced map GCP")&gt;0,"Y","N")</f>
        <v>Y</v>
      </c>
      <c r="V155" t="s">
        <v>191</v>
      </c>
      <c r="W155" t="s">
        <v>209</v>
      </c>
      <c r="X155" t="s">
        <v>822</v>
      </c>
      <c r="Y155" t="s">
        <v>193</v>
      </c>
      <c r="AA155" t="s">
        <v>823</v>
      </c>
      <c r="AB155">
        <f>IF(A155="","",SUMIFS(attestations!$U$2:$U$5000,attestations!$B$2:$B$5000,A155))</f>
        <v>11</v>
      </c>
    </row>
    <row r="156" spans="1:28" x14ac:dyDescent="0.2">
      <c r="A156" t="s">
        <v>824</v>
      </c>
      <c r="B156" t="s">
        <v>825</v>
      </c>
      <c r="D156" t="s">
        <v>306</v>
      </c>
      <c r="E156" t="s">
        <v>208</v>
      </c>
      <c r="F156" t="s">
        <v>208</v>
      </c>
      <c r="G156" t="s">
        <v>320</v>
      </c>
      <c r="H156" t="s">
        <v>223</v>
      </c>
      <c r="I156" t="s">
        <v>826</v>
      </c>
      <c r="K156" t="s">
        <v>208</v>
      </c>
      <c r="L156" t="s">
        <v>209</v>
      </c>
      <c r="M156" t="str">
        <f t="shared" si="4"/>
        <v>Point + buffer</v>
      </c>
      <c r="N156">
        <v>300</v>
      </c>
      <c r="O156" s="2">
        <f>COUNTIFS(attestations!$B$2:$B$5000,$A156,attestations!$T$2:$T$5000,"&lt;&gt;Retracted",attestations!$D$2:$D$5000,"&lt;&gt;Negative*")</f>
        <v>5</v>
      </c>
      <c r="P156" s="2">
        <f>COUNTIFS(attestations!$B$2:$B$5000,$A156,attestations!$T$2:$T$5000,"&lt;&gt;Retracted",attestations!$D$2:$D$5000,"&lt;&gt;Negative*",attestations!$R$2:$R$5000,"Map")</f>
        <v>2</v>
      </c>
      <c r="Q156" s="2">
        <f>COUNTIFS(attestations!$B$2:$B$5000,$A156,attestations!$T$2:$T$5000,"&lt;&gt;Retracted",attestations!$D$2:$D$5000,"&lt;&gt;Negative*",attestations!$R$2:$R$5000,"Image")</f>
        <v>1</v>
      </c>
      <c r="R156" s="2">
        <f>COUNTIFS(attestations!$B$2:$B$5000,$A156,attestations!$T$2:$T$5000,"&lt;&gt;Retracted",attestations!$D$2:$D$5000,"&lt;&gt;Negative*",attestations!$R$2:$R$5000,"Textual")</f>
        <v>2</v>
      </c>
      <c r="S156" s="2">
        <f>COUNTIFS(attestations!$B$2:$B$5000,$A156,attestations!$T$2:$T$5000,"&lt;&gt;Retracted",attestations!$D$2:$D$5000,"Geometry (Setting)")</f>
        <v>1</v>
      </c>
      <c r="T156" s="2" t="str">
        <f t="shared" si="5"/>
        <v>Medium</v>
      </c>
      <c r="U156" s="2" t="str">
        <f>IF(COUNTIFS(attestations!$B$2:$B$5000,$A156,attestations!$T$2:$T$5000,"&lt;&gt;Retracted",attestations!$I$2:$I$5000,"Georeferenced map GCP")&gt;0,"Y","N")</f>
        <v>Y</v>
      </c>
      <c r="V156" t="s">
        <v>191</v>
      </c>
      <c r="W156" t="s">
        <v>209</v>
      </c>
      <c r="X156" t="s">
        <v>827</v>
      </c>
      <c r="Y156" t="s">
        <v>193</v>
      </c>
      <c r="AB156">
        <f>IF(A156="","",SUMIFS(attestations!$U$2:$U$5000,attestations!$B$2:$B$5000,A156))</f>
        <v>5</v>
      </c>
    </row>
    <row r="157" spans="1:28" x14ac:dyDescent="0.2">
      <c r="A157" t="s">
        <v>828</v>
      </c>
      <c r="B157" t="s">
        <v>829</v>
      </c>
      <c r="D157" t="s">
        <v>306</v>
      </c>
      <c r="E157" t="s">
        <v>208</v>
      </c>
      <c r="F157" t="s">
        <v>208</v>
      </c>
      <c r="G157" t="s">
        <v>249</v>
      </c>
      <c r="H157" t="s">
        <v>223</v>
      </c>
      <c r="I157" t="s">
        <v>830</v>
      </c>
      <c r="K157" t="s">
        <v>208</v>
      </c>
      <c r="L157" t="s">
        <v>209</v>
      </c>
      <c r="M157" t="str">
        <f t="shared" si="4"/>
        <v>Point + buffer</v>
      </c>
      <c r="N157">
        <v>300</v>
      </c>
      <c r="O157" s="2">
        <f>COUNTIFS(attestations!$B$2:$B$5000,$A157,attestations!$T$2:$T$5000,"&lt;&gt;Retracted",attestations!$D$2:$D$5000,"&lt;&gt;Negative*")</f>
        <v>8</v>
      </c>
      <c r="P157" s="2">
        <f>COUNTIFS(attestations!$B$2:$B$5000,$A157,attestations!$T$2:$T$5000,"&lt;&gt;Retracted",attestations!$D$2:$D$5000,"&lt;&gt;Negative*",attestations!$R$2:$R$5000,"Map")</f>
        <v>2</v>
      </c>
      <c r="Q157" s="2">
        <f>COUNTIFS(attestations!$B$2:$B$5000,$A157,attestations!$T$2:$T$5000,"&lt;&gt;Retracted",attestations!$D$2:$D$5000,"&lt;&gt;Negative*",attestations!$R$2:$R$5000,"Image")</f>
        <v>1</v>
      </c>
      <c r="R157" s="2">
        <f>COUNTIFS(attestations!$B$2:$B$5000,$A157,attestations!$T$2:$T$5000,"&lt;&gt;Retracted",attestations!$D$2:$D$5000,"&lt;&gt;Negative*",attestations!$R$2:$R$5000,"Textual")</f>
        <v>5</v>
      </c>
      <c r="S157" s="2">
        <f>COUNTIFS(attestations!$B$2:$B$5000,$A157,attestations!$T$2:$T$5000,"&lt;&gt;Retracted",attestations!$D$2:$D$5000,"Geometry (Setting)")</f>
        <v>1</v>
      </c>
      <c r="T157" s="2" t="str">
        <f t="shared" si="5"/>
        <v>Medium</v>
      </c>
      <c r="U157" s="2" t="str">
        <f>IF(COUNTIFS(attestations!$B$2:$B$5000,$A157,attestations!$T$2:$T$5000,"&lt;&gt;Retracted",attestations!$I$2:$I$5000,"Georeferenced map GCP")&gt;0,"Y","N")</f>
        <v>Y</v>
      </c>
      <c r="V157" t="s">
        <v>191</v>
      </c>
      <c r="W157" t="s">
        <v>209</v>
      </c>
      <c r="X157" t="s">
        <v>831</v>
      </c>
      <c r="Y157" t="s">
        <v>193</v>
      </c>
      <c r="AB157">
        <f>IF(A157="","",SUMIFS(attestations!$U$2:$U$5000,attestations!$B$2:$B$5000,A157))</f>
        <v>8</v>
      </c>
    </row>
    <row r="158" spans="1:28" x14ac:dyDescent="0.2">
      <c r="A158" t="s">
        <v>832</v>
      </c>
      <c r="B158" t="s">
        <v>833</v>
      </c>
      <c r="D158" t="s">
        <v>289</v>
      </c>
      <c r="E158" t="s">
        <v>208</v>
      </c>
      <c r="F158" t="s">
        <v>208</v>
      </c>
      <c r="G158" t="s">
        <v>300</v>
      </c>
      <c r="H158" t="s">
        <v>223</v>
      </c>
      <c r="I158" t="s">
        <v>826</v>
      </c>
      <c r="K158" t="s">
        <v>208</v>
      </c>
      <c r="L158" t="s">
        <v>190</v>
      </c>
      <c r="M158" t="str">
        <f t="shared" si="4"/>
        <v>Translucent area</v>
      </c>
      <c r="N158">
        <v>400</v>
      </c>
      <c r="O158" s="2">
        <f>COUNTIFS(attestations!$B$2:$B$5000,$A158,attestations!$T$2:$T$5000,"&lt;&gt;Retracted",attestations!$D$2:$D$5000,"&lt;&gt;Negative*")</f>
        <v>5</v>
      </c>
      <c r="P158" s="2">
        <f>COUNTIFS(attestations!$B$2:$B$5000,$A158,attestations!$T$2:$T$5000,"&lt;&gt;Retracted",attestations!$D$2:$D$5000,"&lt;&gt;Negative*",attestations!$R$2:$R$5000,"Map")</f>
        <v>1</v>
      </c>
      <c r="Q158" s="2">
        <f>COUNTIFS(attestations!$B$2:$B$5000,$A158,attestations!$T$2:$T$5000,"&lt;&gt;Retracted",attestations!$D$2:$D$5000,"&lt;&gt;Negative*",attestations!$R$2:$R$5000,"Image")</f>
        <v>1</v>
      </c>
      <c r="R158" s="2">
        <f>COUNTIFS(attestations!$B$2:$B$5000,$A158,attestations!$T$2:$T$5000,"&lt;&gt;Retracted",attestations!$D$2:$D$5000,"&lt;&gt;Negative*",attestations!$R$2:$R$5000,"Textual")</f>
        <v>3</v>
      </c>
      <c r="S158" s="2">
        <f>COUNTIFS(attestations!$B$2:$B$5000,$A158,attestations!$T$2:$T$5000,"&lt;&gt;Retracted",attestations!$D$2:$D$5000,"Geometry (Setting)")</f>
        <v>1</v>
      </c>
      <c r="T158" s="2" t="str">
        <f t="shared" si="5"/>
        <v>Medium</v>
      </c>
      <c r="U158" s="2" t="str">
        <f>IF(COUNTIFS(attestations!$B$2:$B$5000,$A158,attestations!$T$2:$T$5000,"&lt;&gt;Retracted",attestations!$I$2:$I$5000,"Georeferenced map GCP")&gt;0,"Y","N")</f>
        <v>Y</v>
      </c>
      <c r="V158" t="s">
        <v>191</v>
      </c>
      <c r="X158" t="s">
        <v>834</v>
      </c>
      <c r="Y158" t="s">
        <v>193</v>
      </c>
      <c r="AB158">
        <f>IF(A158="","",SUMIFS(attestations!$U$2:$U$5000,attestations!$B$2:$B$5000,A158))</f>
        <v>5</v>
      </c>
    </row>
    <row r="159" spans="1:28" x14ac:dyDescent="0.2">
      <c r="A159" t="s">
        <v>835</v>
      </c>
      <c r="B159" t="s">
        <v>836</v>
      </c>
      <c r="C159" t="s">
        <v>837</v>
      </c>
      <c r="D159" t="s">
        <v>207</v>
      </c>
      <c r="E159" t="s">
        <v>208</v>
      </c>
      <c r="F159" t="s">
        <v>208</v>
      </c>
      <c r="G159" t="s">
        <v>300</v>
      </c>
      <c r="H159" t="s">
        <v>186</v>
      </c>
      <c r="I159" t="s">
        <v>572</v>
      </c>
      <c r="K159" t="s">
        <v>208</v>
      </c>
      <c r="L159" t="s">
        <v>209</v>
      </c>
      <c r="M159" t="str">
        <f t="shared" si="4"/>
        <v>Point + buffer</v>
      </c>
      <c r="N159">
        <v>500</v>
      </c>
      <c r="O159" s="2">
        <f>COUNTIFS(attestations!$B$2:$B$5000,$A159,attestations!$T$2:$T$5000,"&lt;&gt;Retracted",attestations!$D$2:$D$5000,"&lt;&gt;Negative*")</f>
        <v>7</v>
      </c>
      <c r="P159" s="2">
        <f>COUNTIFS(attestations!$B$2:$B$5000,$A159,attestations!$T$2:$T$5000,"&lt;&gt;Retracted",attestations!$D$2:$D$5000,"&lt;&gt;Negative*",attestations!$R$2:$R$5000,"Map")</f>
        <v>2</v>
      </c>
      <c r="Q159" s="2">
        <f>COUNTIFS(attestations!$B$2:$B$5000,$A159,attestations!$T$2:$T$5000,"&lt;&gt;Retracted",attestations!$D$2:$D$5000,"&lt;&gt;Negative*",attestations!$R$2:$R$5000,"Image")</f>
        <v>0</v>
      </c>
      <c r="R159" s="2">
        <f>COUNTIFS(attestations!$B$2:$B$5000,$A159,attestations!$T$2:$T$5000,"&lt;&gt;Retracted",attestations!$D$2:$D$5000,"&lt;&gt;Negative*",attestations!$R$2:$R$5000,"Textual")</f>
        <v>5</v>
      </c>
      <c r="S159" s="2">
        <f>COUNTIFS(attestations!$B$2:$B$5000,$A159,attestations!$T$2:$T$5000,"&lt;&gt;Retracted",attestations!$D$2:$D$5000,"Geometry (Setting)")</f>
        <v>1</v>
      </c>
      <c r="T159" s="2" t="str">
        <f t="shared" si="5"/>
        <v>Medium</v>
      </c>
      <c r="U159" s="2" t="str">
        <f>IF(COUNTIFS(attestations!$B$2:$B$5000,$A159,attestations!$T$2:$T$5000,"&lt;&gt;Retracted",attestations!$I$2:$I$5000,"Georeferenced map GCP")&gt;0,"Y","N")</f>
        <v>Y</v>
      </c>
      <c r="V159" t="s">
        <v>191</v>
      </c>
      <c r="W159" t="s">
        <v>209</v>
      </c>
      <c r="X159" t="s">
        <v>838</v>
      </c>
      <c r="Y159" t="s">
        <v>193</v>
      </c>
      <c r="AB159">
        <f>IF(A159="","",SUMIFS(attestations!$U$2:$U$5000,attestations!$B$2:$B$5000,A159))</f>
        <v>7</v>
      </c>
    </row>
    <row r="160" spans="1:28" x14ac:dyDescent="0.2">
      <c r="A160" t="s">
        <v>839</v>
      </c>
      <c r="B160" t="s">
        <v>840</v>
      </c>
      <c r="D160" t="s">
        <v>306</v>
      </c>
      <c r="E160" t="s">
        <v>307</v>
      </c>
      <c r="F160" t="s">
        <v>779</v>
      </c>
      <c r="G160" t="s">
        <v>249</v>
      </c>
      <c r="H160" t="s">
        <v>223</v>
      </c>
      <c r="I160" t="s">
        <v>841</v>
      </c>
      <c r="K160" t="s">
        <v>208</v>
      </c>
      <c r="L160" t="s">
        <v>209</v>
      </c>
      <c r="M160" t="str">
        <f t="shared" si="4"/>
        <v>Point + buffer</v>
      </c>
      <c r="N160">
        <v>300</v>
      </c>
      <c r="O160" s="2">
        <f>COUNTIFS(attestations!$B$2:$B$5000,$A160,attestations!$T$2:$T$5000,"&lt;&gt;Retracted",attestations!$D$2:$D$5000,"&lt;&gt;Negative*")</f>
        <v>3</v>
      </c>
      <c r="P160" s="2">
        <f>COUNTIFS(attestations!$B$2:$B$5000,$A160,attestations!$T$2:$T$5000,"&lt;&gt;Retracted",attestations!$D$2:$D$5000,"&lt;&gt;Negative*",attestations!$R$2:$R$5000,"Map")</f>
        <v>2</v>
      </c>
      <c r="Q160" s="2">
        <f>COUNTIFS(attestations!$B$2:$B$5000,$A160,attestations!$T$2:$T$5000,"&lt;&gt;Retracted",attestations!$D$2:$D$5000,"&lt;&gt;Negative*",attestations!$R$2:$R$5000,"Image")</f>
        <v>0</v>
      </c>
      <c r="R160" s="2">
        <f>COUNTIFS(attestations!$B$2:$B$5000,$A160,attestations!$T$2:$T$5000,"&lt;&gt;Retracted",attestations!$D$2:$D$5000,"&lt;&gt;Negative*",attestations!$R$2:$R$5000,"Textual")</f>
        <v>1</v>
      </c>
      <c r="S160" s="2">
        <f>COUNTIFS(attestations!$B$2:$B$5000,$A160,attestations!$T$2:$T$5000,"&lt;&gt;Retracted",attestations!$D$2:$D$5000,"Geometry (Setting)")</f>
        <v>1</v>
      </c>
      <c r="T160" s="2" t="str">
        <f t="shared" si="5"/>
        <v>Medium</v>
      </c>
      <c r="U160" s="2" t="str">
        <f>IF(COUNTIFS(attestations!$B$2:$B$5000,$A160,attestations!$T$2:$T$5000,"&lt;&gt;Retracted",attestations!$I$2:$I$5000,"Georeferenced map GCP")&gt;0,"Y","N")</f>
        <v>Y</v>
      </c>
      <c r="V160" t="s">
        <v>191</v>
      </c>
      <c r="W160" t="s">
        <v>209</v>
      </c>
      <c r="X160" t="s">
        <v>842</v>
      </c>
      <c r="Y160" t="s">
        <v>193</v>
      </c>
      <c r="AA160" t="s">
        <v>843</v>
      </c>
      <c r="AB160">
        <f>IF(A160="","",SUMIFS(attestations!$U$2:$U$5000,attestations!$B$2:$B$5000,A160))</f>
        <v>3</v>
      </c>
    </row>
    <row r="161" spans="1:28" x14ac:dyDescent="0.2">
      <c r="A161" t="s">
        <v>844</v>
      </c>
      <c r="B161" t="s">
        <v>845</v>
      </c>
      <c r="D161" t="s">
        <v>306</v>
      </c>
      <c r="E161" t="s">
        <v>208</v>
      </c>
      <c r="F161" t="s">
        <v>208</v>
      </c>
      <c r="G161" t="s">
        <v>185</v>
      </c>
      <c r="H161" t="s">
        <v>223</v>
      </c>
      <c r="I161" t="s">
        <v>627</v>
      </c>
      <c r="K161" t="s">
        <v>208</v>
      </c>
      <c r="L161" t="s">
        <v>208</v>
      </c>
      <c r="M161" t="str">
        <f t="shared" si="4"/>
        <v>Unplotted (unlocated panel)</v>
      </c>
      <c r="O161" s="2">
        <f>COUNTIFS(attestations!$B$2:$B$5000,$A161,attestations!$T$2:$T$5000,"&lt;&gt;Retracted",attestations!$D$2:$D$5000,"&lt;&gt;Negative*")</f>
        <v>6</v>
      </c>
      <c r="P161" s="2">
        <f>COUNTIFS(attestations!$B$2:$B$5000,$A161,attestations!$T$2:$T$5000,"&lt;&gt;Retracted",attestations!$D$2:$D$5000,"&lt;&gt;Negative*",attestations!$R$2:$R$5000,"Map")</f>
        <v>5</v>
      </c>
      <c r="Q161" s="2">
        <f>COUNTIFS(attestations!$B$2:$B$5000,$A161,attestations!$T$2:$T$5000,"&lt;&gt;Retracted",attestations!$D$2:$D$5000,"&lt;&gt;Negative*",attestations!$R$2:$R$5000,"Image")</f>
        <v>0</v>
      </c>
      <c r="R161" s="2">
        <f>COUNTIFS(attestations!$B$2:$B$5000,$A161,attestations!$T$2:$T$5000,"&lt;&gt;Retracted",attestations!$D$2:$D$5000,"&lt;&gt;Negative*",attestations!$R$2:$R$5000,"Textual")</f>
        <v>1</v>
      </c>
      <c r="S161" s="2">
        <f>COUNTIFS(attestations!$B$2:$B$5000,$A161,attestations!$T$2:$T$5000,"&lt;&gt;Retracted",attestations!$D$2:$D$5000,"Geometry (Setting)")</f>
        <v>1</v>
      </c>
      <c r="T161" s="2" t="str">
        <f t="shared" si="5"/>
        <v>Medium</v>
      </c>
      <c r="U161" s="2" t="str">
        <f>IF(COUNTIFS(attestations!$B$2:$B$5000,$A161,attestations!$T$2:$T$5000,"&lt;&gt;Retracted",attestations!$I$2:$I$5000,"Georeferenced map GCP")&gt;0,"Y","N")</f>
        <v>N</v>
      </c>
      <c r="V161" t="s">
        <v>191</v>
      </c>
      <c r="W161" t="s">
        <v>209</v>
      </c>
      <c r="X161" t="s">
        <v>846</v>
      </c>
      <c r="Y161" t="s">
        <v>193</v>
      </c>
      <c r="AB161">
        <f>IF(A161="","",SUMIFS(attestations!$U$2:$U$5000,attestations!$B$2:$B$5000,A161))</f>
        <v>4</v>
      </c>
    </row>
    <row r="162" spans="1:28" x14ac:dyDescent="0.2">
      <c r="A162" t="s">
        <v>847</v>
      </c>
      <c r="B162" t="s">
        <v>848</v>
      </c>
      <c r="C162" t="s">
        <v>849</v>
      </c>
      <c r="D162" t="s">
        <v>182</v>
      </c>
      <c r="E162" t="s">
        <v>307</v>
      </c>
      <c r="F162" t="s">
        <v>779</v>
      </c>
      <c r="G162" t="s">
        <v>185</v>
      </c>
      <c r="H162" t="s">
        <v>223</v>
      </c>
      <c r="I162" t="s">
        <v>405</v>
      </c>
      <c r="K162" t="s">
        <v>189</v>
      </c>
      <c r="L162" t="s">
        <v>209</v>
      </c>
      <c r="M162" t="str">
        <f t="shared" si="4"/>
        <v>Point + buffer</v>
      </c>
      <c r="N162">
        <v>250</v>
      </c>
      <c r="O162" s="2">
        <f>COUNTIFS(attestations!$B$2:$B$5000,$A162,attestations!$T$2:$T$5000,"&lt;&gt;Retracted",attestations!$D$2:$D$5000,"&lt;&gt;Negative*")</f>
        <v>12</v>
      </c>
      <c r="P162" s="2">
        <f>COUNTIFS(attestations!$B$2:$B$5000,$A162,attestations!$T$2:$T$5000,"&lt;&gt;Retracted",attestations!$D$2:$D$5000,"&lt;&gt;Negative*",attestations!$R$2:$R$5000,"Map")</f>
        <v>6</v>
      </c>
      <c r="Q162" s="2">
        <f>COUNTIFS(attestations!$B$2:$B$5000,$A162,attestations!$T$2:$T$5000,"&lt;&gt;Retracted",attestations!$D$2:$D$5000,"&lt;&gt;Negative*",attestations!$R$2:$R$5000,"Image")</f>
        <v>1</v>
      </c>
      <c r="R162" s="2">
        <f>COUNTIFS(attestations!$B$2:$B$5000,$A162,attestations!$T$2:$T$5000,"&lt;&gt;Retracted",attestations!$D$2:$D$5000,"&lt;&gt;Negative*",attestations!$R$2:$R$5000,"Textual")</f>
        <v>5</v>
      </c>
      <c r="S162" s="2">
        <f>COUNTIFS(attestations!$B$2:$B$5000,$A162,attestations!$T$2:$T$5000,"&lt;&gt;Retracted",attestations!$D$2:$D$5000,"Geometry (Setting)")</f>
        <v>2</v>
      </c>
      <c r="T162" s="2" t="str">
        <f t="shared" si="5"/>
        <v>High</v>
      </c>
      <c r="U162" s="2" t="str">
        <f>IF(COUNTIFS(attestations!$B$2:$B$5000,$A162,attestations!$T$2:$T$5000,"&lt;&gt;Retracted",attestations!$I$2:$I$5000,"Georeferenced map GCP")&gt;0,"Y","N")</f>
        <v>Y</v>
      </c>
      <c r="V162" t="s">
        <v>191</v>
      </c>
      <c r="W162" t="s">
        <v>209</v>
      </c>
      <c r="X162" t="s">
        <v>850</v>
      </c>
      <c r="Y162" t="s">
        <v>193</v>
      </c>
      <c r="AA162" t="s">
        <v>851</v>
      </c>
      <c r="AB162">
        <f>IF(A162="","",SUMIFS(attestations!$U$2:$U$5000,attestations!$B$2:$B$5000,A162))</f>
        <v>10</v>
      </c>
    </row>
    <row r="163" spans="1:28" x14ac:dyDescent="0.2">
      <c r="A163" t="s">
        <v>852</v>
      </c>
      <c r="B163" t="s">
        <v>853</v>
      </c>
      <c r="C163" t="s">
        <v>854</v>
      </c>
      <c r="D163" t="s">
        <v>289</v>
      </c>
      <c r="E163" t="s">
        <v>236</v>
      </c>
      <c r="F163" t="s">
        <v>237</v>
      </c>
      <c r="G163" t="s">
        <v>320</v>
      </c>
      <c r="H163" t="s">
        <v>290</v>
      </c>
      <c r="I163" t="s">
        <v>691</v>
      </c>
      <c r="J163" t="s">
        <v>245</v>
      </c>
      <c r="K163" t="s">
        <v>208</v>
      </c>
      <c r="L163" t="s">
        <v>190</v>
      </c>
      <c r="M163" t="str">
        <f t="shared" si="4"/>
        <v>Translucent area</v>
      </c>
      <c r="O163" s="2">
        <f>COUNTIFS(attestations!$B$2:$B$5000,$A163,attestations!$T$2:$T$5000,"&lt;&gt;Retracted",attestations!$D$2:$D$5000,"&lt;&gt;Negative*")</f>
        <v>3</v>
      </c>
      <c r="P163" s="2">
        <f>COUNTIFS(attestations!$B$2:$B$5000,$A163,attestations!$T$2:$T$5000,"&lt;&gt;Retracted",attestations!$D$2:$D$5000,"&lt;&gt;Negative*",attestations!$R$2:$R$5000,"Map")</f>
        <v>1</v>
      </c>
      <c r="Q163" s="2">
        <f>COUNTIFS(attestations!$B$2:$B$5000,$A163,attestations!$T$2:$T$5000,"&lt;&gt;Retracted",attestations!$D$2:$D$5000,"&lt;&gt;Negative*",attestations!$R$2:$R$5000,"Image")</f>
        <v>0</v>
      </c>
      <c r="R163" s="2">
        <f>COUNTIFS(attestations!$B$2:$B$5000,$A163,attestations!$T$2:$T$5000,"&lt;&gt;Retracted",attestations!$D$2:$D$5000,"&lt;&gt;Negative*",attestations!$R$2:$R$5000,"Textual")</f>
        <v>2</v>
      </c>
      <c r="S163" s="2">
        <f>COUNTIFS(attestations!$B$2:$B$5000,$A163,attestations!$T$2:$T$5000,"&lt;&gt;Retracted",attestations!$D$2:$D$5000,"Geometry (Setting)")</f>
        <v>1</v>
      </c>
      <c r="T163" s="2" t="str">
        <f t="shared" si="5"/>
        <v>Medium</v>
      </c>
      <c r="U163" s="2" t="str">
        <f>IF(COUNTIFS(attestations!$B$2:$B$5000,$A163,attestations!$T$2:$T$5000,"&lt;&gt;Retracted",attestations!$I$2:$I$5000,"Georeferenced map GCP")&gt;0,"Y","N")</f>
        <v>N</v>
      </c>
      <c r="V163" t="s">
        <v>191</v>
      </c>
      <c r="W163" t="s">
        <v>203</v>
      </c>
      <c r="X163" t="s">
        <v>855</v>
      </c>
      <c r="Y163" t="s">
        <v>293</v>
      </c>
      <c r="Z163" t="s">
        <v>242</v>
      </c>
      <c r="AB163">
        <f>IF(A163="","",SUMIFS(attestations!$U$2:$U$5000,attestations!$B$2:$B$5000,A163))</f>
        <v>3</v>
      </c>
    </row>
    <row r="164" spans="1:28" x14ac:dyDescent="0.2">
      <c r="A164" t="s">
        <v>856</v>
      </c>
      <c r="B164" t="s">
        <v>857</v>
      </c>
      <c r="C164" t="s">
        <v>858</v>
      </c>
      <c r="D164" t="s">
        <v>289</v>
      </c>
      <c r="E164" t="s">
        <v>236</v>
      </c>
      <c r="F164" t="s">
        <v>237</v>
      </c>
      <c r="G164" t="s">
        <v>238</v>
      </c>
      <c r="H164" t="s">
        <v>223</v>
      </c>
      <c r="I164" t="s">
        <v>616</v>
      </c>
      <c r="J164" t="s">
        <v>240</v>
      </c>
      <c r="K164" t="s">
        <v>208</v>
      </c>
      <c r="L164" t="s">
        <v>208</v>
      </c>
      <c r="M164" t="str">
        <f t="shared" si="4"/>
        <v>Unplotted (unlocated panel)</v>
      </c>
      <c r="O164" s="2">
        <f>COUNTIFS(attestations!$B$2:$B$5000,$A164,attestations!$T$2:$T$5000,"&lt;&gt;Retracted",attestations!$D$2:$D$5000,"&lt;&gt;Negative*")</f>
        <v>2</v>
      </c>
      <c r="P164" s="2">
        <f>COUNTIFS(attestations!$B$2:$B$5000,$A164,attestations!$T$2:$T$5000,"&lt;&gt;Retracted",attestations!$D$2:$D$5000,"&lt;&gt;Negative*",attestations!$R$2:$R$5000,"Map")</f>
        <v>0</v>
      </c>
      <c r="Q164" s="2">
        <f>COUNTIFS(attestations!$B$2:$B$5000,$A164,attestations!$T$2:$T$5000,"&lt;&gt;Retracted",attestations!$D$2:$D$5000,"&lt;&gt;Negative*",attestations!$R$2:$R$5000,"Image")</f>
        <v>0</v>
      </c>
      <c r="R164" s="2">
        <f>COUNTIFS(attestations!$B$2:$B$5000,$A164,attestations!$T$2:$T$5000,"&lt;&gt;Retracted",attestations!$D$2:$D$5000,"&lt;&gt;Negative*",attestations!$R$2:$R$5000,"Textual")</f>
        <v>2</v>
      </c>
      <c r="S164" s="2">
        <f>COUNTIFS(attestations!$B$2:$B$5000,$A164,attestations!$T$2:$T$5000,"&lt;&gt;Retracted",attestations!$D$2:$D$5000,"Geometry (Setting)")</f>
        <v>0</v>
      </c>
      <c r="T164" s="2" t="str">
        <f t="shared" si="5"/>
        <v>Low</v>
      </c>
      <c r="U164" s="2" t="str">
        <f>IF(COUNTIFS(attestations!$B$2:$B$5000,$A164,attestations!$T$2:$T$5000,"&lt;&gt;Retracted",attestations!$I$2:$I$5000,"Georeferenced map GCP")&gt;0,"Y","N")</f>
        <v>N</v>
      </c>
      <c r="V164" t="s">
        <v>191</v>
      </c>
      <c r="W164" t="s">
        <v>209</v>
      </c>
      <c r="X164" t="s">
        <v>859</v>
      </c>
      <c r="Y164" t="s">
        <v>293</v>
      </c>
      <c r="Z164" t="s">
        <v>233</v>
      </c>
      <c r="AB164">
        <f>IF(A164="","",SUMIFS(attestations!$U$2:$U$5000,attestations!$B$2:$B$5000,A164))</f>
        <v>2</v>
      </c>
    </row>
    <row r="165" spans="1:28" x14ac:dyDescent="0.2">
      <c r="A165" t="s">
        <v>860</v>
      </c>
      <c r="B165" t="s">
        <v>861</v>
      </c>
      <c r="D165" t="s">
        <v>289</v>
      </c>
      <c r="E165" t="s">
        <v>208</v>
      </c>
      <c r="F165" t="s">
        <v>208</v>
      </c>
      <c r="G165" t="s">
        <v>249</v>
      </c>
      <c r="H165" t="s">
        <v>250</v>
      </c>
      <c r="I165" t="s">
        <v>862</v>
      </c>
      <c r="J165" t="s">
        <v>863</v>
      </c>
      <c r="K165" t="s">
        <v>208</v>
      </c>
      <c r="L165" t="s">
        <v>208</v>
      </c>
      <c r="M165" t="str">
        <f t="shared" si="4"/>
        <v>Unplotted (unlocated panel)</v>
      </c>
      <c r="O165" s="2">
        <f>COUNTIFS(attestations!$B$2:$B$5000,$A165,attestations!$T$2:$T$5000,"&lt;&gt;Retracted",attestations!$D$2:$D$5000,"&lt;&gt;Negative*")</f>
        <v>5</v>
      </c>
      <c r="P165" s="2">
        <f>COUNTIFS(attestations!$B$2:$B$5000,$A165,attestations!$T$2:$T$5000,"&lt;&gt;Retracted",attestations!$D$2:$D$5000,"&lt;&gt;Negative*",attestations!$R$2:$R$5000,"Map")</f>
        <v>0</v>
      </c>
      <c r="Q165" s="2">
        <f>COUNTIFS(attestations!$B$2:$B$5000,$A165,attestations!$T$2:$T$5000,"&lt;&gt;Retracted",attestations!$D$2:$D$5000,"&lt;&gt;Negative*",attestations!$R$2:$R$5000,"Image")</f>
        <v>1</v>
      </c>
      <c r="R165" s="2">
        <f>COUNTIFS(attestations!$B$2:$B$5000,$A165,attestations!$T$2:$T$5000,"&lt;&gt;Retracted",attestations!$D$2:$D$5000,"&lt;&gt;Negative*",attestations!$R$2:$R$5000,"Textual")</f>
        <v>4</v>
      </c>
      <c r="S165" s="2">
        <f>COUNTIFS(attestations!$B$2:$B$5000,$A165,attestations!$T$2:$T$5000,"&lt;&gt;Retracted",attestations!$D$2:$D$5000,"Geometry (Setting)")</f>
        <v>0</v>
      </c>
      <c r="T165" s="2" t="str">
        <f t="shared" si="5"/>
        <v>Medium</v>
      </c>
      <c r="U165" s="2" t="str">
        <f>IF(COUNTIFS(attestations!$B$2:$B$5000,$A165,attestations!$T$2:$T$5000,"&lt;&gt;Retracted",attestations!$I$2:$I$5000,"Georeferenced map GCP")&gt;0,"Y","N")</f>
        <v>N</v>
      </c>
      <c r="V165" t="s">
        <v>191</v>
      </c>
      <c r="W165" t="s">
        <v>209</v>
      </c>
      <c r="X165" t="s">
        <v>864</v>
      </c>
      <c r="Y165" t="s">
        <v>293</v>
      </c>
      <c r="Z165" t="s">
        <v>335</v>
      </c>
      <c r="AB165">
        <f>IF(A165="","",SUMIFS(attestations!$U$2:$U$5000,attestations!$B$2:$B$5000,A165))</f>
        <v>5</v>
      </c>
    </row>
    <row r="166" spans="1:28" x14ac:dyDescent="0.2">
      <c r="A166" t="s">
        <v>865</v>
      </c>
      <c r="B166" t="s">
        <v>866</v>
      </c>
      <c r="D166" t="s">
        <v>289</v>
      </c>
      <c r="E166" t="s">
        <v>183</v>
      </c>
      <c r="F166" t="s">
        <v>184</v>
      </c>
      <c r="G166" t="s">
        <v>300</v>
      </c>
      <c r="H166" t="s">
        <v>223</v>
      </c>
      <c r="I166" t="s">
        <v>867</v>
      </c>
      <c r="J166" t="s">
        <v>188</v>
      </c>
      <c r="K166" t="s">
        <v>208</v>
      </c>
      <c r="L166" t="s">
        <v>208</v>
      </c>
      <c r="M166" t="str">
        <f t="shared" si="4"/>
        <v>Unplotted (unlocated panel)</v>
      </c>
      <c r="O166" s="2">
        <f>COUNTIFS(attestations!$B$2:$B$5000,$A166,attestations!$T$2:$T$5000,"&lt;&gt;Retracted",attestations!$D$2:$D$5000,"&lt;&gt;Negative*")</f>
        <v>2</v>
      </c>
      <c r="P166" s="2">
        <f>COUNTIFS(attestations!$B$2:$B$5000,$A166,attestations!$T$2:$T$5000,"&lt;&gt;Retracted",attestations!$D$2:$D$5000,"&lt;&gt;Negative*",attestations!$R$2:$R$5000,"Map")</f>
        <v>0</v>
      </c>
      <c r="Q166" s="2">
        <f>COUNTIFS(attestations!$B$2:$B$5000,$A166,attestations!$T$2:$T$5000,"&lt;&gt;Retracted",attestations!$D$2:$D$5000,"&lt;&gt;Negative*",attestations!$R$2:$R$5000,"Image")</f>
        <v>0</v>
      </c>
      <c r="R166" s="2">
        <f>COUNTIFS(attestations!$B$2:$B$5000,$A166,attestations!$T$2:$T$5000,"&lt;&gt;Retracted",attestations!$D$2:$D$5000,"&lt;&gt;Negative*",attestations!$R$2:$R$5000,"Textual")</f>
        <v>2</v>
      </c>
      <c r="S166" s="2">
        <f>COUNTIFS(attestations!$B$2:$B$5000,$A166,attestations!$T$2:$T$5000,"&lt;&gt;Retracted",attestations!$D$2:$D$5000,"Geometry (Setting)")</f>
        <v>0</v>
      </c>
      <c r="T166" s="2" t="str">
        <f t="shared" si="5"/>
        <v>Low</v>
      </c>
      <c r="U166" s="2" t="str">
        <f>IF(COUNTIFS(attestations!$B$2:$B$5000,$A166,attestations!$T$2:$T$5000,"&lt;&gt;Retracted",attestations!$I$2:$I$5000,"Georeferenced map GCP")&gt;0,"Y","N")</f>
        <v>N</v>
      </c>
      <c r="V166" t="s">
        <v>191</v>
      </c>
      <c r="X166" t="s">
        <v>868</v>
      </c>
      <c r="Y166" t="s">
        <v>293</v>
      </c>
      <c r="Z166" t="s">
        <v>179</v>
      </c>
      <c r="AB166">
        <f>IF(A166="","",SUMIFS(attestations!$U$2:$U$5000,attestations!$B$2:$B$5000,A166))</f>
        <v>2</v>
      </c>
    </row>
    <row r="167" spans="1:28" x14ac:dyDescent="0.2">
      <c r="A167" t="s">
        <v>869</v>
      </c>
      <c r="B167" t="s">
        <v>870</v>
      </c>
      <c r="C167" t="s">
        <v>871</v>
      </c>
      <c r="D167" t="s">
        <v>658</v>
      </c>
      <c r="E167" t="s">
        <v>236</v>
      </c>
      <c r="F167" t="s">
        <v>237</v>
      </c>
      <c r="G167" t="s">
        <v>238</v>
      </c>
      <c r="H167" t="s">
        <v>223</v>
      </c>
      <c r="I167" t="s">
        <v>613</v>
      </c>
      <c r="J167" t="s">
        <v>245</v>
      </c>
      <c r="K167" t="s">
        <v>208</v>
      </c>
      <c r="L167" t="s">
        <v>208</v>
      </c>
      <c r="M167" t="str">
        <f t="shared" si="4"/>
        <v>Unplotted (unlocated panel)</v>
      </c>
      <c r="O167" s="2">
        <f>COUNTIFS(attestations!$B$2:$B$5000,$A167,attestations!$T$2:$T$5000,"&lt;&gt;Retracted",attestations!$D$2:$D$5000,"&lt;&gt;Negative*")</f>
        <v>5</v>
      </c>
      <c r="P167" s="2">
        <f>COUNTIFS(attestations!$B$2:$B$5000,$A167,attestations!$T$2:$T$5000,"&lt;&gt;Retracted",attestations!$D$2:$D$5000,"&lt;&gt;Negative*",attestations!$R$2:$R$5000,"Map")</f>
        <v>0</v>
      </c>
      <c r="Q167" s="2">
        <f>COUNTIFS(attestations!$B$2:$B$5000,$A167,attestations!$T$2:$T$5000,"&lt;&gt;Retracted",attestations!$D$2:$D$5000,"&lt;&gt;Negative*",attestations!$R$2:$R$5000,"Image")</f>
        <v>1</v>
      </c>
      <c r="R167" s="2">
        <f>COUNTIFS(attestations!$B$2:$B$5000,$A167,attestations!$T$2:$T$5000,"&lt;&gt;Retracted",attestations!$D$2:$D$5000,"&lt;&gt;Negative*",attestations!$R$2:$R$5000,"Textual")</f>
        <v>4</v>
      </c>
      <c r="S167" s="2">
        <f>COUNTIFS(attestations!$B$2:$B$5000,$A167,attestations!$T$2:$T$5000,"&lt;&gt;Retracted",attestations!$D$2:$D$5000,"Geometry (Setting)")</f>
        <v>0</v>
      </c>
      <c r="T167" s="2" t="str">
        <f t="shared" si="5"/>
        <v>Medium</v>
      </c>
      <c r="U167" s="2" t="str">
        <f>IF(COUNTIFS(attestations!$B$2:$B$5000,$A167,attestations!$T$2:$T$5000,"&lt;&gt;Retracted",attestations!$I$2:$I$5000,"Georeferenced map GCP")&gt;0,"Y","N")</f>
        <v>N</v>
      </c>
      <c r="V167" t="s">
        <v>191</v>
      </c>
      <c r="W167" t="s">
        <v>209</v>
      </c>
      <c r="X167" t="s">
        <v>872</v>
      </c>
      <c r="Y167" t="s">
        <v>275</v>
      </c>
      <c r="Z167" t="s">
        <v>247</v>
      </c>
      <c r="AB167">
        <f>IF(A167="","",SUMIFS(attestations!$U$2:$U$5000,attestations!$B$2:$B$5000,A167))</f>
        <v>5</v>
      </c>
    </row>
    <row r="168" spans="1:28" x14ac:dyDescent="0.2">
      <c r="A168" t="s">
        <v>873</v>
      </c>
      <c r="B168" t="s">
        <v>874</v>
      </c>
      <c r="D168" t="s">
        <v>654</v>
      </c>
      <c r="E168" t="s">
        <v>236</v>
      </c>
      <c r="F168" t="s">
        <v>237</v>
      </c>
      <c r="G168" t="s">
        <v>249</v>
      </c>
      <c r="H168" t="s">
        <v>250</v>
      </c>
      <c r="I168" t="s">
        <v>696</v>
      </c>
      <c r="J168" t="s">
        <v>245</v>
      </c>
      <c r="K168" t="s">
        <v>208</v>
      </c>
      <c r="L168" t="s">
        <v>203</v>
      </c>
      <c r="M168" t="str">
        <f t="shared" si="4"/>
        <v>Solid point</v>
      </c>
      <c r="N168">
        <v>150</v>
      </c>
      <c r="O168" s="2">
        <f>COUNTIFS(attestations!$B$2:$B$5000,$A168,attestations!$T$2:$T$5000,"&lt;&gt;Retracted",attestations!$D$2:$D$5000,"&lt;&gt;Negative*")</f>
        <v>5</v>
      </c>
      <c r="P168" s="2">
        <f>COUNTIFS(attestations!$B$2:$B$5000,$A168,attestations!$T$2:$T$5000,"&lt;&gt;Retracted",attestations!$D$2:$D$5000,"&lt;&gt;Negative*",attestations!$R$2:$R$5000,"Map")</f>
        <v>1</v>
      </c>
      <c r="Q168" s="2">
        <f>COUNTIFS(attestations!$B$2:$B$5000,$A168,attestations!$T$2:$T$5000,"&lt;&gt;Retracted",attestations!$D$2:$D$5000,"&lt;&gt;Negative*",attestations!$R$2:$R$5000,"Image")</f>
        <v>1</v>
      </c>
      <c r="R168" s="2">
        <f>COUNTIFS(attestations!$B$2:$B$5000,$A168,attestations!$T$2:$T$5000,"&lt;&gt;Retracted",attestations!$D$2:$D$5000,"&lt;&gt;Negative*",attestations!$R$2:$R$5000,"Textual")</f>
        <v>3</v>
      </c>
      <c r="S168" s="2">
        <f>COUNTIFS(attestations!$B$2:$B$5000,$A168,attestations!$T$2:$T$5000,"&lt;&gt;Retracted",attestations!$D$2:$D$5000,"Geometry (Setting)")</f>
        <v>1</v>
      </c>
      <c r="T168" s="2" t="str">
        <f t="shared" si="5"/>
        <v>Medium</v>
      </c>
      <c r="U168" s="2" t="str">
        <f>IF(COUNTIFS(attestations!$B$2:$B$5000,$A168,attestations!$T$2:$T$5000,"&lt;&gt;Retracted",attestations!$I$2:$I$5000,"Georeferenced map GCP")&gt;0,"Y","N")</f>
        <v>Y</v>
      </c>
      <c r="V168" t="s">
        <v>191</v>
      </c>
      <c r="X168" t="s">
        <v>875</v>
      </c>
      <c r="Y168" t="s">
        <v>286</v>
      </c>
      <c r="Z168" t="s">
        <v>247</v>
      </c>
      <c r="AB168">
        <f>IF(A168="","",SUMIFS(attestations!$U$2:$U$5000,attestations!$B$2:$B$5000,A168))</f>
        <v>5</v>
      </c>
    </row>
    <row r="169" spans="1:28" x14ac:dyDescent="0.2">
      <c r="A169" t="s">
        <v>876</v>
      </c>
      <c r="B169" t="s">
        <v>877</v>
      </c>
      <c r="D169" t="s">
        <v>654</v>
      </c>
      <c r="E169" t="s">
        <v>236</v>
      </c>
      <c r="F169" t="s">
        <v>237</v>
      </c>
      <c r="G169" t="s">
        <v>249</v>
      </c>
      <c r="H169" t="s">
        <v>250</v>
      </c>
      <c r="I169" t="s">
        <v>691</v>
      </c>
      <c r="J169" t="s">
        <v>245</v>
      </c>
      <c r="K169" t="s">
        <v>208</v>
      </c>
      <c r="L169" t="s">
        <v>203</v>
      </c>
      <c r="M169" t="str">
        <f t="shared" si="4"/>
        <v>Solid point</v>
      </c>
      <c r="N169">
        <v>150</v>
      </c>
      <c r="O169" s="2">
        <f>COUNTIFS(attestations!$B$2:$B$5000,$A169,attestations!$T$2:$T$5000,"&lt;&gt;Retracted",attestations!$D$2:$D$5000,"&lt;&gt;Negative*")</f>
        <v>6</v>
      </c>
      <c r="P169" s="2">
        <f>COUNTIFS(attestations!$B$2:$B$5000,$A169,attestations!$T$2:$T$5000,"&lt;&gt;Retracted",attestations!$D$2:$D$5000,"&lt;&gt;Negative*",attestations!$R$2:$R$5000,"Map")</f>
        <v>1</v>
      </c>
      <c r="Q169" s="2">
        <f>COUNTIFS(attestations!$B$2:$B$5000,$A169,attestations!$T$2:$T$5000,"&lt;&gt;Retracted",attestations!$D$2:$D$5000,"&lt;&gt;Negative*",attestations!$R$2:$R$5000,"Image")</f>
        <v>1</v>
      </c>
      <c r="R169" s="2">
        <f>COUNTIFS(attestations!$B$2:$B$5000,$A169,attestations!$T$2:$T$5000,"&lt;&gt;Retracted",attestations!$D$2:$D$5000,"&lt;&gt;Negative*",attestations!$R$2:$R$5000,"Textual")</f>
        <v>4</v>
      </c>
      <c r="S169" s="2">
        <f>COUNTIFS(attestations!$B$2:$B$5000,$A169,attestations!$T$2:$T$5000,"&lt;&gt;Retracted",attestations!$D$2:$D$5000,"Geometry (Setting)")</f>
        <v>1</v>
      </c>
      <c r="T169" s="2" t="str">
        <f t="shared" si="5"/>
        <v>Medium</v>
      </c>
      <c r="U169" s="2" t="str">
        <f>IF(COUNTIFS(attestations!$B$2:$B$5000,$A169,attestations!$T$2:$T$5000,"&lt;&gt;Retracted",attestations!$I$2:$I$5000,"Georeferenced map GCP")&gt;0,"Y","N")</f>
        <v>Y</v>
      </c>
      <c r="V169" t="s">
        <v>191</v>
      </c>
      <c r="W169" t="s">
        <v>209</v>
      </c>
      <c r="X169" t="s">
        <v>878</v>
      </c>
      <c r="Y169" t="s">
        <v>286</v>
      </c>
      <c r="Z169" t="s">
        <v>247</v>
      </c>
      <c r="AB169">
        <f>IF(A169="","",SUMIFS(attestations!$U$2:$U$5000,attestations!$B$2:$B$5000,A169))</f>
        <v>6</v>
      </c>
    </row>
    <row r="170" spans="1:28" x14ac:dyDescent="0.2">
      <c r="A170" t="s">
        <v>879</v>
      </c>
      <c r="B170" t="s">
        <v>880</v>
      </c>
      <c r="D170" t="s">
        <v>658</v>
      </c>
      <c r="E170" t="s">
        <v>236</v>
      </c>
      <c r="F170" t="s">
        <v>237</v>
      </c>
      <c r="G170" t="s">
        <v>314</v>
      </c>
      <c r="H170" t="s">
        <v>250</v>
      </c>
      <c r="I170" t="s">
        <v>881</v>
      </c>
      <c r="J170" t="s">
        <v>527</v>
      </c>
      <c r="K170" t="s">
        <v>208</v>
      </c>
      <c r="L170" t="s">
        <v>203</v>
      </c>
      <c r="M170" t="str">
        <f t="shared" si="4"/>
        <v>Solid point</v>
      </c>
      <c r="N170">
        <v>150</v>
      </c>
      <c r="O170" s="2">
        <f>COUNTIFS(attestations!$B$2:$B$5000,$A170,attestations!$T$2:$T$5000,"&lt;&gt;Retracted",attestations!$D$2:$D$5000,"&lt;&gt;Negative*")</f>
        <v>2</v>
      </c>
      <c r="P170" s="2">
        <f>COUNTIFS(attestations!$B$2:$B$5000,$A170,attestations!$T$2:$T$5000,"&lt;&gt;Retracted",attestations!$D$2:$D$5000,"&lt;&gt;Negative*",attestations!$R$2:$R$5000,"Map")</f>
        <v>1</v>
      </c>
      <c r="Q170" s="2">
        <f>COUNTIFS(attestations!$B$2:$B$5000,$A170,attestations!$T$2:$T$5000,"&lt;&gt;Retracted",attestations!$D$2:$D$5000,"&lt;&gt;Negative*",attestations!$R$2:$R$5000,"Image")</f>
        <v>0</v>
      </c>
      <c r="R170" s="2">
        <f>COUNTIFS(attestations!$B$2:$B$5000,$A170,attestations!$T$2:$T$5000,"&lt;&gt;Retracted",attestations!$D$2:$D$5000,"&lt;&gt;Negative*",attestations!$R$2:$R$5000,"Textual")</f>
        <v>1</v>
      </c>
      <c r="S170" s="2">
        <f>COUNTIFS(attestations!$B$2:$B$5000,$A170,attestations!$T$2:$T$5000,"&lt;&gt;Retracted",attestations!$D$2:$D$5000,"Geometry (Setting)")</f>
        <v>1</v>
      </c>
      <c r="T170" s="2" t="str">
        <f t="shared" si="5"/>
        <v>Low</v>
      </c>
      <c r="U170" s="2" t="str">
        <f>IF(COUNTIFS(attestations!$B$2:$B$5000,$A170,attestations!$T$2:$T$5000,"&lt;&gt;Retracted",attestations!$I$2:$I$5000,"Georeferenced map GCP")&gt;0,"Y","N")</f>
        <v>Y</v>
      </c>
      <c r="V170" t="s">
        <v>191</v>
      </c>
      <c r="X170" t="s">
        <v>882</v>
      </c>
      <c r="Y170" t="s">
        <v>286</v>
      </c>
      <c r="Z170" t="s">
        <v>247</v>
      </c>
      <c r="AB170">
        <f>IF(A170="","",SUMIFS(attestations!$U$2:$U$5000,attestations!$B$2:$B$5000,A170))</f>
        <v>2</v>
      </c>
    </row>
    <row r="171" spans="1:28" x14ac:dyDescent="0.2">
      <c r="A171" t="s">
        <v>883</v>
      </c>
      <c r="B171" t="s">
        <v>884</v>
      </c>
      <c r="D171" t="s">
        <v>306</v>
      </c>
      <c r="E171" t="s">
        <v>307</v>
      </c>
      <c r="F171" t="s">
        <v>779</v>
      </c>
      <c r="G171" t="s">
        <v>249</v>
      </c>
      <c r="H171" t="s">
        <v>223</v>
      </c>
      <c r="I171" t="s">
        <v>885</v>
      </c>
      <c r="K171" t="s">
        <v>208</v>
      </c>
      <c r="L171" t="s">
        <v>209</v>
      </c>
      <c r="M171" t="str">
        <f t="shared" si="4"/>
        <v>Point + buffer</v>
      </c>
      <c r="N171">
        <v>200</v>
      </c>
      <c r="O171" s="2">
        <f>COUNTIFS(attestations!$B$2:$B$5000,$A171,attestations!$T$2:$T$5000,"&lt;&gt;Retracted",attestations!$D$2:$D$5000,"&lt;&gt;Negative*")</f>
        <v>8</v>
      </c>
      <c r="P171" s="2">
        <f>COUNTIFS(attestations!$B$2:$B$5000,$A171,attestations!$T$2:$T$5000,"&lt;&gt;Retracted",attestations!$D$2:$D$5000,"&lt;&gt;Negative*",attestations!$R$2:$R$5000,"Map")</f>
        <v>3</v>
      </c>
      <c r="Q171" s="2">
        <f>COUNTIFS(attestations!$B$2:$B$5000,$A171,attestations!$T$2:$T$5000,"&lt;&gt;Retracted",attestations!$D$2:$D$5000,"&lt;&gt;Negative*",attestations!$R$2:$R$5000,"Image")</f>
        <v>1</v>
      </c>
      <c r="R171" s="2">
        <f>COUNTIFS(attestations!$B$2:$B$5000,$A171,attestations!$T$2:$T$5000,"&lt;&gt;Retracted",attestations!$D$2:$D$5000,"&lt;&gt;Negative*",attestations!$R$2:$R$5000,"Textual")</f>
        <v>4</v>
      </c>
      <c r="S171" s="2">
        <f>COUNTIFS(attestations!$B$2:$B$5000,$A171,attestations!$T$2:$T$5000,"&lt;&gt;Retracted",attestations!$D$2:$D$5000,"Geometry (Setting)")</f>
        <v>2</v>
      </c>
      <c r="T171" s="2" t="str">
        <f t="shared" si="5"/>
        <v>Medium</v>
      </c>
      <c r="U171" s="2" t="str">
        <f>IF(COUNTIFS(attestations!$B$2:$B$5000,$A171,attestations!$T$2:$T$5000,"&lt;&gt;Retracted",attestations!$I$2:$I$5000,"Georeferenced map GCP")&gt;0,"Y","N")</f>
        <v>Y</v>
      </c>
      <c r="V171" t="s">
        <v>191</v>
      </c>
      <c r="W171" t="s">
        <v>209</v>
      </c>
      <c r="X171" t="s">
        <v>886</v>
      </c>
      <c r="Y171" t="s">
        <v>193</v>
      </c>
      <c r="AA171" t="s">
        <v>887</v>
      </c>
      <c r="AB171">
        <f>IF(A171="","",SUMIFS(attestations!$U$2:$U$5000,attestations!$B$2:$B$5000,A171))</f>
        <v>8</v>
      </c>
    </row>
    <row r="172" spans="1:28" x14ac:dyDescent="0.2">
      <c r="A172" t="s">
        <v>888</v>
      </c>
      <c r="B172" t="s">
        <v>889</v>
      </c>
      <c r="C172" t="s">
        <v>890</v>
      </c>
      <c r="D172" t="s">
        <v>207</v>
      </c>
      <c r="E172" t="s">
        <v>183</v>
      </c>
      <c r="F172" t="s">
        <v>184</v>
      </c>
      <c r="G172" t="s">
        <v>185</v>
      </c>
      <c r="H172" t="s">
        <v>186</v>
      </c>
      <c r="I172" t="s">
        <v>257</v>
      </c>
      <c r="J172" t="s">
        <v>478</v>
      </c>
      <c r="K172" t="s">
        <v>208</v>
      </c>
      <c r="L172" t="s">
        <v>209</v>
      </c>
      <c r="M172" t="str">
        <f t="shared" si="4"/>
        <v>Point + buffer</v>
      </c>
      <c r="N172">
        <v>800</v>
      </c>
      <c r="O172" s="2">
        <f>COUNTIFS(attestations!$B$2:$B$5000,$A172,attestations!$T$2:$T$5000,"&lt;&gt;Retracted",attestations!$D$2:$D$5000,"&lt;&gt;Negative*")</f>
        <v>6</v>
      </c>
      <c r="P172" s="2">
        <f>COUNTIFS(attestations!$B$2:$B$5000,$A172,attestations!$T$2:$T$5000,"&lt;&gt;Retracted",attestations!$D$2:$D$5000,"&lt;&gt;Negative*",attestations!$R$2:$R$5000,"Map")</f>
        <v>2</v>
      </c>
      <c r="Q172" s="2">
        <f>COUNTIFS(attestations!$B$2:$B$5000,$A172,attestations!$T$2:$T$5000,"&lt;&gt;Retracted",attestations!$D$2:$D$5000,"&lt;&gt;Negative*",attestations!$R$2:$R$5000,"Image")</f>
        <v>1</v>
      </c>
      <c r="R172" s="2">
        <f>COUNTIFS(attestations!$B$2:$B$5000,$A172,attestations!$T$2:$T$5000,"&lt;&gt;Retracted",attestations!$D$2:$D$5000,"&lt;&gt;Negative*",attestations!$R$2:$R$5000,"Textual")</f>
        <v>3</v>
      </c>
      <c r="S172" s="2">
        <f>COUNTIFS(attestations!$B$2:$B$5000,$A172,attestations!$T$2:$T$5000,"&lt;&gt;Retracted",attestations!$D$2:$D$5000,"Geometry (Setting)")</f>
        <v>1</v>
      </c>
      <c r="T172" s="2" t="str">
        <f t="shared" si="5"/>
        <v>Medium</v>
      </c>
      <c r="U172" s="2" t="str">
        <f>IF(COUNTIFS(attestations!$B$2:$B$5000,$A172,attestations!$T$2:$T$5000,"&lt;&gt;Retracted",attestations!$I$2:$I$5000,"Georeferenced map GCP")&gt;0,"Y","N")</f>
        <v>Y</v>
      </c>
      <c r="V172" t="s">
        <v>191</v>
      </c>
      <c r="W172" t="s">
        <v>209</v>
      </c>
      <c r="X172" t="s">
        <v>891</v>
      </c>
      <c r="Y172" t="s">
        <v>193</v>
      </c>
      <c r="AB172">
        <f>IF(A172="","",SUMIFS(attestations!$U$2:$U$5000,attestations!$B$2:$B$5000,A172))</f>
        <v>6</v>
      </c>
    </row>
    <row r="173" spans="1:28" x14ac:dyDescent="0.2">
      <c r="A173" t="s">
        <v>892</v>
      </c>
      <c r="B173" t="s">
        <v>893</v>
      </c>
      <c r="D173" t="s">
        <v>207</v>
      </c>
      <c r="E173" t="s">
        <v>208</v>
      </c>
      <c r="F173" t="s">
        <v>208</v>
      </c>
      <c r="G173" t="s">
        <v>300</v>
      </c>
      <c r="H173" t="s">
        <v>186</v>
      </c>
      <c r="I173" t="s">
        <v>894</v>
      </c>
      <c r="K173" t="s">
        <v>208</v>
      </c>
      <c r="L173" t="s">
        <v>209</v>
      </c>
      <c r="M173" t="str">
        <f t="shared" si="4"/>
        <v>Point + buffer</v>
      </c>
      <c r="N173">
        <v>500</v>
      </c>
      <c r="O173" s="2">
        <f>COUNTIFS(attestations!$B$2:$B$5000,$A173,attestations!$T$2:$T$5000,"&lt;&gt;Retracted",attestations!$D$2:$D$5000,"&lt;&gt;Negative*")</f>
        <v>2</v>
      </c>
      <c r="P173" s="2">
        <f>COUNTIFS(attestations!$B$2:$B$5000,$A173,attestations!$T$2:$T$5000,"&lt;&gt;Retracted",attestations!$D$2:$D$5000,"&lt;&gt;Negative*",attestations!$R$2:$R$5000,"Map")</f>
        <v>2</v>
      </c>
      <c r="Q173" s="2">
        <f>COUNTIFS(attestations!$B$2:$B$5000,$A173,attestations!$T$2:$T$5000,"&lt;&gt;Retracted",attestations!$D$2:$D$5000,"&lt;&gt;Negative*",attestations!$R$2:$R$5000,"Image")</f>
        <v>0</v>
      </c>
      <c r="R173" s="2">
        <f>COUNTIFS(attestations!$B$2:$B$5000,$A173,attestations!$T$2:$T$5000,"&lt;&gt;Retracted",attestations!$D$2:$D$5000,"&lt;&gt;Negative*",attestations!$R$2:$R$5000,"Textual")</f>
        <v>0</v>
      </c>
      <c r="S173" s="2">
        <f>COUNTIFS(attestations!$B$2:$B$5000,$A173,attestations!$T$2:$T$5000,"&lt;&gt;Retracted",attestations!$D$2:$D$5000,"Geometry (Setting)")</f>
        <v>1</v>
      </c>
      <c r="T173" s="2" t="str">
        <f t="shared" si="5"/>
        <v>Low</v>
      </c>
      <c r="U173" s="2" t="str">
        <f>IF(COUNTIFS(attestations!$B$2:$B$5000,$A173,attestations!$T$2:$T$5000,"&lt;&gt;Retracted",attestations!$I$2:$I$5000,"Georeferenced map GCP")&gt;0,"Y","N")</f>
        <v>Y</v>
      </c>
      <c r="V173" t="s">
        <v>191</v>
      </c>
      <c r="W173" t="s">
        <v>209</v>
      </c>
      <c r="X173" t="s">
        <v>895</v>
      </c>
      <c r="Y173" t="s">
        <v>193</v>
      </c>
      <c r="AB173">
        <f>IF(A173="","",SUMIFS(attestations!$U$2:$U$5000,attestations!$B$2:$B$5000,A173))</f>
        <v>2</v>
      </c>
    </row>
    <row r="174" spans="1:28" x14ac:dyDescent="0.2">
      <c r="A174" t="s">
        <v>896</v>
      </c>
      <c r="B174" t="s">
        <v>897</v>
      </c>
      <c r="D174" t="s">
        <v>207</v>
      </c>
      <c r="E174" t="s">
        <v>208</v>
      </c>
      <c r="F174" t="s">
        <v>208</v>
      </c>
      <c r="G174" t="s">
        <v>300</v>
      </c>
      <c r="H174" t="s">
        <v>186</v>
      </c>
      <c r="I174" t="s">
        <v>257</v>
      </c>
      <c r="K174" t="s">
        <v>208</v>
      </c>
      <c r="L174" t="s">
        <v>209</v>
      </c>
      <c r="M174" t="str">
        <f t="shared" si="4"/>
        <v>Point + buffer</v>
      </c>
      <c r="N174">
        <v>500</v>
      </c>
      <c r="O174" s="2">
        <f>COUNTIFS(attestations!$B$2:$B$5000,$A174,attestations!$T$2:$T$5000,"&lt;&gt;Retracted",attestations!$D$2:$D$5000,"&lt;&gt;Negative*")</f>
        <v>4</v>
      </c>
      <c r="P174" s="2">
        <f>COUNTIFS(attestations!$B$2:$B$5000,$A174,attestations!$T$2:$T$5000,"&lt;&gt;Retracted",attestations!$D$2:$D$5000,"&lt;&gt;Negative*",attestations!$R$2:$R$5000,"Map")</f>
        <v>3</v>
      </c>
      <c r="Q174" s="2">
        <f>COUNTIFS(attestations!$B$2:$B$5000,$A174,attestations!$T$2:$T$5000,"&lt;&gt;Retracted",attestations!$D$2:$D$5000,"&lt;&gt;Negative*",attestations!$R$2:$R$5000,"Image")</f>
        <v>0</v>
      </c>
      <c r="R174" s="2">
        <f>COUNTIFS(attestations!$B$2:$B$5000,$A174,attestations!$T$2:$T$5000,"&lt;&gt;Retracted",attestations!$D$2:$D$5000,"&lt;&gt;Negative*",attestations!$R$2:$R$5000,"Textual")</f>
        <v>1</v>
      </c>
      <c r="S174" s="2">
        <f>COUNTIFS(attestations!$B$2:$B$5000,$A174,attestations!$T$2:$T$5000,"&lt;&gt;Retracted",attestations!$D$2:$D$5000,"Geometry (Setting)")</f>
        <v>1</v>
      </c>
      <c r="T174" s="2" t="str">
        <f t="shared" si="5"/>
        <v>Medium</v>
      </c>
      <c r="U174" s="2" t="str">
        <f>IF(COUNTIFS(attestations!$B$2:$B$5000,$A174,attestations!$T$2:$T$5000,"&lt;&gt;Retracted",attestations!$I$2:$I$5000,"Georeferenced map GCP")&gt;0,"Y","N")</f>
        <v>Y</v>
      </c>
      <c r="V174" t="s">
        <v>191</v>
      </c>
      <c r="W174" t="s">
        <v>209</v>
      </c>
      <c r="X174" t="s">
        <v>898</v>
      </c>
      <c r="Y174" t="s">
        <v>193</v>
      </c>
      <c r="AB174">
        <f>IF(A174="","",SUMIFS(attestations!$U$2:$U$5000,attestations!$B$2:$B$5000,A174))</f>
        <v>4</v>
      </c>
    </row>
    <row r="175" spans="1:28" x14ac:dyDescent="0.2">
      <c r="A175" t="s">
        <v>899</v>
      </c>
      <c r="B175" t="s">
        <v>900</v>
      </c>
      <c r="D175" t="s">
        <v>207</v>
      </c>
      <c r="E175" t="s">
        <v>208</v>
      </c>
      <c r="F175" t="s">
        <v>208</v>
      </c>
      <c r="G175" t="s">
        <v>300</v>
      </c>
      <c r="H175" t="s">
        <v>186</v>
      </c>
      <c r="I175" t="s">
        <v>257</v>
      </c>
      <c r="K175" t="s">
        <v>208</v>
      </c>
      <c r="L175" t="s">
        <v>209</v>
      </c>
      <c r="M175" t="str">
        <f t="shared" si="4"/>
        <v>Point + buffer</v>
      </c>
      <c r="N175">
        <v>500</v>
      </c>
      <c r="O175" s="2">
        <f>COUNTIFS(attestations!$B$2:$B$5000,$A175,attestations!$T$2:$T$5000,"&lt;&gt;Retracted",attestations!$D$2:$D$5000,"&lt;&gt;Negative*")</f>
        <v>10</v>
      </c>
      <c r="P175" s="2">
        <f>COUNTIFS(attestations!$B$2:$B$5000,$A175,attestations!$T$2:$T$5000,"&lt;&gt;Retracted",attestations!$D$2:$D$5000,"&lt;&gt;Negative*",attestations!$R$2:$R$5000,"Map")</f>
        <v>5</v>
      </c>
      <c r="Q175" s="2">
        <f>COUNTIFS(attestations!$B$2:$B$5000,$A175,attestations!$T$2:$T$5000,"&lt;&gt;Retracted",attestations!$D$2:$D$5000,"&lt;&gt;Negative*",attestations!$R$2:$R$5000,"Image")</f>
        <v>1</v>
      </c>
      <c r="R175" s="2">
        <f>COUNTIFS(attestations!$B$2:$B$5000,$A175,attestations!$T$2:$T$5000,"&lt;&gt;Retracted",attestations!$D$2:$D$5000,"&lt;&gt;Negative*",attestations!$R$2:$R$5000,"Textual")</f>
        <v>4</v>
      </c>
      <c r="S175" s="2">
        <f>COUNTIFS(attestations!$B$2:$B$5000,$A175,attestations!$T$2:$T$5000,"&lt;&gt;Retracted",attestations!$D$2:$D$5000,"Geometry (Setting)")</f>
        <v>1</v>
      </c>
      <c r="T175" s="2" t="str">
        <f t="shared" si="5"/>
        <v>High</v>
      </c>
      <c r="U175" s="2" t="str">
        <f>IF(COUNTIFS(attestations!$B$2:$B$5000,$A175,attestations!$T$2:$T$5000,"&lt;&gt;Retracted",attestations!$I$2:$I$5000,"Georeferenced map GCP")&gt;0,"Y","N")</f>
        <v>Y</v>
      </c>
      <c r="V175" t="s">
        <v>191</v>
      </c>
      <c r="W175" t="s">
        <v>190</v>
      </c>
      <c r="X175" t="s">
        <v>901</v>
      </c>
      <c r="Y175" t="s">
        <v>193</v>
      </c>
      <c r="AB175">
        <f>IF(A175="","",SUMIFS(attestations!$U$2:$U$5000,attestations!$B$2:$B$5000,A175))</f>
        <v>10</v>
      </c>
    </row>
    <row r="176" spans="1:28" x14ac:dyDescent="0.2">
      <c r="A176" t="s">
        <v>902</v>
      </c>
      <c r="B176" t="s">
        <v>903</v>
      </c>
      <c r="C176" t="s">
        <v>904</v>
      </c>
      <c r="D176" t="s">
        <v>207</v>
      </c>
      <c r="E176" t="s">
        <v>208</v>
      </c>
      <c r="F176" t="s">
        <v>208</v>
      </c>
      <c r="G176" t="s">
        <v>300</v>
      </c>
      <c r="H176" t="s">
        <v>186</v>
      </c>
      <c r="I176" t="s">
        <v>197</v>
      </c>
      <c r="J176" t="s">
        <v>478</v>
      </c>
      <c r="K176" t="s">
        <v>208</v>
      </c>
      <c r="L176" t="s">
        <v>209</v>
      </c>
      <c r="M176" t="str">
        <f t="shared" si="4"/>
        <v>Point + buffer</v>
      </c>
      <c r="N176">
        <v>500</v>
      </c>
      <c r="O176" s="2">
        <f>COUNTIFS(attestations!$B$2:$B$5000,$A176,attestations!$T$2:$T$5000,"&lt;&gt;Retracted",attestations!$D$2:$D$5000,"&lt;&gt;Negative*")</f>
        <v>10</v>
      </c>
      <c r="P176" s="2">
        <f>COUNTIFS(attestations!$B$2:$B$5000,$A176,attestations!$T$2:$T$5000,"&lt;&gt;Retracted",attestations!$D$2:$D$5000,"&lt;&gt;Negative*",attestations!$R$2:$R$5000,"Map")</f>
        <v>3</v>
      </c>
      <c r="Q176" s="2">
        <f>COUNTIFS(attestations!$B$2:$B$5000,$A176,attestations!$T$2:$T$5000,"&lt;&gt;Retracted",attestations!$D$2:$D$5000,"&lt;&gt;Negative*",attestations!$R$2:$R$5000,"Image")</f>
        <v>1</v>
      </c>
      <c r="R176" s="2">
        <f>COUNTIFS(attestations!$B$2:$B$5000,$A176,attestations!$T$2:$T$5000,"&lt;&gt;Retracted",attestations!$D$2:$D$5000,"&lt;&gt;Negative*",attestations!$R$2:$R$5000,"Textual")</f>
        <v>6</v>
      </c>
      <c r="S176" s="2">
        <f>COUNTIFS(attestations!$B$2:$B$5000,$A176,attestations!$T$2:$T$5000,"&lt;&gt;Retracted",attestations!$D$2:$D$5000,"Geometry (Setting)")</f>
        <v>1</v>
      </c>
      <c r="T176" s="2" t="str">
        <f t="shared" si="5"/>
        <v>Medium</v>
      </c>
      <c r="U176" s="2" t="str">
        <f>IF(COUNTIFS(attestations!$B$2:$B$5000,$A176,attestations!$T$2:$T$5000,"&lt;&gt;Retracted",attestations!$I$2:$I$5000,"Georeferenced map GCP")&gt;0,"Y","N")</f>
        <v>Y</v>
      </c>
      <c r="V176" t="s">
        <v>191</v>
      </c>
      <c r="W176" t="s">
        <v>209</v>
      </c>
      <c r="X176" t="s">
        <v>905</v>
      </c>
      <c r="Y176" t="s">
        <v>193</v>
      </c>
      <c r="AB176">
        <f>IF(A176="","",SUMIFS(attestations!$U$2:$U$5000,attestations!$B$2:$B$5000,A176))</f>
        <v>8</v>
      </c>
    </row>
    <row r="177" spans="1:28" x14ac:dyDescent="0.2">
      <c r="A177" t="s">
        <v>906</v>
      </c>
      <c r="B177" t="s">
        <v>907</v>
      </c>
      <c r="C177" t="s">
        <v>908</v>
      </c>
      <c r="D177" t="s">
        <v>207</v>
      </c>
      <c r="E177" t="s">
        <v>208</v>
      </c>
      <c r="F177" t="s">
        <v>208</v>
      </c>
      <c r="G177" t="s">
        <v>300</v>
      </c>
      <c r="H177" t="s">
        <v>186</v>
      </c>
      <c r="I177" t="s">
        <v>257</v>
      </c>
      <c r="J177" t="s">
        <v>478</v>
      </c>
      <c r="K177" t="s">
        <v>208</v>
      </c>
      <c r="L177" t="s">
        <v>209</v>
      </c>
      <c r="M177" t="str">
        <f t="shared" si="4"/>
        <v>Point + buffer</v>
      </c>
      <c r="N177">
        <v>800</v>
      </c>
      <c r="O177" s="2">
        <f>COUNTIFS(attestations!$B$2:$B$5000,$A177,attestations!$T$2:$T$5000,"&lt;&gt;Retracted",attestations!$D$2:$D$5000,"&lt;&gt;Negative*")</f>
        <v>4</v>
      </c>
      <c r="P177" s="2">
        <f>COUNTIFS(attestations!$B$2:$B$5000,$A177,attestations!$T$2:$T$5000,"&lt;&gt;Retracted",attestations!$D$2:$D$5000,"&lt;&gt;Negative*",attestations!$R$2:$R$5000,"Map")</f>
        <v>3</v>
      </c>
      <c r="Q177" s="2">
        <f>COUNTIFS(attestations!$B$2:$B$5000,$A177,attestations!$T$2:$T$5000,"&lt;&gt;Retracted",attestations!$D$2:$D$5000,"&lt;&gt;Negative*",attestations!$R$2:$R$5000,"Image")</f>
        <v>0</v>
      </c>
      <c r="R177" s="2">
        <f>COUNTIFS(attestations!$B$2:$B$5000,$A177,attestations!$T$2:$T$5000,"&lt;&gt;Retracted",attestations!$D$2:$D$5000,"&lt;&gt;Negative*",attestations!$R$2:$R$5000,"Textual")</f>
        <v>1</v>
      </c>
      <c r="S177" s="2">
        <f>COUNTIFS(attestations!$B$2:$B$5000,$A177,attestations!$T$2:$T$5000,"&lt;&gt;Retracted",attestations!$D$2:$D$5000,"Geometry (Setting)")</f>
        <v>1</v>
      </c>
      <c r="T177" s="2" t="str">
        <f t="shared" si="5"/>
        <v>Medium</v>
      </c>
      <c r="U177" s="2" t="str">
        <f>IF(COUNTIFS(attestations!$B$2:$B$5000,$A177,attestations!$T$2:$T$5000,"&lt;&gt;Retracted",attestations!$I$2:$I$5000,"Georeferenced map GCP")&gt;0,"Y","N")</f>
        <v>Y</v>
      </c>
      <c r="V177" t="s">
        <v>191</v>
      </c>
      <c r="W177" t="s">
        <v>209</v>
      </c>
      <c r="X177" t="s">
        <v>909</v>
      </c>
      <c r="Y177" t="s">
        <v>193</v>
      </c>
      <c r="AB177">
        <f>IF(A177="","",SUMIFS(attestations!$U$2:$U$5000,attestations!$B$2:$B$5000,A177))</f>
        <v>4</v>
      </c>
    </row>
    <row r="178" spans="1:28" x14ac:dyDescent="0.2">
      <c r="A178" t="s">
        <v>910</v>
      </c>
      <c r="B178" t="s">
        <v>911</v>
      </c>
      <c r="C178" t="s">
        <v>912</v>
      </c>
      <c r="D178" t="s">
        <v>207</v>
      </c>
      <c r="E178" t="s">
        <v>208</v>
      </c>
      <c r="F178" t="s">
        <v>208</v>
      </c>
      <c r="G178" t="s">
        <v>300</v>
      </c>
      <c r="H178" t="s">
        <v>186</v>
      </c>
      <c r="I178" t="s">
        <v>257</v>
      </c>
      <c r="K178" t="s">
        <v>208</v>
      </c>
      <c r="L178" t="s">
        <v>209</v>
      </c>
      <c r="M178" t="str">
        <f t="shared" si="4"/>
        <v>Point + buffer</v>
      </c>
      <c r="N178">
        <v>800</v>
      </c>
      <c r="O178" s="2">
        <f>COUNTIFS(attestations!$B$2:$B$5000,$A178,attestations!$T$2:$T$5000,"&lt;&gt;Retracted",attestations!$D$2:$D$5000,"&lt;&gt;Negative*")</f>
        <v>7</v>
      </c>
      <c r="P178" s="2">
        <f>COUNTIFS(attestations!$B$2:$B$5000,$A178,attestations!$T$2:$T$5000,"&lt;&gt;Retracted",attestations!$D$2:$D$5000,"&lt;&gt;Negative*",attestations!$R$2:$R$5000,"Map")</f>
        <v>5</v>
      </c>
      <c r="Q178" s="2">
        <f>COUNTIFS(attestations!$B$2:$B$5000,$A178,attestations!$T$2:$T$5000,"&lt;&gt;Retracted",attestations!$D$2:$D$5000,"&lt;&gt;Negative*",attestations!$R$2:$R$5000,"Image")</f>
        <v>0</v>
      </c>
      <c r="R178" s="2">
        <f>COUNTIFS(attestations!$B$2:$B$5000,$A178,attestations!$T$2:$T$5000,"&lt;&gt;Retracted",attestations!$D$2:$D$5000,"&lt;&gt;Negative*",attestations!$R$2:$R$5000,"Textual")</f>
        <v>2</v>
      </c>
      <c r="S178" s="2">
        <f>COUNTIFS(attestations!$B$2:$B$5000,$A178,attestations!$T$2:$T$5000,"&lt;&gt;Retracted",attestations!$D$2:$D$5000,"Geometry (Setting)")</f>
        <v>1</v>
      </c>
      <c r="T178" s="2" t="str">
        <f t="shared" si="5"/>
        <v>Medium</v>
      </c>
      <c r="U178" s="2" t="str">
        <f>IF(COUNTIFS(attestations!$B$2:$B$5000,$A178,attestations!$T$2:$T$5000,"&lt;&gt;Retracted",attestations!$I$2:$I$5000,"Georeferenced map GCP")&gt;0,"Y","N")</f>
        <v>Y</v>
      </c>
      <c r="V178" t="s">
        <v>191</v>
      </c>
      <c r="W178" t="s">
        <v>209</v>
      </c>
      <c r="X178" t="s">
        <v>913</v>
      </c>
      <c r="Y178" t="s">
        <v>193</v>
      </c>
      <c r="AB178">
        <f>IF(A178="","",SUMIFS(attestations!$U$2:$U$5000,attestations!$B$2:$B$5000,A178))</f>
        <v>7</v>
      </c>
    </row>
    <row r="179" spans="1:28" x14ac:dyDescent="0.2">
      <c r="A179" t="s">
        <v>914</v>
      </c>
      <c r="B179" t="s">
        <v>915</v>
      </c>
      <c r="D179" t="s">
        <v>207</v>
      </c>
      <c r="E179" t="s">
        <v>208</v>
      </c>
      <c r="F179" t="s">
        <v>208</v>
      </c>
      <c r="G179" t="s">
        <v>300</v>
      </c>
      <c r="H179" t="s">
        <v>186</v>
      </c>
      <c r="I179" t="s">
        <v>257</v>
      </c>
      <c r="K179" t="s">
        <v>208</v>
      </c>
      <c r="L179" t="s">
        <v>209</v>
      </c>
      <c r="M179" t="str">
        <f t="shared" si="4"/>
        <v>Point + buffer</v>
      </c>
      <c r="N179">
        <v>800</v>
      </c>
      <c r="O179" s="2">
        <f>COUNTIFS(attestations!$B$2:$B$5000,$A179,attestations!$T$2:$T$5000,"&lt;&gt;Retracted",attestations!$D$2:$D$5000,"&lt;&gt;Negative*")</f>
        <v>1</v>
      </c>
      <c r="P179" s="2">
        <f>COUNTIFS(attestations!$B$2:$B$5000,$A179,attestations!$T$2:$T$5000,"&lt;&gt;Retracted",attestations!$D$2:$D$5000,"&lt;&gt;Negative*",attestations!$R$2:$R$5000,"Map")</f>
        <v>1</v>
      </c>
      <c r="Q179" s="2">
        <f>COUNTIFS(attestations!$B$2:$B$5000,$A179,attestations!$T$2:$T$5000,"&lt;&gt;Retracted",attestations!$D$2:$D$5000,"&lt;&gt;Negative*",attestations!$R$2:$R$5000,"Image")</f>
        <v>0</v>
      </c>
      <c r="R179" s="2">
        <f>COUNTIFS(attestations!$B$2:$B$5000,$A179,attestations!$T$2:$T$5000,"&lt;&gt;Retracted",attestations!$D$2:$D$5000,"&lt;&gt;Negative*",attestations!$R$2:$R$5000,"Textual")</f>
        <v>0</v>
      </c>
      <c r="S179" s="2">
        <f>COUNTIFS(attestations!$B$2:$B$5000,$A179,attestations!$T$2:$T$5000,"&lt;&gt;Retracted",attestations!$D$2:$D$5000,"Geometry (Setting)")</f>
        <v>1</v>
      </c>
      <c r="T179" s="2" t="str">
        <f t="shared" si="5"/>
        <v>Low</v>
      </c>
      <c r="U179" s="2" t="str">
        <f>IF(COUNTIFS(attestations!$B$2:$B$5000,$A179,attestations!$T$2:$T$5000,"&lt;&gt;Retracted",attestations!$I$2:$I$5000,"Georeferenced map GCP")&gt;0,"Y","N")</f>
        <v>Y</v>
      </c>
      <c r="V179" t="s">
        <v>191</v>
      </c>
      <c r="W179" t="s">
        <v>209</v>
      </c>
      <c r="X179" t="s">
        <v>916</v>
      </c>
      <c r="Y179" t="s">
        <v>193</v>
      </c>
      <c r="AB179">
        <f>IF(A179="","",SUMIFS(attestations!$U$2:$U$5000,attestations!$B$2:$B$5000,A179))</f>
        <v>1</v>
      </c>
    </row>
    <row r="180" spans="1:28" x14ac:dyDescent="0.2">
      <c r="A180" t="s">
        <v>917</v>
      </c>
      <c r="B180" t="s">
        <v>918</v>
      </c>
      <c r="D180" t="s">
        <v>207</v>
      </c>
      <c r="E180" t="s">
        <v>208</v>
      </c>
      <c r="F180" t="s">
        <v>208</v>
      </c>
      <c r="G180" t="s">
        <v>300</v>
      </c>
      <c r="H180" t="s">
        <v>186</v>
      </c>
      <c r="I180" t="s">
        <v>257</v>
      </c>
      <c r="K180" t="s">
        <v>208</v>
      </c>
      <c r="L180" t="s">
        <v>209</v>
      </c>
      <c r="M180" t="str">
        <f t="shared" si="4"/>
        <v>Point + buffer</v>
      </c>
      <c r="N180">
        <v>800</v>
      </c>
      <c r="O180" s="2">
        <f>COUNTIFS(attestations!$B$2:$B$5000,$A180,attestations!$T$2:$T$5000,"&lt;&gt;Retracted",attestations!$D$2:$D$5000,"&lt;&gt;Negative*")</f>
        <v>5</v>
      </c>
      <c r="P180" s="2">
        <f>COUNTIFS(attestations!$B$2:$B$5000,$A180,attestations!$T$2:$T$5000,"&lt;&gt;Retracted",attestations!$D$2:$D$5000,"&lt;&gt;Negative*",attestations!$R$2:$R$5000,"Map")</f>
        <v>2</v>
      </c>
      <c r="Q180" s="2">
        <f>COUNTIFS(attestations!$B$2:$B$5000,$A180,attestations!$T$2:$T$5000,"&lt;&gt;Retracted",attestations!$D$2:$D$5000,"&lt;&gt;Negative*",attestations!$R$2:$R$5000,"Image")</f>
        <v>0</v>
      </c>
      <c r="R180" s="2">
        <f>COUNTIFS(attestations!$B$2:$B$5000,$A180,attestations!$T$2:$T$5000,"&lt;&gt;Retracted",attestations!$D$2:$D$5000,"&lt;&gt;Negative*",attestations!$R$2:$R$5000,"Textual")</f>
        <v>3</v>
      </c>
      <c r="S180" s="2">
        <f>COUNTIFS(attestations!$B$2:$B$5000,$A180,attestations!$T$2:$T$5000,"&lt;&gt;Retracted",attestations!$D$2:$D$5000,"Geometry (Setting)")</f>
        <v>1</v>
      </c>
      <c r="T180" s="2" t="str">
        <f t="shared" si="5"/>
        <v>Medium</v>
      </c>
      <c r="U180" s="2" t="str">
        <f>IF(COUNTIFS(attestations!$B$2:$B$5000,$A180,attestations!$T$2:$T$5000,"&lt;&gt;Retracted",attestations!$I$2:$I$5000,"Georeferenced map GCP")&gt;0,"Y","N")</f>
        <v>Y</v>
      </c>
      <c r="V180" t="s">
        <v>191</v>
      </c>
      <c r="W180" t="s">
        <v>209</v>
      </c>
      <c r="X180" t="s">
        <v>919</v>
      </c>
      <c r="Y180" t="s">
        <v>193</v>
      </c>
      <c r="AB180">
        <f>IF(A180="","",SUMIFS(attestations!$U$2:$U$5000,attestations!$B$2:$B$5000,A180))</f>
        <v>5</v>
      </c>
    </row>
    <row r="181" spans="1:28" x14ac:dyDescent="0.2">
      <c r="A181" t="s">
        <v>920</v>
      </c>
      <c r="B181" t="s">
        <v>921</v>
      </c>
      <c r="C181" t="s">
        <v>922</v>
      </c>
      <c r="D181" t="s">
        <v>196</v>
      </c>
      <c r="E181" t="s">
        <v>208</v>
      </c>
      <c r="F181" t="s">
        <v>208</v>
      </c>
      <c r="G181" t="s">
        <v>300</v>
      </c>
      <c r="H181" t="s">
        <v>186</v>
      </c>
      <c r="I181" t="s">
        <v>257</v>
      </c>
      <c r="K181" t="s">
        <v>208</v>
      </c>
      <c r="L181" t="s">
        <v>209</v>
      </c>
      <c r="M181" t="str">
        <f t="shared" si="4"/>
        <v>Point + buffer</v>
      </c>
      <c r="N181">
        <v>800</v>
      </c>
      <c r="O181" s="2">
        <f>COUNTIFS(attestations!$B$2:$B$5000,$A181,attestations!$T$2:$T$5000,"&lt;&gt;Retracted",attestations!$D$2:$D$5000,"&lt;&gt;Negative*")</f>
        <v>8</v>
      </c>
      <c r="P181" s="2">
        <f>COUNTIFS(attestations!$B$2:$B$5000,$A181,attestations!$T$2:$T$5000,"&lt;&gt;Retracted",attestations!$D$2:$D$5000,"&lt;&gt;Negative*",attestations!$R$2:$R$5000,"Map")</f>
        <v>3</v>
      </c>
      <c r="Q181" s="2">
        <f>COUNTIFS(attestations!$B$2:$B$5000,$A181,attestations!$T$2:$T$5000,"&lt;&gt;Retracted",attestations!$D$2:$D$5000,"&lt;&gt;Negative*",attestations!$R$2:$R$5000,"Image")</f>
        <v>0</v>
      </c>
      <c r="R181" s="2">
        <f>COUNTIFS(attestations!$B$2:$B$5000,$A181,attestations!$T$2:$T$5000,"&lt;&gt;Retracted",attestations!$D$2:$D$5000,"&lt;&gt;Negative*",attestations!$R$2:$R$5000,"Textual")</f>
        <v>5</v>
      </c>
      <c r="S181" s="2">
        <f>COUNTIFS(attestations!$B$2:$B$5000,$A181,attestations!$T$2:$T$5000,"&lt;&gt;Retracted",attestations!$D$2:$D$5000,"Geometry (Setting)")</f>
        <v>1</v>
      </c>
      <c r="T181" s="2" t="str">
        <f t="shared" si="5"/>
        <v>Medium</v>
      </c>
      <c r="U181" s="2" t="str">
        <f>IF(COUNTIFS(attestations!$B$2:$B$5000,$A181,attestations!$T$2:$T$5000,"&lt;&gt;Retracted",attestations!$I$2:$I$5000,"Georeferenced map GCP")&gt;0,"Y","N")</f>
        <v>Y</v>
      </c>
      <c r="V181" t="s">
        <v>191</v>
      </c>
      <c r="W181" t="s">
        <v>209</v>
      </c>
      <c r="X181" t="s">
        <v>923</v>
      </c>
      <c r="Y181" t="s">
        <v>193</v>
      </c>
      <c r="AB181">
        <f>IF(A181="","",SUMIFS(attestations!$U$2:$U$5000,attestations!$B$2:$B$5000,A181))</f>
        <v>8</v>
      </c>
    </row>
    <row r="182" spans="1:28" x14ac:dyDescent="0.2">
      <c r="A182" t="s">
        <v>924</v>
      </c>
      <c r="B182" t="s">
        <v>925</v>
      </c>
      <c r="C182" t="s">
        <v>926</v>
      </c>
      <c r="D182" t="s">
        <v>275</v>
      </c>
      <c r="E182" t="s">
        <v>208</v>
      </c>
      <c r="F182" t="s">
        <v>208</v>
      </c>
      <c r="G182" t="s">
        <v>300</v>
      </c>
      <c r="H182" t="s">
        <v>186</v>
      </c>
      <c r="I182" t="s">
        <v>257</v>
      </c>
      <c r="K182" t="s">
        <v>208</v>
      </c>
      <c r="L182" t="s">
        <v>209</v>
      </c>
      <c r="M182" t="str">
        <f t="shared" si="4"/>
        <v>Point + buffer</v>
      </c>
      <c r="N182">
        <v>800</v>
      </c>
      <c r="O182" s="2">
        <f>COUNTIFS(attestations!$B$2:$B$5000,$A182,attestations!$T$2:$T$5000,"&lt;&gt;Retracted",attestations!$D$2:$D$5000,"&lt;&gt;Negative*")</f>
        <v>4</v>
      </c>
      <c r="P182" s="2">
        <f>COUNTIFS(attestations!$B$2:$B$5000,$A182,attestations!$T$2:$T$5000,"&lt;&gt;Retracted",attestations!$D$2:$D$5000,"&lt;&gt;Negative*",attestations!$R$2:$R$5000,"Map")</f>
        <v>1</v>
      </c>
      <c r="Q182" s="2">
        <f>COUNTIFS(attestations!$B$2:$B$5000,$A182,attestations!$T$2:$T$5000,"&lt;&gt;Retracted",attestations!$D$2:$D$5000,"&lt;&gt;Negative*",attestations!$R$2:$R$5000,"Image")</f>
        <v>0</v>
      </c>
      <c r="R182" s="2">
        <f>COUNTIFS(attestations!$B$2:$B$5000,$A182,attestations!$T$2:$T$5000,"&lt;&gt;Retracted",attestations!$D$2:$D$5000,"&lt;&gt;Negative*",attestations!$R$2:$R$5000,"Textual")</f>
        <v>3</v>
      </c>
      <c r="S182" s="2">
        <f>COUNTIFS(attestations!$B$2:$B$5000,$A182,attestations!$T$2:$T$5000,"&lt;&gt;Retracted",attestations!$D$2:$D$5000,"Geometry (Setting)")</f>
        <v>1</v>
      </c>
      <c r="T182" s="2" t="str">
        <f t="shared" si="5"/>
        <v>Medium</v>
      </c>
      <c r="U182" s="2" t="str">
        <f>IF(COUNTIFS(attestations!$B$2:$B$5000,$A182,attestations!$T$2:$T$5000,"&lt;&gt;Retracted",attestations!$I$2:$I$5000,"Georeferenced map GCP")&gt;0,"Y","N")</f>
        <v>Y</v>
      </c>
      <c r="V182" t="s">
        <v>191</v>
      </c>
      <c r="W182" t="s">
        <v>209</v>
      </c>
      <c r="X182" t="s">
        <v>927</v>
      </c>
      <c r="Y182" t="s">
        <v>193</v>
      </c>
      <c r="AB182">
        <f>IF(A182="","",SUMIFS(attestations!$U$2:$U$5000,attestations!$B$2:$B$5000,A182))</f>
        <v>4</v>
      </c>
    </row>
    <row r="183" spans="1:28" x14ac:dyDescent="0.2">
      <c r="A183" t="s">
        <v>928</v>
      </c>
      <c r="B183" t="s">
        <v>929</v>
      </c>
      <c r="C183" t="s">
        <v>930</v>
      </c>
      <c r="D183" t="s">
        <v>207</v>
      </c>
      <c r="E183" t="s">
        <v>208</v>
      </c>
      <c r="F183" t="s">
        <v>208</v>
      </c>
      <c r="G183" t="s">
        <v>300</v>
      </c>
      <c r="H183" t="s">
        <v>186</v>
      </c>
      <c r="I183" t="s">
        <v>197</v>
      </c>
      <c r="K183" t="s">
        <v>208</v>
      </c>
      <c r="L183" t="s">
        <v>209</v>
      </c>
      <c r="M183" t="str">
        <f t="shared" si="4"/>
        <v>Point + buffer</v>
      </c>
      <c r="N183">
        <v>500</v>
      </c>
      <c r="O183" s="2">
        <f>COUNTIFS(attestations!$B$2:$B$5000,$A183,attestations!$T$2:$T$5000,"&lt;&gt;Retracted",attestations!$D$2:$D$5000,"&lt;&gt;Negative*")</f>
        <v>5</v>
      </c>
      <c r="P183" s="2">
        <f>COUNTIFS(attestations!$B$2:$B$5000,$A183,attestations!$T$2:$T$5000,"&lt;&gt;Retracted",attestations!$D$2:$D$5000,"&lt;&gt;Negative*",attestations!$R$2:$R$5000,"Map")</f>
        <v>4</v>
      </c>
      <c r="Q183" s="2">
        <f>COUNTIFS(attestations!$B$2:$B$5000,$A183,attestations!$T$2:$T$5000,"&lt;&gt;Retracted",attestations!$D$2:$D$5000,"&lt;&gt;Negative*",attestations!$R$2:$R$5000,"Image")</f>
        <v>0</v>
      </c>
      <c r="R183" s="2">
        <f>COUNTIFS(attestations!$B$2:$B$5000,$A183,attestations!$T$2:$T$5000,"&lt;&gt;Retracted",attestations!$D$2:$D$5000,"&lt;&gt;Negative*",attestations!$R$2:$R$5000,"Textual")</f>
        <v>1</v>
      </c>
      <c r="S183" s="2">
        <f>COUNTIFS(attestations!$B$2:$B$5000,$A183,attestations!$T$2:$T$5000,"&lt;&gt;Retracted",attestations!$D$2:$D$5000,"Geometry (Setting)")</f>
        <v>2</v>
      </c>
      <c r="T183" s="2" t="str">
        <f t="shared" si="5"/>
        <v>Medium</v>
      </c>
      <c r="U183" s="2" t="str">
        <f>IF(COUNTIFS(attestations!$B$2:$B$5000,$A183,attestations!$T$2:$T$5000,"&lt;&gt;Retracted",attestations!$I$2:$I$5000,"Georeferenced map GCP")&gt;0,"Y","N")</f>
        <v>Y</v>
      </c>
      <c r="V183" t="s">
        <v>191</v>
      </c>
      <c r="W183" t="s">
        <v>209</v>
      </c>
      <c r="X183" t="s">
        <v>931</v>
      </c>
      <c r="Y183" t="s">
        <v>193</v>
      </c>
      <c r="AB183">
        <f>IF(A183="","",SUMIFS(attestations!$U$2:$U$5000,attestations!$B$2:$B$5000,A183))</f>
        <v>4</v>
      </c>
    </row>
    <row r="184" spans="1:28" x14ac:dyDescent="0.2">
      <c r="A184" t="s">
        <v>932</v>
      </c>
      <c r="B184" t="s">
        <v>933</v>
      </c>
      <c r="C184" t="s">
        <v>934</v>
      </c>
      <c r="D184" t="s">
        <v>207</v>
      </c>
      <c r="E184" t="s">
        <v>307</v>
      </c>
      <c r="F184" t="s">
        <v>779</v>
      </c>
      <c r="G184" t="s">
        <v>320</v>
      </c>
      <c r="H184" t="s">
        <v>290</v>
      </c>
      <c r="I184" t="s">
        <v>597</v>
      </c>
      <c r="K184" t="s">
        <v>208</v>
      </c>
      <c r="L184" t="s">
        <v>209</v>
      </c>
      <c r="M184" t="str">
        <f t="shared" si="4"/>
        <v>Point + buffer</v>
      </c>
      <c r="N184">
        <v>150</v>
      </c>
      <c r="O184" s="2">
        <f>COUNTIFS(attestations!$B$2:$B$5000,$A184,attestations!$T$2:$T$5000,"&lt;&gt;Retracted",attestations!$D$2:$D$5000,"&lt;&gt;Negative*")</f>
        <v>6</v>
      </c>
      <c r="P184" s="2">
        <f>COUNTIFS(attestations!$B$2:$B$5000,$A184,attestations!$T$2:$T$5000,"&lt;&gt;Retracted",attestations!$D$2:$D$5000,"&lt;&gt;Negative*",attestations!$R$2:$R$5000,"Map")</f>
        <v>1</v>
      </c>
      <c r="Q184" s="2">
        <f>COUNTIFS(attestations!$B$2:$B$5000,$A184,attestations!$T$2:$T$5000,"&lt;&gt;Retracted",attestations!$D$2:$D$5000,"&lt;&gt;Negative*",attestations!$R$2:$R$5000,"Image")</f>
        <v>1</v>
      </c>
      <c r="R184" s="2">
        <f>COUNTIFS(attestations!$B$2:$B$5000,$A184,attestations!$T$2:$T$5000,"&lt;&gt;Retracted",attestations!$D$2:$D$5000,"&lt;&gt;Negative*",attestations!$R$2:$R$5000,"Textual")</f>
        <v>4</v>
      </c>
      <c r="S184" s="2">
        <f>COUNTIFS(attestations!$B$2:$B$5000,$A184,attestations!$T$2:$T$5000,"&lt;&gt;Retracted",attestations!$D$2:$D$5000,"Geometry (Setting)")</f>
        <v>1</v>
      </c>
      <c r="T184" s="2" t="str">
        <f t="shared" si="5"/>
        <v>Medium</v>
      </c>
      <c r="U184" s="2" t="str">
        <f>IF(COUNTIFS(attestations!$B$2:$B$5000,$A184,attestations!$T$2:$T$5000,"&lt;&gt;Retracted",attestations!$I$2:$I$5000,"Georeferenced map GCP")&gt;0,"Y","N")</f>
        <v>Y</v>
      </c>
      <c r="V184" t="s">
        <v>191</v>
      </c>
      <c r="W184" t="s">
        <v>203</v>
      </c>
      <c r="X184" t="s">
        <v>935</v>
      </c>
      <c r="Y184" t="s">
        <v>293</v>
      </c>
      <c r="Z184" t="s">
        <v>936</v>
      </c>
      <c r="AA184" t="s">
        <v>937</v>
      </c>
      <c r="AB184">
        <f>IF(A184="","",SUMIFS(attestations!$U$2:$U$5000,attestations!$B$2:$B$5000,A184))</f>
        <v>6</v>
      </c>
    </row>
    <row r="185" spans="1:28" x14ac:dyDescent="0.2">
      <c r="A185" t="s">
        <v>938</v>
      </c>
      <c r="B185" t="s">
        <v>939</v>
      </c>
      <c r="C185" t="s">
        <v>940</v>
      </c>
      <c r="D185" t="s">
        <v>207</v>
      </c>
      <c r="E185" t="s">
        <v>208</v>
      </c>
      <c r="F185" t="s">
        <v>208</v>
      </c>
      <c r="G185" t="s">
        <v>300</v>
      </c>
      <c r="H185" t="s">
        <v>223</v>
      </c>
      <c r="I185" t="s">
        <v>941</v>
      </c>
      <c r="K185" t="s">
        <v>208</v>
      </c>
      <c r="L185" t="s">
        <v>209</v>
      </c>
      <c r="M185" t="str">
        <f t="shared" si="4"/>
        <v>Point + buffer</v>
      </c>
      <c r="N185">
        <v>150</v>
      </c>
      <c r="O185" s="2">
        <f>COUNTIFS(attestations!$B$2:$B$5000,$A185,attestations!$T$2:$T$5000,"&lt;&gt;Retracted",attestations!$D$2:$D$5000,"&lt;&gt;Negative*")</f>
        <v>8</v>
      </c>
      <c r="P185" s="2">
        <f>COUNTIFS(attestations!$B$2:$B$5000,$A185,attestations!$T$2:$T$5000,"&lt;&gt;Retracted",attestations!$D$2:$D$5000,"&lt;&gt;Negative*",attestations!$R$2:$R$5000,"Map")</f>
        <v>1</v>
      </c>
      <c r="Q185" s="2">
        <f>COUNTIFS(attestations!$B$2:$B$5000,$A185,attestations!$T$2:$T$5000,"&lt;&gt;Retracted",attestations!$D$2:$D$5000,"&lt;&gt;Negative*",attestations!$R$2:$R$5000,"Image")</f>
        <v>1</v>
      </c>
      <c r="R185" s="2">
        <f>COUNTIFS(attestations!$B$2:$B$5000,$A185,attestations!$T$2:$T$5000,"&lt;&gt;Retracted",attestations!$D$2:$D$5000,"&lt;&gt;Negative*",attestations!$R$2:$R$5000,"Textual")</f>
        <v>6</v>
      </c>
      <c r="S185" s="2">
        <f>COUNTIFS(attestations!$B$2:$B$5000,$A185,attestations!$T$2:$T$5000,"&lt;&gt;Retracted",attestations!$D$2:$D$5000,"Geometry (Setting)")</f>
        <v>1</v>
      </c>
      <c r="T185" s="2" t="str">
        <f t="shared" si="5"/>
        <v>Medium</v>
      </c>
      <c r="U185" s="2" t="str">
        <f>IF(COUNTIFS(attestations!$B$2:$B$5000,$A185,attestations!$T$2:$T$5000,"&lt;&gt;Retracted",attestations!$I$2:$I$5000,"Georeferenced map GCP")&gt;0,"Y","N")</f>
        <v>Y</v>
      </c>
      <c r="V185" t="s">
        <v>191</v>
      </c>
      <c r="W185" t="s">
        <v>203</v>
      </c>
      <c r="X185" t="s">
        <v>942</v>
      </c>
      <c r="Y185" t="s">
        <v>293</v>
      </c>
      <c r="Z185" t="s">
        <v>936</v>
      </c>
      <c r="AB185">
        <f>IF(A185="","",SUMIFS(attestations!$U$2:$U$5000,attestations!$B$2:$B$5000,A185))</f>
        <v>7</v>
      </c>
    </row>
    <row r="186" spans="1:28" x14ac:dyDescent="0.2">
      <c r="A186" t="s">
        <v>943</v>
      </c>
      <c r="B186" t="s">
        <v>944</v>
      </c>
      <c r="D186" t="s">
        <v>207</v>
      </c>
      <c r="E186" t="s">
        <v>307</v>
      </c>
      <c r="F186" t="s">
        <v>779</v>
      </c>
      <c r="G186" t="s">
        <v>300</v>
      </c>
      <c r="H186" t="s">
        <v>186</v>
      </c>
      <c r="I186" t="s">
        <v>597</v>
      </c>
      <c r="K186" t="s">
        <v>208</v>
      </c>
      <c r="L186" t="s">
        <v>209</v>
      </c>
      <c r="M186" t="str">
        <f t="shared" si="4"/>
        <v>Point + buffer</v>
      </c>
      <c r="N186">
        <v>150</v>
      </c>
      <c r="O186" s="2">
        <f>COUNTIFS(attestations!$B$2:$B$5000,$A186,attestations!$T$2:$T$5000,"&lt;&gt;Retracted",attestations!$D$2:$D$5000,"&lt;&gt;Negative*")</f>
        <v>9</v>
      </c>
      <c r="P186" s="2">
        <f>COUNTIFS(attestations!$B$2:$B$5000,$A186,attestations!$T$2:$T$5000,"&lt;&gt;Retracted",attestations!$D$2:$D$5000,"&lt;&gt;Negative*",attestations!$R$2:$R$5000,"Map")</f>
        <v>2</v>
      </c>
      <c r="Q186" s="2">
        <f>COUNTIFS(attestations!$B$2:$B$5000,$A186,attestations!$T$2:$T$5000,"&lt;&gt;Retracted",attestations!$D$2:$D$5000,"&lt;&gt;Negative*",attestations!$R$2:$R$5000,"Image")</f>
        <v>1</v>
      </c>
      <c r="R186" s="2">
        <f>COUNTIFS(attestations!$B$2:$B$5000,$A186,attestations!$T$2:$T$5000,"&lt;&gt;Retracted",attestations!$D$2:$D$5000,"&lt;&gt;Negative*",attestations!$R$2:$R$5000,"Textual")</f>
        <v>6</v>
      </c>
      <c r="S186" s="2">
        <f>COUNTIFS(attestations!$B$2:$B$5000,$A186,attestations!$T$2:$T$5000,"&lt;&gt;Retracted",attestations!$D$2:$D$5000,"Geometry (Setting)")</f>
        <v>1</v>
      </c>
      <c r="T186" s="2" t="str">
        <f t="shared" si="5"/>
        <v>High</v>
      </c>
      <c r="U186" s="2" t="str">
        <f>IF(COUNTIFS(attestations!$B$2:$B$5000,$A186,attestations!$T$2:$T$5000,"&lt;&gt;Retracted",attestations!$I$2:$I$5000,"Georeferenced map GCP")&gt;0,"Y","N")</f>
        <v>Y</v>
      </c>
      <c r="V186" t="s">
        <v>191</v>
      </c>
      <c r="W186" t="s">
        <v>203</v>
      </c>
      <c r="X186" t="s">
        <v>945</v>
      </c>
      <c r="Y186" t="s">
        <v>293</v>
      </c>
      <c r="Z186" t="s">
        <v>936</v>
      </c>
      <c r="AA186" t="s">
        <v>946</v>
      </c>
      <c r="AB186">
        <f>IF(A186="","",SUMIFS(attestations!$U$2:$U$5000,attestations!$B$2:$B$5000,A186))</f>
        <v>9</v>
      </c>
    </row>
    <row r="187" spans="1:28" x14ac:dyDescent="0.2">
      <c r="A187" t="s">
        <v>947</v>
      </c>
      <c r="B187" t="s">
        <v>948</v>
      </c>
      <c r="C187" t="s">
        <v>949</v>
      </c>
      <c r="D187" t="s">
        <v>324</v>
      </c>
      <c r="E187" t="s">
        <v>208</v>
      </c>
      <c r="F187" t="s">
        <v>208</v>
      </c>
      <c r="G187" t="s">
        <v>300</v>
      </c>
      <c r="H187" t="s">
        <v>223</v>
      </c>
      <c r="I187" t="s">
        <v>601</v>
      </c>
      <c r="K187" t="s">
        <v>208</v>
      </c>
      <c r="L187" t="s">
        <v>209</v>
      </c>
      <c r="M187" t="str">
        <f t="shared" si="4"/>
        <v>Point + buffer</v>
      </c>
      <c r="N187">
        <v>150</v>
      </c>
      <c r="O187" s="2">
        <f>COUNTIFS(attestations!$B$2:$B$5000,$A187,attestations!$T$2:$T$5000,"&lt;&gt;Retracted",attestations!$D$2:$D$5000,"&lt;&gt;Negative*")</f>
        <v>13</v>
      </c>
      <c r="P187" s="2">
        <f>COUNTIFS(attestations!$B$2:$B$5000,$A187,attestations!$T$2:$T$5000,"&lt;&gt;Retracted",attestations!$D$2:$D$5000,"&lt;&gt;Negative*",attestations!$R$2:$R$5000,"Map")</f>
        <v>7</v>
      </c>
      <c r="Q187" s="2">
        <f>COUNTIFS(attestations!$B$2:$B$5000,$A187,attestations!$T$2:$T$5000,"&lt;&gt;Retracted",attestations!$D$2:$D$5000,"&lt;&gt;Negative*",attestations!$R$2:$R$5000,"Image")</f>
        <v>0</v>
      </c>
      <c r="R187" s="2">
        <f>COUNTIFS(attestations!$B$2:$B$5000,$A187,attestations!$T$2:$T$5000,"&lt;&gt;Retracted",attestations!$D$2:$D$5000,"&lt;&gt;Negative*",attestations!$R$2:$R$5000,"Textual")</f>
        <v>6</v>
      </c>
      <c r="S187" s="2">
        <f>COUNTIFS(attestations!$B$2:$B$5000,$A187,attestations!$T$2:$T$5000,"&lt;&gt;Retracted",attestations!$D$2:$D$5000,"Geometry (Setting)")</f>
        <v>2</v>
      </c>
      <c r="T187" s="2" t="str">
        <f t="shared" si="5"/>
        <v>High</v>
      </c>
      <c r="U187" s="2" t="str">
        <f>IF(COUNTIFS(attestations!$B$2:$B$5000,$A187,attestations!$T$2:$T$5000,"&lt;&gt;Retracted",attestations!$I$2:$I$5000,"Georeferenced map GCP")&gt;0,"Y","N")</f>
        <v>Y</v>
      </c>
      <c r="V187" t="s">
        <v>191</v>
      </c>
      <c r="W187" t="s">
        <v>203</v>
      </c>
      <c r="X187" t="s">
        <v>950</v>
      </c>
      <c r="Y187" t="s">
        <v>275</v>
      </c>
      <c r="Z187" t="s">
        <v>936</v>
      </c>
      <c r="AB187">
        <f>IF(A187="","",SUMIFS(attestations!$U$2:$U$5000,attestations!$B$2:$B$5000,A187))</f>
        <v>11</v>
      </c>
    </row>
    <row r="188" spans="1:28" x14ac:dyDescent="0.2">
      <c r="A188" t="s">
        <v>936</v>
      </c>
      <c r="B188" t="s">
        <v>951</v>
      </c>
      <c r="C188" t="s">
        <v>952</v>
      </c>
      <c r="D188" t="s">
        <v>207</v>
      </c>
      <c r="E188" t="s">
        <v>307</v>
      </c>
      <c r="F188" t="s">
        <v>779</v>
      </c>
      <c r="G188" t="s">
        <v>300</v>
      </c>
      <c r="H188" t="s">
        <v>186</v>
      </c>
      <c r="I188" t="s">
        <v>257</v>
      </c>
      <c r="K188" t="s">
        <v>208</v>
      </c>
      <c r="L188" t="s">
        <v>209</v>
      </c>
      <c r="M188" t="str">
        <f t="shared" si="4"/>
        <v>Point + buffer</v>
      </c>
      <c r="N188">
        <v>150</v>
      </c>
      <c r="O188" s="2">
        <f>COUNTIFS(attestations!$B$2:$B$5000,$A188,attestations!$T$2:$T$5000,"&lt;&gt;Retracted",attestations!$D$2:$D$5000,"&lt;&gt;Negative*")</f>
        <v>14</v>
      </c>
      <c r="P188" s="2">
        <f>COUNTIFS(attestations!$B$2:$B$5000,$A188,attestations!$T$2:$T$5000,"&lt;&gt;Retracted",attestations!$D$2:$D$5000,"&lt;&gt;Negative*",attestations!$R$2:$R$5000,"Map")</f>
        <v>7</v>
      </c>
      <c r="Q188" s="2">
        <f>COUNTIFS(attestations!$B$2:$B$5000,$A188,attestations!$T$2:$T$5000,"&lt;&gt;Retracted",attestations!$D$2:$D$5000,"&lt;&gt;Negative*",attestations!$R$2:$R$5000,"Image")</f>
        <v>1</v>
      </c>
      <c r="R188" s="2">
        <f>COUNTIFS(attestations!$B$2:$B$5000,$A188,attestations!$T$2:$T$5000,"&lt;&gt;Retracted",attestations!$D$2:$D$5000,"&lt;&gt;Negative*",attestations!$R$2:$R$5000,"Textual")</f>
        <v>6</v>
      </c>
      <c r="S188" s="2">
        <f>COUNTIFS(attestations!$B$2:$B$5000,$A188,attestations!$T$2:$T$5000,"&lt;&gt;Retracted",attestations!$D$2:$D$5000,"Geometry (Setting)")</f>
        <v>1</v>
      </c>
      <c r="T188" s="2" t="str">
        <f t="shared" si="5"/>
        <v>High</v>
      </c>
      <c r="U188" s="2" t="str">
        <f>IF(COUNTIFS(attestations!$B$2:$B$5000,$A188,attestations!$T$2:$T$5000,"&lt;&gt;Retracted",attestations!$I$2:$I$5000,"Georeferenced map GCP")&gt;0,"Y","N")</f>
        <v>Y</v>
      </c>
      <c r="V188" t="s">
        <v>191</v>
      </c>
      <c r="W188" t="s">
        <v>203</v>
      </c>
      <c r="X188" t="s">
        <v>953</v>
      </c>
      <c r="Y188" t="s">
        <v>193</v>
      </c>
      <c r="AA188" t="s">
        <v>954</v>
      </c>
      <c r="AB188">
        <f>IF(A188="","",SUMIFS(attestations!$U$2:$U$5000,attestations!$B$2:$B$5000,A188))</f>
        <v>14</v>
      </c>
    </row>
    <row r="189" spans="1:28" x14ac:dyDescent="0.2">
      <c r="A189" t="s">
        <v>955</v>
      </c>
      <c r="B189" t="s">
        <v>956</v>
      </c>
      <c r="C189" t="s">
        <v>957</v>
      </c>
      <c r="D189" t="s">
        <v>207</v>
      </c>
      <c r="E189" t="s">
        <v>208</v>
      </c>
      <c r="F189" t="s">
        <v>208</v>
      </c>
      <c r="G189" t="s">
        <v>300</v>
      </c>
      <c r="H189" t="s">
        <v>186</v>
      </c>
      <c r="I189" t="s">
        <v>257</v>
      </c>
      <c r="K189" t="s">
        <v>208</v>
      </c>
      <c r="L189" t="s">
        <v>209</v>
      </c>
      <c r="M189" t="str">
        <f t="shared" si="4"/>
        <v>Point + buffer</v>
      </c>
      <c r="N189">
        <v>150</v>
      </c>
      <c r="O189" s="2">
        <f>COUNTIFS(attestations!$B$2:$B$5000,$A189,attestations!$T$2:$T$5000,"&lt;&gt;Retracted",attestations!$D$2:$D$5000,"&lt;&gt;Negative*")</f>
        <v>3</v>
      </c>
      <c r="P189" s="2">
        <f>COUNTIFS(attestations!$B$2:$B$5000,$A189,attestations!$T$2:$T$5000,"&lt;&gt;Retracted",attestations!$D$2:$D$5000,"&lt;&gt;Negative*",attestations!$R$2:$R$5000,"Map")</f>
        <v>1</v>
      </c>
      <c r="Q189" s="2">
        <f>COUNTIFS(attestations!$B$2:$B$5000,$A189,attestations!$T$2:$T$5000,"&lt;&gt;Retracted",attestations!$D$2:$D$5000,"&lt;&gt;Negative*",attestations!$R$2:$R$5000,"Image")</f>
        <v>0</v>
      </c>
      <c r="R189" s="2">
        <f>COUNTIFS(attestations!$B$2:$B$5000,$A189,attestations!$T$2:$T$5000,"&lt;&gt;Retracted",attestations!$D$2:$D$5000,"&lt;&gt;Negative*",attestations!$R$2:$R$5000,"Textual")</f>
        <v>2</v>
      </c>
      <c r="S189" s="2">
        <f>COUNTIFS(attestations!$B$2:$B$5000,$A189,attestations!$T$2:$T$5000,"&lt;&gt;Retracted",attestations!$D$2:$D$5000,"Geometry (Setting)")</f>
        <v>1</v>
      </c>
      <c r="T189" s="2" t="str">
        <f t="shared" si="5"/>
        <v>Medium</v>
      </c>
      <c r="U189" s="2" t="str">
        <f>IF(COUNTIFS(attestations!$B$2:$B$5000,$A189,attestations!$T$2:$T$5000,"&lt;&gt;Retracted",attestations!$I$2:$I$5000,"Georeferenced map GCP")&gt;0,"Y","N")</f>
        <v>Y</v>
      </c>
      <c r="V189" t="s">
        <v>191</v>
      </c>
      <c r="W189" t="s">
        <v>203</v>
      </c>
      <c r="X189" t="s">
        <v>958</v>
      </c>
      <c r="Y189" t="s">
        <v>293</v>
      </c>
      <c r="Z189" t="s">
        <v>936</v>
      </c>
      <c r="AB189">
        <f>IF(A189="","",SUMIFS(attestations!$U$2:$U$5000,attestations!$B$2:$B$5000,A189))</f>
        <v>3</v>
      </c>
    </row>
    <row r="190" spans="1:28" x14ac:dyDescent="0.2">
      <c r="A190" t="s">
        <v>959</v>
      </c>
      <c r="B190" t="s">
        <v>960</v>
      </c>
      <c r="D190" t="s">
        <v>207</v>
      </c>
      <c r="E190" t="s">
        <v>208</v>
      </c>
      <c r="F190" t="s">
        <v>208</v>
      </c>
      <c r="G190" t="s">
        <v>300</v>
      </c>
      <c r="H190" t="s">
        <v>186</v>
      </c>
      <c r="I190" t="s">
        <v>257</v>
      </c>
      <c r="K190" t="s">
        <v>208</v>
      </c>
      <c r="L190" t="s">
        <v>209</v>
      </c>
      <c r="M190" t="str">
        <f t="shared" si="4"/>
        <v>Point + buffer</v>
      </c>
      <c r="N190">
        <v>150</v>
      </c>
      <c r="O190" s="2">
        <f>COUNTIFS(attestations!$B$2:$B$5000,$A190,attestations!$T$2:$T$5000,"&lt;&gt;Retracted",attestations!$D$2:$D$5000,"&lt;&gt;Negative*")</f>
        <v>8</v>
      </c>
      <c r="P190" s="2">
        <f>COUNTIFS(attestations!$B$2:$B$5000,$A190,attestations!$T$2:$T$5000,"&lt;&gt;Retracted",attestations!$D$2:$D$5000,"&lt;&gt;Negative*",attestations!$R$2:$R$5000,"Map")</f>
        <v>2</v>
      </c>
      <c r="Q190" s="2">
        <f>COUNTIFS(attestations!$B$2:$B$5000,$A190,attestations!$T$2:$T$5000,"&lt;&gt;Retracted",attestations!$D$2:$D$5000,"&lt;&gt;Negative*",attestations!$R$2:$R$5000,"Image")</f>
        <v>1</v>
      </c>
      <c r="R190" s="2">
        <f>COUNTIFS(attestations!$B$2:$B$5000,$A190,attestations!$T$2:$T$5000,"&lt;&gt;Retracted",attestations!$D$2:$D$5000,"&lt;&gt;Negative*",attestations!$R$2:$R$5000,"Textual")</f>
        <v>5</v>
      </c>
      <c r="S190" s="2">
        <f>COUNTIFS(attestations!$B$2:$B$5000,$A190,attestations!$T$2:$T$5000,"&lt;&gt;Retracted",attestations!$D$2:$D$5000,"Geometry (Setting)")</f>
        <v>1</v>
      </c>
      <c r="T190" s="2" t="str">
        <f t="shared" si="5"/>
        <v>Medium</v>
      </c>
      <c r="U190" s="2" t="str">
        <f>IF(COUNTIFS(attestations!$B$2:$B$5000,$A190,attestations!$T$2:$T$5000,"&lt;&gt;Retracted",attestations!$I$2:$I$5000,"Georeferenced map GCP")&gt;0,"Y","N")</f>
        <v>Y</v>
      </c>
      <c r="V190" t="s">
        <v>191</v>
      </c>
      <c r="W190" t="s">
        <v>209</v>
      </c>
      <c r="X190" t="s">
        <v>961</v>
      </c>
      <c r="Y190" t="s">
        <v>293</v>
      </c>
      <c r="Z190" t="s">
        <v>936</v>
      </c>
      <c r="AB190">
        <f>IF(A190="","",SUMIFS(attestations!$U$2:$U$5000,attestations!$B$2:$B$5000,A190))</f>
        <v>8</v>
      </c>
    </row>
    <row r="191" spans="1:28" x14ac:dyDescent="0.2">
      <c r="A191" t="s">
        <v>962</v>
      </c>
      <c r="B191" t="s">
        <v>963</v>
      </c>
      <c r="D191" t="s">
        <v>207</v>
      </c>
      <c r="E191" t="s">
        <v>307</v>
      </c>
      <c r="F191" t="s">
        <v>779</v>
      </c>
      <c r="G191" t="s">
        <v>300</v>
      </c>
      <c r="H191" t="s">
        <v>186</v>
      </c>
      <c r="I191" t="s">
        <v>257</v>
      </c>
      <c r="K191" t="s">
        <v>208</v>
      </c>
      <c r="L191" t="s">
        <v>209</v>
      </c>
      <c r="M191" t="str">
        <f t="shared" si="4"/>
        <v>Point + buffer</v>
      </c>
      <c r="N191">
        <v>150</v>
      </c>
      <c r="O191" s="2">
        <f>COUNTIFS(attestations!$B$2:$B$5000,$A191,attestations!$T$2:$T$5000,"&lt;&gt;Retracted",attestations!$D$2:$D$5000,"&lt;&gt;Negative*")</f>
        <v>5</v>
      </c>
      <c r="P191" s="2">
        <f>COUNTIFS(attestations!$B$2:$B$5000,$A191,attestations!$T$2:$T$5000,"&lt;&gt;Retracted",attestations!$D$2:$D$5000,"&lt;&gt;Negative*",attestations!$R$2:$R$5000,"Map")</f>
        <v>1</v>
      </c>
      <c r="Q191" s="2">
        <f>COUNTIFS(attestations!$B$2:$B$5000,$A191,attestations!$T$2:$T$5000,"&lt;&gt;Retracted",attestations!$D$2:$D$5000,"&lt;&gt;Negative*",attestations!$R$2:$R$5000,"Image")</f>
        <v>0</v>
      </c>
      <c r="R191" s="2">
        <f>COUNTIFS(attestations!$B$2:$B$5000,$A191,attestations!$T$2:$T$5000,"&lt;&gt;Retracted",attestations!$D$2:$D$5000,"&lt;&gt;Negative*",attestations!$R$2:$R$5000,"Textual")</f>
        <v>4</v>
      </c>
      <c r="S191" s="2">
        <f>COUNTIFS(attestations!$B$2:$B$5000,$A191,attestations!$T$2:$T$5000,"&lt;&gt;Retracted",attestations!$D$2:$D$5000,"Geometry (Setting)")</f>
        <v>1</v>
      </c>
      <c r="T191" s="2" t="str">
        <f t="shared" si="5"/>
        <v>Medium</v>
      </c>
      <c r="U191" s="2" t="str">
        <f>IF(COUNTIFS(attestations!$B$2:$B$5000,$A191,attestations!$T$2:$T$5000,"&lt;&gt;Retracted",attestations!$I$2:$I$5000,"Georeferenced map GCP")&gt;0,"Y","N")</f>
        <v>Y</v>
      </c>
      <c r="V191" t="s">
        <v>191</v>
      </c>
      <c r="W191" t="s">
        <v>209</v>
      </c>
      <c r="X191" t="s">
        <v>964</v>
      </c>
      <c r="Y191" t="s">
        <v>293</v>
      </c>
      <c r="Z191" t="s">
        <v>936</v>
      </c>
      <c r="AA191" t="s">
        <v>965</v>
      </c>
      <c r="AB191">
        <f>IF(A191="","",SUMIFS(attestations!$U$2:$U$5000,attestations!$B$2:$B$5000,A191))</f>
        <v>5</v>
      </c>
    </row>
    <row r="192" spans="1:28" x14ac:dyDescent="0.2">
      <c r="A192" t="s">
        <v>966</v>
      </c>
      <c r="B192" t="s">
        <v>967</v>
      </c>
      <c r="C192" t="s">
        <v>968</v>
      </c>
      <c r="D192" t="s">
        <v>207</v>
      </c>
      <c r="E192" t="s">
        <v>208</v>
      </c>
      <c r="F192" t="s">
        <v>208</v>
      </c>
      <c r="G192" t="s">
        <v>320</v>
      </c>
      <c r="H192" t="s">
        <v>186</v>
      </c>
      <c r="I192" t="s">
        <v>257</v>
      </c>
      <c r="K192" t="s">
        <v>208</v>
      </c>
      <c r="L192" t="s">
        <v>209</v>
      </c>
      <c r="M192" t="str">
        <f t="shared" si="4"/>
        <v>Point + buffer</v>
      </c>
      <c r="N192">
        <v>150</v>
      </c>
      <c r="O192" s="2">
        <f>COUNTIFS(attestations!$B$2:$B$5000,$A192,attestations!$T$2:$T$5000,"&lt;&gt;Retracted",attestations!$D$2:$D$5000,"&lt;&gt;Negative*")</f>
        <v>0</v>
      </c>
      <c r="P192" s="2">
        <f>COUNTIFS(attestations!$B$2:$B$5000,$A192,attestations!$T$2:$T$5000,"&lt;&gt;Retracted",attestations!$D$2:$D$5000,"&lt;&gt;Negative*",attestations!$R$2:$R$5000,"Map")</f>
        <v>0</v>
      </c>
      <c r="Q192" s="2">
        <f>COUNTIFS(attestations!$B$2:$B$5000,$A192,attestations!$T$2:$T$5000,"&lt;&gt;Retracted",attestations!$D$2:$D$5000,"&lt;&gt;Negative*",attestations!$R$2:$R$5000,"Image")</f>
        <v>0</v>
      </c>
      <c r="R192" s="2">
        <f>COUNTIFS(attestations!$B$2:$B$5000,$A192,attestations!$T$2:$T$5000,"&lt;&gt;Retracted",attestations!$D$2:$D$5000,"&lt;&gt;Negative*",attestations!$R$2:$R$5000,"Textual")</f>
        <v>0</v>
      </c>
      <c r="S192" s="2">
        <f>COUNTIFS(attestations!$B$2:$B$5000,$A192,attestations!$T$2:$T$5000,"&lt;&gt;Retracted",attestations!$D$2:$D$5000,"Geometry (Setting)")</f>
        <v>0</v>
      </c>
      <c r="T192" s="2" t="str">
        <f t="shared" si="5"/>
        <v>None</v>
      </c>
      <c r="U192" s="2" t="str">
        <f>IF(COUNTIFS(attestations!$B$2:$B$5000,$A192,attestations!$T$2:$T$5000,"&lt;&gt;Retracted",attestations!$I$2:$I$5000,"Georeferenced map GCP")&gt;0,"Y","N")</f>
        <v>N</v>
      </c>
      <c r="V192" t="s">
        <v>969</v>
      </c>
      <c r="W192" t="s">
        <v>203</v>
      </c>
      <c r="X192" t="s">
        <v>970</v>
      </c>
      <c r="Y192" t="s">
        <v>293</v>
      </c>
      <c r="Z192" t="s">
        <v>936</v>
      </c>
      <c r="AB192">
        <f>IF(A192="","",SUMIFS(attestations!$U$2:$U$5000,attestations!$B$2:$B$5000,A192))</f>
        <v>0</v>
      </c>
    </row>
    <row r="193" spans="1:28" x14ac:dyDescent="0.2">
      <c r="A193" t="s">
        <v>971</v>
      </c>
      <c r="B193" t="s">
        <v>972</v>
      </c>
      <c r="D193" t="s">
        <v>275</v>
      </c>
      <c r="E193" t="s">
        <v>208</v>
      </c>
      <c r="F193" t="s">
        <v>208</v>
      </c>
      <c r="G193" t="s">
        <v>300</v>
      </c>
      <c r="H193" t="s">
        <v>223</v>
      </c>
      <c r="I193" t="s">
        <v>691</v>
      </c>
      <c r="K193" t="s">
        <v>189</v>
      </c>
      <c r="L193" t="s">
        <v>203</v>
      </c>
      <c r="M193" t="str">
        <f t="shared" si="4"/>
        <v>Solid point</v>
      </c>
      <c r="N193">
        <v>100</v>
      </c>
      <c r="O193" s="2">
        <f>COUNTIFS(attestations!$B$2:$B$5000,$A193,attestations!$T$2:$T$5000,"&lt;&gt;Retracted",attestations!$D$2:$D$5000,"&lt;&gt;Negative*")</f>
        <v>11</v>
      </c>
      <c r="P193" s="2">
        <f>COUNTIFS(attestations!$B$2:$B$5000,$A193,attestations!$T$2:$T$5000,"&lt;&gt;Retracted",attestations!$D$2:$D$5000,"&lt;&gt;Negative*",attestations!$R$2:$R$5000,"Map")</f>
        <v>3</v>
      </c>
      <c r="Q193" s="2">
        <f>COUNTIFS(attestations!$B$2:$B$5000,$A193,attestations!$T$2:$T$5000,"&lt;&gt;Retracted",attestations!$D$2:$D$5000,"&lt;&gt;Negative*",attestations!$R$2:$R$5000,"Image")</f>
        <v>1</v>
      </c>
      <c r="R193" s="2">
        <f>COUNTIFS(attestations!$B$2:$B$5000,$A193,attestations!$T$2:$T$5000,"&lt;&gt;Retracted",attestations!$D$2:$D$5000,"&lt;&gt;Negative*",attestations!$R$2:$R$5000,"Textual")</f>
        <v>7</v>
      </c>
      <c r="S193" s="2">
        <f>COUNTIFS(attestations!$B$2:$B$5000,$A193,attestations!$T$2:$T$5000,"&lt;&gt;Retracted",attestations!$D$2:$D$5000,"Geometry (Setting)")</f>
        <v>2</v>
      </c>
      <c r="T193" s="2" t="str">
        <f t="shared" si="5"/>
        <v>High</v>
      </c>
      <c r="U193" s="2" t="str">
        <f>IF(COUNTIFS(attestations!$B$2:$B$5000,$A193,attestations!$T$2:$T$5000,"&lt;&gt;Retracted",attestations!$I$2:$I$5000,"Georeferenced map GCP")&gt;0,"Y","N")</f>
        <v>N</v>
      </c>
      <c r="V193" t="s">
        <v>191</v>
      </c>
      <c r="W193" t="s">
        <v>209</v>
      </c>
      <c r="X193" t="s">
        <v>973</v>
      </c>
      <c r="Y193" t="s">
        <v>275</v>
      </c>
      <c r="Z193" t="s">
        <v>335</v>
      </c>
      <c r="AB193">
        <f>IF(A193="","",SUMIFS(attestations!$U$2:$U$5000,attestations!$B$2:$B$5000,A193))</f>
        <v>11</v>
      </c>
    </row>
    <row r="194" spans="1:28" x14ac:dyDescent="0.2">
      <c r="A194" t="s">
        <v>974</v>
      </c>
      <c r="B194" t="s">
        <v>975</v>
      </c>
      <c r="C194" t="s">
        <v>976</v>
      </c>
      <c r="D194" t="s">
        <v>977</v>
      </c>
      <c r="E194" t="s">
        <v>208</v>
      </c>
      <c r="F194" t="s">
        <v>208</v>
      </c>
      <c r="G194" t="s">
        <v>320</v>
      </c>
      <c r="H194" t="s">
        <v>223</v>
      </c>
      <c r="I194" t="s">
        <v>696</v>
      </c>
      <c r="K194" t="s">
        <v>189</v>
      </c>
      <c r="L194" t="s">
        <v>203</v>
      </c>
      <c r="M194" t="str">
        <f t="shared" ref="M194:M231" si="6">IF($A194="","",IF($L194="High","Solid point",IF($L194="Medium","Point + buffer",IF($L194="Low","Translucent area",IF($L194="Disputed","Candidate points",IF($L194="Unknown","Unplotted (unlocated panel)","-"))))))</f>
        <v>Solid point</v>
      </c>
      <c r="N194">
        <v>250</v>
      </c>
      <c r="O194" s="2">
        <f>COUNTIFS(attestations!$B$2:$B$5000,$A194,attestations!$T$2:$T$5000,"&lt;&gt;Retracted",attestations!$D$2:$D$5000,"&lt;&gt;Negative*")</f>
        <v>5</v>
      </c>
      <c r="P194" s="2">
        <f>COUNTIFS(attestations!$B$2:$B$5000,$A194,attestations!$T$2:$T$5000,"&lt;&gt;Retracted",attestations!$D$2:$D$5000,"&lt;&gt;Negative*",attestations!$R$2:$R$5000,"Map")</f>
        <v>2</v>
      </c>
      <c r="Q194" s="2">
        <f>COUNTIFS(attestations!$B$2:$B$5000,$A194,attestations!$T$2:$T$5000,"&lt;&gt;Retracted",attestations!$D$2:$D$5000,"&lt;&gt;Negative*",attestations!$R$2:$R$5000,"Image")</f>
        <v>1</v>
      </c>
      <c r="R194" s="2">
        <f>COUNTIFS(attestations!$B$2:$B$5000,$A194,attestations!$T$2:$T$5000,"&lt;&gt;Retracted",attestations!$D$2:$D$5000,"&lt;&gt;Negative*",attestations!$R$2:$R$5000,"Textual")</f>
        <v>2</v>
      </c>
      <c r="S194" s="2">
        <f>COUNTIFS(attestations!$B$2:$B$5000,$A194,attestations!$T$2:$T$5000,"&lt;&gt;Retracted",attestations!$D$2:$D$5000,"Geometry (Setting)")</f>
        <v>1</v>
      </c>
      <c r="T194" s="2" t="str">
        <f t="shared" si="5"/>
        <v>Medium</v>
      </c>
      <c r="U194" s="2" t="str">
        <f>IF(COUNTIFS(attestations!$B$2:$B$5000,$A194,attestations!$T$2:$T$5000,"&lt;&gt;Retracted",attestations!$I$2:$I$5000,"Georeferenced map GCP")&gt;0,"Y","N")</f>
        <v>N</v>
      </c>
      <c r="V194" t="s">
        <v>191</v>
      </c>
      <c r="W194" t="s">
        <v>209</v>
      </c>
      <c r="X194" t="s">
        <v>978</v>
      </c>
      <c r="Y194" t="s">
        <v>314</v>
      </c>
      <c r="Z194" t="s">
        <v>247</v>
      </c>
      <c r="AB194">
        <f>IF(A194="","",SUMIFS(attestations!$U$2:$U$5000,attestations!$B$2:$B$5000,A194))</f>
        <v>4</v>
      </c>
    </row>
    <row r="195" spans="1:28" x14ac:dyDescent="0.2">
      <c r="A195" t="s">
        <v>979</v>
      </c>
      <c r="B195" t="s">
        <v>980</v>
      </c>
      <c r="C195" t="s">
        <v>981</v>
      </c>
      <c r="D195" t="s">
        <v>621</v>
      </c>
      <c r="E195" t="s">
        <v>236</v>
      </c>
      <c r="F195" t="s">
        <v>300</v>
      </c>
      <c r="G195" t="s">
        <v>238</v>
      </c>
      <c r="H195" t="s">
        <v>223</v>
      </c>
      <c r="I195" t="s">
        <v>578</v>
      </c>
      <c r="J195" t="s">
        <v>573</v>
      </c>
      <c r="K195" t="s">
        <v>189</v>
      </c>
      <c r="L195" t="s">
        <v>203</v>
      </c>
      <c r="M195" t="str">
        <f t="shared" si="6"/>
        <v>Solid point</v>
      </c>
      <c r="N195">
        <v>300</v>
      </c>
      <c r="O195" s="2">
        <f>COUNTIFS(attestations!$B$2:$B$5000,$A195,attestations!$T$2:$T$5000,"&lt;&gt;Retracted",attestations!$D$2:$D$5000,"&lt;&gt;Negative*")</f>
        <v>3</v>
      </c>
      <c r="P195" s="2">
        <f>COUNTIFS(attestations!$B$2:$B$5000,$A195,attestations!$T$2:$T$5000,"&lt;&gt;Retracted",attestations!$D$2:$D$5000,"&lt;&gt;Negative*",attestations!$R$2:$R$5000,"Map")</f>
        <v>3</v>
      </c>
      <c r="Q195" s="2">
        <f>COUNTIFS(attestations!$B$2:$B$5000,$A195,attestations!$T$2:$T$5000,"&lt;&gt;Retracted",attestations!$D$2:$D$5000,"&lt;&gt;Negative*",attestations!$R$2:$R$5000,"Image")</f>
        <v>0</v>
      </c>
      <c r="R195" s="2">
        <f>COUNTIFS(attestations!$B$2:$B$5000,$A195,attestations!$T$2:$T$5000,"&lt;&gt;Retracted",attestations!$D$2:$D$5000,"&lt;&gt;Negative*",attestations!$R$2:$R$5000,"Textual")</f>
        <v>0</v>
      </c>
      <c r="S195" s="2">
        <f>COUNTIFS(attestations!$B$2:$B$5000,$A195,attestations!$T$2:$T$5000,"&lt;&gt;Retracted",attestations!$D$2:$D$5000,"Geometry (Setting)")</f>
        <v>1</v>
      </c>
      <c r="T195" s="2" t="str">
        <f t="shared" ref="T195:T231" si="7">IF(A195="","",IF(AB195&gt;=9,"High",IF(AB195&gt;=3,"Medium",IF(AB195&gt;=1,"Low","None"))))</f>
        <v>Medium</v>
      </c>
      <c r="U195" s="2" t="str">
        <f>IF(COUNTIFS(attestations!$B$2:$B$5000,$A195,attestations!$T$2:$T$5000,"&lt;&gt;Retracted",attestations!$I$2:$I$5000,"Georeferenced map GCP")&gt;0,"Y","N")</f>
        <v>N</v>
      </c>
      <c r="V195" t="s">
        <v>191</v>
      </c>
      <c r="W195" t="s">
        <v>203</v>
      </c>
      <c r="X195" t="s">
        <v>982</v>
      </c>
      <c r="Y195" t="s">
        <v>193</v>
      </c>
      <c r="AB195">
        <f>IF(A195="","",SUMIFS(attestations!$U$2:$U$5000,attestations!$B$2:$B$5000,A195))</f>
        <v>3</v>
      </c>
    </row>
    <row r="196" spans="1:28" x14ac:dyDescent="0.2">
      <c r="A196" t="s">
        <v>983</v>
      </c>
      <c r="B196" t="s">
        <v>984</v>
      </c>
      <c r="C196" t="s">
        <v>985</v>
      </c>
      <c r="D196" t="s">
        <v>621</v>
      </c>
      <c r="E196" t="s">
        <v>236</v>
      </c>
      <c r="F196" t="s">
        <v>300</v>
      </c>
      <c r="G196" t="s">
        <v>238</v>
      </c>
      <c r="H196" t="s">
        <v>223</v>
      </c>
      <c r="I196" t="s">
        <v>986</v>
      </c>
      <c r="J196" t="s">
        <v>617</v>
      </c>
      <c r="K196" t="s">
        <v>208</v>
      </c>
      <c r="L196" t="s">
        <v>209</v>
      </c>
      <c r="M196" t="str">
        <f t="shared" si="6"/>
        <v>Point + buffer</v>
      </c>
      <c r="N196">
        <v>400</v>
      </c>
      <c r="O196" s="2">
        <f>COUNTIFS(attestations!$B$2:$B$5000,$A196,attestations!$T$2:$T$5000,"&lt;&gt;Retracted",attestations!$D$2:$D$5000,"&lt;&gt;Negative*")</f>
        <v>8</v>
      </c>
      <c r="P196" s="2">
        <f>COUNTIFS(attestations!$B$2:$B$5000,$A196,attestations!$T$2:$T$5000,"&lt;&gt;Retracted",attestations!$D$2:$D$5000,"&lt;&gt;Negative*",attestations!$R$2:$R$5000,"Map")</f>
        <v>2</v>
      </c>
      <c r="Q196" s="2">
        <f>COUNTIFS(attestations!$B$2:$B$5000,$A196,attestations!$T$2:$T$5000,"&lt;&gt;Retracted",attestations!$D$2:$D$5000,"&lt;&gt;Negative*",attestations!$R$2:$R$5000,"Image")</f>
        <v>1</v>
      </c>
      <c r="R196" s="2">
        <f>COUNTIFS(attestations!$B$2:$B$5000,$A196,attestations!$T$2:$T$5000,"&lt;&gt;Retracted",attestations!$D$2:$D$5000,"&lt;&gt;Negative*",attestations!$R$2:$R$5000,"Textual")</f>
        <v>5</v>
      </c>
      <c r="S196" s="2">
        <f>COUNTIFS(attestations!$B$2:$B$5000,$A196,attestations!$T$2:$T$5000,"&lt;&gt;Retracted",attestations!$D$2:$D$5000,"Geometry (Setting)")</f>
        <v>1</v>
      </c>
      <c r="T196" s="2" t="str">
        <f t="shared" si="7"/>
        <v>Medium</v>
      </c>
      <c r="U196" s="2" t="str">
        <f>IF(COUNTIFS(attestations!$B$2:$B$5000,$A196,attestations!$T$2:$T$5000,"&lt;&gt;Retracted",attestations!$I$2:$I$5000,"Georeferenced map GCP")&gt;0,"Y","N")</f>
        <v>N</v>
      </c>
      <c r="V196" t="s">
        <v>191</v>
      </c>
      <c r="W196" t="s">
        <v>203</v>
      </c>
      <c r="X196" t="s">
        <v>987</v>
      </c>
      <c r="Y196" t="s">
        <v>193</v>
      </c>
      <c r="AB196">
        <f>IF(A196="","",SUMIFS(attestations!$U$2:$U$5000,attestations!$B$2:$B$5000,A196))</f>
        <v>8</v>
      </c>
    </row>
    <row r="197" spans="1:28" x14ac:dyDescent="0.2">
      <c r="A197" t="s">
        <v>988</v>
      </c>
      <c r="B197" t="s">
        <v>930</v>
      </c>
      <c r="D197" t="s">
        <v>207</v>
      </c>
      <c r="E197" t="s">
        <v>208</v>
      </c>
      <c r="F197" t="s">
        <v>208</v>
      </c>
      <c r="G197" t="s">
        <v>300</v>
      </c>
      <c r="H197" t="s">
        <v>186</v>
      </c>
      <c r="I197" t="s">
        <v>197</v>
      </c>
      <c r="K197" t="s">
        <v>208</v>
      </c>
      <c r="L197" t="s">
        <v>209</v>
      </c>
      <c r="M197" t="str">
        <f t="shared" si="6"/>
        <v>Point + buffer</v>
      </c>
      <c r="N197">
        <v>800</v>
      </c>
      <c r="O197" s="2">
        <f>COUNTIFS(attestations!$B$2:$B$5000,$A197,attestations!$T$2:$T$5000,"&lt;&gt;Retracted",attestations!$D$2:$D$5000,"&lt;&gt;Negative*")</f>
        <v>0</v>
      </c>
      <c r="P197" s="2">
        <f>COUNTIFS(attestations!$B$2:$B$5000,$A197,attestations!$T$2:$T$5000,"&lt;&gt;Retracted",attestations!$D$2:$D$5000,"&lt;&gt;Negative*",attestations!$R$2:$R$5000,"Map")</f>
        <v>0</v>
      </c>
      <c r="Q197" s="2">
        <f>COUNTIFS(attestations!$B$2:$B$5000,$A197,attestations!$T$2:$T$5000,"&lt;&gt;Retracted",attestations!$D$2:$D$5000,"&lt;&gt;Negative*",attestations!$R$2:$R$5000,"Image")</f>
        <v>0</v>
      </c>
      <c r="R197" s="2">
        <f>COUNTIFS(attestations!$B$2:$B$5000,$A197,attestations!$T$2:$T$5000,"&lt;&gt;Retracted",attestations!$D$2:$D$5000,"&lt;&gt;Negative*",attestations!$R$2:$R$5000,"Textual")</f>
        <v>0</v>
      </c>
      <c r="S197" s="2">
        <f>COUNTIFS(attestations!$B$2:$B$5000,$A197,attestations!$T$2:$T$5000,"&lt;&gt;Retracted",attestations!$D$2:$D$5000,"Geometry (Setting)")</f>
        <v>0</v>
      </c>
      <c r="T197" s="2" t="str">
        <f t="shared" si="7"/>
        <v>None</v>
      </c>
      <c r="U197" s="2" t="str">
        <f>IF(COUNTIFS(attestations!$B$2:$B$5000,$A197,attestations!$T$2:$T$5000,"&lt;&gt;Retracted",attestations!$I$2:$I$5000,"Georeferenced map GCP")&gt;0,"Y","N")</f>
        <v>N</v>
      </c>
      <c r="V197" t="s">
        <v>284</v>
      </c>
      <c r="W197" t="s">
        <v>209</v>
      </c>
      <c r="X197" t="s">
        <v>989</v>
      </c>
      <c r="Y197" t="s">
        <v>193</v>
      </c>
      <c r="AB197">
        <f>IF(A197="","",SUMIFS(attestations!$U$2:$U$5000,attestations!$B$2:$B$5000,A197))</f>
        <v>0</v>
      </c>
    </row>
    <row r="198" spans="1:28" x14ac:dyDescent="0.2">
      <c r="A198" t="s">
        <v>990</v>
      </c>
      <c r="B198" t="s">
        <v>787</v>
      </c>
      <c r="C198" t="s">
        <v>991</v>
      </c>
      <c r="D198" t="s">
        <v>992</v>
      </c>
      <c r="E198" t="s">
        <v>208</v>
      </c>
      <c r="F198" t="s">
        <v>208</v>
      </c>
      <c r="G198" t="s">
        <v>320</v>
      </c>
      <c r="H198" t="s">
        <v>223</v>
      </c>
      <c r="I198" t="s">
        <v>527</v>
      </c>
      <c r="K198" t="s">
        <v>189</v>
      </c>
      <c r="L198" t="s">
        <v>203</v>
      </c>
      <c r="M198" t="str">
        <f t="shared" si="6"/>
        <v>Solid point</v>
      </c>
      <c r="N198">
        <v>150</v>
      </c>
      <c r="O198" s="2">
        <f>COUNTIFS(attestations!$B$2:$B$5000,$A198,attestations!$T$2:$T$5000,"&lt;&gt;Retracted",attestations!$D$2:$D$5000,"&lt;&gt;Negative*")</f>
        <v>0</v>
      </c>
      <c r="P198" s="2">
        <f>COUNTIFS(attestations!$B$2:$B$5000,$A198,attestations!$T$2:$T$5000,"&lt;&gt;Retracted",attestations!$D$2:$D$5000,"&lt;&gt;Negative*",attestations!$R$2:$R$5000,"Map")</f>
        <v>0</v>
      </c>
      <c r="Q198" s="2">
        <f>COUNTIFS(attestations!$B$2:$B$5000,$A198,attestations!$T$2:$T$5000,"&lt;&gt;Retracted",attestations!$D$2:$D$5000,"&lt;&gt;Negative*",attestations!$R$2:$R$5000,"Image")</f>
        <v>0</v>
      </c>
      <c r="R198" s="2">
        <f>COUNTIFS(attestations!$B$2:$B$5000,$A198,attestations!$T$2:$T$5000,"&lt;&gt;Retracted",attestations!$D$2:$D$5000,"&lt;&gt;Negative*",attestations!$R$2:$R$5000,"Textual")</f>
        <v>0</v>
      </c>
      <c r="S198" s="2">
        <f>COUNTIFS(attestations!$B$2:$B$5000,$A198,attestations!$T$2:$T$5000,"&lt;&gt;Retracted",attestations!$D$2:$D$5000,"Geometry (Setting)")</f>
        <v>0</v>
      </c>
      <c r="T198" s="2" t="str">
        <f t="shared" si="7"/>
        <v>None</v>
      </c>
      <c r="U198" s="2" t="str">
        <f>IF(COUNTIFS(attestations!$B$2:$B$5000,$A198,attestations!$T$2:$T$5000,"&lt;&gt;Retracted",attestations!$I$2:$I$5000,"Georeferenced map GCP")&gt;0,"Y","N")</f>
        <v>N</v>
      </c>
      <c r="V198" t="s">
        <v>284</v>
      </c>
      <c r="W198" t="s">
        <v>203</v>
      </c>
      <c r="X198" t="s">
        <v>993</v>
      </c>
      <c r="Y198" t="s">
        <v>193</v>
      </c>
      <c r="AB198">
        <f>IF(A198="","",SUMIFS(attestations!$U$2:$U$5000,attestations!$B$2:$B$5000,A198))</f>
        <v>0</v>
      </c>
    </row>
    <row r="199" spans="1:28" x14ac:dyDescent="0.2">
      <c r="A199" t="s">
        <v>994</v>
      </c>
      <c r="B199" t="s">
        <v>995</v>
      </c>
      <c r="D199" t="s">
        <v>621</v>
      </c>
      <c r="E199" t="s">
        <v>208</v>
      </c>
      <c r="F199" t="s">
        <v>208</v>
      </c>
      <c r="G199" t="s">
        <v>320</v>
      </c>
      <c r="H199" t="s">
        <v>223</v>
      </c>
      <c r="I199" t="s">
        <v>409</v>
      </c>
      <c r="K199" t="s">
        <v>208</v>
      </c>
      <c r="L199" t="s">
        <v>203</v>
      </c>
      <c r="M199" t="str">
        <f t="shared" si="6"/>
        <v>Solid point</v>
      </c>
      <c r="N199">
        <v>200</v>
      </c>
      <c r="O199" s="2">
        <f>COUNTIFS(attestations!$B$2:$B$5000,$A199,attestations!$T$2:$T$5000,"&lt;&gt;Retracted",attestations!$D$2:$D$5000,"&lt;&gt;Negative*")</f>
        <v>8</v>
      </c>
      <c r="P199" s="2">
        <f>COUNTIFS(attestations!$B$2:$B$5000,$A199,attestations!$T$2:$T$5000,"&lt;&gt;Retracted",attestations!$D$2:$D$5000,"&lt;&gt;Negative*",attestations!$R$2:$R$5000,"Map")</f>
        <v>3</v>
      </c>
      <c r="Q199" s="2">
        <f>COUNTIFS(attestations!$B$2:$B$5000,$A199,attestations!$T$2:$T$5000,"&lt;&gt;Retracted",attestations!$D$2:$D$5000,"&lt;&gt;Negative*",attestations!$R$2:$R$5000,"Image")</f>
        <v>1</v>
      </c>
      <c r="R199" s="2">
        <f>COUNTIFS(attestations!$B$2:$B$5000,$A199,attestations!$T$2:$T$5000,"&lt;&gt;Retracted",attestations!$D$2:$D$5000,"&lt;&gt;Negative*",attestations!$R$2:$R$5000,"Textual")</f>
        <v>4</v>
      </c>
      <c r="S199" s="2">
        <f>COUNTIFS(attestations!$B$2:$B$5000,$A199,attestations!$T$2:$T$5000,"&lt;&gt;Retracted",attestations!$D$2:$D$5000,"Geometry (Setting)")</f>
        <v>2</v>
      </c>
      <c r="T199" s="2" t="str">
        <f t="shared" si="7"/>
        <v>Medium</v>
      </c>
      <c r="U199" s="2" t="str">
        <f>IF(COUNTIFS(attestations!$B$2:$B$5000,$A199,attestations!$T$2:$T$5000,"&lt;&gt;Retracted",attestations!$I$2:$I$5000,"Georeferenced map GCP")&gt;0,"Y","N")</f>
        <v>N</v>
      </c>
      <c r="V199" t="s">
        <v>191</v>
      </c>
      <c r="W199" t="s">
        <v>203</v>
      </c>
      <c r="X199" t="s">
        <v>996</v>
      </c>
      <c r="Y199" t="s">
        <v>193</v>
      </c>
      <c r="AB199">
        <f>IF(A199="","",SUMIFS(attestations!$U$2:$U$5000,attestations!$B$2:$B$5000,A199))</f>
        <v>8</v>
      </c>
    </row>
    <row r="200" spans="1:28" x14ac:dyDescent="0.2">
      <c r="A200" t="s">
        <v>997</v>
      </c>
      <c r="B200" t="s">
        <v>998</v>
      </c>
      <c r="C200" t="s">
        <v>999</v>
      </c>
      <c r="D200" t="s">
        <v>324</v>
      </c>
      <c r="E200" t="s">
        <v>208</v>
      </c>
      <c r="F200" t="s">
        <v>208</v>
      </c>
      <c r="G200" t="s">
        <v>320</v>
      </c>
      <c r="H200" t="s">
        <v>223</v>
      </c>
      <c r="I200" t="s">
        <v>337</v>
      </c>
      <c r="K200" t="s">
        <v>189</v>
      </c>
      <c r="L200" t="s">
        <v>203</v>
      </c>
      <c r="M200" t="str">
        <f t="shared" si="6"/>
        <v>Solid point</v>
      </c>
      <c r="N200">
        <v>200</v>
      </c>
      <c r="O200" s="2">
        <f>COUNTIFS(attestations!$B$2:$B$5000,$A200,attestations!$T$2:$T$5000,"&lt;&gt;Retracted",attestations!$D$2:$D$5000,"&lt;&gt;Negative*")</f>
        <v>8</v>
      </c>
      <c r="P200" s="2">
        <f>COUNTIFS(attestations!$B$2:$B$5000,$A200,attestations!$T$2:$T$5000,"&lt;&gt;Retracted",attestations!$D$2:$D$5000,"&lt;&gt;Negative*",attestations!$R$2:$R$5000,"Map")</f>
        <v>1</v>
      </c>
      <c r="Q200" s="2">
        <f>COUNTIFS(attestations!$B$2:$B$5000,$A200,attestations!$T$2:$T$5000,"&lt;&gt;Retracted",attestations!$D$2:$D$5000,"&lt;&gt;Negative*",attestations!$R$2:$R$5000,"Image")</f>
        <v>1</v>
      </c>
      <c r="R200" s="2">
        <f>COUNTIFS(attestations!$B$2:$B$5000,$A200,attestations!$T$2:$T$5000,"&lt;&gt;Retracted",attestations!$D$2:$D$5000,"&lt;&gt;Negative*",attestations!$R$2:$R$5000,"Textual")</f>
        <v>6</v>
      </c>
      <c r="S200" s="2">
        <f>COUNTIFS(attestations!$B$2:$B$5000,$A200,attestations!$T$2:$T$5000,"&lt;&gt;Retracted",attestations!$D$2:$D$5000,"Geometry (Setting)")</f>
        <v>1</v>
      </c>
      <c r="T200" s="2" t="str">
        <f t="shared" si="7"/>
        <v>Medium</v>
      </c>
      <c r="U200" s="2" t="str">
        <f>IF(COUNTIFS(attestations!$B$2:$B$5000,$A200,attestations!$T$2:$T$5000,"&lt;&gt;Retracted",attestations!$I$2:$I$5000,"Georeferenced map GCP")&gt;0,"Y","N")</f>
        <v>N</v>
      </c>
      <c r="V200" t="s">
        <v>1000</v>
      </c>
      <c r="W200" t="s">
        <v>203</v>
      </c>
      <c r="X200" t="s">
        <v>1001</v>
      </c>
      <c r="Y200" t="s">
        <v>275</v>
      </c>
      <c r="Z200" t="s">
        <v>415</v>
      </c>
      <c r="AB200">
        <f>IF(A200="","",SUMIFS(attestations!$U$2:$U$5000,attestations!$B$2:$B$5000,A200))</f>
        <v>8</v>
      </c>
    </row>
    <row r="201" spans="1:28" x14ac:dyDescent="0.2">
      <c r="A201" t="s">
        <v>1002</v>
      </c>
      <c r="B201" t="s">
        <v>1003</v>
      </c>
      <c r="D201" t="s">
        <v>1004</v>
      </c>
      <c r="E201" t="s">
        <v>208</v>
      </c>
      <c r="F201" t="s">
        <v>208</v>
      </c>
      <c r="G201" t="s">
        <v>1005</v>
      </c>
      <c r="H201" t="s">
        <v>223</v>
      </c>
      <c r="I201" t="s">
        <v>1006</v>
      </c>
      <c r="K201" t="s">
        <v>208</v>
      </c>
      <c r="L201" t="s">
        <v>203</v>
      </c>
      <c r="M201" t="str">
        <f t="shared" si="6"/>
        <v>Solid point</v>
      </c>
      <c r="N201">
        <v>250</v>
      </c>
      <c r="O201" s="2">
        <f>COUNTIFS(attestations!$B$2:$B$5000,$A201,attestations!$T$2:$T$5000,"&lt;&gt;Retracted",attestations!$D$2:$D$5000,"&lt;&gt;Negative*")</f>
        <v>8</v>
      </c>
      <c r="P201" s="2">
        <f>COUNTIFS(attestations!$B$2:$B$5000,$A201,attestations!$T$2:$T$5000,"&lt;&gt;Retracted",attestations!$D$2:$D$5000,"&lt;&gt;Negative*",attestations!$R$2:$R$5000,"Map")</f>
        <v>3</v>
      </c>
      <c r="Q201" s="2">
        <f>COUNTIFS(attestations!$B$2:$B$5000,$A201,attestations!$T$2:$T$5000,"&lt;&gt;Retracted",attestations!$D$2:$D$5000,"&lt;&gt;Negative*",attestations!$R$2:$R$5000,"Image")</f>
        <v>1</v>
      </c>
      <c r="R201" s="2">
        <f>COUNTIFS(attestations!$B$2:$B$5000,$A201,attestations!$T$2:$T$5000,"&lt;&gt;Retracted",attestations!$D$2:$D$5000,"&lt;&gt;Negative*",attestations!$R$2:$R$5000,"Textual")</f>
        <v>4</v>
      </c>
      <c r="S201" s="2">
        <f>COUNTIFS(attestations!$B$2:$B$5000,$A201,attestations!$T$2:$T$5000,"&lt;&gt;Retracted",attestations!$D$2:$D$5000,"Geometry (Setting)")</f>
        <v>3</v>
      </c>
      <c r="T201" s="2" t="str">
        <f t="shared" si="7"/>
        <v>Medium</v>
      </c>
      <c r="U201" s="2" t="str">
        <f>IF(COUNTIFS(attestations!$B$2:$B$5000,$A201,attestations!$T$2:$T$5000,"&lt;&gt;Retracted",attestations!$I$2:$I$5000,"Georeferenced map GCP")&gt;0,"Y","N")</f>
        <v>N</v>
      </c>
      <c r="V201" t="s">
        <v>191</v>
      </c>
      <c r="W201" t="s">
        <v>209</v>
      </c>
      <c r="X201" t="s">
        <v>1007</v>
      </c>
      <c r="Y201" t="s">
        <v>275</v>
      </c>
      <c r="Z201" t="s">
        <v>330</v>
      </c>
      <c r="AB201">
        <f>IF(A201="","",SUMIFS(attestations!$U$2:$U$5000,attestations!$B$2:$B$5000,A201))</f>
        <v>7</v>
      </c>
    </row>
    <row r="202" spans="1:28" x14ac:dyDescent="0.2">
      <c r="A202" t="s">
        <v>1008</v>
      </c>
      <c r="B202" t="s">
        <v>1009</v>
      </c>
      <c r="C202" t="s">
        <v>854</v>
      </c>
      <c r="D202" t="s">
        <v>289</v>
      </c>
      <c r="E202" t="s">
        <v>183</v>
      </c>
      <c r="F202" t="s">
        <v>184</v>
      </c>
      <c r="G202" t="s">
        <v>320</v>
      </c>
      <c r="H202" t="s">
        <v>290</v>
      </c>
      <c r="I202" t="s">
        <v>862</v>
      </c>
      <c r="J202" t="s">
        <v>1010</v>
      </c>
      <c r="K202" t="s">
        <v>208</v>
      </c>
      <c r="L202" t="s">
        <v>208</v>
      </c>
      <c r="M202" t="str">
        <f t="shared" si="6"/>
        <v>Unplotted (unlocated panel)</v>
      </c>
      <c r="O202" s="2">
        <f>COUNTIFS(attestations!$B$2:$B$5000,$A202,attestations!$T$2:$T$5000,"&lt;&gt;Retracted",attestations!$D$2:$D$5000,"&lt;&gt;Negative*")</f>
        <v>4</v>
      </c>
      <c r="P202" s="2">
        <f>COUNTIFS(attestations!$B$2:$B$5000,$A202,attestations!$T$2:$T$5000,"&lt;&gt;Retracted",attestations!$D$2:$D$5000,"&lt;&gt;Negative*",attestations!$R$2:$R$5000,"Map")</f>
        <v>0</v>
      </c>
      <c r="Q202" s="2">
        <f>COUNTIFS(attestations!$B$2:$B$5000,$A202,attestations!$T$2:$T$5000,"&lt;&gt;Retracted",attestations!$D$2:$D$5000,"&lt;&gt;Negative*",attestations!$R$2:$R$5000,"Image")</f>
        <v>0</v>
      </c>
      <c r="R202" s="2">
        <f>COUNTIFS(attestations!$B$2:$B$5000,$A202,attestations!$T$2:$T$5000,"&lt;&gt;Retracted",attestations!$D$2:$D$5000,"&lt;&gt;Negative*",attestations!$R$2:$R$5000,"Textual")</f>
        <v>4</v>
      </c>
      <c r="S202" s="2">
        <f>COUNTIFS(attestations!$B$2:$B$5000,$A202,attestations!$T$2:$T$5000,"&lt;&gt;Retracted",attestations!$D$2:$D$5000,"Geometry (Setting)")</f>
        <v>0</v>
      </c>
      <c r="T202" s="2" t="str">
        <f t="shared" si="7"/>
        <v>Medium</v>
      </c>
      <c r="U202" s="2" t="str">
        <f>IF(COUNTIFS(attestations!$B$2:$B$5000,$A202,attestations!$T$2:$T$5000,"&lt;&gt;Retracted",attestations!$I$2:$I$5000,"Georeferenced map GCP")&gt;0,"Y","N")</f>
        <v>N</v>
      </c>
      <c r="V202" t="s">
        <v>191</v>
      </c>
      <c r="W202" t="s">
        <v>203</v>
      </c>
      <c r="X202" t="s">
        <v>1011</v>
      </c>
      <c r="Y202" t="s">
        <v>293</v>
      </c>
      <c r="Z202" t="s">
        <v>226</v>
      </c>
      <c r="AB202">
        <f>IF(A202="","",SUMIFS(attestations!$U$2:$U$5000,attestations!$B$2:$B$5000,A202))</f>
        <v>3</v>
      </c>
    </row>
    <row r="203" spans="1:28" x14ac:dyDescent="0.2">
      <c r="A203" t="s">
        <v>1012</v>
      </c>
      <c r="B203" t="s">
        <v>1013</v>
      </c>
      <c r="D203" t="s">
        <v>207</v>
      </c>
      <c r="E203" t="s">
        <v>183</v>
      </c>
      <c r="F203" t="s">
        <v>556</v>
      </c>
      <c r="G203" t="s">
        <v>185</v>
      </c>
      <c r="H203" t="s">
        <v>186</v>
      </c>
      <c r="I203" t="s">
        <v>605</v>
      </c>
      <c r="J203" t="s">
        <v>478</v>
      </c>
      <c r="K203" t="s">
        <v>259</v>
      </c>
      <c r="L203" t="s">
        <v>190</v>
      </c>
      <c r="M203" t="str">
        <f t="shared" si="6"/>
        <v>Translucent area</v>
      </c>
      <c r="O203" s="2">
        <f>COUNTIFS(attestations!$B$2:$B$5000,$A203,attestations!$T$2:$T$5000,"&lt;&gt;Retracted",attestations!$D$2:$D$5000,"&lt;&gt;Negative*")</f>
        <v>4</v>
      </c>
      <c r="P203" s="2">
        <f>COUNTIFS(attestations!$B$2:$B$5000,$A203,attestations!$T$2:$T$5000,"&lt;&gt;Retracted",attestations!$D$2:$D$5000,"&lt;&gt;Negative*",attestations!$R$2:$R$5000,"Map")</f>
        <v>2</v>
      </c>
      <c r="Q203" s="2">
        <f>COUNTIFS(attestations!$B$2:$B$5000,$A203,attestations!$T$2:$T$5000,"&lt;&gt;Retracted",attestations!$D$2:$D$5000,"&lt;&gt;Negative*",attestations!$R$2:$R$5000,"Image")</f>
        <v>0</v>
      </c>
      <c r="R203" s="2">
        <f>COUNTIFS(attestations!$B$2:$B$5000,$A203,attestations!$T$2:$T$5000,"&lt;&gt;Retracted",attestations!$D$2:$D$5000,"&lt;&gt;Negative*",attestations!$R$2:$R$5000,"Textual")</f>
        <v>2</v>
      </c>
      <c r="S203" s="2">
        <f>COUNTIFS(attestations!$B$2:$B$5000,$A203,attestations!$T$2:$T$5000,"&lt;&gt;Retracted",attestations!$D$2:$D$5000,"Geometry (Setting)")</f>
        <v>0</v>
      </c>
      <c r="T203" s="2" t="str">
        <f t="shared" si="7"/>
        <v>Medium</v>
      </c>
      <c r="U203" s="2" t="str">
        <f>IF(COUNTIFS(attestations!$B$2:$B$5000,$A203,attestations!$T$2:$T$5000,"&lt;&gt;Retracted",attestations!$I$2:$I$5000,"Georeferenced map GCP")&gt;0,"Y","N")</f>
        <v>N</v>
      </c>
      <c r="V203" t="s">
        <v>191</v>
      </c>
      <c r="W203" t="s">
        <v>190</v>
      </c>
      <c r="X203" t="s">
        <v>1014</v>
      </c>
      <c r="Y203" t="s">
        <v>193</v>
      </c>
      <c r="AB203">
        <f>IF(A203="","",SUMIFS(attestations!$U$2:$U$5000,attestations!$B$2:$B$5000,A203))</f>
        <v>4</v>
      </c>
    </row>
    <row r="204" spans="1:28" x14ac:dyDescent="0.2">
      <c r="A204" t="s">
        <v>1015</v>
      </c>
      <c r="B204" t="s">
        <v>904</v>
      </c>
      <c r="D204" t="s">
        <v>207</v>
      </c>
      <c r="E204" t="s">
        <v>183</v>
      </c>
      <c r="F204" t="s">
        <v>556</v>
      </c>
      <c r="G204" t="s">
        <v>185</v>
      </c>
      <c r="H204" t="s">
        <v>186</v>
      </c>
      <c r="I204" t="s">
        <v>605</v>
      </c>
      <c r="J204" t="s">
        <v>478</v>
      </c>
      <c r="K204" t="s">
        <v>259</v>
      </c>
      <c r="L204" t="s">
        <v>190</v>
      </c>
      <c r="M204" t="str">
        <f t="shared" si="6"/>
        <v>Translucent area</v>
      </c>
      <c r="O204" s="2">
        <f>COUNTIFS(attestations!$B$2:$B$5000,$A204,attestations!$T$2:$T$5000,"&lt;&gt;Retracted",attestations!$D$2:$D$5000,"&lt;&gt;Negative*")</f>
        <v>0</v>
      </c>
      <c r="P204" s="2">
        <f>COUNTIFS(attestations!$B$2:$B$5000,$A204,attestations!$T$2:$T$5000,"&lt;&gt;Retracted",attestations!$D$2:$D$5000,"&lt;&gt;Negative*",attestations!$R$2:$R$5000,"Map")</f>
        <v>0</v>
      </c>
      <c r="Q204" s="2">
        <f>COUNTIFS(attestations!$B$2:$B$5000,$A204,attestations!$T$2:$T$5000,"&lt;&gt;Retracted",attestations!$D$2:$D$5000,"&lt;&gt;Negative*",attestations!$R$2:$R$5000,"Image")</f>
        <v>0</v>
      </c>
      <c r="R204" s="2">
        <f>COUNTIFS(attestations!$B$2:$B$5000,$A204,attestations!$T$2:$T$5000,"&lt;&gt;Retracted",attestations!$D$2:$D$5000,"&lt;&gt;Negative*",attestations!$R$2:$R$5000,"Textual")</f>
        <v>0</v>
      </c>
      <c r="S204" s="2">
        <f>COUNTIFS(attestations!$B$2:$B$5000,$A204,attestations!$T$2:$T$5000,"&lt;&gt;Retracted",attestations!$D$2:$D$5000,"Geometry (Setting)")</f>
        <v>0</v>
      </c>
      <c r="T204" s="2" t="str">
        <f t="shared" si="7"/>
        <v>None</v>
      </c>
      <c r="U204" s="2" t="str">
        <f>IF(COUNTIFS(attestations!$B$2:$B$5000,$A204,attestations!$T$2:$T$5000,"&lt;&gt;Retracted",attestations!$I$2:$I$5000,"Georeferenced map GCP")&gt;0,"Y","N")</f>
        <v>N</v>
      </c>
      <c r="V204" t="s">
        <v>284</v>
      </c>
      <c r="W204" t="s">
        <v>190</v>
      </c>
      <c r="X204" t="s">
        <v>1016</v>
      </c>
      <c r="Y204" t="s">
        <v>193</v>
      </c>
      <c r="AB204">
        <f>IF(A204="","",SUMIFS(attestations!$U$2:$U$5000,attestations!$B$2:$B$5000,A204))</f>
        <v>0</v>
      </c>
    </row>
    <row r="205" spans="1:28" x14ac:dyDescent="0.2">
      <c r="A205" t="s">
        <v>1017</v>
      </c>
      <c r="B205" t="s">
        <v>1018</v>
      </c>
      <c r="C205" t="s">
        <v>1019</v>
      </c>
      <c r="D205" t="s">
        <v>207</v>
      </c>
      <c r="E205" t="s">
        <v>183</v>
      </c>
      <c r="F205" t="s">
        <v>556</v>
      </c>
      <c r="G205" t="s">
        <v>185</v>
      </c>
      <c r="H205" t="s">
        <v>186</v>
      </c>
      <c r="I205" t="s">
        <v>605</v>
      </c>
      <c r="J205" t="s">
        <v>478</v>
      </c>
      <c r="K205" t="s">
        <v>259</v>
      </c>
      <c r="L205" t="s">
        <v>190</v>
      </c>
      <c r="M205" t="str">
        <f t="shared" si="6"/>
        <v>Translucent area</v>
      </c>
      <c r="O205" s="2">
        <f>COUNTIFS(attestations!$B$2:$B$5000,$A205,attestations!$T$2:$T$5000,"&lt;&gt;Retracted",attestations!$D$2:$D$5000,"&lt;&gt;Negative*")</f>
        <v>6</v>
      </c>
      <c r="P205" s="2">
        <f>COUNTIFS(attestations!$B$2:$B$5000,$A205,attestations!$T$2:$T$5000,"&lt;&gt;Retracted",attestations!$D$2:$D$5000,"&lt;&gt;Negative*",attestations!$R$2:$R$5000,"Map")</f>
        <v>3</v>
      </c>
      <c r="Q205" s="2">
        <f>COUNTIFS(attestations!$B$2:$B$5000,$A205,attestations!$T$2:$T$5000,"&lt;&gt;Retracted",attestations!$D$2:$D$5000,"&lt;&gt;Negative*",attestations!$R$2:$R$5000,"Image")</f>
        <v>0</v>
      </c>
      <c r="R205" s="2">
        <f>COUNTIFS(attestations!$B$2:$B$5000,$A205,attestations!$T$2:$T$5000,"&lt;&gt;Retracted",attestations!$D$2:$D$5000,"&lt;&gt;Negative*",attestations!$R$2:$R$5000,"Textual")</f>
        <v>3</v>
      </c>
      <c r="S205" s="2">
        <f>COUNTIFS(attestations!$B$2:$B$5000,$A205,attestations!$T$2:$T$5000,"&lt;&gt;Retracted",attestations!$D$2:$D$5000,"Geometry (Setting)")</f>
        <v>0</v>
      </c>
      <c r="T205" s="2" t="str">
        <f t="shared" si="7"/>
        <v>Medium</v>
      </c>
      <c r="U205" s="2" t="str">
        <f>IF(COUNTIFS(attestations!$B$2:$B$5000,$A205,attestations!$T$2:$T$5000,"&lt;&gt;Retracted",attestations!$I$2:$I$5000,"Georeferenced map GCP")&gt;0,"Y","N")</f>
        <v>N</v>
      </c>
      <c r="V205" t="s">
        <v>191</v>
      </c>
      <c r="W205" t="s">
        <v>190</v>
      </c>
      <c r="X205" t="s">
        <v>1020</v>
      </c>
      <c r="Y205" t="s">
        <v>193</v>
      </c>
      <c r="AB205">
        <f>IF(A205="","",SUMIFS(attestations!$U$2:$U$5000,attestations!$B$2:$B$5000,A205))</f>
        <v>6</v>
      </c>
    </row>
    <row r="206" spans="1:28" x14ac:dyDescent="0.2">
      <c r="A206" t="s">
        <v>1021</v>
      </c>
      <c r="B206" t="s">
        <v>1022</v>
      </c>
      <c r="D206" t="s">
        <v>207</v>
      </c>
      <c r="E206" t="s">
        <v>183</v>
      </c>
      <c r="F206" t="s">
        <v>556</v>
      </c>
      <c r="G206" t="s">
        <v>185</v>
      </c>
      <c r="H206" t="s">
        <v>186</v>
      </c>
      <c r="I206" t="s">
        <v>605</v>
      </c>
      <c r="J206" t="s">
        <v>478</v>
      </c>
      <c r="K206" t="s">
        <v>259</v>
      </c>
      <c r="L206" t="s">
        <v>190</v>
      </c>
      <c r="M206" t="str">
        <f t="shared" si="6"/>
        <v>Translucent area</v>
      </c>
      <c r="O206" s="2">
        <f>COUNTIFS(attestations!$B$2:$B$5000,$A206,attestations!$T$2:$T$5000,"&lt;&gt;Retracted",attestations!$D$2:$D$5000,"&lt;&gt;Negative*")</f>
        <v>4</v>
      </c>
      <c r="P206" s="2">
        <f>COUNTIFS(attestations!$B$2:$B$5000,$A206,attestations!$T$2:$T$5000,"&lt;&gt;Retracted",attestations!$D$2:$D$5000,"&lt;&gt;Negative*",attestations!$R$2:$R$5000,"Map")</f>
        <v>1</v>
      </c>
      <c r="Q206" s="2">
        <f>COUNTIFS(attestations!$B$2:$B$5000,$A206,attestations!$T$2:$T$5000,"&lt;&gt;Retracted",attestations!$D$2:$D$5000,"&lt;&gt;Negative*",attestations!$R$2:$R$5000,"Image")</f>
        <v>0</v>
      </c>
      <c r="R206" s="2">
        <f>COUNTIFS(attestations!$B$2:$B$5000,$A206,attestations!$T$2:$T$5000,"&lt;&gt;Retracted",attestations!$D$2:$D$5000,"&lt;&gt;Negative*",attestations!$R$2:$R$5000,"Textual")</f>
        <v>3</v>
      </c>
      <c r="S206" s="2">
        <f>COUNTIFS(attestations!$B$2:$B$5000,$A206,attestations!$T$2:$T$5000,"&lt;&gt;Retracted",attestations!$D$2:$D$5000,"Geometry (Setting)")</f>
        <v>0</v>
      </c>
      <c r="T206" s="2" t="str">
        <f t="shared" si="7"/>
        <v>Medium</v>
      </c>
      <c r="U206" s="2" t="str">
        <f>IF(COUNTIFS(attestations!$B$2:$B$5000,$A206,attestations!$T$2:$T$5000,"&lt;&gt;Retracted",attestations!$I$2:$I$5000,"Georeferenced map GCP")&gt;0,"Y","N")</f>
        <v>N</v>
      </c>
      <c r="V206" t="s">
        <v>191</v>
      </c>
      <c r="W206" t="s">
        <v>190</v>
      </c>
      <c r="X206" t="s">
        <v>1023</v>
      </c>
      <c r="Y206" t="s">
        <v>193</v>
      </c>
      <c r="AB206">
        <f>IF(A206="","",SUMIFS(attestations!$U$2:$U$5000,attestations!$B$2:$B$5000,A206))</f>
        <v>4</v>
      </c>
    </row>
    <row r="207" spans="1:28" x14ac:dyDescent="0.2">
      <c r="A207" t="s">
        <v>1024</v>
      </c>
      <c r="B207" t="s">
        <v>908</v>
      </c>
      <c r="D207" t="s">
        <v>207</v>
      </c>
      <c r="E207" t="s">
        <v>183</v>
      </c>
      <c r="F207" t="s">
        <v>556</v>
      </c>
      <c r="G207" t="s">
        <v>185</v>
      </c>
      <c r="H207" t="s">
        <v>186</v>
      </c>
      <c r="I207" t="s">
        <v>605</v>
      </c>
      <c r="J207" t="s">
        <v>478</v>
      </c>
      <c r="K207" t="s">
        <v>259</v>
      </c>
      <c r="L207" t="s">
        <v>190</v>
      </c>
      <c r="M207" t="str">
        <f t="shared" si="6"/>
        <v>Translucent area</v>
      </c>
      <c r="O207" s="2">
        <f>COUNTIFS(attestations!$B$2:$B$5000,$A207,attestations!$T$2:$T$5000,"&lt;&gt;Retracted",attestations!$D$2:$D$5000,"&lt;&gt;Negative*")</f>
        <v>0</v>
      </c>
      <c r="P207" s="2">
        <f>COUNTIFS(attestations!$B$2:$B$5000,$A207,attestations!$T$2:$T$5000,"&lt;&gt;Retracted",attestations!$D$2:$D$5000,"&lt;&gt;Negative*",attestations!$R$2:$R$5000,"Map")</f>
        <v>0</v>
      </c>
      <c r="Q207" s="2">
        <f>COUNTIFS(attestations!$B$2:$B$5000,$A207,attestations!$T$2:$T$5000,"&lt;&gt;Retracted",attestations!$D$2:$D$5000,"&lt;&gt;Negative*",attestations!$R$2:$R$5000,"Image")</f>
        <v>0</v>
      </c>
      <c r="R207" s="2">
        <f>COUNTIFS(attestations!$B$2:$B$5000,$A207,attestations!$T$2:$T$5000,"&lt;&gt;Retracted",attestations!$D$2:$D$5000,"&lt;&gt;Negative*",attestations!$R$2:$R$5000,"Textual")</f>
        <v>0</v>
      </c>
      <c r="S207" s="2">
        <f>COUNTIFS(attestations!$B$2:$B$5000,$A207,attestations!$T$2:$T$5000,"&lt;&gt;Retracted",attestations!$D$2:$D$5000,"Geometry (Setting)")</f>
        <v>0</v>
      </c>
      <c r="T207" s="2" t="str">
        <f t="shared" si="7"/>
        <v>None</v>
      </c>
      <c r="U207" s="2" t="str">
        <f>IF(COUNTIFS(attestations!$B$2:$B$5000,$A207,attestations!$T$2:$T$5000,"&lt;&gt;Retracted",attestations!$I$2:$I$5000,"Georeferenced map GCP")&gt;0,"Y","N")</f>
        <v>N</v>
      </c>
      <c r="V207" t="s">
        <v>284</v>
      </c>
      <c r="W207" t="s">
        <v>190</v>
      </c>
      <c r="X207" t="s">
        <v>1025</v>
      </c>
      <c r="Y207" t="s">
        <v>193</v>
      </c>
      <c r="AB207">
        <f>IF(A207="","",SUMIFS(attestations!$U$2:$U$5000,attestations!$B$2:$B$5000,A207))</f>
        <v>0</v>
      </c>
    </row>
    <row r="208" spans="1:28" x14ac:dyDescent="0.2">
      <c r="A208" t="s">
        <v>1026</v>
      </c>
      <c r="B208" t="s">
        <v>1027</v>
      </c>
      <c r="C208" t="s">
        <v>854</v>
      </c>
      <c r="D208" t="s">
        <v>289</v>
      </c>
      <c r="E208" t="s">
        <v>208</v>
      </c>
      <c r="F208" t="s">
        <v>208</v>
      </c>
      <c r="G208" t="s">
        <v>320</v>
      </c>
      <c r="H208" t="s">
        <v>290</v>
      </c>
      <c r="I208" t="s">
        <v>1028</v>
      </c>
      <c r="K208" t="s">
        <v>208</v>
      </c>
      <c r="L208" t="s">
        <v>208</v>
      </c>
      <c r="M208" t="str">
        <f t="shared" si="6"/>
        <v>Unplotted (unlocated panel)</v>
      </c>
      <c r="O208" s="2">
        <f>COUNTIFS(attestations!$B$2:$B$5000,$A208,attestations!$T$2:$T$5000,"&lt;&gt;Retracted",attestations!$D$2:$D$5000,"&lt;&gt;Negative*")</f>
        <v>1</v>
      </c>
      <c r="P208" s="2">
        <f>COUNTIFS(attestations!$B$2:$B$5000,$A208,attestations!$T$2:$T$5000,"&lt;&gt;Retracted",attestations!$D$2:$D$5000,"&lt;&gt;Negative*",attestations!$R$2:$R$5000,"Map")</f>
        <v>0</v>
      </c>
      <c r="Q208" s="2">
        <f>COUNTIFS(attestations!$B$2:$B$5000,$A208,attestations!$T$2:$T$5000,"&lt;&gt;Retracted",attestations!$D$2:$D$5000,"&lt;&gt;Negative*",attestations!$R$2:$R$5000,"Image")</f>
        <v>0</v>
      </c>
      <c r="R208" s="2">
        <f>COUNTIFS(attestations!$B$2:$B$5000,$A208,attestations!$T$2:$T$5000,"&lt;&gt;Retracted",attestations!$D$2:$D$5000,"&lt;&gt;Negative*",attestations!$R$2:$R$5000,"Textual")</f>
        <v>1</v>
      </c>
      <c r="S208" s="2">
        <f>COUNTIFS(attestations!$B$2:$B$5000,$A208,attestations!$T$2:$T$5000,"&lt;&gt;Retracted",attestations!$D$2:$D$5000,"Geometry (Setting)")</f>
        <v>0</v>
      </c>
      <c r="T208" s="2" t="str">
        <f t="shared" si="7"/>
        <v>Low</v>
      </c>
      <c r="U208" s="2" t="str">
        <f>IF(COUNTIFS(attestations!$B$2:$B$5000,$A208,attestations!$T$2:$T$5000,"&lt;&gt;Retracted",attestations!$I$2:$I$5000,"Georeferenced map GCP")&gt;0,"Y","N")</f>
        <v>N</v>
      </c>
      <c r="V208" t="s">
        <v>191</v>
      </c>
      <c r="X208" t="s">
        <v>1029</v>
      </c>
      <c r="Y208" t="s">
        <v>293</v>
      </c>
      <c r="Z208" t="s">
        <v>357</v>
      </c>
      <c r="AB208">
        <f>IF(A208="","",SUMIFS(attestations!$U$2:$U$5000,attestations!$B$2:$B$5000,A208))</f>
        <v>1</v>
      </c>
    </row>
    <row r="209" spans="1:28" x14ac:dyDescent="0.2">
      <c r="A209" t="s">
        <v>1030</v>
      </c>
      <c r="B209" t="s">
        <v>1031</v>
      </c>
      <c r="D209" t="s">
        <v>328</v>
      </c>
      <c r="E209" t="s">
        <v>236</v>
      </c>
      <c r="F209" t="s">
        <v>237</v>
      </c>
      <c r="G209" t="s">
        <v>249</v>
      </c>
      <c r="H209" t="s">
        <v>250</v>
      </c>
      <c r="I209" t="s">
        <v>696</v>
      </c>
      <c r="J209" t="s">
        <v>245</v>
      </c>
      <c r="K209" t="s">
        <v>259</v>
      </c>
      <c r="L209" t="s">
        <v>208</v>
      </c>
      <c r="M209" t="str">
        <f t="shared" si="6"/>
        <v>Unplotted (unlocated panel)</v>
      </c>
      <c r="O209" s="2">
        <f>COUNTIFS(attestations!$B$2:$B$5000,$A209,attestations!$T$2:$T$5000,"&lt;&gt;Retracted",attestations!$D$2:$D$5000,"&lt;&gt;Negative*")</f>
        <v>3</v>
      </c>
      <c r="P209" s="2">
        <f>COUNTIFS(attestations!$B$2:$B$5000,$A209,attestations!$T$2:$T$5000,"&lt;&gt;Retracted",attestations!$D$2:$D$5000,"&lt;&gt;Negative*",attestations!$R$2:$R$5000,"Map")</f>
        <v>0</v>
      </c>
      <c r="Q209" s="2">
        <f>COUNTIFS(attestations!$B$2:$B$5000,$A209,attestations!$T$2:$T$5000,"&lt;&gt;Retracted",attestations!$D$2:$D$5000,"&lt;&gt;Negative*",attestations!$R$2:$R$5000,"Image")</f>
        <v>0</v>
      </c>
      <c r="R209" s="2">
        <f>COUNTIFS(attestations!$B$2:$B$5000,$A209,attestations!$T$2:$T$5000,"&lt;&gt;Retracted",attestations!$D$2:$D$5000,"&lt;&gt;Negative*",attestations!$R$2:$R$5000,"Textual")</f>
        <v>3</v>
      </c>
      <c r="S209" s="2">
        <f>COUNTIFS(attestations!$B$2:$B$5000,$A209,attestations!$T$2:$T$5000,"&lt;&gt;Retracted",attestations!$D$2:$D$5000,"Geometry (Setting)")</f>
        <v>0</v>
      </c>
      <c r="T209" s="2" t="str">
        <f t="shared" si="7"/>
        <v>Medium</v>
      </c>
      <c r="U209" s="2" t="str">
        <f>IF(COUNTIFS(attestations!$B$2:$B$5000,$A209,attestations!$T$2:$T$5000,"&lt;&gt;Retracted",attestations!$I$2:$I$5000,"Georeferenced map GCP")&gt;0,"Y","N")</f>
        <v>N</v>
      </c>
      <c r="V209" t="s">
        <v>191</v>
      </c>
      <c r="X209" t="s">
        <v>1032</v>
      </c>
      <c r="Y209" t="s">
        <v>286</v>
      </c>
      <c r="Z209" t="s">
        <v>247</v>
      </c>
      <c r="AB209">
        <f>IF(A209="","",SUMIFS(attestations!$U$2:$U$5000,attestations!$B$2:$B$5000,A209))</f>
        <v>3</v>
      </c>
    </row>
    <row r="210" spans="1:28" x14ac:dyDescent="0.2">
      <c r="A210" t="s">
        <v>1033</v>
      </c>
      <c r="B210" t="s">
        <v>1034</v>
      </c>
      <c r="D210" t="s">
        <v>299</v>
      </c>
      <c r="E210" t="s">
        <v>236</v>
      </c>
      <c r="F210" t="s">
        <v>237</v>
      </c>
      <c r="G210" t="s">
        <v>300</v>
      </c>
      <c r="H210" t="s">
        <v>223</v>
      </c>
      <c r="I210" t="s">
        <v>1035</v>
      </c>
      <c r="J210" t="s">
        <v>245</v>
      </c>
      <c r="K210" t="s">
        <v>208</v>
      </c>
      <c r="L210" t="s">
        <v>208</v>
      </c>
      <c r="M210" t="str">
        <f t="shared" si="6"/>
        <v>Unplotted (unlocated panel)</v>
      </c>
      <c r="O210" s="2">
        <f>COUNTIFS(attestations!$B$2:$B$5000,$A210,attestations!$T$2:$T$5000,"&lt;&gt;Retracted",attestations!$D$2:$D$5000,"&lt;&gt;Negative*")</f>
        <v>0</v>
      </c>
      <c r="P210" s="2">
        <f>COUNTIFS(attestations!$B$2:$B$5000,$A210,attestations!$T$2:$T$5000,"&lt;&gt;Retracted",attestations!$D$2:$D$5000,"&lt;&gt;Negative*",attestations!$R$2:$R$5000,"Map")</f>
        <v>0</v>
      </c>
      <c r="Q210" s="2">
        <f>COUNTIFS(attestations!$B$2:$B$5000,$A210,attestations!$T$2:$T$5000,"&lt;&gt;Retracted",attestations!$D$2:$D$5000,"&lt;&gt;Negative*",attestations!$R$2:$R$5000,"Image")</f>
        <v>0</v>
      </c>
      <c r="R210" s="2">
        <f>COUNTIFS(attestations!$B$2:$B$5000,$A210,attestations!$T$2:$T$5000,"&lt;&gt;Retracted",attestations!$D$2:$D$5000,"&lt;&gt;Negative*",attestations!$R$2:$R$5000,"Textual")</f>
        <v>0</v>
      </c>
      <c r="S210" s="2">
        <f>COUNTIFS(attestations!$B$2:$B$5000,$A210,attestations!$T$2:$T$5000,"&lt;&gt;Retracted",attestations!$D$2:$D$5000,"Geometry (Setting)")</f>
        <v>0</v>
      </c>
      <c r="T210" s="2" t="str">
        <f t="shared" si="7"/>
        <v>None</v>
      </c>
      <c r="U210" s="2" t="str">
        <f>IF(COUNTIFS(attestations!$B$2:$B$5000,$A210,attestations!$T$2:$T$5000,"&lt;&gt;Retracted",attestations!$I$2:$I$5000,"Georeferenced map GCP")&gt;0,"Y","N")</f>
        <v>N</v>
      </c>
      <c r="V210" t="s">
        <v>969</v>
      </c>
      <c r="X210" t="s">
        <v>1036</v>
      </c>
      <c r="Y210" t="s">
        <v>286</v>
      </c>
      <c r="Z210" t="s">
        <v>247</v>
      </c>
      <c r="AB210">
        <f>IF(A210="","",SUMIFS(attestations!$U$2:$U$5000,attestations!$B$2:$B$5000,A210))</f>
        <v>0</v>
      </c>
    </row>
    <row r="211" spans="1:28" x14ac:dyDescent="0.2">
      <c r="A211" t="s">
        <v>1037</v>
      </c>
      <c r="B211" t="s">
        <v>1038</v>
      </c>
      <c r="C211" t="s">
        <v>1039</v>
      </c>
      <c r="D211" t="s">
        <v>658</v>
      </c>
      <c r="E211" t="s">
        <v>236</v>
      </c>
      <c r="F211" t="s">
        <v>237</v>
      </c>
      <c r="G211" t="s">
        <v>238</v>
      </c>
      <c r="H211" t="s">
        <v>223</v>
      </c>
      <c r="I211" t="s">
        <v>691</v>
      </c>
      <c r="J211" t="s">
        <v>1040</v>
      </c>
      <c r="K211" t="s">
        <v>259</v>
      </c>
      <c r="L211" t="s">
        <v>209</v>
      </c>
      <c r="M211" t="str">
        <f t="shared" si="6"/>
        <v>Point + buffer</v>
      </c>
      <c r="N211">
        <v>200</v>
      </c>
      <c r="O211" s="2">
        <f>COUNTIFS(attestations!$B$2:$B$5000,$A211,attestations!$T$2:$T$5000,"&lt;&gt;Retracted",attestations!$D$2:$D$5000,"&lt;&gt;Negative*")</f>
        <v>6</v>
      </c>
      <c r="P211" s="2">
        <f>COUNTIFS(attestations!$B$2:$B$5000,$A211,attestations!$T$2:$T$5000,"&lt;&gt;Retracted",attestations!$D$2:$D$5000,"&lt;&gt;Negative*",attestations!$R$2:$R$5000,"Map")</f>
        <v>1</v>
      </c>
      <c r="Q211" s="2">
        <f>COUNTIFS(attestations!$B$2:$B$5000,$A211,attestations!$T$2:$T$5000,"&lt;&gt;Retracted",attestations!$D$2:$D$5000,"&lt;&gt;Negative*",attestations!$R$2:$R$5000,"Image")</f>
        <v>1</v>
      </c>
      <c r="R211" s="2">
        <f>COUNTIFS(attestations!$B$2:$B$5000,$A211,attestations!$T$2:$T$5000,"&lt;&gt;Retracted",attestations!$D$2:$D$5000,"&lt;&gt;Negative*",attestations!$R$2:$R$5000,"Textual")</f>
        <v>4</v>
      </c>
      <c r="S211" s="2">
        <f>COUNTIFS(attestations!$B$2:$B$5000,$A211,attestations!$T$2:$T$5000,"&lt;&gt;Retracted",attestations!$D$2:$D$5000,"Geometry (Setting)")</f>
        <v>1</v>
      </c>
      <c r="T211" s="2" t="str">
        <f t="shared" si="7"/>
        <v>Medium</v>
      </c>
      <c r="U211" s="2" t="str">
        <f>IF(COUNTIFS(attestations!$B$2:$B$5000,$A211,attestations!$T$2:$T$5000,"&lt;&gt;Retracted",attestations!$I$2:$I$5000,"Georeferenced map GCP")&gt;0,"Y","N")</f>
        <v>Y</v>
      </c>
      <c r="V211" t="s">
        <v>191</v>
      </c>
      <c r="X211" t="s">
        <v>1041</v>
      </c>
      <c r="Y211" t="s">
        <v>314</v>
      </c>
      <c r="Z211" t="s">
        <v>242</v>
      </c>
      <c r="AB211">
        <f>IF(A211="","",SUMIFS(attestations!$U$2:$U$5000,attestations!$B$2:$B$5000,A211))</f>
        <v>6</v>
      </c>
    </row>
    <row r="212" spans="1:28" x14ac:dyDescent="0.2">
      <c r="A212" t="s">
        <v>1042</v>
      </c>
      <c r="B212" t="s">
        <v>1043</v>
      </c>
      <c r="D212" t="s">
        <v>207</v>
      </c>
      <c r="E212" t="s">
        <v>236</v>
      </c>
      <c r="F212" t="s">
        <v>237</v>
      </c>
      <c r="G212" t="s">
        <v>185</v>
      </c>
      <c r="H212" t="s">
        <v>186</v>
      </c>
      <c r="I212" t="s">
        <v>1044</v>
      </c>
      <c r="J212" t="s">
        <v>1040</v>
      </c>
      <c r="K212" t="s">
        <v>259</v>
      </c>
      <c r="L212" t="s">
        <v>208</v>
      </c>
      <c r="M212" t="str">
        <f t="shared" si="6"/>
        <v>Unplotted (unlocated panel)</v>
      </c>
      <c r="O212" s="2">
        <f>COUNTIFS(attestations!$B$2:$B$5000,$A212,attestations!$T$2:$T$5000,"&lt;&gt;Retracted",attestations!$D$2:$D$5000,"&lt;&gt;Negative*")</f>
        <v>0</v>
      </c>
      <c r="P212" s="2">
        <f>COUNTIFS(attestations!$B$2:$B$5000,$A212,attestations!$T$2:$T$5000,"&lt;&gt;Retracted",attestations!$D$2:$D$5000,"&lt;&gt;Negative*",attestations!$R$2:$R$5000,"Map")</f>
        <v>0</v>
      </c>
      <c r="Q212" s="2">
        <f>COUNTIFS(attestations!$B$2:$B$5000,$A212,attestations!$T$2:$T$5000,"&lt;&gt;Retracted",attestations!$D$2:$D$5000,"&lt;&gt;Negative*",attestations!$R$2:$R$5000,"Image")</f>
        <v>0</v>
      </c>
      <c r="R212" s="2">
        <f>COUNTIFS(attestations!$B$2:$B$5000,$A212,attestations!$T$2:$T$5000,"&lt;&gt;Retracted",attestations!$D$2:$D$5000,"&lt;&gt;Negative*",attestations!$R$2:$R$5000,"Textual")</f>
        <v>0</v>
      </c>
      <c r="S212" s="2">
        <f>COUNTIFS(attestations!$B$2:$B$5000,$A212,attestations!$T$2:$T$5000,"&lt;&gt;Retracted",attestations!$D$2:$D$5000,"Geometry (Setting)")</f>
        <v>0</v>
      </c>
      <c r="T212" s="2" t="str">
        <f t="shared" si="7"/>
        <v>None</v>
      </c>
      <c r="U212" s="2" t="str">
        <f>IF(COUNTIFS(attestations!$B$2:$B$5000,$A212,attestations!$T$2:$T$5000,"&lt;&gt;Retracted",attestations!$I$2:$I$5000,"Georeferenced map GCP")&gt;0,"Y","N")</f>
        <v>N</v>
      </c>
      <c r="V212" t="s">
        <v>969</v>
      </c>
      <c r="X212" t="s">
        <v>1045</v>
      </c>
      <c r="Y212" t="s">
        <v>193</v>
      </c>
      <c r="AB212">
        <f>IF(A212="","",SUMIFS(attestations!$U$2:$U$5000,attestations!$B$2:$B$5000,A212))</f>
        <v>0</v>
      </c>
    </row>
    <row r="213" spans="1:28" x14ac:dyDescent="0.2">
      <c r="A213" t="s">
        <v>1046</v>
      </c>
      <c r="B213" t="s">
        <v>1047</v>
      </c>
      <c r="D213" t="s">
        <v>992</v>
      </c>
      <c r="E213" t="s">
        <v>236</v>
      </c>
      <c r="F213" t="s">
        <v>237</v>
      </c>
      <c r="G213" t="s">
        <v>238</v>
      </c>
      <c r="H213" t="s">
        <v>223</v>
      </c>
      <c r="I213" t="s">
        <v>1044</v>
      </c>
      <c r="J213" t="s">
        <v>1040</v>
      </c>
      <c r="K213" t="s">
        <v>259</v>
      </c>
      <c r="L213" t="s">
        <v>208</v>
      </c>
      <c r="M213" t="str">
        <f t="shared" si="6"/>
        <v>Unplotted (unlocated panel)</v>
      </c>
      <c r="O213" s="2">
        <f>COUNTIFS(attestations!$B$2:$B$5000,$A213,attestations!$T$2:$T$5000,"&lt;&gt;Retracted",attestations!$D$2:$D$5000,"&lt;&gt;Negative*")</f>
        <v>0</v>
      </c>
      <c r="P213" s="2">
        <f>COUNTIFS(attestations!$B$2:$B$5000,$A213,attestations!$T$2:$T$5000,"&lt;&gt;Retracted",attestations!$D$2:$D$5000,"&lt;&gt;Negative*",attestations!$R$2:$R$5000,"Map")</f>
        <v>0</v>
      </c>
      <c r="Q213" s="2">
        <f>COUNTIFS(attestations!$B$2:$B$5000,$A213,attestations!$T$2:$T$5000,"&lt;&gt;Retracted",attestations!$D$2:$D$5000,"&lt;&gt;Negative*",attestations!$R$2:$R$5000,"Image")</f>
        <v>0</v>
      </c>
      <c r="R213" s="2">
        <f>COUNTIFS(attestations!$B$2:$B$5000,$A213,attestations!$T$2:$T$5000,"&lt;&gt;Retracted",attestations!$D$2:$D$5000,"&lt;&gt;Negative*",attestations!$R$2:$R$5000,"Textual")</f>
        <v>0</v>
      </c>
      <c r="S213" s="2">
        <f>COUNTIFS(attestations!$B$2:$B$5000,$A213,attestations!$T$2:$T$5000,"&lt;&gt;Retracted",attestations!$D$2:$D$5000,"Geometry (Setting)")</f>
        <v>0</v>
      </c>
      <c r="T213" s="2" t="str">
        <f t="shared" si="7"/>
        <v>None</v>
      </c>
      <c r="U213" s="2" t="str">
        <f>IF(COUNTIFS(attestations!$B$2:$B$5000,$A213,attestations!$T$2:$T$5000,"&lt;&gt;Retracted",attestations!$I$2:$I$5000,"Georeferenced map GCP")&gt;0,"Y","N")</f>
        <v>N</v>
      </c>
      <c r="V213" t="s">
        <v>969</v>
      </c>
      <c r="X213" t="s">
        <v>1048</v>
      </c>
      <c r="Y213" t="s">
        <v>193</v>
      </c>
      <c r="AB213">
        <f>IF(A213="","",SUMIFS(attestations!$U$2:$U$5000,attestations!$B$2:$B$5000,A213))</f>
        <v>0</v>
      </c>
    </row>
    <row r="214" spans="1:28" x14ac:dyDescent="0.2">
      <c r="A214" t="s">
        <v>1049</v>
      </c>
      <c r="B214" t="s">
        <v>1050</v>
      </c>
      <c r="C214" t="s">
        <v>1051</v>
      </c>
      <c r="D214" t="s">
        <v>992</v>
      </c>
      <c r="E214" t="s">
        <v>236</v>
      </c>
      <c r="F214" t="s">
        <v>237</v>
      </c>
      <c r="G214" t="s">
        <v>238</v>
      </c>
      <c r="H214" t="s">
        <v>223</v>
      </c>
      <c r="I214" t="s">
        <v>1044</v>
      </c>
      <c r="J214" t="s">
        <v>1040</v>
      </c>
      <c r="K214" t="s">
        <v>259</v>
      </c>
      <c r="L214" t="s">
        <v>208</v>
      </c>
      <c r="M214" t="str">
        <f t="shared" si="6"/>
        <v>Unplotted (unlocated panel)</v>
      </c>
      <c r="O214" s="2">
        <f>COUNTIFS(attestations!$B$2:$B$5000,$A214,attestations!$T$2:$T$5000,"&lt;&gt;Retracted",attestations!$D$2:$D$5000,"&lt;&gt;Negative*")</f>
        <v>0</v>
      </c>
      <c r="P214" s="2">
        <f>COUNTIFS(attestations!$B$2:$B$5000,$A214,attestations!$T$2:$T$5000,"&lt;&gt;Retracted",attestations!$D$2:$D$5000,"&lt;&gt;Negative*",attestations!$R$2:$R$5000,"Map")</f>
        <v>0</v>
      </c>
      <c r="Q214" s="2">
        <f>COUNTIFS(attestations!$B$2:$B$5000,$A214,attestations!$T$2:$T$5000,"&lt;&gt;Retracted",attestations!$D$2:$D$5000,"&lt;&gt;Negative*",attestations!$R$2:$R$5000,"Image")</f>
        <v>0</v>
      </c>
      <c r="R214" s="2">
        <f>COUNTIFS(attestations!$B$2:$B$5000,$A214,attestations!$T$2:$T$5000,"&lt;&gt;Retracted",attestations!$D$2:$D$5000,"&lt;&gt;Negative*",attestations!$R$2:$R$5000,"Textual")</f>
        <v>0</v>
      </c>
      <c r="S214" s="2">
        <f>COUNTIFS(attestations!$B$2:$B$5000,$A214,attestations!$T$2:$T$5000,"&lt;&gt;Retracted",attestations!$D$2:$D$5000,"Geometry (Setting)")</f>
        <v>0</v>
      </c>
      <c r="T214" s="2" t="str">
        <f t="shared" si="7"/>
        <v>None</v>
      </c>
      <c r="U214" s="2" t="str">
        <f>IF(COUNTIFS(attestations!$B$2:$B$5000,$A214,attestations!$T$2:$T$5000,"&lt;&gt;Retracted",attestations!$I$2:$I$5000,"Georeferenced map GCP")&gt;0,"Y","N")</f>
        <v>N</v>
      </c>
      <c r="V214" t="s">
        <v>969</v>
      </c>
      <c r="X214" t="s">
        <v>1052</v>
      </c>
      <c r="Y214" t="s">
        <v>193</v>
      </c>
      <c r="AB214">
        <f>IF(A214="","",SUMIFS(attestations!$U$2:$U$5000,attestations!$B$2:$B$5000,A214))</f>
        <v>0</v>
      </c>
    </row>
    <row r="215" spans="1:28" x14ac:dyDescent="0.2">
      <c r="A215" t="s">
        <v>1053</v>
      </c>
      <c r="B215" t="s">
        <v>1054</v>
      </c>
      <c r="D215" t="s">
        <v>207</v>
      </c>
      <c r="E215" t="s">
        <v>236</v>
      </c>
      <c r="F215" t="s">
        <v>237</v>
      </c>
      <c r="G215" t="s">
        <v>185</v>
      </c>
      <c r="H215" t="s">
        <v>186</v>
      </c>
      <c r="I215" t="s">
        <v>1044</v>
      </c>
      <c r="J215" t="s">
        <v>1040</v>
      </c>
      <c r="K215" t="s">
        <v>259</v>
      </c>
      <c r="L215" t="s">
        <v>208</v>
      </c>
      <c r="M215" t="str">
        <f t="shared" si="6"/>
        <v>Unplotted (unlocated panel)</v>
      </c>
      <c r="O215" s="2">
        <f>COUNTIFS(attestations!$B$2:$B$5000,$A215,attestations!$T$2:$T$5000,"&lt;&gt;Retracted",attestations!$D$2:$D$5000,"&lt;&gt;Negative*")</f>
        <v>0</v>
      </c>
      <c r="P215" s="2">
        <f>COUNTIFS(attestations!$B$2:$B$5000,$A215,attestations!$T$2:$T$5000,"&lt;&gt;Retracted",attestations!$D$2:$D$5000,"&lt;&gt;Negative*",attestations!$R$2:$R$5000,"Map")</f>
        <v>0</v>
      </c>
      <c r="Q215" s="2">
        <f>COUNTIFS(attestations!$B$2:$B$5000,$A215,attestations!$T$2:$T$5000,"&lt;&gt;Retracted",attestations!$D$2:$D$5000,"&lt;&gt;Negative*",attestations!$R$2:$R$5000,"Image")</f>
        <v>0</v>
      </c>
      <c r="R215" s="2">
        <f>COUNTIFS(attestations!$B$2:$B$5000,$A215,attestations!$T$2:$T$5000,"&lt;&gt;Retracted",attestations!$D$2:$D$5000,"&lt;&gt;Negative*",attestations!$R$2:$R$5000,"Textual")</f>
        <v>0</v>
      </c>
      <c r="S215" s="2">
        <f>COUNTIFS(attestations!$B$2:$B$5000,$A215,attestations!$T$2:$T$5000,"&lt;&gt;Retracted",attestations!$D$2:$D$5000,"Geometry (Setting)")</f>
        <v>0</v>
      </c>
      <c r="T215" s="2" t="str">
        <f t="shared" si="7"/>
        <v>None</v>
      </c>
      <c r="U215" s="2" t="str">
        <f>IF(COUNTIFS(attestations!$B$2:$B$5000,$A215,attestations!$T$2:$T$5000,"&lt;&gt;Retracted",attestations!$I$2:$I$5000,"Georeferenced map GCP")&gt;0,"Y","N")</f>
        <v>N</v>
      </c>
      <c r="V215" t="s">
        <v>969</v>
      </c>
      <c r="X215" t="s">
        <v>1055</v>
      </c>
      <c r="Y215" t="s">
        <v>193</v>
      </c>
      <c r="AB215">
        <f>IF(A215="","",SUMIFS(attestations!$U$2:$U$5000,attestations!$B$2:$B$5000,A215))</f>
        <v>0</v>
      </c>
    </row>
    <row r="216" spans="1:28" x14ac:dyDescent="0.2">
      <c r="A216" t="s">
        <v>1056</v>
      </c>
      <c r="B216" t="s">
        <v>1057</v>
      </c>
      <c r="D216" t="s">
        <v>709</v>
      </c>
      <c r="E216" t="s">
        <v>208</v>
      </c>
      <c r="F216" t="s">
        <v>208</v>
      </c>
      <c r="G216" t="s">
        <v>300</v>
      </c>
      <c r="H216" t="s">
        <v>1058</v>
      </c>
      <c r="I216" t="s">
        <v>1059</v>
      </c>
      <c r="K216" t="s">
        <v>208</v>
      </c>
      <c r="L216" t="s">
        <v>208</v>
      </c>
      <c r="M216" t="str">
        <f t="shared" si="6"/>
        <v>Unplotted (unlocated panel)</v>
      </c>
      <c r="O216" s="2">
        <f>COUNTIFS(attestations!$B$2:$B$5000,$A216,attestations!$T$2:$T$5000,"&lt;&gt;Retracted",attestations!$D$2:$D$5000,"&lt;&gt;Negative*")</f>
        <v>2</v>
      </c>
      <c r="P216" s="2">
        <f>COUNTIFS(attestations!$B$2:$B$5000,$A216,attestations!$T$2:$T$5000,"&lt;&gt;Retracted",attestations!$D$2:$D$5000,"&lt;&gt;Negative*",attestations!$R$2:$R$5000,"Map")</f>
        <v>0</v>
      </c>
      <c r="Q216" s="2">
        <f>COUNTIFS(attestations!$B$2:$B$5000,$A216,attestations!$T$2:$T$5000,"&lt;&gt;Retracted",attestations!$D$2:$D$5000,"&lt;&gt;Negative*",attestations!$R$2:$R$5000,"Image")</f>
        <v>0</v>
      </c>
      <c r="R216" s="2">
        <f>COUNTIFS(attestations!$B$2:$B$5000,$A216,attestations!$T$2:$T$5000,"&lt;&gt;Retracted",attestations!$D$2:$D$5000,"&lt;&gt;Negative*",attestations!$R$2:$R$5000,"Textual")</f>
        <v>2</v>
      </c>
      <c r="S216" s="2">
        <f>COUNTIFS(attestations!$B$2:$B$5000,$A216,attestations!$T$2:$T$5000,"&lt;&gt;Retracted",attestations!$D$2:$D$5000,"Geometry (Setting)")</f>
        <v>0</v>
      </c>
      <c r="T216" s="2" t="str">
        <f t="shared" si="7"/>
        <v>Low</v>
      </c>
      <c r="U216" s="2" t="str">
        <f>IF(COUNTIFS(attestations!$B$2:$B$5000,$A216,attestations!$T$2:$T$5000,"&lt;&gt;Retracted",attestations!$I$2:$I$5000,"Georeferenced map GCP")&gt;0,"Y","N")</f>
        <v>N</v>
      </c>
      <c r="V216" t="s">
        <v>191</v>
      </c>
      <c r="X216" t="s">
        <v>1060</v>
      </c>
      <c r="Y216" t="s">
        <v>193</v>
      </c>
      <c r="AB216">
        <f>IF(A216="","",SUMIFS(attestations!$U$2:$U$5000,attestations!$B$2:$B$5000,A216))</f>
        <v>2</v>
      </c>
    </row>
    <row r="217" spans="1:28" x14ac:dyDescent="0.2">
      <c r="A217" t="s">
        <v>1061</v>
      </c>
      <c r="B217" t="s">
        <v>1062</v>
      </c>
      <c r="D217" t="s">
        <v>400</v>
      </c>
      <c r="E217" t="s">
        <v>307</v>
      </c>
      <c r="G217" t="s">
        <v>1005</v>
      </c>
      <c r="H217" t="s">
        <v>1058</v>
      </c>
      <c r="I217" t="s">
        <v>1063</v>
      </c>
      <c r="K217" t="s">
        <v>259</v>
      </c>
      <c r="L217" t="s">
        <v>208</v>
      </c>
      <c r="M217" t="str">
        <f t="shared" si="6"/>
        <v>Unplotted (unlocated panel)</v>
      </c>
      <c r="O217" s="2">
        <f>COUNTIFS(attestations!$B$2:$B$5000,$A217,attestations!$T$2:$T$5000,"&lt;&gt;Retracted",attestations!$D$2:$D$5000,"&lt;&gt;Negative*")</f>
        <v>0</v>
      </c>
      <c r="P217" s="2">
        <f>COUNTIFS(attestations!$B$2:$B$5000,$A217,attestations!$T$2:$T$5000,"&lt;&gt;Retracted",attestations!$D$2:$D$5000,"&lt;&gt;Negative*",attestations!$R$2:$R$5000,"Map")</f>
        <v>0</v>
      </c>
      <c r="Q217" s="2">
        <f>COUNTIFS(attestations!$B$2:$B$5000,$A217,attestations!$T$2:$T$5000,"&lt;&gt;Retracted",attestations!$D$2:$D$5000,"&lt;&gt;Negative*",attestations!$R$2:$R$5000,"Image")</f>
        <v>0</v>
      </c>
      <c r="R217" s="2">
        <f>COUNTIFS(attestations!$B$2:$B$5000,$A217,attestations!$T$2:$T$5000,"&lt;&gt;Retracted",attestations!$D$2:$D$5000,"&lt;&gt;Negative*",attestations!$R$2:$R$5000,"Textual")</f>
        <v>0</v>
      </c>
      <c r="S217" s="2">
        <f>COUNTIFS(attestations!$B$2:$B$5000,$A217,attestations!$T$2:$T$5000,"&lt;&gt;Retracted",attestations!$D$2:$D$5000,"Geometry (Setting)")</f>
        <v>0</v>
      </c>
      <c r="T217" s="2" t="str">
        <f t="shared" si="7"/>
        <v>None</v>
      </c>
      <c r="U217" s="2" t="str">
        <f>IF(COUNTIFS(attestations!$B$2:$B$5000,$A217,attestations!$T$2:$T$5000,"&lt;&gt;Retracted",attestations!$I$2:$I$5000,"Georeferenced map GCP")&gt;0,"Y","N")</f>
        <v>N</v>
      </c>
      <c r="V217" t="s">
        <v>969</v>
      </c>
      <c r="X217" t="s">
        <v>1064</v>
      </c>
      <c r="Y217" t="s">
        <v>275</v>
      </c>
      <c r="AB217">
        <f>IF(A217="","",SUMIFS(attestations!$U$2:$U$5000,attestations!$B$2:$B$5000,A217))</f>
        <v>0</v>
      </c>
    </row>
    <row r="218" spans="1:28" x14ac:dyDescent="0.2">
      <c r="A218" t="s">
        <v>1065</v>
      </c>
      <c r="B218" t="s">
        <v>1066</v>
      </c>
      <c r="D218" t="s">
        <v>400</v>
      </c>
      <c r="E218" t="s">
        <v>307</v>
      </c>
      <c r="G218" t="s">
        <v>1005</v>
      </c>
      <c r="H218" t="s">
        <v>1058</v>
      </c>
      <c r="I218" t="s">
        <v>1063</v>
      </c>
      <c r="K218" t="s">
        <v>259</v>
      </c>
      <c r="L218" t="s">
        <v>208</v>
      </c>
      <c r="M218" t="str">
        <f t="shared" si="6"/>
        <v>Unplotted (unlocated panel)</v>
      </c>
      <c r="O218" s="2">
        <f>COUNTIFS(attestations!$B$2:$B$5000,$A218,attestations!$T$2:$T$5000,"&lt;&gt;Retracted",attestations!$D$2:$D$5000,"&lt;&gt;Negative*")</f>
        <v>0</v>
      </c>
      <c r="P218" s="2">
        <f>COUNTIFS(attestations!$B$2:$B$5000,$A218,attestations!$T$2:$T$5000,"&lt;&gt;Retracted",attestations!$D$2:$D$5000,"&lt;&gt;Negative*",attestations!$R$2:$R$5000,"Map")</f>
        <v>0</v>
      </c>
      <c r="Q218" s="2">
        <f>COUNTIFS(attestations!$B$2:$B$5000,$A218,attestations!$T$2:$T$5000,"&lt;&gt;Retracted",attestations!$D$2:$D$5000,"&lt;&gt;Negative*",attestations!$R$2:$R$5000,"Image")</f>
        <v>0</v>
      </c>
      <c r="R218" s="2">
        <f>COUNTIFS(attestations!$B$2:$B$5000,$A218,attestations!$T$2:$T$5000,"&lt;&gt;Retracted",attestations!$D$2:$D$5000,"&lt;&gt;Negative*",attestations!$R$2:$R$5000,"Textual")</f>
        <v>0</v>
      </c>
      <c r="S218" s="2">
        <f>COUNTIFS(attestations!$B$2:$B$5000,$A218,attestations!$T$2:$T$5000,"&lt;&gt;Retracted",attestations!$D$2:$D$5000,"Geometry (Setting)")</f>
        <v>0</v>
      </c>
      <c r="T218" s="2" t="str">
        <f t="shared" si="7"/>
        <v>None</v>
      </c>
      <c r="U218" s="2" t="str">
        <f>IF(COUNTIFS(attestations!$B$2:$B$5000,$A218,attestations!$T$2:$T$5000,"&lt;&gt;Retracted",attestations!$I$2:$I$5000,"Georeferenced map GCP")&gt;0,"Y","N")</f>
        <v>N</v>
      </c>
      <c r="V218" t="s">
        <v>969</v>
      </c>
      <c r="X218" t="s">
        <v>1067</v>
      </c>
      <c r="Y218" t="s">
        <v>275</v>
      </c>
      <c r="AB218">
        <f>IF(A218="","",SUMIFS(attestations!$U$2:$U$5000,attestations!$B$2:$B$5000,A218))</f>
        <v>0</v>
      </c>
    </row>
    <row r="219" spans="1:28" x14ac:dyDescent="0.2">
      <c r="A219" t="s">
        <v>1068</v>
      </c>
      <c r="B219" t="s">
        <v>1069</v>
      </c>
      <c r="C219" t="s">
        <v>1070</v>
      </c>
      <c r="D219" t="s">
        <v>196</v>
      </c>
      <c r="E219" t="s">
        <v>307</v>
      </c>
      <c r="G219" t="s">
        <v>185</v>
      </c>
      <c r="H219" t="s">
        <v>186</v>
      </c>
      <c r="I219" t="s">
        <v>1063</v>
      </c>
      <c r="K219" t="s">
        <v>259</v>
      </c>
      <c r="L219" t="s">
        <v>208</v>
      </c>
      <c r="M219" t="str">
        <f t="shared" si="6"/>
        <v>Unplotted (unlocated panel)</v>
      </c>
      <c r="O219" s="2">
        <f>COUNTIFS(attestations!$B$2:$B$5000,$A219,attestations!$T$2:$T$5000,"&lt;&gt;Retracted",attestations!$D$2:$D$5000,"&lt;&gt;Negative*")</f>
        <v>0</v>
      </c>
      <c r="P219" s="2">
        <f>COUNTIFS(attestations!$B$2:$B$5000,$A219,attestations!$T$2:$T$5000,"&lt;&gt;Retracted",attestations!$D$2:$D$5000,"&lt;&gt;Negative*",attestations!$R$2:$R$5000,"Map")</f>
        <v>0</v>
      </c>
      <c r="Q219" s="2">
        <f>COUNTIFS(attestations!$B$2:$B$5000,$A219,attestations!$T$2:$T$5000,"&lt;&gt;Retracted",attestations!$D$2:$D$5000,"&lt;&gt;Negative*",attestations!$R$2:$R$5000,"Image")</f>
        <v>0</v>
      </c>
      <c r="R219" s="2">
        <f>COUNTIFS(attestations!$B$2:$B$5000,$A219,attestations!$T$2:$T$5000,"&lt;&gt;Retracted",attestations!$D$2:$D$5000,"&lt;&gt;Negative*",attestations!$R$2:$R$5000,"Textual")</f>
        <v>0</v>
      </c>
      <c r="S219" s="2">
        <f>COUNTIFS(attestations!$B$2:$B$5000,$A219,attestations!$T$2:$T$5000,"&lt;&gt;Retracted",attestations!$D$2:$D$5000,"Geometry (Setting)")</f>
        <v>0</v>
      </c>
      <c r="T219" s="2" t="str">
        <f t="shared" si="7"/>
        <v>None</v>
      </c>
      <c r="U219" s="2" t="str">
        <f>IF(COUNTIFS(attestations!$B$2:$B$5000,$A219,attestations!$T$2:$T$5000,"&lt;&gt;Retracted",attestations!$I$2:$I$5000,"Georeferenced map GCP")&gt;0,"Y","N")</f>
        <v>N</v>
      </c>
      <c r="V219" t="s">
        <v>969</v>
      </c>
      <c r="X219" t="s">
        <v>1071</v>
      </c>
      <c r="Y219" t="s">
        <v>193</v>
      </c>
      <c r="AB219">
        <f>IF(A219="","",SUMIFS(attestations!$U$2:$U$5000,attestations!$B$2:$B$5000,A219))</f>
        <v>0</v>
      </c>
    </row>
    <row r="220" spans="1:28" x14ac:dyDescent="0.2">
      <c r="A220" t="s">
        <v>1072</v>
      </c>
      <c r="B220" t="s">
        <v>1073</v>
      </c>
      <c r="C220" t="s">
        <v>1074</v>
      </c>
      <c r="D220" t="s">
        <v>196</v>
      </c>
      <c r="E220" t="s">
        <v>307</v>
      </c>
      <c r="G220" t="s">
        <v>185</v>
      </c>
      <c r="H220" t="s">
        <v>186</v>
      </c>
      <c r="I220" t="s">
        <v>1063</v>
      </c>
      <c r="K220" t="s">
        <v>259</v>
      </c>
      <c r="L220" t="s">
        <v>208</v>
      </c>
      <c r="M220" t="str">
        <f t="shared" si="6"/>
        <v>Unplotted (unlocated panel)</v>
      </c>
      <c r="O220" s="2">
        <f>COUNTIFS(attestations!$B$2:$B$5000,$A220,attestations!$T$2:$T$5000,"&lt;&gt;Retracted",attestations!$D$2:$D$5000,"&lt;&gt;Negative*")</f>
        <v>0</v>
      </c>
      <c r="P220" s="2">
        <f>COUNTIFS(attestations!$B$2:$B$5000,$A220,attestations!$T$2:$T$5000,"&lt;&gt;Retracted",attestations!$D$2:$D$5000,"&lt;&gt;Negative*",attestations!$R$2:$R$5000,"Map")</f>
        <v>0</v>
      </c>
      <c r="Q220" s="2">
        <f>COUNTIFS(attestations!$B$2:$B$5000,$A220,attestations!$T$2:$T$5000,"&lt;&gt;Retracted",attestations!$D$2:$D$5000,"&lt;&gt;Negative*",attestations!$R$2:$R$5000,"Image")</f>
        <v>0</v>
      </c>
      <c r="R220" s="2">
        <f>COUNTIFS(attestations!$B$2:$B$5000,$A220,attestations!$T$2:$T$5000,"&lt;&gt;Retracted",attestations!$D$2:$D$5000,"&lt;&gt;Negative*",attestations!$R$2:$R$5000,"Textual")</f>
        <v>0</v>
      </c>
      <c r="S220" s="2">
        <f>COUNTIFS(attestations!$B$2:$B$5000,$A220,attestations!$T$2:$T$5000,"&lt;&gt;Retracted",attestations!$D$2:$D$5000,"Geometry (Setting)")</f>
        <v>0</v>
      </c>
      <c r="T220" s="2" t="str">
        <f t="shared" si="7"/>
        <v>None</v>
      </c>
      <c r="U220" s="2" t="str">
        <f>IF(COUNTIFS(attestations!$B$2:$B$5000,$A220,attestations!$T$2:$T$5000,"&lt;&gt;Retracted",attestations!$I$2:$I$5000,"Georeferenced map GCP")&gt;0,"Y","N")</f>
        <v>N</v>
      </c>
      <c r="V220" t="s">
        <v>969</v>
      </c>
      <c r="X220" t="s">
        <v>1075</v>
      </c>
      <c r="Y220" t="s">
        <v>193</v>
      </c>
      <c r="AB220">
        <f>IF(A220="","",SUMIFS(attestations!$U$2:$U$5000,attestations!$B$2:$B$5000,A220))</f>
        <v>0</v>
      </c>
    </row>
    <row r="221" spans="1:28" x14ac:dyDescent="0.2">
      <c r="A221" t="s">
        <v>1076</v>
      </c>
      <c r="B221" t="s">
        <v>1077</v>
      </c>
      <c r="C221" t="s">
        <v>1078</v>
      </c>
      <c r="D221" t="s">
        <v>196</v>
      </c>
      <c r="E221" t="s">
        <v>307</v>
      </c>
      <c r="G221" t="s">
        <v>185</v>
      </c>
      <c r="H221" t="s">
        <v>186</v>
      </c>
      <c r="I221" t="s">
        <v>1063</v>
      </c>
      <c r="K221" t="s">
        <v>259</v>
      </c>
      <c r="L221" t="s">
        <v>208</v>
      </c>
      <c r="M221" t="str">
        <f t="shared" si="6"/>
        <v>Unplotted (unlocated panel)</v>
      </c>
      <c r="O221" s="2">
        <f>COUNTIFS(attestations!$B$2:$B$5000,$A221,attestations!$T$2:$T$5000,"&lt;&gt;Retracted",attestations!$D$2:$D$5000,"&lt;&gt;Negative*")</f>
        <v>2</v>
      </c>
      <c r="P221" s="2">
        <f>COUNTIFS(attestations!$B$2:$B$5000,$A221,attestations!$T$2:$T$5000,"&lt;&gt;Retracted",attestations!$D$2:$D$5000,"&lt;&gt;Negative*",attestations!$R$2:$R$5000,"Map")</f>
        <v>1</v>
      </c>
      <c r="Q221" s="2">
        <f>COUNTIFS(attestations!$B$2:$B$5000,$A221,attestations!$T$2:$T$5000,"&lt;&gt;Retracted",attestations!$D$2:$D$5000,"&lt;&gt;Negative*",attestations!$R$2:$R$5000,"Image")</f>
        <v>0</v>
      </c>
      <c r="R221" s="2">
        <f>COUNTIFS(attestations!$B$2:$B$5000,$A221,attestations!$T$2:$T$5000,"&lt;&gt;Retracted",attestations!$D$2:$D$5000,"&lt;&gt;Negative*",attestations!$R$2:$R$5000,"Textual")</f>
        <v>1</v>
      </c>
      <c r="S221" s="2">
        <f>COUNTIFS(attestations!$B$2:$B$5000,$A221,attestations!$T$2:$T$5000,"&lt;&gt;Retracted",attestations!$D$2:$D$5000,"Geometry (Setting)")</f>
        <v>0</v>
      </c>
      <c r="T221" s="2" t="str">
        <f t="shared" si="7"/>
        <v>Low</v>
      </c>
      <c r="U221" s="2" t="str">
        <f>IF(COUNTIFS(attestations!$B$2:$B$5000,$A221,attestations!$T$2:$T$5000,"&lt;&gt;Retracted",attestations!$I$2:$I$5000,"Georeferenced map GCP")&gt;0,"Y","N")</f>
        <v>N</v>
      </c>
      <c r="V221" t="s">
        <v>191</v>
      </c>
      <c r="X221" t="s">
        <v>1079</v>
      </c>
      <c r="Y221" t="s">
        <v>193</v>
      </c>
      <c r="AB221">
        <f>IF(A221="","",SUMIFS(attestations!$U$2:$U$5000,attestations!$B$2:$B$5000,A221))</f>
        <v>2</v>
      </c>
    </row>
    <row r="222" spans="1:28" x14ac:dyDescent="0.2">
      <c r="A222" t="s">
        <v>1080</v>
      </c>
      <c r="B222" t="s">
        <v>1081</v>
      </c>
      <c r="C222" t="s">
        <v>1082</v>
      </c>
      <c r="D222" t="s">
        <v>196</v>
      </c>
      <c r="E222" t="s">
        <v>307</v>
      </c>
      <c r="G222" t="s">
        <v>185</v>
      </c>
      <c r="H222" t="s">
        <v>186</v>
      </c>
      <c r="I222" t="s">
        <v>1063</v>
      </c>
      <c r="K222" t="s">
        <v>259</v>
      </c>
      <c r="L222" t="s">
        <v>208</v>
      </c>
      <c r="M222" t="str">
        <f t="shared" si="6"/>
        <v>Unplotted (unlocated panel)</v>
      </c>
      <c r="O222" s="2">
        <f>COUNTIFS(attestations!$B$2:$B$5000,$A222,attestations!$T$2:$T$5000,"&lt;&gt;Retracted",attestations!$D$2:$D$5000,"&lt;&gt;Negative*")</f>
        <v>3</v>
      </c>
      <c r="P222" s="2">
        <f>COUNTIFS(attestations!$B$2:$B$5000,$A222,attestations!$T$2:$T$5000,"&lt;&gt;Retracted",attestations!$D$2:$D$5000,"&lt;&gt;Negative*",attestations!$R$2:$R$5000,"Map")</f>
        <v>1</v>
      </c>
      <c r="Q222" s="2">
        <f>COUNTIFS(attestations!$B$2:$B$5000,$A222,attestations!$T$2:$T$5000,"&lt;&gt;Retracted",attestations!$D$2:$D$5000,"&lt;&gt;Negative*",attestations!$R$2:$R$5000,"Image")</f>
        <v>0</v>
      </c>
      <c r="R222" s="2">
        <f>COUNTIFS(attestations!$B$2:$B$5000,$A222,attestations!$T$2:$T$5000,"&lt;&gt;Retracted",attestations!$D$2:$D$5000,"&lt;&gt;Negative*",attestations!$R$2:$R$5000,"Textual")</f>
        <v>2</v>
      </c>
      <c r="S222" s="2">
        <f>COUNTIFS(attestations!$B$2:$B$5000,$A222,attestations!$T$2:$T$5000,"&lt;&gt;Retracted",attestations!$D$2:$D$5000,"Geometry (Setting)")</f>
        <v>0</v>
      </c>
      <c r="T222" s="2" t="str">
        <f t="shared" si="7"/>
        <v>Medium</v>
      </c>
      <c r="U222" s="2" t="str">
        <f>IF(COUNTIFS(attestations!$B$2:$B$5000,$A222,attestations!$T$2:$T$5000,"&lt;&gt;Retracted",attestations!$I$2:$I$5000,"Georeferenced map GCP")&gt;0,"Y","N")</f>
        <v>N</v>
      </c>
      <c r="V222" t="s">
        <v>191</v>
      </c>
      <c r="X222" t="s">
        <v>1083</v>
      </c>
      <c r="Y222" t="s">
        <v>193</v>
      </c>
      <c r="AB222">
        <f>IF(A222="","",SUMIFS(attestations!$U$2:$U$5000,attestations!$B$2:$B$5000,A222))</f>
        <v>3</v>
      </c>
    </row>
    <row r="223" spans="1:28" x14ac:dyDescent="0.2">
      <c r="A223" t="s">
        <v>1084</v>
      </c>
      <c r="B223" t="s">
        <v>1085</v>
      </c>
      <c r="D223" t="s">
        <v>306</v>
      </c>
      <c r="E223" t="s">
        <v>307</v>
      </c>
      <c r="G223" t="s">
        <v>314</v>
      </c>
      <c r="H223" t="s">
        <v>250</v>
      </c>
      <c r="I223" t="s">
        <v>1063</v>
      </c>
      <c r="K223" t="s">
        <v>259</v>
      </c>
      <c r="L223" t="s">
        <v>208</v>
      </c>
      <c r="M223" t="str">
        <f t="shared" si="6"/>
        <v>Unplotted (unlocated panel)</v>
      </c>
      <c r="O223" s="2">
        <f>COUNTIFS(attestations!$B$2:$B$5000,$A223,attestations!$T$2:$T$5000,"&lt;&gt;Retracted",attestations!$D$2:$D$5000,"&lt;&gt;Negative*")</f>
        <v>0</v>
      </c>
      <c r="P223" s="2">
        <f>COUNTIFS(attestations!$B$2:$B$5000,$A223,attestations!$T$2:$T$5000,"&lt;&gt;Retracted",attestations!$D$2:$D$5000,"&lt;&gt;Negative*",attestations!$R$2:$R$5000,"Map")</f>
        <v>0</v>
      </c>
      <c r="Q223" s="2">
        <f>COUNTIFS(attestations!$B$2:$B$5000,$A223,attestations!$T$2:$T$5000,"&lt;&gt;Retracted",attestations!$D$2:$D$5000,"&lt;&gt;Negative*",attestations!$R$2:$R$5000,"Image")</f>
        <v>0</v>
      </c>
      <c r="R223" s="2">
        <f>COUNTIFS(attestations!$B$2:$B$5000,$A223,attestations!$T$2:$T$5000,"&lt;&gt;Retracted",attestations!$D$2:$D$5000,"&lt;&gt;Negative*",attestations!$R$2:$R$5000,"Textual")</f>
        <v>0</v>
      </c>
      <c r="S223" s="2">
        <f>COUNTIFS(attestations!$B$2:$B$5000,$A223,attestations!$T$2:$T$5000,"&lt;&gt;Retracted",attestations!$D$2:$D$5000,"Geometry (Setting)")</f>
        <v>0</v>
      </c>
      <c r="T223" s="2" t="str">
        <f t="shared" si="7"/>
        <v>None</v>
      </c>
      <c r="U223" s="2" t="str">
        <f>IF(COUNTIFS(attestations!$B$2:$B$5000,$A223,attestations!$T$2:$T$5000,"&lt;&gt;Retracted",attestations!$I$2:$I$5000,"Georeferenced map GCP")&gt;0,"Y","N")</f>
        <v>N</v>
      </c>
      <c r="V223" t="s">
        <v>969</v>
      </c>
      <c r="X223" t="s">
        <v>1086</v>
      </c>
      <c r="Y223" t="s">
        <v>193</v>
      </c>
      <c r="AB223">
        <f>IF(A223="","",SUMIFS(attestations!$U$2:$U$5000,attestations!$B$2:$B$5000,A223))</f>
        <v>0</v>
      </c>
    </row>
    <row r="224" spans="1:28" x14ac:dyDescent="0.2">
      <c r="A224" t="s">
        <v>1087</v>
      </c>
      <c r="B224" t="s">
        <v>1088</v>
      </c>
      <c r="D224" t="s">
        <v>196</v>
      </c>
      <c r="E224" t="s">
        <v>307</v>
      </c>
      <c r="G224" t="s">
        <v>314</v>
      </c>
      <c r="H224" t="s">
        <v>223</v>
      </c>
      <c r="I224" t="s">
        <v>1063</v>
      </c>
      <c r="K224" t="s">
        <v>259</v>
      </c>
      <c r="L224" t="s">
        <v>208</v>
      </c>
      <c r="M224" t="str">
        <f t="shared" si="6"/>
        <v>Unplotted (unlocated panel)</v>
      </c>
      <c r="O224" s="2">
        <f>COUNTIFS(attestations!$B$2:$B$5000,$A224,attestations!$T$2:$T$5000,"&lt;&gt;Retracted",attestations!$D$2:$D$5000,"&lt;&gt;Negative*")</f>
        <v>0</v>
      </c>
      <c r="P224" s="2">
        <f>COUNTIFS(attestations!$B$2:$B$5000,$A224,attestations!$T$2:$T$5000,"&lt;&gt;Retracted",attestations!$D$2:$D$5000,"&lt;&gt;Negative*",attestations!$R$2:$R$5000,"Map")</f>
        <v>0</v>
      </c>
      <c r="Q224" s="2">
        <f>COUNTIFS(attestations!$B$2:$B$5000,$A224,attestations!$T$2:$T$5000,"&lt;&gt;Retracted",attestations!$D$2:$D$5000,"&lt;&gt;Negative*",attestations!$R$2:$R$5000,"Image")</f>
        <v>0</v>
      </c>
      <c r="R224" s="2">
        <f>COUNTIFS(attestations!$B$2:$B$5000,$A224,attestations!$T$2:$T$5000,"&lt;&gt;Retracted",attestations!$D$2:$D$5000,"&lt;&gt;Negative*",attestations!$R$2:$R$5000,"Textual")</f>
        <v>0</v>
      </c>
      <c r="S224" s="2">
        <f>COUNTIFS(attestations!$B$2:$B$5000,$A224,attestations!$T$2:$T$5000,"&lt;&gt;Retracted",attestations!$D$2:$D$5000,"Geometry (Setting)")</f>
        <v>0</v>
      </c>
      <c r="T224" s="2" t="str">
        <f t="shared" si="7"/>
        <v>None</v>
      </c>
      <c r="U224" s="2" t="str">
        <f>IF(COUNTIFS(attestations!$B$2:$B$5000,$A224,attestations!$T$2:$T$5000,"&lt;&gt;Retracted",attestations!$I$2:$I$5000,"Georeferenced map GCP")&gt;0,"Y","N")</f>
        <v>N</v>
      </c>
      <c r="V224" t="s">
        <v>969</v>
      </c>
      <c r="X224" t="s">
        <v>1089</v>
      </c>
      <c r="Y224" t="s">
        <v>193</v>
      </c>
      <c r="AB224">
        <f>IF(A224="","",SUMIFS(attestations!$U$2:$U$5000,attestations!$B$2:$B$5000,A224))</f>
        <v>0</v>
      </c>
    </row>
    <row r="225" spans="1:28" x14ac:dyDescent="0.2">
      <c r="A225" t="s">
        <v>1090</v>
      </c>
      <c r="B225" t="s">
        <v>1091</v>
      </c>
      <c r="D225" t="s">
        <v>306</v>
      </c>
      <c r="E225" t="s">
        <v>307</v>
      </c>
      <c r="G225" t="s">
        <v>249</v>
      </c>
      <c r="H225" t="s">
        <v>250</v>
      </c>
      <c r="I225" t="s">
        <v>1063</v>
      </c>
      <c r="K225" t="s">
        <v>259</v>
      </c>
      <c r="L225" t="s">
        <v>208</v>
      </c>
      <c r="M225" t="str">
        <f t="shared" si="6"/>
        <v>Unplotted (unlocated panel)</v>
      </c>
      <c r="O225" s="2">
        <f>COUNTIFS(attestations!$B$2:$B$5000,$A225,attestations!$T$2:$T$5000,"&lt;&gt;Retracted",attestations!$D$2:$D$5000,"&lt;&gt;Negative*")</f>
        <v>0</v>
      </c>
      <c r="P225" s="2">
        <f>COUNTIFS(attestations!$B$2:$B$5000,$A225,attestations!$T$2:$T$5000,"&lt;&gt;Retracted",attestations!$D$2:$D$5000,"&lt;&gt;Negative*",attestations!$R$2:$R$5000,"Map")</f>
        <v>0</v>
      </c>
      <c r="Q225" s="2">
        <f>COUNTIFS(attestations!$B$2:$B$5000,$A225,attestations!$T$2:$T$5000,"&lt;&gt;Retracted",attestations!$D$2:$D$5000,"&lt;&gt;Negative*",attestations!$R$2:$R$5000,"Image")</f>
        <v>0</v>
      </c>
      <c r="R225" s="2">
        <f>COUNTIFS(attestations!$B$2:$B$5000,$A225,attestations!$T$2:$T$5000,"&lt;&gt;Retracted",attestations!$D$2:$D$5000,"&lt;&gt;Negative*",attestations!$R$2:$R$5000,"Textual")</f>
        <v>0</v>
      </c>
      <c r="S225" s="2">
        <f>COUNTIFS(attestations!$B$2:$B$5000,$A225,attestations!$T$2:$T$5000,"&lt;&gt;Retracted",attestations!$D$2:$D$5000,"Geometry (Setting)")</f>
        <v>0</v>
      </c>
      <c r="T225" s="2" t="str">
        <f t="shared" si="7"/>
        <v>None</v>
      </c>
      <c r="U225" s="2" t="str">
        <f>IF(COUNTIFS(attestations!$B$2:$B$5000,$A225,attestations!$T$2:$T$5000,"&lt;&gt;Retracted",attestations!$I$2:$I$5000,"Georeferenced map GCP")&gt;0,"Y","N")</f>
        <v>N</v>
      </c>
      <c r="V225" t="s">
        <v>969</v>
      </c>
      <c r="X225" t="s">
        <v>1092</v>
      </c>
      <c r="Y225" t="s">
        <v>193</v>
      </c>
      <c r="Z225" t="s">
        <v>369</v>
      </c>
      <c r="AB225">
        <f>IF(A225="","",SUMIFS(attestations!$U$2:$U$5000,attestations!$B$2:$B$5000,A225))</f>
        <v>0</v>
      </c>
    </row>
    <row r="226" spans="1:28" x14ac:dyDescent="0.2">
      <c r="A226" t="s">
        <v>1093</v>
      </c>
      <c r="B226" t="s">
        <v>1094</v>
      </c>
      <c r="D226" t="s">
        <v>306</v>
      </c>
      <c r="E226" t="s">
        <v>307</v>
      </c>
      <c r="G226" t="s">
        <v>249</v>
      </c>
      <c r="H226" t="s">
        <v>223</v>
      </c>
      <c r="I226" t="s">
        <v>1063</v>
      </c>
      <c r="K226" t="s">
        <v>259</v>
      </c>
      <c r="L226" t="s">
        <v>208</v>
      </c>
      <c r="M226" t="str">
        <f t="shared" si="6"/>
        <v>Unplotted (unlocated panel)</v>
      </c>
      <c r="O226" s="2">
        <f>COUNTIFS(attestations!$B$2:$B$5000,$A226,attestations!$T$2:$T$5000,"&lt;&gt;Retracted",attestations!$D$2:$D$5000,"&lt;&gt;Negative*")</f>
        <v>0</v>
      </c>
      <c r="P226" s="2">
        <f>COUNTIFS(attestations!$B$2:$B$5000,$A226,attestations!$T$2:$T$5000,"&lt;&gt;Retracted",attestations!$D$2:$D$5000,"&lt;&gt;Negative*",attestations!$R$2:$R$5000,"Map")</f>
        <v>0</v>
      </c>
      <c r="Q226" s="2">
        <f>COUNTIFS(attestations!$B$2:$B$5000,$A226,attestations!$T$2:$T$5000,"&lt;&gt;Retracted",attestations!$D$2:$D$5000,"&lt;&gt;Negative*",attestations!$R$2:$R$5000,"Image")</f>
        <v>0</v>
      </c>
      <c r="R226" s="2">
        <f>COUNTIFS(attestations!$B$2:$B$5000,$A226,attestations!$T$2:$T$5000,"&lt;&gt;Retracted",attestations!$D$2:$D$5000,"&lt;&gt;Negative*",attestations!$R$2:$R$5000,"Textual")</f>
        <v>0</v>
      </c>
      <c r="S226" s="2">
        <f>COUNTIFS(attestations!$B$2:$B$5000,$A226,attestations!$T$2:$T$5000,"&lt;&gt;Retracted",attestations!$D$2:$D$5000,"Geometry (Setting)")</f>
        <v>0</v>
      </c>
      <c r="T226" s="2" t="str">
        <f t="shared" si="7"/>
        <v>None</v>
      </c>
      <c r="U226" s="2" t="str">
        <f>IF(COUNTIFS(attestations!$B$2:$B$5000,$A226,attestations!$T$2:$T$5000,"&lt;&gt;Retracted",attestations!$I$2:$I$5000,"Georeferenced map GCP")&gt;0,"Y","N")</f>
        <v>N</v>
      </c>
      <c r="V226" t="s">
        <v>969</v>
      </c>
      <c r="X226" t="s">
        <v>1095</v>
      </c>
      <c r="Y226" t="s">
        <v>193</v>
      </c>
      <c r="Z226" t="s">
        <v>369</v>
      </c>
      <c r="AB226">
        <f>IF(A226="","",SUMIFS(attestations!$U$2:$U$5000,attestations!$B$2:$B$5000,A226))</f>
        <v>0</v>
      </c>
    </row>
    <row r="227" spans="1:28" x14ac:dyDescent="0.2">
      <c r="A227" t="s">
        <v>1096</v>
      </c>
      <c r="B227" t="s">
        <v>1097</v>
      </c>
      <c r="D227" t="s">
        <v>400</v>
      </c>
      <c r="E227" t="s">
        <v>307</v>
      </c>
      <c r="G227" t="s">
        <v>1005</v>
      </c>
      <c r="H227" t="s">
        <v>1058</v>
      </c>
      <c r="I227" t="s">
        <v>1063</v>
      </c>
      <c r="K227" t="s">
        <v>259</v>
      </c>
      <c r="L227" t="s">
        <v>208</v>
      </c>
      <c r="M227" t="str">
        <f t="shared" si="6"/>
        <v>Unplotted (unlocated panel)</v>
      </c>
      <c r="O227" s="2">
        <f>COUNTIFS(attestations!$B$2:$B$5000,$A227,attestations!$T$2:$T$5000,"&lt;&gt;Retracted",attestations!$D$2:$D$5000,"&lt;&gt;Negative*")</f>
        <v>0</v>
      </c>
      <c r="P227" s="2">
        <f>COUNTIFS(attestations!$B$2:$B$5000,$A227,attestations!$T$2:$T$5000,"&lt;&gt;Retracted",attestations!$D$2:$D$5000,"&lt;&gt;Negative*",attestations!$R$2:$R$5000,"Map")</f>
        <v>0</v>
      </c>
      <c r="Q227" s="2">
        <f>COUNTIFS(attestations!$B$2:$B$5000,$A227,attestations!$T$2:$T$5000,"&lt;&gt;Retracted",attestations!$D$2:$D$5000,"&lt;&gt;Negative*",attestations!$R$2:$R$5000,"Image")</f>
        <v>0</v>
      </c>
      <c r="R227" s="2">
        <f>COUNTIFS(attestations!$B$2:$B$5000,$A227,attestations!$T$2:$T$5000,"&lt;&gt;Retracted",attestations!$D$2:$D$5000,"&lt;&gt;Negative*",attestations!$R$2:$R$5000,"Textual")</f>
        <v>0</v>
      </c>
      <c r="S227" s="2">
        <f>COUNTIFS(attestations!$B$2:$B$5000,$A227,attestations!$T$2:$T$5000,"&lt;&gt;Retracted",attestations!$D$2:$D$5000,"Geometry (Setting)")</f>
        <v>0</v>
      </c>
      <c r="T227" s="2" t="str">
        <f t="shared" si="7"/>
        <v>None</v>
      </c>
      <c r="U227" s="2" t="str">
        <f>IF(COUNTIFS(attestations!$B$2:$B$5000,$A227,attestations!$T$2:$T$5000,"&lt;&gt;Retracted",attestations!$I$2:$I$5000,"Georeferenced map GCP")&gt;0,"Y","N")</f>
        <v>N</v>
      </c>
      <c r="V227" t="s">
        <v>969</v>
      </c>
      <c r="X227" t="s">
        <v>1098</v>
      </c>
      <c r="Y227" t="s">
        <v>275</v>
      </c>
      <c r="AB227">
        <f>IF(A227="","",SUMIFS(attestations!$U$2:$U$5000,attestations!$B$2:$B$5000,A227))</f>
        <v>0</v>
      </c>
    </row>
    <row r="228" spans="1:28" x14ac:dyDescent="0.2">
      <c r="A228" t="s">
        <v>1099</v>
      </c>
      <c r="B228" t="s">
        <v>1100</v>
      </c>
      <c r="C228" t="s">
        <v>1101</v>
      </c>
      <c r="D228" t="s">
        <v>400</v>
      </c>
      <c r="E228" t="s">
        <v>307</v>
      </c>
      <c r="G228" t="s">
        <v>1005</v>
      </c>
      <c r="H228" t="s">
        <v>1058</v>
      </c>
      <c r="I228" t="s">
        <v>1063</v>
      </c>
      <c r="K228" t="s">
        <v>259</v>
      </c>
      <c r="L228" t="s">
        <v>208</v>
      </c>
      <c r="M228" t="str">
        <f t="shared" si="6"/>
        <v>Unplotted (unlocated panel)</v>
      </c>
      <c r="O228" s="2">
        <f>COUNTIFS(attestations!$B$2:$B$5000,$A228,attestations!$T$2:$T$5000,"&lt;&gt;Retracted",attestations!$D$2:$D$5000,"&lt;&gt;Negative*")</f>
        <v>0</v>
      </c>
      <c r="P228" s="2">
        <f>COUNTIFS(attestations!$B$2:$B$5000,$A228,attestations!$T$2:$T$5000,"&lt;&gt;Retracted",attestations!$D$2:$D$5000,"&lt;&gt;Negative*",attestations!$R$2:$R$5000,"Map")</f>
        <v>0</v>
      </c>
      <c r="Q228" s="2">
        <f>COUNTIFS(attestations!$B$2:$B$5000,$A228,attestations!$T$2:$T$5000,"&lt;&gt;Retracted",attestations!$D$2:$D$5000,"&lt;&gt;Negative*",attestations!$R$2:$R$5000,"Image")</f>
        <v>0</v>
      </c>
      <c r="R228" s="2">
        <f>COUNTIFS(attestations!$B$2:$B$5000,$A228,attestations!$T$2:$T$5000,"&lt;&gt;Retracted",attestations!$D$2:$D$5000,"&lt;&gt;Negative*",attestations!$R$2:$R$5000,"Textual")</f>
        <v>0</v>
      </c>
      <c r="S228" s="2">
        <f>COUNTIFS(attestations!$B$2:$B$5000,$A228,attestations!$T$2:$T$5000,"&lt;&gt;Retracted",attestations!$D$2:$D$5000,"Geometry (Setting)")</f>
        <v>0</v>
      </c>
      <c r="T228" s="2" t="str">
        <f t="shared" si="7"/>
        <v>None</v>
      </c>
      <c r="U228" s="2" t="str">
        <f>IF(COUNTIFS(attestations!$B$2:$B$5000,$A228,attestations!$T$2:$T$5000,"&lt;&gt;Retracted",attestations!$I$2:$I$5000,"Georeferenced map GCP")&gt;0,"Y","N")</f>
        <v>N</v>
      </c>
      <c r="V228" t="s">
        <v>969</v>
      </c>
      <c r="X228" t="s">
        <v>1102</v>
      </c>
      <c r="Y228" t="s">
        <v>275</v>
      </c>
      <c r="AB228">
        <f>IF(A228="","",SUMIFS(attestations!$U$2:$U$5000,attestations!$B$2:$B$5000,A228))</f>
        <v>0</v>
      </c>
    </row>
    <row r="229" spans="1:28" x14ac:dyDescent="0.2">
      <c r="A229" t="s">
        <v>1103</v>
      </c>
      <c r="B229" t="s">
        <v>1104</v>
      </c>
      <c r="D229" t="s">
        <v>306</v>
      </c>
      <c r="E229" t="s">
        <v>307</v>
      </c>
      <c r="G229" t="s">
        <v>249</v>
      </c>
      <c r="H229" t="s">
        <v>250</v>
      </c>
      <c r="I229" t="s">
        <v>1105</v>
      </c>
      <c r="K229" t="s">
        <v>259</v>
      </c>
      <c r="L229" t="s">
        <v>208</v>
      </c>
      <c r="M229" t="str">
        <f t="shared" si="6"/>
        <v>Unplotted (unlocated panel)</v>
      </c>
      <c r="O229" s="2">
        <f>COUNTIFS(attestations!$B$2:$B$5000,$A229,attestations!$T$2:$T$5000,"&lt;&gt;Retracted",attestations!$D$2:$D$5000,"&lt;&gt;Negative*")</f>
        <v>0</v>
      </c>
      <c r="P229" s="2">
        <f>COUNTIFS(attestations!$B$2:$B$5000,$A229,attestations!$T$2:$T$5000,"&lt;&gt;Retracted",attestations!$D$2:$D$5000,"&lt;&gt;Negative*",attestations!$R$2:$R$5000,"Map")</f>
        <v>0</v>
      </c>
      <c r="Q229" s="2">
        <f>COUNTIFS(attestations!$B$2:$B$5000,$A229,attestations!$T$2:$T$5000,"&lt;&gt;Retracted",attestations!$D$2:$D$5000,"&lt;&gt;Negative*",attestations!$R$2:$R$5000,"Image")</f>
        <v>0</v>
      </c>
      <c r="R229" s="2">
        <f>COUNTIFS(attestations!$B$2:$B$5000,$A229,attestations!$T$2:$T$5000,"&lt;&gt;Retracted",attestations!$D$2:$D$5000,"&lt;&gt;Negative*",attestations!$R$2:$R$5000,"Textual")</f>
        <v>0</v>
      </c>
      <c r="S229" s="2">
        <f>COUNTIFS(attestations!$B$2:$B$5000,$A229,attestations!$T$2:$T$5000,"&lt;&gt;Retracted",attestations!$D$2:$D$5000,"Geometry (Setting)")</f>
        <v>0</v>
      </c>
      <c r="T229" s="2" t="str">
        <f t="shared" si="7"/>
        <v>None</v>
      </c>
      <c r="U229" s="2" t="str">
        <f>IF(COUNTIFS(attestations!$B$2:$B$5000,$A229,attestations!$T$2:$T$5000,"&lt;&gt;Retracted",attestations!$I$2:$I$5000,"Georeferenced map GCP")&gt;0,"Y","N")</f>
        <v>N</v>
      </c>
      <c r="V229" t="s">
        <v>969</v>
      </c>
      <c r="X229" t="s">
        <v>1106</v>
      </c>
      <c r="Y229" t="s">
        <v>193</v>
      </c>
      <c r="Z229" t="s">
        <v>819</v>
      </c>
      <c r="AB229">
        <f>IF(A229="","",SUMIFS(attestations!$U$2:$U$5000,attestations!$B$2:$B$5000,A229))</f>
        <v>0</v>
      </c>
    </row>
    <row r="230" spans="1:28" x14ac:dyDescent="0.2">
      <c r="A230" t="s">
        <v>1107</v>
      </c>
      <c r="B230" t="s">
        <v>1108</v>
      </c>
      <c r="D230" t="s">
        <v>306</v>
      </c>
      <c r="E230" t="s">
        <v>307</v>
      </c>
      <c r="G230" t="s">
        <v>249</v>
      </c>
      <c r="H230" t="s">
        <v>250</v>
      </c>
      <c r="I230" t="s">
        <v>1105</v>
      </c>
      <c r="K230" t="s">
        <v>259</v>
      </c>
      <c r="L230" t="s">
        <v>208</v>
      </c>
      <c r="M230" t="str">
        <f t="shared" si="6"/>
        <v>Unplotted (unlocated panel)</v>
      </c>
      <c r="O230" s="2">
        <f>COUNTIFS(attestations!$B$2:$B$5000,$A230,attestations!$T$2:$T$5000,"&lt;&gt;Retracted",attestations!$D$2:$D$5000,"&lt;&gt;Negative*")</f>
        <v>0</v>
      </c>
      <c r="P230" s="2">
        <f>COUNTIFS(attestations!$B$2:$B$5000,$A230,attestations!$T$2:$T$5000,"&lt;&gt;Retracted",attestations!$D$2:$D$5000,"&lt;&gt;Negative*",attestations!$R$2:$R$5000,"Map")</f>
        <v>0</v>
      </c>
      <c r="Q230" s="2">
        <f>COUNTIFS(attestations!$B$2:$B$5000,$A230,attestations!$T$2:$T$5000,"&lt;&gt;Retracted",attestations!$D$2:$D$5000,"&lt;&gt;Negative*",attestations!$R$2:$R$5000,"Image")</f>
        <v>0</v>
      </c>
      <c r="R230" s="2">
        <f>COUNTIFS(attestations!$B$2:$B$5000,$A230,attestations!$T$2:$T$5000,"&lt;&gt;Retracted",attestations!$D$2:$D$5000,"&lt;&gt;Negative*",attestations!$R$2:$R$5000,"Textual")</f>
        <v>0</v>
      </c>
      <c r="S230" s="2">
        <f>COUNTIFS(attestations!$B$2:$B$5000,$A230,attestations!$T$2:$T$5000,"&lt;&gt;Retracted",attestations!$D$2:$D$5000,"Geometry (Setting)")</f>
        <v>0</v>
      </c>
      <c r="T230" s="2" t="str">
        <f t="shared" si="7"/>
        <v>None</v>
      </c>
      <c r="U230" s="2" t="str">
        <f>IF(COUNTIFS(attestations!$B$2:$B$5000,$A230,attestations!$T$2:$T$5000,"&lt;&gt;Retracted",attestations!$I$2:$I$5000,"Georeferenced map GCP")&gt;0,"Y","N")</f>
        <v>N</v>
      </c>
      <c r="V230" t="s">
        <v>969</v>
      </c>
      <c r="X230" t="s">
        <v>1109</v>
      </c>
      <c r="Y230" t="s">
        <v>193</v>
      </c>
      <c r="AB230">
        <f>IF(A230="","",SUMIFS(attestations!$U$2:$U$5000,attestations!$B$2:$B$5000,A230))</f>
        <v>0</v>
      </c>
    </row>
    <row r="231" spans="1:28" x14ac:dyDescent="0.2">
      <c r="A231" t="s">
        <v>1110</v>
      </c>
      <c r="B231" t="s">
        <v>1111</v>
      </c>
      <c r="C231" t="s">
        <v>1112</v>
      </c>
      <c r="D231" t="s">
        <v>289</v>
      </c>
      <c r="E231" t="s">
        <v>236</v>
      </c>
      <c r="F231" t="s">
        <v>237</v>
      </c>
      <c r="G231" t="s">
        <v>300</v>
      </c>
      <c r="H231" t="s">
        <v>223</v>
      </c>
      <c r="I231" t="s">
        <v>1044</v>
      </c>
      <c r="J231" t="s">
        <v>273</v>
      </c>
      <c r="K231" t="s">
        <v>208</v>
      </c>
      <c r="L231" t="s">
        <v>208</v>
      </c>
      <c r="M231" t="str">
        <f t="shared" si="6"/>
        <v>Unplotted (unlocated panel)</v>
      </c>
      <c r="O231" s="2">
        <f>COUNTIFS(attestations!$B$2:$B$5000,$A231,attestations!$T$2:$T$5000,"&lt;&gt;Retracted",attestations!$D$2:$D$5000,"&lt;&gt;Negative*")</f>
        <v>0</v>
      </c>
      <c r="P231" s="2">
        <f>COUNTIFS(attestations!$B$2:$B$5000,$A231,attestations!$T$2:$T$5000,"&lt;&gt;Retracted",attestations!$D$2:$D$5000,"&lt;&gt;Negative*",attestations!$R$2:$R$5000,"Map")</f>
        <v>0</v>
      </c>
      <c r="Q231" s="2">
        <f>COUNTIFS(attestations!$B$2:$B$5000,$A231,attestations!$T$2:$T$5000,"&lt;&gt;Retracted",attestations!$D$2:$D$5000,"&lt;&gt;Negative*",attestations!$R$2:$R$5000,"Image")</f>
        <v>0</v>
      </c>
      <c r="R231" s="2">
        <f>COUNTIFS(attestations!$B$2:$B$5000,$A231,attestations!$T$2:$T$5000,"&lt;&gt;Retracted",attestations!$D$2:$D$5000,"&lt;&gt;Negative*",attestations!$R$2:$R$5000,"Textual")</f>
        <v>0</v>
      </c>
      <c r="S231" s="2">
        <f>COUNTIFS(attestations!$B$2:$B$5000,$A231,attestations!$T$2:$T$5000,"&lt;&gt;Retracted",attestations!$D$2:$D$5000,"Geometry (Setting)")</f>
        <v>0</v>
      </c>
      <c r="T231" s="2" t="str">
        <f t="shared" si="7"/>
        <v>None</v>
      </c>
      <c r="U231" s="2" t="str">
        <f>IF(COUNTIFS(attestations!$B$2:$B$5000,$A231,attestations!$T$2:$T$5000,"&lt;&gt;Retracted",attestations!$I$2:$I$5000,"Georeferenced map GCP")&gt;0,"Y","N")</f>
        <v>N</v>
      </c>
      <c r="V231" t="s">
        <v>969</v>
      </c>
      <c r="X231" t="s">
        <v>1113</v>
      </c>
      <c r="Y231" t="s">
        <v>286</v>
      </c>
      <c r="Z231" t="s">
        <v>233</v>
      </c>
      <c r="AB231">
        <f>IF(A231="","",SUMIFS(attestations!$U$2:$U$5000,attestations!$B$2:$B$5000,A231))</f>
        <v>0</v>
      </c>
    </row>
  </sheetData>
  <dataValidations count="8">
    <dataValidation type="list" allowBlank="1" prompt="Select" sqref="E2:E600" xr:uid="{00000000-0002-0000-0200-000000000000}">
      <formula1>"Submerged,Depopulated-not flooded,Relocated,Renamed,Persists,Unknown"</formula1>
      <formula2>0</formula2>
    </dataValidation>
    <dataValidation type="list" allowBlank="1" prompt="Select" sqref="F2:F600" xr:uid="{00000000-0002-0000-0200-000001000000}">
      <formula1>"Gatun Lake flooding,Gatun Dam construction,1912 depopulation order,Railroad relocation,Other,Unknown"</formula1>
      <formula2>0</formula2>
    </dataValidation>
    <dataValidation type="list" allowBlank="1" prompt="Select" sqref="G2:G600" xr:uid="{00000000-0002-0000-0200-000002000000}">
      <formula1>"Displacement,Labor,U.S. administration,Afro-Caribbean life,Infrastructure,Other"</formula1>
      <formula2>0</formula2>
    </dataValidation>
    <dataValidation type="list" allowBlank="1" prompt="Select" sqref="H2:H600" xr:uid="{00000000-0002-0000-0200-000003000000}">
      <formula1>"Panamanian village,West Indian / Silver Roll,Gold Roll town,Mixed,Indigenous,Unknown"</formula1>
      <formula2>0</formula2>
    </dataValidation>
    <dataValidation type="list" allowBlank="1" prompt="Select" sqref="K2:K600" xr:uid="{00000000-0002-0000-0200-000004000000}">
      <formula1>"Exact,Approximate,Inferred,Unknown"</formula1>
      <formula2>0</formula2>
    </dataValidation>
    <dataValidation type="list" allowBlank="1" prompt="Select" sqref="L2:L600" xr:uid="{00000000-0002-0000-0200-000005000000}">
      <formula1>"High,Medium,Low,Disputed,Unknown"</formula1>
      <formula2>0</formula2>
    </dataValidation>
    <dataValidation type="list" allowBlank="1" prompt="Select" sqref="V2:V600" xr:uid="{00000000-0002-0000-0200-000006000000}">
      <formula1>"Candidate,Shortlisted,Included,Excluded"</formula1>
      <formula2>0</formula2>
    </dataValidation>
    <dataValidation type="list" allowBlank="1" prompt="Select" sqref="W2:W600" xr:uid="{00000000-0002-0000-0200-000007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58"/>
  <sheetViews>
    <sheetView zoomScale="85" zoomScaleNormal="100" workbookViewId="0">
      <pane xSplit="2" ySplit="1" topLeftCell="C28" activePane="bottomRight" state="frozen"/>
      <selection pane="topRight" activeCell="C1" sqref="C1"/>
      <selection pane="bottomLeft" activeCell="A2" sqref="A2"/>
      <selection pane="bottomRight" activeCell="M30" sqref="M30"/>
    </sheetView>
  </sheetViews>
  <sheetFormatPr baseColWidth="10" defaultColWidth="8.6640625" defaultRowHeight="15" x14ac:dyDescent="0.2"/>
  <cols>
    <col min="1" max="1" width="11" customWidth="1"/>
    <col min="2" max="2" width="16" customWidth="1"/>
    <col min="3" max="3" width="32" customWidth="1"/>
    <col min="4" max="4" width="18" customWidth="1"/>
    <col min="5" max="5" width="11" customWidth="1"/>
    <col min="6" max="6" width="22" customWidth="1"/>
    <col min="7" max="7" width="16" customWidth="1"/>
    <col min="8" max="8" width="24" customWidth="1"/>
    <col min="9" max="9" width="16" customWidth="1"/>
    <col min="10" max="10" width="10" customWidth="1"/>
    <col min="11" max="11" width="11" customWidth="1"/>
    <col min="12" max="12" width="10" customWidth="1"/>
    <col min="13" max="13" width="20" customWidth="1"/>
    <col min="14" max="14" width="26" customWidth="1"/>
  </cols>
  <sheetData>
    <row r="1" spans="1:15" ht="33.75" customHeight="1" x14ac:dyDescent="0.2">
      <c r="A1" s="1" t="s">
        <v>1114</v>
      </c>
      <c r="B1" s="1" t="s">
        <v>1115</v>
      </c>
      <c r="C1" s="1" t="s">
        <v>1116</v>
      </c>
      <c r="D1" s="1" t="s">
        <v>1117</v>
      </c>
      <c r="E1" s="1" t="s">
        <v>1118</v>
      </c>
      <c r="F1" s="1" t="s">
        <v>1119</v>
      </c>
      <c r="G1" s="1" t="s">
        <v>1120</v>
      </c>
      <c r="H1" s="1" t="s">
        <v>1121</v>
      </c>
      <c r="I1" s="1" t="s">
        <v>1122</v>
      </c>
      <c r="J1" s="1" t="s">
        <v>1123</v>
      </c>
      <c r="K1" s="1" t="s">
        <v>1124</v>
      </c>
      <c r="L1" s="1" t="s">
        <v>1125</v>
      </c>
      <c r="M1" s="1" t="s">
        <v>1126</v>
      </c>
      <c r="N1" s="1" t="s">
        <v>176</v>
      </c>
      <c r="O1" t="s">
        <v>1127</v>
      </c>
    </row>
    <row r="2" spans="1:15" ht="23.25" customHeight="1" x14ac:dyDescent="0.2">
      <c r="A2" s="4" t="s">
        <v>1128</v>
      </c>
      <c r="B2" s="4" t="s">
        <v>1129</v>
      </c>
      <c r="C2" s="4" t="s">
        <v>1130</v>
      </c>
      <c r="D2" s="4" t="s">
        <v>1131</v>
      </c>
      <c r="E2" s="4" t="s">
        <v>1132</v>
      </c>
      <c r="F2" s="4" t="s">
        <v>1133</v>
      </c>
      <c r="G2" s="4" t="s">
        <v>1134</v>
      </c>
      <c r="H2" s="4" t="s">
        <v>1135</v>
      </c>
      <c r="I2" s="4" t="s">
        <v>223</v>
      </c>
      <c r="J2" s="4" t="s">
        <v>190</v>
      </c>
      <c r="K2" s="4" t="s">
        <v>1136</v>
      </c>
      <c r="L2" s="4"/>
      <c r="M2" s="4"/>
      <c r="N2" s="4" t="s">
        <v>1137</v>
      </c>
      <c r="O2" t="s">
        <v>1138</v>
      </c>
    </row>
    <row r="3" spans="1:15" ht="23.25" customHeight="1" x14ac:dyDescent="0.2">
      <c r="A3" s="4" t="s">
        <v>1139</v>
      </c>
      <c r="B3" s="4" t="s">
        <v>1140</v>
      </c>
      <c r="C3" s="4" t="s">
        <v>1141</v>
      </c>
      <c r="D3" s="4" t="s">
        <v>1142</v>
      </c>
      <c r="E3" s="4" t="s">
        <v>1143</v>
      </c>
      <c r="F3" s="4" t="s">
        <v>1144</v>
      </c>
      <c r="G3" s="4" t="s">
        <v>1145</v>
      </c>
      <c r="H3" s="4" t="s">
        <v>1134</v>
      </c>
      <c r="I3" s="4" t="s">
        <v>1140</v>
      </c>
      <c r="J3" s="4" t="s">
        <v>203</v>
      </c>
      <c r="K3" s="4" t="s">
        <v>1136</v>
      </c>
      <c r="L3" s="4"/>
      <c r="M3" s="4"/>
      <c r="N3" s="4" t="s">
        <v>1146</v>
      </c>
      <c r="O3" t="s">
        <v>1147</v>
      </c>
    </row>
    <row r="4" spans="1:15" ht="23.25" customHeight="1" x14ac:dyDescent="0.2">
      <c r="A4" s="4" t="s">
        <v>1148</v>
      </c>
      <c r="B4" s="4" t="s">
        <v>1149</v>
      </c>
      <c r="C4" s="4" t="s">
        <v>1150</v>
      </c>
      <c r="D4" s="4" t="s">
        <v>1151</v>
      </c>
      <c r="E4" s="4" t="s">
        <v>1152</v>
      </c>
      <c r="F4" s="4" t="s">
        <v>1153</v>
      </c>
      <c r="G4" s="4" t="s">
        <v>1134</v>
      </c>
      <c r="H4" s="4" t="s">
        <v>1154</v>
      </c>
      <c r="I4" s="4" t="s">
        <v>1155</v>
      </c>
      <c r="J4" s="4" t="s">
        <v>203</v>
      </c>
      <c r="K4" s="4" t="s">
        <v>1136</v>
      </c>
      <c r="L4" s="4"/>
      <c r="M4" s="4"/>
      <c r="N4" s="4" t="s">
        <v>1156</v>
      </c>
      <c r="O4" t="s">
        <v>1157</v>
      </c>
    </row>
    <row r="5" spans="1:15" ht="23.25" customHeight="1" x14ac:dyDescent="0.2">
      <c r="A5" s="4" t="s">
        <v>1158</v>
      </c>
      <c r="B5" s="4" t="s">
        <v>1159</v>
      </c>
      <c r="C5" s="4" t="s">
        <v>1160</v>
      </c>
      <c r="D5" s="4" t="s">
        <v>1161</v>
      </c>
      <c r="E5" s="4" t="s">
        <v>1162</v>
      </c>
      <c r="F5" s="4" t="s">
        <v>1163</v>
      </c>
      <c r="G5" s="4" t="s">
        <v>1164</v>
      </c>
      <c r="H5" s="4" t="s">
        <v>1165</v>
      </c>
      <c r="I5" s="4" t="s">
        <v>1155</v>
      </c>
      <c r="J5" s="4" t="s">
        <v>203</v>
      </c>
      <c r="K5" s="4" t="s">
        <v>1136</v>
      </c>
      <c r="L5" s="4"/>
      <c r="M5" s="4"/>
      <c r="N5" s="4" t="s">
        <v>1166</v>
      </c>
      <c r="O5" t="s">
        <v>1167</v>
      </c>
    </row>
    <row r="6" spans="1:15" ht="15" customHeight="1" x14ac:dyDescent="0.2">
      <c r="A6" s="4" t="s">
        <v>1168</v>
      </c>
      <c r="B6" s="4" t="s">
        <v>1169</v>
      </c>
      <c r="C6" s="4" t="s">
        <v>1170</v>
      </c>
      <c r="D6" s="4" t="s">
        <v>1171</v>
      </c>
      <c r="E6" s="4" t="s">
        <v>1172</v>
      </c>
      <c r="F6" s="4" t="s">
        <v>1173</v>
      </c>
      <c r="G6" s="4" t="s">
        <v>1174</v>
      </c>
      <c r="H6" s="4" t="s">
        <v>1175</v>
      </c>
      <c r="I6" s="4" t="s">
        <v>1155</v>
      </c>
      <c r="J6" s="4" t="s">
        <v>203</v>
      </c>
      <c r="K6" s="4" t="s">
        <v>1176</v>
      </c>
      <c r="L6" s="4">
        <v>250</v>
      </c>
      <c r="M6" s="4"/>
      <c r="N6" s="4" t="s">
        <v>1177</v>
      </c>
      <c r="O6" t="s">
        <v>1178</v>
      </c>
    </row>
    <row r="7" spans="1:15" ht="23.25" customHeight="1" x14ac:dyDescent="0.2">
      <c r="A7" s="4" t="s">
        <v>1179</v>
      </c>
      <c r="B7" s="4" t="s">
        <v>1169</v>
      </c>
      <c r="C7" s="4" t="s">
        <v>1180</v>
      </c>
      <c r="D7" s="4" t="s">
        <v>1151</v>
      </c>
      <c r="E7" s="4" t="s">
        <v>1181</v>
      </c>
      <c r="F7" s="4" t="s">
        <v>1182</v>
      </c>
      <c r="G7" s="4" t="s">
        <v>1134</v>
      </c>
      <c r="H7" s="4" t="s">
        <v>1134</v>
      </c>
      <c r="I7" s="4" t="s">
        <v>1155</v>
      </c>
      <c r="J7" s="4" t="s">
        <v>203</v>
      </c>
      <c r="K7" s="4" t="s">
        <v>1176</v>
      </c>
      <c r="L7" s="4">
        <v>300</v>
      </c>
      <c r="M7" s="4"/>
      <c r="N7" s="4" t="s">
        <v>1183</v>
      </c>
      <c r="O7" t="s">
        <v>1178</v>
      </c>
    </row>
    <row r="8" spans="1:15" ht="23.25" customHeight="1" x14ac:dyDescent="0.2">
      <c r="A8" s="4" t="s">
        <v>1184</v>
      </c>
      <c r="B8" s="4" t="s">
        <v>1159</v>
      </c>
      <c r="C8" s="4" t="s">
        <v>1185</v>
      </c>
      <c r="D8" s="4" t="s">
        <v>1186</v>
      </c>
      <c r="E8" s="4" t="s">
        <v>1187</v>
      </c>
      <c r="F8" s="4" t="s">
        <v>1188</v>
      </c>
      <c r="G8" s="4" t="s">
        <v>1189</v>
      </c>
      <c r="H8" s="4" t="s">
        <v>1190</v>
      </c>
      <c r="I8" s="4" t="s">
        <v>1191</v>
      </c>
      <c r="J8" s="4" t="s">
        <v>203</v>
      </c>
      <c r="K8" s="4" t="s">
        <v>1136</v>
      </c>
      <c r="L8" s="4"/>
      <c r="M8" s="4"/>
      <c r="N8" s="4" t="s">
        <v>1192</v>
      </c>
      <c r="O8" t="s">
        <v>1193</v>
      </c>
    </row>
    <row r="9" spans="1:15" ht="23.25" customHeight="1" x14ac:dyDescent="0.2">
      <c r="A9" s="4" t="s">
        <v>1194</v>
      </c>
      <c r="B9" s="4" t="s">
        <v>1159</v>
      </c>
      <c r="C9" s="4" t="s">
        <v>1195</v>
      </c>
      <c r="D9" s="4" t="s">
        <v>1196</v>
      </c>
      <c r="E9" s="4" t="s">
        <v>1197</v>
      </c>
      <c r="F9" s="4" t="s">
        <v>1198</v>
      </c>
      <c r="G9" s="4" t="s">
        <v>1134</v>
      </c>
      <c r="H9" s="4" t="s">
        <v>1199</v>
      </c>
      <c r="I9" s="4" t="s">
        <v>1200</v>
      </c>
      <c r="J9" s="4" t="s">
        <v>209</v>
      </c>
      <c r="K9" s="4" t="s">
        <v>1136</v>
      </c>
      <c r="L9" s="4"/>
      <c r="M9" s="4"/>
      <c r="N9" s="4" t="s">
        <v>1201</v>
      </c>
      <c r="O9" t="s">
        <v>1202</v>
      </c>
    </row>
    <row r="10" spans="1:15" x14ac:dyDescent="0.2">
      <c r="A10" t="s">
        <v>1203</v>
      </c>
      <c r="B10" t="s">
        <v>1204</v>
      </c>
      <c r="C10" t="s">
        <v>1205</v>
      </c>
      <c r="D10" t="s">
        <v>1206</v>
      </c>
      <c r="E10" t="s">
        <v>1207</v>
      </c>
      <c r="F10" t="s">
        <v>1208</v>
      </c>
      <c r="G10" t="s">
        <v>1134</v>
      </c>
      <c r="H10" t="s">
        <v>1209</v>
      </c>
      <c r="I10" t="s">
        <v>1210</v>
      </c>
      <c r="J10" t="s">
        <v>209</v>
      </c>
      <c r="K10" t="s">
        <v>1136</v>
      </c>
      <c r="N10" t="s">
        <v>1211</v>
      </c>
      <c r="O10" t="s">
        <v>1212</v>
      </c>
    </row>
    <row r="11" spans="1:15" x14ac:dyDescent="0.2">
      <c r="A11" t="s">
        <v>1213</v>
      </c>
      <c r="B11" t="s">
        <v>1204</v>
      </c>
      <c r="C11" t="s">
        <v>1214</v>
      </c>
      <c r="D11" t="s">
        <v>1215</v>
      </c>
      <c r="E11" t="s">
        <v>1216</v>
      </c>
      <c r="F11" t="s">
        <v>1217</v>
      </c>
      <c r="G11" t="s">
        <v>1218</v>
      </c>
      <c r="H11" t="s">
        <v>1219</v>
      </c>
      <c r="I11" t="s">
        <v>1210</v>
      </c>
      <c r="J11" t="s">
        <v>203</v>
      </c>
      <c r="K11" t="s">
        <v>1136</v>
      </c>
      <c r="N11" t="s">
        <v>1220</v>
      </c>
      <c r="O11" t="s">
        <v>1212</v>
      </c>
    </row>
    <row r="12" spans="1:15" x14ac:dyDescent="0.2">
      <c r="A12" t="s">
        <v>1221</v>
      </c>
      <c r="B12" t="s">
        <v>1204</v>
      </c>
      <c r="C12" t="s">
        <v>1222</v>
      </c>
      <c r="D12" t="s">
        <v>1223</v>
      </c>
      <c r="E12" t="s">
        <v>1224</v>
      </c>
      <c r="F12" t="s">
        <v>1217</v>
      </c>
      <c r="G12" t="s">
        <v>1225</v>
      </c>
      <c r="H12" t="s">
        <v>1226</v>
      </c>
      <c r="I12" t="s">
        <v>1210</v>
      </c>
      <c r="J12" t="s">
        <v>209</v>
      </c>
      <c r="K12" t="s">
        <v>1136</v>
      </c>
      <c r="N12" t="s">
        <v>1227</v>
      </c>
      <c r="O12" t="s">
        <v>1212</v>
      </c>
    </row>
    <row r="13" spans="1:15" x14ac:dyDescent="0.2">
      <c r="A13" t="s">
        <v>1228</v>
      </c>
      <c r="B13" t="s">
        <v>1204</v>
      </c>
      <c r="C13" t="s">
        <v>1229</v>
      </c>
      <c r="D13" t="s">
        <v>1230</v>
      </c>
      <c r="E13" t="s">
        <v>224</v>
      </c>
      <c r="F13" t="s">
        <v>1217</v>
      </c>
      <c r="G13" t="s">
        <v>1231</v>
      </c>
      <c r="H13" t="s">
        <v>1232</v>
      </c>
      <c r="I13" t="s">
        <v>1155</v>
      </c>
      <c r="J13" t="s">
        <v>203</v>
      </c>
      <c r="K13" t="s">
        <v>1136</v>
      </c>
      <c r="N13" t="s">
        <v>1233</v>
      </c>
      <c r="O13" t="s">
        <v>1212</v>
      </c>
    </row>
    <row r="14" spans="1:15" x14ac:dyDescent="0.2">
      <c r="A14" t="s">
        <v>1234</v>
      </c>
      <c r="B14" t="s">
        <v>1204</v>
      </c>
      <c r="C14" t="s">
        <v>1235</v>
      </c>
      <c r="D14" t="s">
        <v>1236</v>
      </c>
      <c r="E14" t="s">
        <v>1237</v>
      </c>
      <c r="F14" t="s">
        <v>1217</v>
      </c>
      <c r="G14" t="s">
        <v>1238</v>
      </c>
      <c r="H14" t="s">
        <v>1239</v>
      </c>
      <c r="I14" t="s">
        <v>1200</v>
      </c>
      <c r="J14" t="s">
        <v>209</v>
      </c>
      <c r="K14" t="s">
        <v>1136</v>
      </c>
      <c r="N14" t="s">
        <v>1240</v>
      </c>
      <c r="O14" t="s">
        <v>1212</v>
      </c>
    </row>
    <row r="15" spans="1:15" x14ac:dyDescent="0.2">
      <c r="A15" t="s">
        <v>1241</v>
      </c>
      <c r="B15" t="s">
        <v>1242</v>
      </c>
      <c r="C15" t="s">
        <v>1243</v>
      </c>
      <c r="D15" t="s">
        <v>1244</v>
      </c>
      <c r="E15" t="s">
        <v>1245</v>
      </c>
      <c r="F15" t="s">
        <v>1246</v>
      </c>
      <c r="G15" t="s">
        <v>1247</v>
      </c>
      <c r="H15" t="s">
        <v>1248</v>
      </c>
      <c r="I15" t="s">
        <v>1155</v>
      </c>
      <c r="J15" t="s">
        <v>203</v>
      </c>
      <c r="K15" t="s">
        <v>1136</v>
      </c>
      <c r="N15" t="s">
        <v>1249</v>
      </c>
      <c r="O15" t="s">
        <v>1167</v>
      </c>
    </row>
    <row r="16" spans="1:15" x14ac:dyDescent="0.2">
      <c r="A16" t="s">
        <v>1250</v>
      </c>
      <c r="B16" t="s">
        <v>1169</v>
      </c>
      <c r="C16" t="s">
        <v>1251</v>
      </c>
      <c r="D16" t="s">
        <v>1252</v>
      </c>
      <c r="E16" t="s">
        <v>1253</v>
      </c>
      <c r="F16" t="s">
        <v>1254</v>
      </c>
      <c r="G16" t="s">
        <v>1255</v>
      </c>
      <c r="H16" t="s">
        <v>1256</v>
      </c>
      <c r="I16" t="s">
        <v>1155</v>
      </c>
      <c r="J16" t="s">
        <v>203</v>
      </c>
      <c r="K16" t="s">
        <v>1136</v>
      </c>
      <c r="N16" t="s">
        <v>1257</v>
      </c>
      <c r="O16" t="s">
        <v>1167</v>
      </c>
    </row>
    <row r="17" spans="1:15" x14ac:dyDescent="0.2">
      <c r="A17" t="s">
        <v>1258</v>
      </c>
      <c r="B17" t="s">
        <v>1159</v>
      </c>
      <c r="C17" t="s">
        <v>1259</v>
      </c>
      <c r="D17" t="s">
        <v>1260</v>
      </c>
      <c r="E17" t="s">
        <v>1261</v>
      </c>
      <c r="F17" t="s">
        <v>1262</v>
      </c>
      <c r="G17" t="s">
        <v>1263</v>
      </c>
      <c r="H17" t="s">
        <v>1264</v>
      </c>
      <c r="I17" t="s">
        <v>1155</v>
      </c>
      <c r="J17" t="s">
        <v>203</v>
      </c>
      <c r="K17" t="s">
        <v>1136</v>
      </c>
      <c r="N17" t="s">
        <v>1265</v>
      </c>
      <c r="O17" t="s">
        <v>1266</v>
      </c>
    </row>
    <row r="18" spans="1:15" x14ac:dyDescent="0.2">
      <c r="A18" t="s">
        <v>1267</v>
      </c>
      <c r="B18" t="s">
        <v>1242</v>
      </c>
      <c r="C18" t="s">
        <v>1268</v>
      </c>
      <c r="D18" t="s">
        <v>1269</v>
      </c>
      <c r="E18" t="s">
        <v>1270</v>
      </c>
      <c r="F18" t="s">
        <v>1271</v>
      </c>
      <c r="G18" t="s">
        <v>1272</v>
      </c>
      <c r="H18" t="s">
        <v>1273</v>
      </c>
      <c r="I18" t="s">
        <v>1210</v>
      </c>
      <c r="J18" t="s">
        <v>203</v>
      </c>
      <c r="K18" t="s">
        <v>1136</v>
      </c>
      <c r="N18" t="s">
        <v>1274</v>
      </c>
      <c r="O18" t="s">
        <v>1266</v>
      </c>
    </row>
    <row r="19" spans="1:15" x14ac:dyDescent="0.2">
      <c r="A19" t="s">
        <v>1275</v>
      </c>
      <c r="B19" t="s">
        <v>1169</v>
      </c>
      <c r="C19" t="s">
        <v>1276</v>
      </c>
      <c r="D19" t="s">
        <v>1277</v>
      </c>
      <c r="E19" t="s">
        <v>1172</v>
      </c>
      <c r="F19" t="s">
        <v>1278</v>
      </c>
      <c r="G19" t="s">
        <v>1279</v>
      </c>
      <c r="H19" t="s">
        <v>1280</v>
      </c>
      <c r="I19" t="s">
        <v>1140</v>
      </c>
      <c r="J19" t="s">
        <v>209</v>
      </c>
      <c r="K19" t="s">
        <v>1281</v>
      </c>
      <c r="N19" t="s">
        <v>1282</v>
      </c>
      <c r="O19" t="s">
        <v>1283</v>
      </c>
    </row>
    <row r="20" spans="1:15" x14ac:dyDescent="0.2">
      <c r="A20" t="s">
        <v>1284</v>
      </c>
      <c r="B20" t="s">
        <v>1204</v>
      </c>
      <c r="C20" t="s">
        <v>1285</v>
      </c>
      <c r="E20" t="s">
        <v>1286</v>
      </c>
      <c r="F20" t="s">
        <v>1287</v>
      </c>
      <c r="G20" t="s">
        <v>1288</v>
      </c>
      <c r="H20" t="s">
        <v>1289</v>
      </c>
      <c r="I20" t="s">
        <v>1210</v>
      </c>
      <c r="J20" t="s">
        <v>209</v>
      </c>
      <c r="N20" t="s">
        <v>1290</v>
      </c>
      <c r="O20" t="s">
        <v>1291</v>
      </c>
    </row>
    <row r="21" spans="1:15" x14ac:dyDescent="0.2">
      <c r="A21" t="s">
        <v>1292</v>
      </c>
      <c r="B21" t="s">
        <v>1129</v>
      </c>
      <c r="C21" t="s">
        <v>1293</v>
      </c>
      <c r="E21" t="s">
        <v>1294</v>
      </c>
      <c r="F21" t="s">
        <v>1287</v>
      </c>
      <c r="G21" t="s">
        <v>1288</v>
      </c>
      <c r="H21" t="s">
        <v>1289</v>
      </c>
      <c r="I21" t="s">
        <v>1210</v>
      </c>
      <c r="J21" t="s">
        <v>209</v>
      </c>
      <c r="N21" t="s">
        <v>1295</v>
      </c>
      <c r="O21" t="s">
        <v>1291</v>
      </c>
    </row>
    <row r="22" spans="1:15" x14ac:dyDescent="0.2">
      <c r="A22" t="s">
        <v>1296</v>
      </c>
      <c r="B22" t="s">
        <v>1129</v>
      </c>
      <c r="C22" t="s">
        <v>1297</v>
      </c>
      <c r="E22" t="s">
        <v>1298</v>
      </c>
      <c r="F22" t="s">
        <v>1299</v>
      </c>
      <c r="G22" t="s">
        <v>1300</v>
      </c>
      <c r="H22" t="s">
        <v>1301</v>
      </c>
      <c r="I22" t="s">
        <v>223</v>
      </c>
      <c r="J22" t="s">
        <v>209</v>
      </c>
      <c r="N22" t="s">
        <v>1302</v>
      </c>
      <c r="O22" t="s">
        <v>1303</v>
      </c>
    </row>
    <row r="23" spans="1:15" x14ac:dyDescent="0.2">
      <c r="A23" t="s">
        <v>1304</v>
      </c>
      <c r="B23" t="s">
        <v>1169</v>
      </c>
      <c r="C23" t="s">
        <v>1305</v>
      </c>
      <c r="D23" t="s">
        <v>1306</v>
      </c>
      <c r="E23" t="s">
        <v>1307</v>
      </c>
      <c r="F23" t="s">
        <v>1173</v>
      </c>
      <c r="G23" t="s">
        <v>1308</v>
      </c>
      <c r="H23" t="s">
        <v>1309</v>
      </c>
      <c r="I23" t="s">
        <v>1155</v>
      </c>
      <c r="J23" t="s">
        <v>203</v>
      </c>
      <c r="K23" t="s">
        <v>1176</v>
      </c>
      <c r="L23">
        <v>400</v>
      </c>
      <c r="M23" t="s">
        <v>1310</v>
      </c>
      <c r="O23" t="s">
        <v>1178</v>
      </c>
    </row>
    <row r="24" spans="1:15" x14ac:dyDescent="0.2">
      <c r="A24" t="s">
        <v>1311</v>
      </c>
      <c r="B24" t="s">
        <v>1169</v>
      </c>
      <c r="C24" t="s">
        <v>1312</v>
      </c>
      <c r="D24" t="s">
        <v>1313</v>
      </c>
      <c r="E24">
        <v>1910</v>
      </c>
      <c r="F24" t="s">
        <v>1173</v>
      </c>
      <c r="G24" t="s">
        <v>1314</v>
      </c>
      <c r="H24" t="s">
        <v>1315</v>
      </c>
      <c r="I24" t="s">
        <v>1155</v>
      </c>
      <c r="J24" t="s">
        <v>203</v>
      </c>
      <c r="K24" t="s">
        <v>1176</v>
      </c>
      <c r="L24">
        <v>250</v>
      </c>
      <c r="M24" t="s">
        <v>1316</v>
      </c>
      <c r="O24" t="s">
        <v>1178</v>
      </c>
    </row>
    <row r="25" spans="1:15" x14ac:dyDescent="0.2">
      <c r="A25" t="s">
        <v>1317</v>
      </c>
      <c r="B25" t="s">
        <v>1169</v>
      </c>
      <c r="C25" t="s">
        <v>1318</v>
      </c>
      <c r="D25" t="s">
        <v>1319</v>
      </c>
      <c r="E25">
        <v>1905</v>
      </c>
      <c r="F25" t="s">
        <v>1173</v>
      </c>
      <c r="G25" t="s">
        <v>1320</v>
      </c>
      <c r="H25" t="s">
        <v>1321</v>
      </c>
      <c r="I25" t="s">
        <v>1155</v>
      </c>
      <c r="J25" t="s">
        <v>203</v>
      </c>
      <c r="K25" t="s">
        <v>1176</v>
      </c>
      <c r="L25">
        <v>150</v>
      </c>
      <c r="M25" t="s">
        <v>1322</v>
      </c>
      <c r="O25" t="s">
        <v>1178</v>
      </c>
    </row>
    <row r="26" spans="1:15" x14ac:dyDescent="0.2">
      <c r="A26" t="s">
        <v>1323</v>
      </c>
      <c r="B26" t="s">
        <v>1169</v>
      </c>
      <c r="C26" t="s">
        <v>1324</v>
      </c>
      <c r="D26" t="s">
        <v>1319</v>
      </c>
      <c r="E26">
        <v>1908</v>
      </c>
      <c r="F26" t="s">
        <v>1173</v>
      </c>
      <c r="G26" t="s">
        <v>1325</v>
      </c>
      <c r="H26" t="s">
        <v>1326</v>
      </c>
      <c r="I26" t="s">
        <v>1155</v>
      </c>
      <c r="J26" t="s">
        <v>203</v>
      </c>
      <c r="K26" t="s">
        <v>1176</v>
      </c>
      <c r="L26">
        <v>100</v>
      </c>
      <c r="M26" t="s">
        <v>1327</v>
      </c>
      <c r="O26" t="s">
        <v>1178</v>
      </c>
    </row>
    <row r="27" spans="1:15" x14ac:dyDescent="0.2">
      <c r="A27" t="s">
        <v>1328</v>
      </c>
      <c r="B27" t="s">
        <v>1169</v>
      </c>
      <c r="C27" t="s">
        <v>1329</v>
      </c>
      <c r="D27" t="s">
        <v>1330</v>
      </c>
      <c r="E27">
        <v>1890</v>
      </c>
      <c r="F27" t="s">
        <v>1173</v>
      </c>
      <c r="G27" t="s">
        <v>1331</v>
      </c>
      <c r="H27" t="s">
        <v>1332</v>
      </c>
      <c r="I27" t="s">
        <v>1333</v>
      </c>
      <c r="J27" t="s">
        <v>203</v>
      </c>
      <c r="K27" t="s">
        <v>1176</v>
      </c>
      <c r="L27">
        <v>50</v>
      </c>
      <c r="M27" t="s">
        <v>1334</v>
      </c>
      <c r="O27" t="s">
        <v>1178</v>
      </c>
    </row>
    <row r="28" spans="1:15" x14ac:dyDescent="0.2">
      <c r="A28" t="s">
        <v>1335</v>
      </c>
      <c r="B28" t="s">
        <v>1169</v>
      </c>
      <c r="C28" t="s">
        <v>1336</v>
      </c>
      <c r="D28" t="s">
        <v>1151</v>
      </c>
      <c r="E28">
        <v>1908</v>
      </c>
      <c r="F28" t="s">
        <v>1173</v>
      </c>
      <c r="G28" t="s">
        <v>1337</v>
      </c>
      <c r="H28" t="s">
        <v>1338</v>
      </c>
      <c r="I28" t="s">
        <v>1155</v>
      </c>
      <c r="J28" t="s">
        <v>203</v>
      </c>
      <c r="K28" t="s">
        <v>1176</v>
      </c>
      <c r="L28">
        <v>200</v>
      </c>
      <c r="M28" t="s">
        <v>1339</v>
      </c>
      <c r="O28" t="s">
        <v>1178</v>
      </c>
    </row>
    <row r="29" spans="1:15" x14ac:dyDescent="0.2">
      <c r="A29" t="s">
        <v>1340</v>
      </c>
      <c r="B29" t="s">
        <v>1169</v>
      </c>
      <c r="C29" t="s">
        <v>1341</v>
      </c>
      <c r="D29" t="s">
        <v>1342</v>
      </c>
      <c r="E29">
        <v>1862</v>
      </c>
      <c r="F29" t="s">
        <v>1173</v>
      </c>
      <c r="G29" t="s">
        <v>1343</v>
      </c>
      <c r="H29" t="s">
        <v>1344</v>
      </c>
      <c r="I29" t="s">
        <v>1345</v>
      </c>
      <c r="J29" t="s">
        <v>209</v>
      </c>
      <c r="K29" t="s">
        <v>1176</v>
      </c>
      <c r="L29">
        <v>800</v>
      </c>
      <c r="M29" t="s">
        <v>1346</v>
      </c>
      <c r="O29" t="s">
        <v>1178</v>
      </c>
    </row>
    <row r="30" spans="1:15" x14ac:dyDescent="0.2">
      <c r="A30" t="s">
        <v>1347</v>
      </c>
      <c r="B30" t="s">
        <v>1169</v>
      </c>
      <c r="C30" t="s">
        <v>1348</v>
      </c>
      <c r="D30" t="s">
        <v>1349</v>
      </c>
      <c r="E30">
        <v>1895</v>
      </c>
      <c r="F30" t="s">
        <v>1173</v>
      </c>
      <c r="G30">
        <v>93680805</v>
      </c>
      <c r="H30" t="s">
        <v>1350</v>
      </c>
      <c r="I30" t="s">
        <v>1333</v>
      </c>
      <c r="J30" t="s">
        <v>203</v>
      </c>
      <c r="K30" t="s">
        <v>1176</v>
      </c>
      <c r="L30">
        <v>300</v>
      </c>
      <c r="M30" t="s">
        <v>1351</v>
      </c>
      <c r="O30" t="s">
        <v>1178</v>
      </c>
    </row>
    <row r="31" spans="1:15" x14ac:dyDescent="0.2">
      <c r="A31" t="s">
        <v>1352</v>
      </c>
      <c r="B31" t="s">
        <v>1169</v>
      </c>
      <c r="C31" t="s">
        <v>1353</v>
      </c>
      <c r="D31" t="s">
        <v>1306</v>
      </c>
      <c r="E31" s="18">
        <v>2709</v>
      </c>
      <c r="F31" t="s">
        <v>1173</v>
      </c>
      <c r="G31">
        <v>83694727</v>
      </c>
      <c r="H31" t="s">
        <v>1354</v>
      </c>
      <c r="I31" t="s">
        <v>1155</v>
      </c>
      <c r="J31" t="s">
        <v>203</v>
      </c>
      <c r="K31" t="s">
        <v>1176</v>
      </c>
      <c r="L31">
        <v>200</v>
      </c>
      <c r="M31" t="s">
        <v>1355</v>
      </c>
      <c r="O31" t="s">
        <v>1178</v>
      </c>
    </row>
    <row r="32" spans="1:15" x14ac:dyDescent="0.2">
      <c r="A32" t="s">
        <v>1356</v>
      </c>
      <c r="B32" t="s">
        <v>1169</v>
      </c>
      <c r="C32" t="s">
        <v>1357</v>
      </c>
      <c r="D32" t="s">
        <v>1358</v>
      </c>
      <c r="E32">
        <v>1947</v>
      </c>
      <c r="F32" t="s">
        <v>1173</v>
      </c>
      <c r="G32" t="s">
        <v>1359</v>
      </c>
      <c r="H32" t="s">
        <v>1360</v>
      </c>
      <c r="I32" t="s">
        <v>1155</v>
      </c>
      <c r="J32" t="s">
        <v>203</v>
      </c>
      <c r="K32" t="s">
        <v>1176</v>
      </c>
      <c r="L32">
        <v>150</v>
      </c>
      <c r="M32" t="s">
        <v>1361</v>
      </c>
      <c r="O32" t="s">
        <v>1178</v>
      </c>
    </row>
    <row r="33" spans="1:15" x14ac:dyDescent="0.2">
      <c r="A33" t="s">
        <v>1362</v>
      </c>
      <c r="B33" t="s">
        <v>1140</v>
      </c>
      <c r="C33" t="s">
        <v>1363</v>
      </c>
      <c r="D33" t="s">
        <v>1364</v>
      </c>
      <c r="E33" t="s">
        <v>1365</v>
      </c>
      <c r="F33" t="s">
        <v>1366</v>
      </c>
      <c r="G33" t="s">
        <v>1367</v>
      </c>
      <c r="H33" t="s">
        <v>1368</v>
      </c>
      <c r="I33" t="s">
        <v>1191</v>
      </c>
      <c r="J33" t="s">
        <v>209</v>
      </c>
      <c r="N33" t="s">
        <v>1369</v>
      </c>
      <c r="O33" t="s">
        <v>1193</v>
      </c>
    </row>
    <row r="34" spans="1:15" x14ac:dyDescent="0.2">
      <c r="A34" t="s">
        <v>1370</v>
      </c>
      <c r="B34" t="s">
        <v>1169</v>
      </c>
      <c r="C34" t="s">
        <v>1371</v>
      </c>
      <c r="D34" t="s">
        <v>1372</v>
      </c>
      <c r="E34" t="s">
        <v>1373</v>
      </c>
      <c r="F34" t="s">
        <v>1374</v>
      </c>
      <c r="G34" t="s">
        <v>1375</v>
      </c>
      <c r="H34" t="s">
        <v>1376</v>
      </c>
      <c r="I34" t="s">
        <v>1155</v>
      </c>
      <c r="J34" t="s">
        <v>203</v>
      </c>
      <c r="N34" t="s">
        <v>1377</v>
      </c>
      <c r="O34" t="s">
        <v>1378</v>
      </c>
    </row>
    <row r="35" spans="1:15" x14ac:dyDescent="0.2">
      <c r="A35" t="s">
        <v>1379</v>
      </c>
      <c r="B35" t="s">
        <v>1169</v>
      </c>
      <c r="C35" t="s">
        <v>1380</v>
      </c>
      <c r="D35" t="s">
        <v>1372</v>
      </c>
      <c r="E35" t="s">
        <v>315</v>
      </c>
      <c r="F35" t="s">
        <v>1374</v>
      </c>
      <c r="G35" t="s">
        <v>1381</v>
      </c>
      <c r="H35" t="s">
        <v>1382</v>
      </c>
      <c r="I35" t="s">
        <v>1155</v>
      </c>
      <c r="J35" t="s">
        <v>203</v>
      </c>
      <c r="N35" t="s">
        <v>1383</v>
      </c>
      <c r="O35" t="s">
        <v>1378</v>
      </c>
    </row>
    <row r="36" spans="1:15" x14ac:dyDescent="0.2">
      <c r="A36" t="s">
        <v>1384</v>
      </c>
      <c r="B36" t="s">
        <v>1204</v>
      </c>
      <c r="C36" t="s">
        <v>1385</v>
      </c>
      <c r="D36" t="s">
        <v>1386</v>
      </c>
      <c r="E36" t="s">
        <v>1387</v>
      </c>
      <c r="F36" t="s">
        <v>1388</v>
      </c>
      <c r="G36" t="s">
        <v>1389</v>
      </c>
      <c r="H36" t="s">
        <v>1390</v>
      </c>
      <c r="I36" t="s">
        <v>1200</v>
      </c>
      <c r="J36" t="s">
        <v>209</v>
      </c>
      <c r="N36" t="s">
        <v>1391</v>
      </c>
      <c r="O36" t="s">
        <v>1392</v>
      </c>
    </row>
    <row r="37" spans="1:15" x14ac:dyDescent="0.2">
      <c r="A37" t="s">
        <v>1393</v>
      </c>
      <c r="B37" t="s">
        <v>1129</v>
      </c>
      <c r="C37" t="s">
        <v>1394</v>
      </c>
      <c r="D37" t="s">
        <v>1395</v>
      </c>
      <c r="E37" t="s">
        <v>1396</v>
      </c>
      <c r="F37" t="s">
        <v>1397</v>
      </c>
      <c r="G37" t="s">
        <v>1398</v>
      </c>
      <c r="H37" t="s">
        <v>1399</v>
      </c>
      <c r="I37" t="s">
        <v>1200</v>
      </c>
      <c r="J37" t="s">
        <v>203</v>
      </c>
      <c r="N37" t="s">
        <v>1400</v>
      </c>
      <c r="O37" t="s">
        <v>1392</v>
      </c>
    </row>
    <row r="38" spans="1:15" x14ac:dyDescent="0.2">
      <c r="A38" t="s">
        <v>1401</v>
      </c>
      <c r="B38" t="s">
        <v>1169</v>
      </c>
      <c r="C38" t="s">
        <v>1402</v>
      </c>
      <c r="D38" t="s">
        <v>1403</v>
      </c>
      <c r="E38" t="s">
        <v>1404</v>
      </c>
      <c r="F38" t="s">
        <v>1173</v>
      </c>
      <c r="G38" t="s">
        <v>1405</v>
      </c>
      <c r="I38" t="s">
        <v>1406</v>
      </c>
      <c r="J38" t="s">
        <v>203</v>
      </c>
      <c r="K38" t="s">
        <v>1407</v>
      </c>
      <c r="L38">
        <v>20</v>
      </c>
      <c r="O38" t="s">
        <v>1178</v>
      </c>
    </row>
    <row r="39" spans="1:15" x14ac:dyDescent="0.2">
      <c r="A39" t="s">
        <v>1408</v>
      </c>
      <c r="B39" t="s">
        <v>1169</v>
      </c>
      <c r="C39" t="s">
        <v>1409</v>
      </c>
      <c r="D39" t="s">
        <v>1410</v>
      </c>
      <c r="E39" t="s">
        <v>1411</v>
      </c>
      <c r="F39" t="s">
        <v>1173</v>
      </c>
      <c r="G39" t="s">
        <v>1412</v>
      </c>
      <c r="I39" t="s">
        <v>1191</v>
      </c>
      <c r="J39" t="s">
        <v>203</v>
      </c>
      <c r="K39" t="s">
        <v>1407</v>
      </c>
      <c r="L39">
        <v>80</v>
      </c>
      <c r="O39" t="s">
        <v>1178</v>
      </c>
    </row>
    <row r="40" spans="1:15" x14ac:dyDescent="0.2">
      <c r="A40" t="s">
        <v>1413</v>
      </c>
      <c r="B40" t="s">
        <v>1149</v>
      </c>
      <c r="C40" t="s">
        <v>1414</v>
      </c>
      <c r="D40" t="s">
        <v>1415</v>
      </c>
      <c r="E40" t="s">
        <v>1416</v>
      </c>
      <c r="F40" t="s">
        <v>1417</v>
      </c>
      <c r="G40" t="s">
        <v>1418</v>
      </c>
      <c r="H40" t="s">
        <v>1419</v>
      </c>
      <c r="I40" t="s">
        <v>1333</v>
      </c>
      <c r="J40" t="s">
        <v>203</v>
      </c>
      <c r="N40" t="s">
        <v>1420</v>
      </c>
      <c r="O40" t="s">
        <v>1421</v>
      </c>
    </row>
    <row r="41" spans="1:15" x14ac:dyDescent="0.2">
      <c r="A41" t="s">
        <v>1422</v>
      </c>
      <c r="B41" t="s">
        <v>1140</v>
      </c>
      <c r="C41" t="s">
        <v>1423</v>
      </c>
      <c r="D41" t="s">
        <v>1424</v>
      </c>
      <c r="E41" t="s">
        <v>1425</v>
      </c>
      <c r="F41" t="s">
        <v>1417</v>
      </c>
      <c r="G41" t="s">
        <v>1426</v>
      </c>
      <c r="H41" t="s">
        <v>1427</v>
      </c>
      <c r="I41" t="s">
        <v>1333</v>
      </c>
      <c r="J41" t="s">
        <v>209</v>
      </c>
      <c r="N41" t="s">
        <v>1420</v>
      </c>
      <c r="O41" t="s">
        <v>1421</v>
      </c>
    </row>
    <row r="42" spans="1:15" x14ac:dyDescent="0.2">
      <c r="A42" t="s">
        <v>1428</v>
      </c>
      <c r="B42" t="s">
        <v>1149</v>
      </c>
      <c r="C42" t="s">
        <v>1429</v>
      </c>
      <c r="D42" t="s">
        <v>1430</v>
      </c>
      <c r="E42" t="s">
        <v>1431</v>
      </c>
      <c r="F42" t="s">
        <v>1417</v>
      </c>
      <c r="G42" t="s">
        <v>1432</v>
      </c>
      <c r="H42" t="s">
        <v>1433</v>
      </c>
      <c r="I42" t="s">
        <v>1333</v>
      </c>
      <c r="J42" t="s">
        <v>203</v>
      </c>
      <c r="N42" t="s">
        <v>1420</v>
      </c>
      <c r="O42" t="s">
        <v>1421</v>
      </c>
    </row>
    <row r="43" spans="1:15" x14ac:dyDescent="0.2">
      <c r="A43" t="s">
        <v>1434</v>
      </c>
      <c r="B43" t="s">
        <v>1169</v>
      </c>
      <c r="C43" t="s">
        <v>1435</v>
      </c>
      <c r="D43" t="s">
        <v>1436</v>
      </c>
      <c r="E43" t="s">
        <v>1437</v>
      </c>
      <c r="F43" t="s">
        <v>1173</v>
      </c>
      <c r="G43" t="s">
        <v>1438</v>
      </c>
      <c r="I43" t="s">
        <v>1439</v>
      </c>
      <c r="J43" t="s">
        <v>209</v>
      </c>
      <c r="K43" t="s">
        <v>1407</v>
      </c>
      <c r="L43">
        <v>400</v>
      </c>
      <c r="O43" t="s">
        <v>1178</v>
      </c>
    </row>
    <row r="44" spans="1:15" x14ac:dyDescent="0.2">
      <c r="A44" t="s">
        <v>1440</v>
      </c>
      <c r="B44" t="s">
        <v>1169</v>
      </c>
      <c r="C44" t="s">
        <v>1441</v>
      </c>
      <c r="D44" t="s">
        <v>1442</v>
      </c>
      <c r="E44" t="s">
        <v>1443</v>
      </c>
      <c r="F44" t="s">
        <v>1173</v>
      </c>
      <c r="G44" t="s">
        <v>1444</v>
      </c>
      <c r="I44" t="s">
        <v>1439</v>
      </c>
      <c r="J44" t="s">
        <v>203</v>
      </c>
      <c r="K44" t="s">
        <v>1407</v>
      </c>
      <c r="L44">
        <v>120</v>
      </c>
      <c r="O44" t="s">
        <v>1178</v>
      </c>
    </row>
    <row r="45" spans="1:15" x14ac:dyDescent="0.2">
      <c r="A45" t="s">
        <v>1445</v>
      </c>
      <c r="B45" t="s">
        <v>1204</v>
      </c>
      <c r="C45" t="s">
        <v>1446</v>
      </c>
      <c r="D45" t="s">
        <v>1447</v>
      </c>
      <c r="E45" t="s">
        <v>1448</v>
      </c>
      <c r="F45" t="s">
        <v>1449</v>
      </c>
      <c r="G45" t="s">
        <v>1450</v>
      </c>
      <c r="H45" t="s">
        <v>1451</v>
      </c>
      <c r="I45" t="s">
        <v>1191</v>
      </c>
      <c r="J45" t="s">
        <v>209</v>
      </c>
      <c r="N45" t="s">
        <v>1452</v>
      </c>
      <c r="O45" t="s">
        <v>1453</v>
      </c>
    </row>
    <row r="46" spans="1:15" x14ac:dyDescent="0.2">
      <c r="A46" t="s">
        <v>1454</v>
      </c>
      <c r="B46" t="s">
        <v>1169</v>
      </c>
      <c r="C46" t="s">
        <v>1455</v>
      </c>
      <c r="D46" t="s">
        <v>1456</v>
      </c>
      <c r="E46" t="s">
        <v>1457</v>
      </c>
      <c r="F46" t="s">
        <v>1458</v>
      </c>
      <c r="G46" t="s">
        <v>1459</v>
      </c>
      <c r="I46" t="s">
        <v>1406</v>
      </c>
      <c r="J46" t="s">
        <v>203</v>
      </c>
      <c r="K46" t="s">
        <v>1407</v>
      </c>
      <c r="L46">
        <v>20</v>
      </c>
      <c r="O46" t="s">
        <v>1460</v>
      </c>
    </row>
    <row r="47" spans="1:15" x14ac:dyDescent="0.2">
      <c r="A47" t="s">
        <v>1461</v>
      </c>
      <c r="B47" t="s">
        <v>1169</v>
      </c>
      <c r="C47" t="s">
        <v>1462</v>
      </c>
      <c r="D47" t="s">
        <v>1463</v>
      </c>
      <c r="E47" t="s">
        <v>1464</v>
      </c>
      <c r="F47" t="s">
        <v>1465</v>
      </c>
      <c r="G47" t="s">
        <v>1466</v>
      </c>
      <c r="I47" t="s">
        <v>1467</v>
      </c>
      <c r="J47" t="s">
        <v>190</v>
      </c>
      <c r="K47" t="s">
        <v>1468</v>
      </c>
      <c r="O47" t="s">
        <v>1460</v>
      </c>
    </row>
    <row r="48" spans="1:15" x14ac:dyDescent="0.2">
      <c r="A48" t="s">
        <v>1469</v>
      </c>
      <c r="B48" t="s">
        <v>1169</v>
      </c>
      <c r="C48" t="s">
        <v>1470</v>
      </c>
      <c r="D48" t="s">
        <v>1471</v>
      </c>
      <c r="E48" t="s">
        <v>1472</v>
      </c>
      <c r="F48" t="s">
        <v>1473</v>
      </c>
      <c r="G48" t="s">
        <v>1474</v>
      </c>
      <c r="I48" t="s">
        <v>1155</v>
      </c>
      <c r="J48" t="s">
        <v>209</v>
      </c>
      <c r="K48" t="s">
        <v>1468</v>
      </c>
      <c r="O48" t="s">
        <v>1291</v>
      </c>
    </row>
    <row r="49" spans="1:15" x14ac:dyDescent="0.2">
      <c r="A49" t="s">
        <v>1475</v>
      </c>
      <c r="B49" t="s">
        <v>1169</v>
      </c>
      <c r="C49" t="s">
        <v>1476</v>
      </c>
      <c r="D49" t="s">
        <v>1477</v>
      </c>
      <c r="E49" t="s">
        <v>1478</v>
      </c>
      <c r="F49" t="s">
        <v>1479</v>
      </c>
      <c r="G49" t="s">
        <v>1480</v>
      </c>
      <c r="I49" t="s">
        <v>1481</v>
      </c>
      <c r="J49" t="s">
        <v>209</v>
      </c>
      <c r="K49" t="s">
        <v>1468</v>
      </c>
      <c r="O49" t="s">
        <v>1460</v>
      </c>
    </row>
    <row r="50" spans="1:15" x14ac:dyDescent="0.2">
      <c r="A50" t="s">
        <v>1482</v>
      </c>
      <c r="B50" t="s">
        <v>1169</v>
      </c>
      <c r="C50" t="s">
        <v>1483</v>
      </c>
      <c r="D50" t="s">
        <v>1484</v>
      </c>
      <c r="E50" t="s">
        <v>1485</v>
      </c>
      <c r="F50" t="s">
        <v>1486</v>
      </c>
      <c r="G50" t="s">
        <v>1487</v>
      </c>
      <c r="I50" t="s">
        <v>1488</v>
      </c>
      <c r="J50" t="s">
        <v>209</v>
      </c>
      <c r="K50" t="s">
        <v>1468</v>
      </c>
      <c r="O50" t="s">
        <v>1489</v>
      </c>
    </row>
    <row r="51" spans="1:15" x14ac:dyDescent="0.2">
      <c r="A51" t="s">
        <v>1490</v>
      </c>
      <c r="B51" t="s">
        <v>1169</v>
      </c>
      <c r="C51" t="s">
        <v>1491</v>
      </c>
      <c r="D51" t="s">
        <v>1492</v>
      </c>
      <c r="E51" t="s">
        <v>1493</v>
      </c>
      <c r="F51" t="s">
        <v>1417</v>
      </c>
      <c r="G51" t="s">
        <v>1494</v>
      </c>
      <c r="H51" t="s">
        <v>1495</v>
      </c>
      <c r="I51" t="s">
        <v>1333</v>
      </c>
      <c r="J51" t="s">
        <v>203</v>
      </c>
      <c r="K51" t="s">
        <v>1281</v>
      </c>
      <c r="N51" t="s">
        <v>1496</v>
      </c>
      <c r="O51" t="s">
        <v>1421</v>
      </c>
    </row>
    <row r="52" spans="1:15" x14ac:dyDescent="0.2">
      <c r="A52" t="s">
        <v>1497</v>
      </c>
      <c r="B52" t="s">
        <v>1169</v>
      </c>
      <c r="C52" t="s">
        <v>1498</v>
      </c>
      <c r="D52" t="s">
        <v>1492</v>
      </c>
      <c r="E52" t="s">
        <v>1431</v>
      </c>
      <c r="F52" t="s">
        <v>1417</v>
      </c>
      <c r="G52" t="s">
        <v>1499</v>
      </c>
      <c r="H52" t="s">
        <v>1500</v>
      </c>
      <c r="I52" t="s">
        <v>1333</v>
      </c>
      <c r="J52" t="s">
        <v>203</v>
      </c>
      <c r="K52" t="s">
        <v>1281</v>
      </c>
      <c r="N52" t="s">
        <v>1501</v>
      </c>
      <c r="O52" t="s">
        <v>1421</v>
      </c>
    </row>
    <row r="53" spans="1:15" x14ac:dyDescent="0.2">
      <c r="A53" t="s">
        <v>1502</v>
      </c>
      <c r="B53" t="s">
        <v>1169</v>
      </c>
      <c r="C53" t="s">
        <v>1503</v>
      </c>
      <c r="D53" t="s">
        <v>1504</v>
      </c>
      <c r="E53" t="s">
        <v>1505</v>
      </c>
      <c r="F53" t="s">
        <v>1506</v>
      </c>
      <c r="G53" t="s">
        <v>1507</v>
      </c>
      <c r="H53" t="s">
        <v>1508</v>
      </c>
      <c r="I53" t="s">
        <v>1155</v>
      </c>
      <c r="J53" t="s">
        <v>203</v>
      </c>
      <c r="K53" t="s">
        <v>1468</v>
      </c>
      <c r="O53" t="s">
        <v>1167</v>
      </c>
    </row>
    <row r="54" spans="1:15" x14ac:dyDescent="0.2">
      <c r="A54" t="s">
        <v>1509</v>
      </c>
      <c r="B54" t="s">
        <v>1169</v>
      </c>
      <c r="C54" t="s">
        <v>1510</v>
      </c>
      <c r="D54" t="s">
        <v>1511</v>
      </c>
      <c r="E54" t="s">
        <v>401</v>
      </c>
      <c r="F54" t="s">
        <v>1173</v>
      </c>
      <c r="G54" t="s">
        <v>1512</v>
      </c>
      <c r="H54" t="s">
        <v>1513</v>
      </c>
      <c r="I54" t="s">
        <v>1155</v>
      </c>
      <c r="J54" t="s">
        <v>203</v>
      </c>
      <c r="K54" t="s">
        <v>1407</v>
      </c>
      <c r="L54">
        <v>300</v>
      </c>
      <c r="O54" t="s">
        <v>1178</v>
      </c>
    </row>
    <row r="55" spans="1:15" x14ac:dyDescent="0.2">
      <c r="A55" t="s">
        <v>1514</v>
      </c>
      <c r="B55" t="s">
        <v>1169</v>
      </c>
      <c r="C55" t="s">
        <v>1515</v>
      </c>
      <c r="D55" t="s">
        <v>1516</v>
      </c>
      <c r="E55" t="s">
        <v>1517</v>
      </c>
      <c r="F55" t="s">
        <v>1518</v>
      </c>
      <c r="G55" t="s">
        <v>1519</v>
      </c>
      <c r="H55" t="s">
        <v>1520</v>
      </c>
      <c r="I55" t="s">
        <v>1521</v>
      </c>
      <c r="J55" t="s">
        <v>203</v>
      </c>
      <c r="K55" t="s">
        <v>1468</v>
      </c>
      <c r="O55" t="s">
        <v>1167</v>
      </c>
    </row>
    <row r="56" spans="1:15" x14ac:dyDescent="0.2">
      <c r="A56" t="s">
        <v>1522</v>
      </c>
      <c r="B56" t="s">
        <v>1169</v>
      </c>
      <c r="C56" t="s">
        <v>1523</v>
      </c>
      <c r="D56" t="s">
        <v>1524</v>
      </c>
      <c r="E56" t="s">
        <v>1525</v>
      </c>
      <c r="F56" t="s">
        <v>1526</v>
      </c>
      <c r="G56" t="s">
        <v>1527</v>
      </c>
      <c r="H56" t="s">
        <v>1528</v>
      </c>
      <c r="I56" t="s">
        <v>1529</v>
      </c>
      <c r="J56" t="s">
        <v>209</v>
      </c>
      <c r="K56" t="s">
        <v>1468</v>
      </c>
      <c r="O56" t="s">
        <v>1167</v>
      </c>
    </row>
    <row r="57" spans="1:15" x14ac:dyDescent="0.2">
      <c r="A57" t="s">
        <v>1530</v>
      </c>
      <c r="B57" t="s">
        <v>1169</v>
      </c>
      <c r="C57" t="s">
        <v>1531</v>
      </c>
      <c r="D57" t="s">
        <v>1532</v>
      </c>
      <c r="E57" t="s">
        <v>1533</v>
      </c>
      <c r="F57" t="s">
        <v>1534</v>
      </c>
      <c r="G57" t="s">
        <v>1535</v>
      </c>
      <c r="H57" t="s">
        <v>1536</v>
      </c>
      <c r="I57" t="s">
        <v>1537</v>
      </c>
      <c r="J57" t="s">
        <v>203</v>
      </c>
      <c r="K57" t="s">
        <v>1468</v>
      </c>
      <c r="O57" t="s">
        <v>1167</v>
      </c>
    </row>
    <row r="58" spans="1:15" x14ac:dyDescent="0.2">
      <c r="A58" t="s">
        <v>1538</v>
      </c>
      <c r="B58" t="s">
        <v>1169</v>
      </c>
      <c r="C58" t="s">
        <v>1539</v>
      </c>
      <c r="D58" t="s">
        <v>1540</v>
      </c>
      <c r="E58" t="s">
        <v>1541</v>
      </c>
      <c r="F58" t="s">
        <v>1417</v>
      </c>
      <c r="G58" t="s">
        <v>1542</v>
      </c>
      <c r="H58" t="s">
        <v>1543</v>
      </c>
      <c r="I58" t="s">
        <v>1544</v>
      </c>
      <c r="J58" t="s">
        <v>203</v>
      </c>
      <c r="K58" t="s">
        <v>1468</v>
      </c>
      <c r="N58" t="s">
        <v>1545</v>
      </c>
      <c r="O58" t="s">
        <v>1421</v>
      </c>
    </row>
  </sheetData>
  <dataValidations count="4">
    <dataValidation type="list" allowBlank="1" prompt="Select" sqref="B2:B600" xr:uid="{00000000-0002-0000-0300-000000000000}">
      <formula1>"Map,Photograph,Census or roll,Report,Newspaper,Letter,Memoir,Postcard,Administrative,Legal claim,Secondary,Web compilation,Other"</formula1>
      <formula2>0</formula2>
    </dataValidation>
    <dataValidation type="list" allowBlank="1" prompt="Select" sqref="I2:I600" xr:uid="{00000000-0002-0000-0300-000001000000}">
      <formula1>"US official,Panamanian,Caribbean community,Mixed"</formula1>
      <formula2>0</formula2>
    </dataValidation>
    <dataValidation type="list" allowBlank="1" prompt="Select" sqref="J2:J600" xr:uid="{00000000-0002-0000-0300-000002000000}">
      <formula1>"High,Medium,Low"</formula1>
      <formula2>0</formula2>
    </dataValidation>
    <dataValidation type="list" allowBlank="1" prompt="Select" sqref="K2:K600" xr:uid="{00000000-0002-0000-0300-000003000000}">
      <formula1>"Y,N,NA"</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U3029"/>
  <sheetViews>
    <sheetView tabSelected="1" zoomScaleNormal="100" workbookViewId="0">
      <pane xSplit="3" ySplit="1" topLeftCell="H2" activePane="bottomRight" state="frozen"/>
      <selection pane="topRight" activeCell="D1" sqref="D1"/>
      <selection pane="bottomLeft" activeCell="A2" sqref="A2"/>
      <selection pane="bottomRight" activeCell="O1" sqref="O1:P1048576"/>
    </sheetView>
  </sheetViews>
  <sheetFormatPr baseColWidth="10" defaultColWidth="8.6640625" defaultRowHeight="15" x14ac:dyDescent="0.2"/>
  <cols>
    <col min="1" max="1" width="12" customWidth="1"/>
    <col min="2" max="3" width="11" customWidth="1"/>
    <col min="4" max="4" width="17" customWidth="1"/>
    <col min="5" max="5" width="18" customWidth="1"/>
    <col min="6" max="8" width="8" customWidth="1"/>
    <col min="9" max="9" width="20" customWidth="1"/>
    <col min="10" max="10" width="13" customWidth="1"/>
    <col min="11" max="12" width="11" customWidth="1"/>
    <col min="13" max="13" width="12" customWidth="1"/>
    <col min="14" max="14" width="10" customWidth="1"/>
    <col min="15" max="15" width="13" hidden="1" customWidth="1"/>
    <col min="16" max="16" width="32" hidden="1" customWidth="1"/>
    <col min="17" max="19" width="13" customWidth="1"/>
    <col min="20" max="20" width="12.33203125" customWidth="1"/>
    <col min="21" max="21" width="14.83203125" customWidth="1"/>
  </cols>
  <sheetData>
    <row r="1" spans="1:21" ht="33.75" customHeight="1" x14ac:dyDescent="0.2">
      <c r="A1" s="1" t="s">
        <v>1546</v>
      </c>
      <c r="B1" s="1" t="s">
        <v>1547</v>
      </c>
      <c r="C1" s="1" t="s">
        <v>1548</v>
      </c>
      <c r="D1" s="1" t="s">
        <v>1549</v>
      </c>
      <c r="E1" s="1" t="s">
        <v>1550</v>
      </c>
      <c r="F1" s="1" t="s">
        <v>1551</v>
      </c>
      <c r="G1" s="1" t="s">
        <v>1552</v>
      </c>
      <c r="H1" s="1" t="s">
        <v>1553</v>
      </c>
      <c r="I1" s="1" t="s">
        <v>1554</v>
      </c>
      <c r="J1" s="1" t="s">
        <v>1555</v>
      </c>
      <c r="K1" s="1" t="s">
        <v>1556</v>
      </c>
      <c r="L1" s="1" t="s">
        <v>1557</v>
      </c>
      <c r="M1" s="1" t="s">
        <v>1558</v>
      </c>
      <c r="N1" s="1" t="s">
        <v>1559</v>
      </c>
      <c r="O1" s="1"/>
      <c r="P1" s="1"/>
      <c r="Q1" s="1" t="s">
        <v>1560</v>
      </c>
      <c r="R1" s="1" t="s">
        <v>1561</v>
      </c>
      <c r="S1" s="1" t="s">
        <v>1562</v>
      </c>
      <c r="T1" s="1" t="s">
        <v>5691</v>
      </c>
      <c r="U1" s="19" t="s">
        <v>5694</v>
      </c>
    </row>
    <row r="2" spans="1:21" ht="15" customHeight="1" x14ac:dyDescent="0.2">
      <c r="A2" s="4" t="s">
        <v>1563</v>
      </c>
      <c r="B2" s="4" t="s">
        <v>199</v>
      </c>
      <c r="C2" s="4" t="s">
        <v>1128</v>
      </c>
      <c r="D2" s="4" t="s">
        <v>1564</v>
      </c>
      <c r="E2" s="4" t="s">
        <v>1565</v>
      </c>
      <c r="F2" s="4" t="s">
        <v>1566</v>
      </c>
      <c r="G2" s="4"/>
      <c r="H2" s="4"/>
      <c r="I2" s="4" t="s">
        <v>1058</v>
      </c>
      <c r="J2" s="4"/>
      <c r="K2" s="4"/>
      <c r="L2" s="4"/>
      <c r="M2" s="4" t="s">
        <v>190</v>
      </c>
      <c r="N2" s="4" t="s">
        <v>190</v>
      </c>
      <c r="O2" s="4"/>
      <c r="P2" s="4"/>
      <c r="Q2" s="2" t="str">
        <f>IF($C2="","",IFERROR(VLOOKUP($C2,sources!$A$2:$N$200,2,FALSE()),"?"))</f>
        <v>Web compilation</v>
      </c>
      <c r="R2" s="2" t="str">
        <f t="shared" ref="R2:R65" si="0">IF($Q2="","",IF($Q2="Map","Map",IF(OR($Q2="Photograph",$Q2="Postcard"),"Image",IF(OR($Q2="Census or roll",$Q2="Report",$Q2="Newspaper",$Q2="Letter",$Q2="Memoir",$Q2="Administrative",$Q2="Web compilation"),"Textual",IF($Q2="Legal claim","Legal/admin",IF($Q2="Secondary","Secondary","Other"))))))</f>
        <v>Textual</v>
      </c>
      <c r="S2" s="2" t="str">
        <f>IF($C2="","",IFERROR(VLOOKUP($C2,sources!$A$2:$N$200,9,FALSE()),"?"))</f>
        <v>Mixed</v>
      </c>
      <c r="T2" t="s">
        <v>5692</v>
      </c>
      <c r="U2">
        <f>IF(OR(B2="",C2="",T2="Retracted",LEFT(D2,8)="Negative"),0,IF(COUNTIFS($B$2:B2,B2,$C$2:C2,C2,$D$2:D2,"&lt;&gt;Negative*",$T$2:T2,"&lt;&gt;Retracted")=1,1,0))</f>
        <v>1</v>
      </c>
    </row>
    <row r="3" spans="1:21" ht="15" customHeight="1" x14ac:dyDescent="0.2">
      <c r="A3" s="4" t="s">
        <v>1567</v>
      </c>
      <c r="B3" s="4" t="s">
        <v>199</v>
      </c>
      <c r="C3" s="4" t="s">
        <v>1139</v>
      </c>
      <c r="D3" s="4" t="s">
        <v>1564</v>
      </c>
      <c r="E3" s="4" t="s">
        <v>1568</v>
      </c>
      <c r="F3" s="4" t="s">
        <v>1566</v>
      </c>
      <c r="G3" s="4"/>
      <c r="H3" s="4"/>
      <c r="I3" s="4" t="s">
        <v>1058</v>
      </c>
      <c r="J3" s="4"/>
      <c r="K3" s="4" t="s">
        <v>1569</v>
      </c>
      <c r="L3" s="4" t="s">
        <v>1570</v>
      </c>
      <c r="M3" s="4" t="s">
        <v>209</v>
      </c>
      <c r="N3" s="4" t="s">
        <v>203</v>
      </c>
      <c r="O3" s="4"/>
      <c r="P3" s="4"/>
      <c r="Q3" s="2" t="str">
        <f>IF($C3="","",IFERROR(VLOOKUP($C3,sources!$A$2:$N$200,2,FALSE()),"?"))</f>
        <v>Secondary</v>
      </c>
      <c r="R3" s="2" t="str">
        <f t="shared" si="0"/>
        <v>Secondary</v>
      </c>
      <c r="S3" s="2" t="str">
        <f>IF($C3="","",IFERROR(VLOOKUP($C3,sources!$A$2:$N$200,9,FALSE()),"?"))</f>
        <v>Secondary</v>
      </c>
      <c r="T3" t="s">
        <v>5692</v>
      </c>
      <c r="U3">
        <f>IF(OR(B3="",C3="",T3="Retracted",LEFT(D3,8)="Negative"),0,IF(COUNTIFS($B$2:B3,B3,$C$2:C3,C3,$D$2:D3,"&lt;&gt;Negative*",$T$2:T3,"&lt;&gt;Retracted")=1,1,0))</f>
        <v>1</v>
      </c>
    </row>
    <row r="4" spans="1:21" ht="23.25" customHeight="1" x14ac:dyDescent="0.2">
      <c r="A4" s="4" t="s">
        <v>1571</v>
      </c>
      <c r="B4" s="4" t="s">
        <v>199</v>
      </c>
      <c r="C4" s="4" t="s">
        <v>1179</v>
      </c>
      <c r="D4" s="4" t="s">
        <v>1572</v>
      </c>
      <c r="E4" s="4" t="s">
        <v>200</v>
      </c>
      <c r="F4" s="4" t="s">
        <v>1566</v>
      </c>
      <c r="G4" s="4"/>
      <c r="H4" s="4"/>
      <c r="I4" s="4" t="s">
        <v>1573</v>
      </c>
      <c r="J4" s="4"/>
      <c r="K4" s="4" t="s">
        <v>1181</v>
      </c>
      <c r="L4" s="4" t="s">
        <v>1181</v>
      </c>
      <c r="M4" s="4" t="s">
        <v>209</v>
      </c>
      <c r="N4" s="4" t="s">
        <v>203</v>
      </c>
      <c r="O4" s="4"/>
      <c r="P4" s="4"/>
      <c r="Q4" s="2" t="str">
        <f>IF($C4="","",IFERROR(VLOOKUP($C4,sources!$A$2:$N$200,2,FALSE()),"?"))</f>
        <v>Map</v>
      </c>
      <c r="R4" s="2" t="str">
        <f t="shared" si="0"/>
        <v>Map</v>
      </c>
      <c r="S4" s="2" t="str">
        <f>IF($C4="","",IFERROR(VLOOKUP($C4,sources!$A$2:$N$200,9,FALSE()),"?"))</f>
        <v>US official</v>
      </c>
      <c r="T4" t="s">
        <v>5692</v>
      </c>
      <c r="U4">
        <f>IF(OR(B4="",C4="",T4="Retracted",LEFT(D4,8)="Negative"),0,IF(COUNTIFS($B$2:B4,B4,$C$2:C4,C4,$D$2:D4,"&lt;&gt;Negative*",$T$2:T4,"&lt;&gt;Retracted")=1,1,0))</f>
        <v>1</v>
      </c>
    </row>
    <row r="5" spans="1:21" ht="15" customHeight="1" x14ac:dyDescent="0.2">
      <c r="A5" s="4" t="s">
        <v>1574</v>
      </c>
      <c r="B5" s="4" t="s">
        <v>199</v>
      </c>
      <c r="C5" s="4" t="s">
        <v>1148</v>
      </c>
      <c r="D5" s="4" t="s">
        <v>1575</v>
      </c>
      <c r="E5" s="4" t="s">
        <v>200</v>
      </c>
      <c r="F5" s="4" t="s">
        <v>1566</v>
      </c>
      <c r="G5" s="4"/>
      <c r="H5" s="4"/>
      <c r="I5" s="4" t="s">
        <v>1058</v>
      </c>
      <c r="J5" s="4"/>
      <c r="K5" s="4"/>
      <c r="L5" s="4"/>
      <c r="M5" s="4" t="s">
        <v>209</v>
      </c>
      <c r="N5" s="4" t="s">
        <v>203</v>
      </c>
      <c r="O5" s="4"/>
      <c r="P5" s="4"/>
      <c r="Q5" s="2" t="str">
        <f>IF($C5="","",IFERROR(VLOOKUP($C5,sources!$A$2:$N$200,2,FALSE()),"?"))</f>
        <v>Report</v>
      </c>
      <c r="R5" s="2" t="str">
        <f t="shared" si="0"/>
        <v>Textual</v>
      </c>
      <c r="S5" s="2" t="str">
        <f>IF($C5="","",IFERROR(VLOOKUP($C5,sources!$A$2:$N$200,9,FALSE()),"?"))</f>
        <v>US official</v>
      </c>
      <c r="T5" t="s">
        <v>5692</v>
      </c>
      <c r="U5">
        <f>IF(OR(B5="",C5="",T5="Retracted",LEFT(D5,8)="Negative"),0,IF(COUNTIFS($B$2:B5,B5,$C$2:C5,C5,$D$2:D5,"&lt;&gt;Negative*",$T$2:T5,"&lt;&gt;Retracted")=1,1,0))</f>
        <v>1</v>
      </c>
    </row>
    <row r="6" spans="1:21" ht="15" customHeight="1" x14ac:dyDescent="0.2">
      <c r="A6" s="4" t="s">
        <v>1576</v>
      </c>
      <c r="B6" s="4" t="s">
        <v>219</v>
      </c>
      <c r="C6" s="4" t="s">
        <v>1128</v>
      </c>
      <c r="D6" s="4" t="s">
        <v>1577</v>
      </c>
      <c r="E6" s="4" t="s">
        <v>1578</v>
      </c>
      <c r="F6" s="4" t="s">
        <v>1566</v>
      </c>
      <c r="G6" s="4"/>
      <c r="H6" s="4"/>
      <c r="I6" s="4" t="s">
        <v>1058</v>
      </c>
      <c r="J6" s="4"/>
      <c r="K6" s="4" t="s">
        <v>231</v>
      </c>
      <c r="L6" s="4" t="s">
        <v>231</v>
      </c>
      <c r="M6" s="4" t="s">
        <v>209</v>
      </c>
      <c r="N6" s="4" t="s">
        <v>190</v>
      </c>
      <c r="O6" s="4"/>
      <c r="P6" s="4"/>
      <c r="Q6" s="2" t="str">
        <f>IF($C6="","",IFERROR(VLOOKUP($C6,sources!$A$2:$N$200,2,FALSE()),"?"))</f>
        <v>Web compilation</v>
      </c>
      <c r="R6" s="2" t="str">
        <f t="shared" si="0"/>
        <v>Textual</v>
      </c>
      <c r="S6" s="2" t="str">
        <f>IF($C6="","",IFERROR(VLOOKUP($C6,sources!$A$2:$N$200,9,FALSE()),"?"))</f>
        <v>Mixed</v>
      </c>
      <c r="T6" t="s">
        <v>5692</v>
      </c>
      <c r="U6">
        <f>IF(OR(B6="",C6="",T6="Retracted",LEFT(D6,8)="Negative"),0,IF(COUNTIFS($B$2:B6,B6,$C$2:C6,C6,$D$2:D6,"&lt;&gt;Negative*",$T$2:T6,"&lt;&gt;Retracted")=1,1,0))</f>
        <v>1</v>
      </c>
    </row>
    <row r="7" spans="1:21" ht="23.25" customHeight="1" x14ac:dyDescent="0.2">
      <c r="A7" s="4" t="s">
        <v>1579</v>
      </c>
      <c r="B7" s="4" t="s">
        <v>219</v>
      </c>
      <c r="C7" s="4" t="s">
        <v>1179</v>
      </c>
      <c r="D7" s="4" t="s">
        <v>1572</v>
      </c>
      <c r="E7" s="4" t="s">
        <v>1580</v>
      </c>
      <c r="F7" s="4" t="s">
        <v>1566</v>
      </c>
      <c r="G7" s="4"/>
      <c r="H7" s="4"/>
      <c r="I7" s="4" t="s">
        <v>1573</v>
      </c>
      <c r="J7" s="4"/>
      <c r="K7" s="4" t="s">
        <v>231</v>
      </c>
      <c r="L7" s="4" t="s">
        <v>231</v>
      </c>
      <c r="M7" s="4" t="s">
        <v>209</v>
      </c>
      <c r="N7" s="4" t="s">
        <v>209</v>
      </c>
      <c r="O7" s="4"/>
      <c r="P7" s="4"/>
      <c r="Q7" s="2" t="str">
        <f>IF($C7="","",IFERROR(VLOOKUP($C7,sources!$A$2:$N$200,2,FALSE()),"?"))</f>
        <v>Map</v>
      </c>
      <c r="R7" s="2" t="str">
        <f t="shared" si="0"/>
        <v>Map</v>
      </c>
      <c r="S7" s="2" t="str">
        <f>IF($C7="","",IFERROR(VLOOKUP($C7,sources!$A$2:$N$200,9,FALSE()),"?"))</f>
        <v>US official</v>
      </c>
      <c r="T7" t="s">
        <v>5692</v>
      </c>
      <c r="U7">
        <f>IF(OR(B7="",C7="",T7="Retracted",LEFT(D7,8)="Negative"),0,IF(COUNTIFS($B$2:B7,B7,$C$2:C7,C7,$D$2:D7,"&lt;&gt;Negative*",$T$2:T7,"&lt;&gt;Retracted")=1,1,0))</f>
        <v>1</v>
      </c>
    </row>
    <row r="8" spans="1:21" ht="15" customHeight="1" x14ac:dyDescent="0.2">
      <c r="A8" s="4" t="s">
        <v>1581</v>
      </c>
      <c r="B8" s="4" t="s">
        <v>219</v>
      </c>
      <c r="C8" s="4" t="s">
        <v>1139</v>
      </c>
      <c r="D8" s="4" t="s">
        <v>1575</v>
      </c>
      <c r="E8" s="4" t="s">
        <v>1580</v>
      </c>
      <c r="F8" s="4" t="s">
        <v>1566</v>
      </c>
      <c r="G8" s="4"/>
      <c r="H8" s="4"/>
      <c r="I8" s="4" t="s">
        <v>1058</v>
      </c>
      <c r="J8" s="4"/>
      <c r="K8" s="4"/>
      <c r="L8" s="4"/>
      <c r="M8" s="4" t="s">
        <v>209</v>
      </c>
      <c r="N8" s="4" t="s">
        <v>203</v>
      </c>
      <c r="O8" s="4"/>
      <c r="P8" s="4"/>
      <c r="Q8" s="2" t="str">
        <f>IF($C8="","",IFERROR(VLOOKUP($C8,sources!$A$2:$N$200,2,FALSE()),"?"))</f>
        <v>Secondary</v>
      </c>
      <c r="R8" s="2" t="str">
        <f t="shared" si="0"/>
        <v>Secondary</v>
      </c>
      <c r="S8" s="2" t="str">
        <f>IF($C8="","",IFERROR(VLOOKUP($C8,sources!$A$2:$N$200,9,FALSE()),"?"))</f>
        <v>Secondary</v>
      </c>
      <c r="T8" t="s">
        <v>5692</v>
      </c>
      <c r="U8">
        <f>IF(OR(B8="",C8="",T8="Retracted",LEFT(D8,8)="Negative"),0,IF(COUNTIFS($B$2:B8,B8,$C$2:C8,C8,$D$2:D8,"&lt;&gt;Negative*",$T$2:T8,"&lt;&gt;Retracted")=1,1,0))</f>
        <v>1</v>
      </c>
    </row>
    <row r="9" spans="1:21" ht="15" customHeight="1" x14ac:dyDescent="0.2">
      <c r="A9" s="4" t="s">
        <v>1582</v>
      </c>
      <c r="B9" s="4" t="s">
        <v>226</v>
      </c>
      <c r="C9" s="4" t="s">
        <v>1148</v>
      </c>
      <c r="D9" s="4" t="s">
        <v>1575</v>
      </c>
      <c r="E9" s="4" t="s">
        <v>227</v>
      </c>
      <c r="F9" s="4" t="s">
        <v>1583</v>
      </c>
      <c r="G9" s="4"/>
      <c r="H9" s="4"/>
      <c r="I9" s="4" t="s">
        <v>1058</v>
      </c>
      <c r="J9" s="4"/>
      <c r="K9" s="4" t="s">
        <v>231</v>
      </c>
      <c r="L9" s="4"/>
      <c r="M9" s="4" t="s">
        <v>209</v>
      </c>
      <c r="N9" s="4" t="s">
        <v>203</v>
      </c>
      <c r="O9" s="4"/>
      <c r="P9" s="4"/>
      <c r="Q9" s="2" t="str">
        <f>IF($C9="","",IFERROR(VLOOKUP($C9,sources!$A$2:$N$200,2,FALSE()),"?"))</f>
        <v>Report</v>
      </c>
      <c r="R9" s="2" t="str">
        <f t="shared" si="0"/>
        <v>Textual</v>
      </c>
      <c r="S9" s="2" t="str">
        <f>IF($C9="","",IFERROR(VLOOKUP($C9,sources!$A$2:$N$200,9,FALSE()),"?"))</f>
        <v>US official</v>
      </c>
      <c r="T9" t="s">
        <v>5692</v>
      </c>
      <c r="U9">
        <f>IF(OR(B9="",C9="",T9="Retracted",LEFT(D9,8)="Negative"),0,IF(COUNTIFS($B$2:B9,B9,$C$2:C9,C9,$D$2:D9,"&lt;&gt;Negative*",$T$2:T9,"&lt;&gt;Retracted")=1,1,0))</f>
        <v>1</v>
      </c>
    </row>
    <row r="10" spans="1:21" ht="23.25" customHeight="1" x14ac:dyDescent="0.2">
      <c r="A10" s="4" t="s">
        <v>1584</v>
      </c>
      <c r="B10" s="4" t="s">
        <v>226</v>
      </c>
      <c r="C10" s="4" t="s">
        <v>1168</v>
      </c>
      <c r="D10" s="4" t="s">
        <v>1572</v>
      </c>
      <c r="E10" s="4" t="s">
        <v>1580</v>
      </c>
      <c r="F10" s="4" t="s">
        <v>1583</v>
      </c>
      <c r="G10" s="4"/>
      <c r="H10" s="4"/>
      <c r="I10" s="4" t="s">
        <v>1573</v>
      </c>
      <c r="J10" s="4"/>
      <c r="K10" s="4" t="s">
        <v>1172</v>
      </c>
      <c r="L10" s="4" t="s">
        <v>1172</v>
      </c>
      <c r="M10" s="4" t="s">
        <v>209</v>
      </c>
      <c r="N10" s="4" t="s">
        <v>203</v>
      </c>
      <c r="O10" s="4"/>
      <c r="P10" s="4"/>
      <c r="Q10" s="2" t="str">
        <f>IF($C10="","",IFERROR(VLOOKUP($C10,sources!$A$2:$N$200,2,FALSE()),"?"))</f>
        <v>Map</v>
      </c>
      <c r="R10" s="2" t="str">
        <f t="shared" si="0"/>
        <v>Map</v>
      </c>
      <c r="S10" s="2" t="str">
        <f>IF($C10="","",IFERROR(VLOOKUP($C10,sources!$A$2:$N$200,9,FALSE()),"?"))</f>
        <v>US official</v>
      </c>
      <c r="T10" t="s">
        <v>5692</v>
      </c>
      <c r="U10">
        <f>IF(OR(B10="",C10="",T10="Retracted",LEFT(D10,8)="Negative"),0,IF(COUNTIFS($B$2:B10,B10,$C$2:C10,C10,$D$2:D10,"&lt;&gt;Negative*",$T$2:T10,"&lt;&gt;Retracted")=1,1,0))</f>
        <v>1</v>
      </c>
    </row>
    <row r="11" spans="1:21" ht="15" customHeight="1" x14ac:dyDescent="0.2">
      <c r="A11" s="4" t="s">
        <v>1585</v>
      </c>
      <c r="B11" s="4" t="s">
        <v>233</v>
      </c>
      <c r="C11" s="4" t="s">
        <v>1148</v>
      </c>
      <c r="D11" s="4" t="s">
        <v>1564</v>
      </c>
      <c r="E11" s="4" t="s">
        <v>234</v>
      </c>
      <c r="F11" s="4" t="s">
        <v>1583</v>
      </c>
      <c r="G11" s="4"/>
      <c r="H11" s="4"/>
      <c r="I11" s="4" t="s">
        <v>1058</v>
      </c>
      <c r="J11" s="4"/>
      <c r="K11" s="4" t="s">
        <v>283</v>
      </c>
      <c r="L11" s="4" t="s">
        <v>273</v>
      </c>
      <c r="M11" s="4" t="s">
        <v>203</v>
      </c>
      <c r="N11" s="4" t="s">
        <v>203</v>
      </c>
      <c r="O11" s="4"/>
      <c r="P11" s="4"/>
      <c r="Q11" s="2" t="str">
        <f>IF($C11="","",IFERROR(VLOOKUP($C11,sources!$A$2:$N$200,2,FALSE()),"?"))</f>
        <v>Report</v>
      </c>
      <c r="R11" s="2" t="str">
        <f t="shared" si="0"/>
        <v>Textual</v>
      </c>
      <c r="S11" s="2" t="str">
        <f>IF($C11="","",IFERROR(VLOOKUP($C11,sources!$A$2:$N$200,9,FALSE()),"?"))</f>
        <v>US official</v>
      </c>
      <c r="T11" t="s">
        <v>5692</v>
      </c>
      <c r="U11">
        <f>IF(OR(B11="",C11="",T11="Retracted",LEFT(D11,8)="Negative"),0,IF(COUNTIFS($B$2:B11,B11,$C$2:C11,C11,$D$2:D11,"&lt;&gt;Negative*",$T$2:T11,"&lt;&gt;Retracted")=1,1,0))</f>
        <v>1</v>
      </c>
    </row>
    <row r="12" spans="1:21" ht="15" customHeight="1" x14ac:dyDescent="0.2">
      <c r="A12" s="4" t="s">
        <v>1586</v>
      </c>
      <c r="B12" s="4" t="s">
        <v>233</v>
      </c>
      <c r="C12" s="4" t="s">
        <v>1139</v>
      </c>
      <c r="D12" s="4" t="s">
        <v>1564</v>
      </c>
      <c r="E12" s="4" t="s">
        <v>305</v>
      </c>
      <c r="F12" s="4" t="s">
        <v>1566</v>
      </c>
      <c r="G12" s="4"/>
      <c r="H12" s="4"/>
      <c r="I12" s="4" t="s">
        <v>1058</v>
      </c>
      <c r="J12" s="4"/>
      <c r="K12" s="4"/>
      <c r="L12" s="4"/>
      <c r="M12" s="4" t="s">
        <v>209</v>
      </c>
      <c r="N12" s="4" t="s">
        <v>203</v>
      </c>
      <c r="O12" s="4"/>
      <c r="P12" s="4"/>
      <c r="Q12" s="2" t="str">
        <f>IF($C12="","",IFERROR(VLOOKUP($C12,sources!$A$2:$N$200,2,FALSE()),"?"))</f>
        <v>Secondary</v>
      </c>
      <c r="R12" s="2" t="str">
        <f t="shared" si="0"/>
        <v>Secondary</v>
      </c>
      <c r="S12" s="2" t="str">
        <f>IF($C12="","",IFERROR(VLOOKUP($C12,sources!$A$2:$N$200,9,FALSE()),"?"))</f>
        <v>Secondary</v>
      </c>
      <c r="T12" t="s">
        <v>5692</v>
      </c>
      <c r="U12">
        <f>IF(OR(B12="",C12="",T12="Retracted",LEFT(D12,8)="Negative"),0,IF(COUNTIFS($B$2:B12,B12,$C$2:C12,C12,$D$2:D12,"&lt;&gt;Negative*",$T$2:T12,"&lt;&gt;Retracted")=1,1,0))</f>
        <v>1</v>
      </c>
    </row>
    <row r="13" spans="1:21" ht="15" customHeight="1" x14ac:dyDescent="0.2">
      <c r="A13" s="4" t="s">
        <v>1587</v>
      </c>
      <c r="B13" s="4" t="s">
        <v>233</v>
      </c>
      <c r="C13" s="4" t="s">
        <v>1139</v>
      </c>
      <c r="D13" s="4" t="s">
        <v>1577</v>
      </c>
      <c r="E13" s="4" t="s">
        <v>234</v>
      </c>
      <c r="F13" s="4" t="s">
        <v>1583</v>
      </c>
      <c r="G13" s="4"/>
      <c r="H13" s="4"/>
      <c r="I13" s="4" t="s">
        <v>1058</v>
      </c>
      <c r="J13" s="4"/>
      <c r="K13" s="4" t="s">
        <v>342</v>
      </c>
      <c r="L13" s="4" t="s">
        <v>273</v>
      </c>
      <c r="M13" s="4" t="s">
        <v>209</v>
      </c>
      <c r="N13" s="4" t="s">
        <v>203</v>
      </c>
      <c r="O13" s="4"/>
      <c r="P13" s="4"/>
      <c r="Q13" s="2" t="str">
        <f>IF($C13="","",IFERROR(VLOOKUP($C13,sources!$A$2:$N$200,2,FALSE()),"?"))</f>
        <v>Secondary</v>
      </c>
      <c r="R13" s="2" t="str">
        <f t="shared" si="0"/>
        <v>Secondary</v>
      </c>
      <c r="S13" s="2" t="str">
        <f>IF($C13="","",IFERROR(VLOOKUP($C13,sources!$A$2:$N$200,9,FALSE()),"?"))</f>
        <v>Secondary</v>
      </c>
      <c r="T13" t="s">
        <v>5692</v>
      </c>
      <c r="U13">
        <f>IF(OR(B13="",C13="",T13="Retracted",LEFT(D13,8)="Negative"),0,IF(COUNTIFS($B$2:B13,B13,$C$2:C13,C13,$D$2:D13,"&lt;&gt;Negative*",$T$2:T13,"&lt;&gt;Retracted")=1,1,0))</f>
        <v>0</v>
      </c>
    </row>
    <row r="14" spans="1:21" ht="23.25" customHeight="1" x14ac:dyDescent="0.2">
      <c r="A14" s="4" t="s">
        <v>1588</v>
      </c>
      <c r="B14" s="4" t="s">
        <v>233</v>
      </c>
      <c r="C14" s="4" t="s">
        <v>1168</v>
      </c>
      <c r="D14" s="4" t="s">
        <v>1572</v>
      </c>
      <c r="E14" s="4" t="s">
        <v>234</v>
      </c>
      <c r="F14" s="4" t="s">
        <v>1583</v>
      </c>
      <c r="G14" s="4"/>
      <c r="H14" s="4"/>
      <c r="I14" s="4" t="s">
        <v>1573</v>
      </c>
      <c r="J14" s="4"/>
      <c r="K14" s="4" t="s">
        <v>1172</v>
      </c>
      <c r="L14" s="4" t="s">
        <v>1172</v>
      </c>
      <c r="M14" s="4" t="s">
        <v>209</v>
      </c>
      <c r="N14" s="4" t="s">
        <v>203</v>
      </c>
      <c r="O14" s="4"/>
      <c r="P14" s="4"/>
      <c r="Q14" s="2" t="str">
        <f>IF($C14="","",IFERROR(VLOOKUP($C14,sources!$A$2:$N$200,2,FALSE()),"?"))</f>
        <v>Map</v>
      </c>
      <c r="R14" s="2" t="str">
        <f t="shared" si="0"/>
        <v>Map</v>
      </c>
      <c r="S14" s="2" t="str">
        <f>IF($C14="","",IFERROR(VLOOKUP($C14,sources!$A$2:$N$200,9,FALSE()),"?"))</f>
        <v>US official</v>
      </c>
      <c r="T14" t="s">
        <v>5692</v>
      </c>
      <c r="U14">
        <f>IF(OR(B14="",C14="",T14="Retracted",LEFT(D14,8)="Negative"),0,IF(COUNTIFS($B$2:B14,B14,$C$2:C14,C14,$D$2:D14,"&lt;&gt;Negative*",$T$2:T14,"&lt;&gt;Retracted")=1,1,0))</f>
        <v>1</v>
      </c>
    </row>
    <row r="15" spans="1:21" ht="21.75" customHeight="1" x14ac:dyDescent="0.2">
      <c r="A15" s="4" t="s">
        <v>1589</v>
      </c>
      <c r="B15" s="4" t="s">
        <v>233</v>
      </c>
      <c r="C15" s="4" t="s">
        <v>1194</v>
      </c>
      <c r="D15" s="4" t="s">
        <v>1575</v>
      </c>
      <c r="E15" s="4" t="s">
        <v>234</v>
      </c>
      <c r="F15" s="4" t="s">
        <v>1583</v>
      </c>
      <c r="G15" s="4"/>
      <c r="H15" s="4"/>
      <c r="I15" s="4" t="s">
        <v>1058</v>
      </c>
      <c r="J15" s="4"/>
      <c r="K15" s="4" t="s">
        <v>283</v>
      </c>
      <c r="L15" s="4" t="s">
        <v>273</v>
      </c>
      <c r="M15" s="4" t="s">
        <v>190</v>
      </c>
      <c r="N15" s="4" t="s">
        <v>209</v>
      </c>
      <c r="O15" s="4"/>
      <c r="P15" s="4"/>
      <c r="Q15" s="2" t="str">
        <f>IF($C15="","",IFERROR(VLOOKUP($C15,sources!$A$2:$N$200,2,FALSE()),"?"))</f>
        <v>Administrative</v>
      </c>
      <c r="R15" s="2" t="str">
        <f t="shared" si="0"/>
        <v>Textual</v>
      </c>
      <c r="S15" s="2" t="str">
        <f>IF($C15="","",IFERROR(VLOOKUP($C15,sources!$A$2:$N$200,9,FALSE()),"?"))</f>
        <v>Caribbean community</v>
      </c>
      <c r="T15" t="s">
        <v>5692</v>
      </c>
      <c r="U15">
        <f>IF(OR(B15="",C15="",T15="Retracted",LEFT(D15,8)="Negative"),0,IF(COUNTIFS($B$2:B15,B15,$C$2:C15,C15,$D$2:D15,"&lt;&gt;Negative*",$T$2:T15,"&lt;&gt;Retracted")=1,1,0))</f>
        <v>1</v>
      </c>
    </row>
    <row r="16" spans="1:21" ht="15" customHeight="1" x14ac:dyDescent="0.2">
      <c r="A16" s="4" t="s">
        <v>1590</v>
      </c>
      <c r="B16" s="4" t="s">
        <v>242</v>
      </c>
      <c r="C16" s="4" t="s">
        <v>1148</v>
      </c>
      <c r="D16" s="4" t="s">
        <v>1564</v>
      </c>
      <c r="E16" s="4" t="s">
        <v>243</v>
      </c>
      <c r="F16" s="4" t="s">
        <v>1566</v>
      </c>
      <c r="G16" s="4"/>
      <c r="H16" s="4"/>
      <c r="I16" s="4" t="s">
        <v>1058</v>
      </c>
      <c r="J16" s="4"/>
      <c r="K16" s="4" t="s">
        <v>283</v>
      </c>
      <c r="L16" s="4" t="s">
        <v>1591</v>
      </c>
      <c r="M16" s="4" t="s">
        <v>203</v>
      </c>
      <c r="N16" s="4" t="s">
        <v>203</v>
      </c>
      <c r="O16" s="4"/>
      <c r="P16" s="4"/>
      <c r="Q16" s="2" t="str">
        <f>IF($C16="","",IFERROR(VLOOKUP($C16,sources!$A$2:$N$200,2,FALSE()),"?"))</f>
        <v>Report</v>
      </c>
      <c r="R16" s="2" t="str">
        <f t="shared" si="0"/>
        <v>Textual</v>
      </c>
      <c r="S16" s="2" t="str">
        <f>IF($C16="","",IFERROR(VLOOKUP($C16,sources!$A$2:$N$200,9,FALSE()),"?"))</f>
        <v>US official</v>
      </c>
      <c r="T16" t="s">
        <v>5692</v>
      </c>
      <c r="U16">
        <f>IF(OR(B16="",C16="",T16="Retracted",LEFT(D16,8)="Negative"),0,IF(COUNTIFS($B$2:B16,B16,$C$2:C16,C16,$D$2:D16,"&lt;&gt;Negative*",$T$2:T16,"&lt;&gt;Retracted")=1,1,0))</f>
        <v>1</v>
      </c>
    </row>
    <row r="17" spans="1:21" ht="15" customHeight="1" x14ac:dyDescent="0.2">
      <c r="A17" s="4" t="s">
        <v>1592</v>
      </c>
      <c r="B17" s="4" t="s">
        <v>242</v>
      </c>
      <c r="C17" s="4" t="s">
        <v>1139</v>
      </c>
      <c r="D17" s="4" t="s">
        <v>1577</v>
      </c>
      <c r="E17" s="4" t="s">
        <v>243</v>
      </c>
      <c r="F17" s="4" t="s">
        <v>1566</v>
      </c>
      <c r="G17" s="4"/>
      <c r="H17" s="4"/>
      <c r="I17" s="4" t="s">
        <v>1058</v>
      </c>
      <c r="J17" s="4"/>
      <c r="K17" s="4" t="s">
        <v>342</v>
      </c>
      <c r="L17" s="4" t="s">
        <v>1591</v>
      </c>
      <c r="M17" s="4" t="s">
        <v>209</v>
      </c>
      <c r="N17" s="4" t="s">
        <v>203</v>
      </c>
      <c r="O17" s="4"/>
      <c r="P17" s="4"/>
      <c r="Q17" s="2" t="str">
        <f>IF($C17="","",IFERROR(VLOOKUP($C17,sources!$A$2:$N$200,2,FALSE()),"?"))</f>
        <v>Secondary</v>
      </c>
      <c r="R17" s="2" t="str">
        <f t="shared" si="0"/>
        <v>Secondary</v>
      </c>
      <c r="S17" s="2" t="str">
        <f>IF($C17="","",IFERROR(VLOOKUP($C17,sources!$A$2:$N$200,9,FALSE()),"?"))</f>
        <v>Secondary</v>
      </c>
      <c r="T17" t="s">
        <v>5692</v>
      </c>
      <c r="U17">
        <f>IF(OR(B17="",C17="",T17="Retracted",LEFT(D17,8)="Negative"),0,IF(COUNTIFS($B$2:B17,B17,$C$2:C17,C17,$D$2:D17,"&lt;&gt;Negative*",$T$2:T17,"&lt;&gt;Retracted")=1,1,0))</f>
        <v>1</v>
      </c>
    </row>
    <row r="18" spans="1:21" ht="23.25" customHeight="1" x14ac:dyDescent="0.2">
      <c r="A18" s="4" t="s">
        <v>1593</v>
      </c>
      <c r="B18" s="4" t="s">
        <v>242</v>
      </c>
      <c r="C18" s="4" t="s">
        <v>1179</v>
      </c>
      <c r="D18" s="4" t="s">
        <v>1572</v>
      </c>
      <c r="E18" s="4" t="s">
        <v>243</v>
      </c>
      <c r="F18" s="4" t="s">
        <v>1566</v>
      </c>
      <c r="G18" s="4"/>
      <c r="H18" s="4"/>
      <c r="I18" s="4" t="s">
        <v>1573</v>
      </c>
      <c r="J18" s="4"/>
      <c r="K18" s="4" t="s">
        <v>1181</v>
      </c>
      <c r="L18" s="4" t="s">
        <v>1181</v>
      </c>
      <c r="M18" s="4" t="s">
        <v>209</v>
      </c>
      <c r="N18" s="4" t="s">
        <v>203</v>
      </c>
      <c r="O18" s="4"/>
      <c r="P18" s="4"/>
      <c r="Q18" s="2" t="str">
        <f>IF($C18="","",IFERROR(VLOOKUP($C18,sources!$A$2:$N$200,2,FALSE()),"?"))</f>
        <v>Map</v>
      </c>
      <c r="R18" s="2" t="str">
        <f t="shared" si="0"/>
        <v>Map</v>
      </c>
      <c r="S18" s="2" t="str">
        <f>IF($C18="","",IFERROR(VLOOKUP($C18,sources!$A$2:$N$200,9,FALSE()),"?"))</f>
        <v>US official</v>
      </c>
      <c r="T18" t="s">
        <v>5692</v>
      </c>
      <c r="U18">
        <f>IF(OR(B18="",C18="",T18="Retracted",LEFT(D18,8)="Negative"),0,IF(COUNTIFS($B$2:B18,B18,$C$2:C18,C18,$D$2:D18,"&lt;&gt;Negative*",$T$2:T18,"&lt;&gt;Retracted")=1,1,0))</f>
        <v>1</v>
      </c>
    </row>
    <row r="19" spans="1:21" ht="23.25" customHeight="1" x14ac:dyDescent="0.2">
      <c r="A19" s="4" t="s">
        <v>1594</v>
      </c>
      <c r="B19" s="4" t="s">
        <v>247</v>
      </c>
      <c r="C19" s="4" t="s">
        <v>1179</v>
      </c>
      <c r="D19" s="4" t="s">
        <v>1572</v>
      </c>
      <c r="E19" s="4" t="s">
        <v>248</v>
      </c>
      <c r="F19" s="4" t="s">
        <v>1566</v>
      </c>
      <c r="G19" s="4"/>
      <c r="H19" s="4"/>
      <c r="I19" s="4" t="s">
        <v>1573</v>
      </c>
      <c r="J19" s="4"/>
      <c r="K19" s="4" t="s">
        <v>1181</v>
      </c>
      <c r="L19" s="4" t="s">
        <v>1181</v>
      </c>
      <c r="M19" s="4" t="s">
        <v>209</v>
      </c>
      <c r="N19" s="4" t="s">
        <v>203</v>
      </c>
      <c r="O19" s="4"/>
      <c r="P19" s="4"/>
      <c r="Q19" s="2" t="str">
        <f>IF($C19="","",IFERROR(VLOOKUP($C19,sources!$A$2:$N$200,2,FALSE()),"?"))</f>
        <v>Map</v>
      </c>
      <c r="R19" s="2" t="str">
        <f t="shared" si="0"/>
        <v>Map</v>
      </c>
      <c r="S19" s="2" t="str">
        <f>IF($C19="","",IFERROR(VLOOKUP($C19,sources!$A$2:$N$200,9,FALSE()),"?"))</f>
        <v>US official</v>
      </c>
      <c r="T19" t="s">
        <v>5692</v>
      </c>
      <c r="U19">
        <f>IF(OR(B19="",C19="",T19="Retracted",LEFT(D19,8)="Negative"),0,IF(COUNTIFS($B$2:B19,B19,$C$2:C19,C19,$D$2:D19,"&lt;&gt;Negative*",$T$2:T19,"&lt;&gt;Retracted")=1,1,0))</f>
        <v>1</v>
      </c>
    </row>
    <row r="20" spans="1:21" ht="15" customHeight="1" x14ac:dyDescent="0.2">
      <c r="A20" s="4" t="s">
        <v>1595</v>
      </c>
      <c r="B20" s="4" t="s">
        <v>247</v>
      </c>
      <c r="C20" s="4" t="s">
        <v>1139</v>
      </c>
      <c r="D20" s="4" t="s">
        <v>1575</v>
      </c>
      <c r="E20" s="4" t="s">
        <v>248</v>
      </c>
      <c r="F20" s="4" t="s">
        <v>1566</v>
      </c>
      <c r="G20" s="4"/>
      <c r="H20" s="4"/>
      <c r="I20" s="4" t="s">
        <v>1058</v>
      </c>
      <c r="J20" s="4"/>
      <c r="K20" s="4"/>
      <c r="L20" s="4"/>
      <c r="M20" s="4" t="s">
        <v>209</v>
      </c>
      <c r="N20" s="4" t="s">
        <v>203</v>
      </c>
      <c r="O20" s="4"/>
      <c r="P20" s="4"/>
      <c r="Q20" s="2" t="str">
        <f>IF($C20="","",IFERROR(VLOOKUP($C20,sources!$A$2:$N$200,2,FALSE()),"?"))</f>
        <v>Secondary</v>
      </c>
      <c r="R20" s="2" t="str">
        <f t="shared" si="0"/>
        <v>Secondary</v>
      </c>
      <c r="S20" s="2" t="str">
        <f>IF($C20="","",IFERROR(VLOOKUP($C20,sources!$A$2:$N$200,9,FALSE()),"?"))</f>
        <v>Secondary</v>
      </c>
      <c r="T20" t="s">
        <v>5692</v>
      </c>
      <c r="U20">
        <f>IF(OR(B20="",C20="",T20="Retracted",LEFT(D20,8)="Negative"),0,IF(COUNTIFS($B$2:B20,B20,$C$2:C20,C20,$D$2:D20,"&lt;&gt;Negative*",$T$2:T20,"&lt;&gt;Retracted")=1,1,0))</f>
        <v>1</v>
      </c>
    </row>
    <row r="21" spans="1:21" ht="15" customHeight="1" x14ac:dyDescent="0.2">
      <c r="A21" s="4" t="s">
        <v>1596</v>
      </c>
      <c r="B21" s="4" t="s">
        <v>179</v>
      </c>
      <c r="C21" s="4" t="s">
        <v>1128</v>
      </c>
      <c r="D21" s="4" t="s">
        <v>1564</v>
      </c>
      <c r="E21" s="4" t="s">
        <v>180</v>
      </c>
      <c r="F21" s="4" t="s">
        <v>1566</v>
      </c>
      <c r="G21" s="4"/>
      <c r="H21" s="4"/>
      <c r="I21" s="4" t="s">
        <v>1058</v>
      </c>
      <c r="J21" s="4"/>
      <c r="K21" s="4"/>
      <c r="L21" s="4"/>
      <c r="M21" s="4" t="s">
        <v>190</v>
      </c>
      <c r="N21" s="4" t="s">
        <v>190</v>
      </c>
      <c r="O21" s="4"/>
      <c r="P21" s="4"/>
      <c r="Q21" s="2" t="str">
        <f>IF($C21="","",IFERROR(VLOOKUP($C21,sources!$A$2:$N$200,2,FALSE()),"?"))</f>
        <v>Web compilation</v>
      </c>
      <c r="R21" s="2" t="str">
        <f t="shared" si="0"/>
        <v>Textual</v>
      </c>
      <c r="S21" s="2" t="str">
        <f>IF($C21="","",IFERROR(VLOOKUP($C21,sources!$A$2:$N$200,9,FALSE()),"?"))</f>
        <v>Mixed</v>
      </c>
      <c r="T21" t="s">
        <v>5692</v>
      </c>
      <c r="U21">
        <f>IF(OR(B21="",C21="",T21="Retracted",LEFT(D21,8)="Negative"),0,IF(COUNTIFS($B$2:B21,B21,$C$2:C21,C21,$D$2:D21,"&lt;&gt;Negative*",$T$2:T21,"&lt;&gt;Retracted")=1,1,0))</f>
        <v>1</v>
      </c>
    </row>
    <row r="22" spans="1:21" ht="23.25" customHeight="1" x14ac:dyDescent="0.2">
      <c r="A22" s="4" t="s">
        <v>1597</v>
      </c>
      <c r="B22" s="4" t="s">
        <v>179</v>
      </c>
      <c r="C22" s="4" t="s">
        <v>1179</v>
      </c>
      <c r="D22" s="4" t="s">
        <v>1572</v>
      </c>
      <c r="E22" s="4" t="s">
        <v>180</v>
      </c>
      <c r="F22" s="4" t="s">
        <v>1566</v>
      </c>
      <c r="G22" s="4"/>
      <c r="H22" s="4"/>
      <c r="I22" s="4" t="s">
        <v>1573</v>
      </c>
      <c r="J22" s="4"/>
      <c r="K22" s="4" t="s">
        <v>1181</v>
      </c>
      <c r="L22" s="4" t="s">
        <v>1181</v>
      </c>
      <c r="M22" s="4" t="s">
        <v>190</v>
      </c>
      <c r="N22" s="4" t="s">
        <v>209</v>
      </c>
      <c r="O22" s="4"/>
      <c r="P22" s="4"/>
      <c r="Q22" s="2" t="str">
        <f>IF($C22="","",IFERROR(VLOOKUP($C22,sources!$A$2:$N$200,2,FALSE()),"?"))</f>
        <v>Map</v>
      </c>
      <c r="R22" s="2" t="str">
        <f t="shared" si="0"/>
        <v>Map</v>
      </c>
      <c r="S22" s="2" t="str">
        <f>IF($C22="","",IFERROR(VLOOKUP($C22,sources!$A$2:$N$200,9,FALSE()),"?"))</f>
        <v>US official</v>
      </c>
      <c r="T22" t="s">
        <v>5692</v>
      </c>
      <c r="U22">
        <f>IF(OR(B22="",C22="",T22="Retracted",LEFT(D22,8)="Negative"),0,IF(COUNTIFS($B$2:B22,B22,$C$2:C22,C22,$D$2:D22,"&lt;&gt;Negative*",$T$2:T22,"&lt;&gt;Retracted")=1,1,0))</f>
        <v>1</v>
      </c>
    </row>
    <row r="23" spans="1:21" ht="15" customHeight="1" x14ac:dyDescent="0.2">
      <c r="A23" s="4" t="s">
        <v>1598</v>
      </c>
      <c r="B23" s="4" t="s">
        <v>194</v>
      </c>
      <c r="C23" s="4" t="s">
        <v>1128</v>
      </c>
      <c r="D23" s="4" t="s">
        <v>1564</v>
      </c>
      <c r="E23" s="4" t="s">
        <v>195</v>
      </c>
      <c r="F23" s="4" t="s">
        <v>1566</v>
      </c>
      <c r="G23" s="4"/>
      <c r="H23" s="4"/>
      <c r="I23" s="4" t="s">
        <v>1058</v>
      </c>
      <c r="J23" s="4"/>
      <c r="K23" s="4"/>
      <c r="L23" s="4"/>
      <c r="M23" s="4" t="s">
        <v>190</v>
      </c>
      <c r="N23" s="4" t="s">
        <v>190</v>
      </c>
      <c r="O23" s="4"/>
      <c r="P23" s="4"/>
      <c r="Q23" s="2" t="str">
        <f>IF($C23="","",IFERROR(VLOOKUP($C23,sources!$A$2:$N$200,2,FALSE()),"?"))</f>
        <v>Web compilation</v>
      </c>
      <c r="R23" s="2" t="str">
        <f t="shared" si="0"/>
        <v>Textual</v>
      </c>
      <c r="S23" s="2" t="str">
        <f>IF($C23="","",IFERROR(VLOOKUP($C23,sources!$A$2:$N$200,9,FALSE()),"?"))</f>
        <v>Mixed</v>
      </c>
      <c r="T23" t="s">
        <v>5692</v>
      </c>
      <c r="U23">
        <f>IF(OR(B23="",C23="",T23="Retracted",LEFT(D23,8)="Negative"),0,IF(COUNTIFS($B$2:B23,B23,$C$2:C23,C23,$D$2:D23,"&lt;&gt;Negative*",$T$2:T23,"&lt;&gt;Retracted")=1,1,0))</f>
        <v>1</v>
      </c>
    </row>
    <row r="24" spans="1:21" ht="15" customHeight="1" x14ac:dyDescent="0.2">
      <c r="A24" s="4" t="s">
        <v>1599</v>
      </c>
      <c r="B24" s="4" t="s">
        <v>205</v>
      </c>
      <c r="C24" s="4" t="s">
        <v>1128</v>
      </c>
      <c r="D24" s="4" t="s">
        <v>1564</v>
      </c>
      <c r="E24" s="4" t="s">
        <v>206</v>
      </c>
      <c r="F24" s="4" t="s">
        <v>1566</v>
      </c>
      <c r="G24" s="4"/>
      <c r="H24" s="4"/>
      <c r="I24" s="4" t="s">
        <v>1058</v>
      </c>
      <c r="J24" s="4"/>
      <c r="K24" s="4"/>
      <c r="L24" s="4"/>
      <c r="M24" s="4" t="s">
        <v>190</v>
      </c>
      <c r="N24" s="4" t="s">
        <v>190</v>
      </c>
      <c r="O24" s="4"/>
      <c r="P24" s="4"/>
      <c r="Q24" s="2" t="str">
        <f>IF($C24="","",IFERROR(VLOOKUP($C24,sources!$A$2:$N$200,2,FALSE()),"?"))</f>
        <v>Web compilation</v>
      </c>
      <c r="R24" s="2" t="str">
        <f t="shared" si="0"/>
        <v>Textual</v>
      </c>
      <c r="S24" s="2" t="str">
        <f>IF($C24="","",IFERROR(VLOOKUP($C24,sources!$A$2:$N$200,9,FALSE()),"?"))</f>
        <v>Mixed</v>
      </c>
      <c r="T24" t="s">
        <v>5692</v>
      </c>
      <c r="U24">
        <f>IF(OR(B24="",C24="",T24="Retracted",LEFT(D24,8)="Negative"),0,IF(COUNTIFS($B$2:B24,B24,$C$2:C24,C24,$D$2:D24,"&lt;&gt;Negative*",$T$2:T24,"&lt;&gt;Retracted")=1,1,0))</f>
        <v>1</v>
      </c>
    </row>
    <row r="25" spans="1:21" ht="15" customHeight="1" x14ac:dyDescent="0.2">
      <c r="A25" s="4" t="s">
        <v>1600</v>
      </c>
      <c r="B25" s="4" t="s">
        <v>211</v>
      </c>
      <c r="C25" s="4" t="s">
        <v>1128</v>
      </c>
      <c r="D25" s="4" t="s">
        <v>1564</v>
      </c>
      <c r="E25" s="4" t="s">
        <v>212</v>
      </c>
      <c r="F25" s="4" t="s">
        <v>1566</v>
      </c>
      <c r="G25" s="4"/>
      <c r="H25" s="4"/>
      <c r="I25" s="4" t="s">
        <v>1058</v>
      </c>
      <c r="J25" s="4"/>
      <c r="K25" s="4"/>
      <c r="L25" s="4"/>
      <c r="M25" s="4" t="s">
        <v>190</v>
      </c>
      <c r="N25" s="4" t="s">
        <v>190</v>
      </c>
      <c r="O25" s="4"/>
      <c r="P25" s="4"/>
      <c r="Q25" s="2" t="str">
        <f>IF($C25="","",IFERROR(VLOOKUP($C25,sources!$A$2:$N$200,2,FALSE()),"?"))</f>
        <v>Web compilation</v>
      </c>
      <c r="R25" s="2" t="str">
        <f t="shared" si="0"/>
        <v>Textual</v>
      </c>
      <c r="S25" s="2" t="str">
        <f>IF($C25="","",IFERROR(VLOOKUP($C25,sources!$A$2:$N$200,9,FALSE()),"?"))</f>
        <v>Mixed</v>
      </c>
      <c r="T25" t="s">
        <v>5692</v>
      </c>
      <c r="U25">
        <f>IF(OR(B25="",C25="",T25="Retracted",LEFT(D25,8)="Negative"),0,IF(COUNTIFS($B$2:B25,B25,$C$2:C25,C25,$D$2:D25,"&lt;&gt;Negative*",$T$2:T25,"&lt;&gt;Retracted")=1,1,0))</f>
        <v>1</v>
      </c>
    </row>
    <row r="26" spans="1:21" ht="15" customHeight="1" x14ac:dyDescent="0.2">
      <c r="A26" s="4" t="s">
        <v>1601</v>
      </c>
      <c r="B26" s="4" t="s">
        <v>213</v>
      </c>
      <c r="C26" s="4" t="s">
        <v>1128</v>
      </c>
      <c r="D26" s="4" t="s">
        <v>1564</v>
      </c>
      <c r="E26" s="4" t="s">
        <v>214</v>
      </c>
      <c r="F26" s="4" t="s">
        <v>1566</v>
      </c>
      <c r="G26" s="4"/>
      <c r="H26" s="4"/>
      <c r="I26" s="4" t="s">
        <v>1058</v>
      </c>
      <c r="J26" s="4"/>
      <c r="K26" s="4"/>
      <c r="L26" s="4"/>
      <c r="M26" s="4" t="s">
        <v>190</v>
      </c>
      <c r="N26" s="4" t="s">
        <v>190</v>
      </c>
      <c r="O26" s="4"/>
      <c r="P26" s="4"/>
      <c r="Q26" s="2" t="str">
        <f>IF($C26="","",IFERROR(VLOOKUP($C26,sources!$A$2:$N$200,2,FALSE()),"?"))</f>
        <v>Web compilation</v>
      </c>
      <c r="R26" s="2" t="str">
        <f t="shared" si="0"/>
        <v>Textual</v>
      </c>
      <c r="S26" s="2" t="str">
        <f>IF($C26="","",IFERROR(VLOOKUP($C26,sources!$A$2:$N$200,9,FALSE()),"?"))</f>
        <v>Mixed</v>
      </c>
      <c r="T26" t="s">
        <v>5692</v>
      </c>
      <c r="U26">
        <f>IF(OR(B26="",C26="",T26="Retracted",LEFT(D26,8)="Negative"),0,IF(COUNTIFS($B$2:B26,B26,$C$2:C26,C26,$D$2:D26,"&lt;&gt;Negative*",$T$2:T26,"&lt;&gt;Retracted")=1,1,0))</f>
        <v>1</v>
      </c>
    </row>
    <row r="27" spans="1:21" ht="15" customHeight="1" x14ac:dyDescent="0.2">
      <c r="A27" s="4" t="s">
        <v>1602</v>
      </c>
      <c r="B27" s="4" t="s">
        <v>242</v>
      </c>
      <c r="C27" s="4" t="s">
        <v>1179</v>
      </c>
      <c r="D27" s="4" t="s">
        <v>1603</v>
      </c>
      <c r="E27" s="4" t="s">
        <v>1604</v>
      </c>
      <c r="F27" s="4" t="s">
        <v>1566</v>
      </c>
      <c r="G27" s="4"/>
      <c r="H27" s="4"/>
      <c r="I27" s="4" t="s">
        <v>1058</v>
      </c>
      <c r="J27" s="4"/>
      <c r="K27" s="4" t="s">
        <v>1181</v>
      </c>
      <c r="L27" s="4" t="s">
        <v>1181</v>
      </c>
      <c r="M27" s="4" t="s">
        <v>209</v>
      </c>
      <c r="N27" s="4" t="s">
        <v>203</v>
      </c>
      <c r="O27" s="4"/>
      <c r="P27" s="4"/>
      <c r="Q27" s="2" t="str">
        <f>IF($C27="","",IFERROR(VLOOKUP($C27,sources!$A$2:$N$200,2,FALSE()),"?"))</f>
        <v>Map</v>
      </c>
      <c r="R27" s="2" t="str">
        <f t="shared" si="0"/>
        <v>Map</v>
      </c>
      <c r="S27" s="2" t="str">
        <f>IF($C27="","",IFERROR(VLOOKUP($C27,sources!$A$2:$N$200,9,FALSE()),"?"))</f>
        <v>US official</v>
      </c>
      <c r="T27" t="s">
        <v>5692</v>
      </c>
      <c r="U27">
        <f>IF(OR(B27="",C27="",T27="Retracted",LEFT(D27,8)="Negative"),0,IF(COUNTIFS($B$2:B27,B27,$C$2:C27,C27,$D$2:D27,"&lt;&gt;Negative*",$T$2:T27,"&lt;&gt;Retracted")=1,1,0))</f>
        <v>0</v>
      </c>
    </row>
    <row r="28" spans="1:21" ht="15" customHeight="1" x14ac:dyDescent="0.2">
      <c r="A28" s="4" t="s">
        <v>1605</v>
      </c>
      <c r="B28" s="4" t="s">
        <v>242</v>
      </c>
      <c r="C28" s="4" t="s">
        <v>1128</v>
      </c>
      <c r="D28" s="4" t="s">
        <v>1603</v>
      </c>
      <c r="E28" s="4" t="s">
        <v>1606</v>
      </c>
      <c r="F28" s="4" t="s">
        <v>1566</v>
      </c>
      <c r="G28" s="4"/>
      <c r="H28" s="4"/>
      <c r="I28" s="4" t="s">
        <v>1058</v>
      </c>
      <c r="J28" s="4"/>
      <c r="K28" s="4"/>
      <c r="L28" s="4"/>
      <c r="M28" s="4" t="s">
        <v>190</v>
      </c>
      <c r="N28" s="4" t="s">
        <v>190</v>
      </c>
      <c r="O28" s="4"/>
      <c r="P28" s="4"/>
      <c r="Q28" s="2" t="str">
        <f>IF($C28="","",IFERROR(VLOOKUP($C28,sources!$A$2:$N$200,2,FALSE()),"?"))</f>
        <v>Web compilation</v>
      </c>
      <c r="R28" s="2" t="str">
        <f t="shared" si="0"/>
        <v>Textual</v>
      </c>
      <c r="S28" s="2" t="str">
        <f>IF($C28="","",IFERROR(VLOOKUP($C28,sources!$A$2:$N$200,9,FALSE()),"?"))</f>
        <v>Mixed</v>
      </c>
      <c r="T28" t="s">
        <v>5692</v>
      </c>
      <c r="U28">
        <f>IF(OR(B28="",C28="",T28="Retracted",LEFT(D28,8)="Negative"),0,IF(COUNTIFS($B$2:B28,B28,$C$2:C28,C28,$D$2:D28,"&lt;&gt;Negative*",$T$2:T28,"&lt;&gt;Retracted")=1,1,0))</f>
        <v>1</v>
      </c>
    </row>
    <row r="29" spans="1:21" ht="23.25" customHeight="1" x14ac:dyDescent="0.2">
      <c r="A29" s="4" t="s">
        <v>1607</v>
      </c>
      <c r="B29" s="4" t="s">
        <v>253</v>
      </c>
      <c r="C29" s="4" t="s">
        <v>1158</v>
      </c>
      <c r="D29" s="4" t="s">
        <v>1608</v>
      </c>
      <c r="E29" s="4" t="s">
        <v>254</v>
      </c>
      <c r="F29" s="4" t="s">
        <v>1566</v>
      </c>
      <c r="G29" s="4"/>
      <c r="H29" s="4"/>
      <c r="I29" s="4" t="s">
        <v>1058</v>
      </c>
      <c r="J29" s="4"/>
      <c r="K29" s="4" t="s">
        <v>283</v>
      </c>
      <c r="L29" s="4" t="s">
        <v>1040</v>
      </c>
      <c r="M29" s="4" t="s">
        <v>190</v>
      </c>
      <c r="N29" s="4" t="s">
        <v>209</v>
      </c>
      <c r="O29" s="4"/>
      <c r="P29" s="4"/>
      <c r="Q29" s="2" t="str">
        <f>IF($C29="","",IFERROR(VLOOKUP($C29,sources!$A$2:$N$200,2,FALSE()),"?"))</f>
        <v>Administrative</v>
      </c>
      <c r="R29" s="2" t="str">
        <f t="shared" si="0"/>
        <v>Textual</v>
      </c>
      <c r="S29" s="2" t="str">
        <f>IF($C29="","",IFERROR(VLOOKUP($C29,sources!$A$2:$N$200,9,FALSE()),"?"))</f>
        <v>US official</v>
      </c>
      <c r="T29" t="s">
        <v>5692</v>
      </c>
      <c r="U29">
        <f>IF(OR(B29="",C29="",T29="Retracted",LEFT(D29,8)="Negative"),0,IF(COUNTIFS($B$2:B29,B29,$C$2:C29,C29,$D$2:D29,"&lt;&gt;Negative*",$T$2:T29,"&lt;&gt;Retracted")=1,1,0))</f>
        <v>1</v>
      </c>
    </row>
    <row r="30" spans="1:21" ht="15" customHeight="1" x14ac:dyDescent="0.2">
      <c r="A30" s="4" t="s">
        <v>1609</v>
      </c>
      <c r="B30" s="4" t="s">
        <v>199</v>
      </c>
      <c r="C30" s="4" t="s">
        <v>1184</v>
      </c>
      <c r="D30" s="4" t="s">
        <v>1575</v>
      </c>
      <c r="E30" s="4" t="s">
        <v>200</v>
      </c>
      <c r="F30" s="4" t="s">
        <v>1566</v>
      </c>
      <c r="G30" s="4"/>
      <c r="H30" s="4"/>
      <c r="I30" s="4" t="s">
        <v>1058</v>
      </c>
      <c r="J30" s="4"/>
      <c r="K30" s="4"/>
      <c r="L30" s="4"/>
      <c r="M30" s="4" t="s">
        <v>209</v>
      </c>
      <c r="N30" s="4" t="s">
        <v>209</v>
      </c>
      <c r="O30" s="4"/>
      <c r="P30" s="4"/>
      <c r="Q30" s="2" t="str">
        <f>IF($C30="","",IFERROR(VLOOKUP($C30,sources!$A$2:$N$200,2,FALSE()),"?"))</f>
        <v>Administrative</v>
      </c>
      <c r="R30" s="2" t="str">
        <f t="shared" si="0"/>
        <v>Textual</v>
      </c>
      <c r="S30" s="2" t="str">
        <f>IF($C30="","",IFERROR(VLOOKUP($C30,sources!$A$2:$N$200,9,FALSE()),"?"))</f>
        <v>Panamanian</v>
      </c>
      <c r="T30" t="s">
        <v>5692</v>
      </c>
      <c r="U30">
        <f>IF(OR(B30="",C30="",T30="Retracted",LEFT(D30,8)="Negative"),0,IF(COUNTIFS($B$2:B30,B30,$C$2:C30,C30,$D$2:D30,"&lt;&gt;Negative*",$T$2:T30,"&lt;&gt;Retracted")=1,1,0))</f>
        <v>1</v>
      </c>
    </row>
    <row r="31" spans="1:21" ht="23.25" customHeight="1" x14ac:dyDescent="0.2">
      <c r="A31" s="4" t="s">
        <v>1610</v>
      </c>
      <c r="B31" s="4" t="s">
        <v>213</v>
      </c>
      <c r="C31" s="4" t="s">
        <v>1184</v>
      </c>
      <c r="D31" s="4" t="s">
        <v>1575</v>
      </c>
      <c r="E31" s="4" t="s">
        <v>214</v>
      </c>
      <c r="F31" s="4" t="s">
        <v>1566</v>
      </c>
      <c r="G31" s="4"/>
      <c r="H31" s="4"/>
      <c r="I31" s="4" t="s">
        <v>1058</v>
      </c>
      <c r="J31" s="4"/>
      <c r="K31" s="4"/>
      <c r="L31" s="4"/>
      <c r="M31" s="4" t="s">
        <v>190</v>
      </c>
      <c r="N31" s="4" t="s">
        <v>209</v>
      </c>
      <c r="O31" s="4"/>
      <c r="P31" s="4"/>
      <c r="Q31" s="2" t="str">
        <f>IF($C31="","",IFERROR(VLOOKUP($C31,sources!$A$2:$N$200,2,FALSE()),"?"))</f>
        <v>Administrative</v>
      </c>
      <c r="R31" s="2" t="str">
        <f t="shared" si="0"/>
        <v>Textual</v>
      </c>
      <c r="S31" s="2" t="str">
        <f>IF($C31="","",IFERROR(VLOOKUP($C31,sources!$A$2:$N$200,9,FALSE()),"?"))</f>
        <v>Panamanian</v>
      </c>
      <c r="T31" t="s">
        <v>5692</v>
      </c>
      <c r="U31">
        <f>IF(OR(B31="",C31="",T31="Retracted",LEFT(D31,8)="Negative"),0,IF(COUNTIFS($B$2:B31,B31,$C$2:C31,C31,$D$2:D31,"&lt;&gt;Negative*",$T$2:T31,"&lt;&gt;Retracted")=1,1,0))</f>
        <v>1</v>
      </c>
    </row>
    <row r="32" spans="1:21" ht="15" customHeight="1" x14ac:dyDescent="0.2">
      <c r="A32" s="4" t="s">
        <v>1611</v>
      </c>
      <c r="B32" s="4" t="s">
        <v>215</v>
      </c>
      <c r="C32" s="4" t="s">
        <v>1179</v>
      </c>
      <c r="D32" s="4" t="s">
        <v>1564</v>
      </c>
      <c r="E32" s="4" t="s">
        <v>216</v>
      </c>
      <c r="F32" s="4" t="s">
        <v>1566</v>
      </c>
      <c r="G32" s="4"/>
      <c r="H32" s="4"/>
      <c r="I32" s="4" t="s">
        <v>1058</v>
      </c>
      <c r="J32" s="4"/>
      <c r="K32" s="4" t="s">
        <v>1181</v>
      </c>
      <c r="L32" s="4" t="s">
        <v>1181</v>
      </c>
      <c r="M32" s="4" t="s">
        <v>209</v>
      </c>
      <c r="N32" s="4" t="s">
        <v>209</v>
      </c>
      <c r="O32" s="4"/>
      <c r="P32" s="4"/>
      <c r="Q32" s="2" t="str">
        <f>IF($C32="","",IFERROR(VLOOKUP($C32,sources!$A$2:$N$200,2,FALSE()),"?"))</f>
        <v>Map</v>
      </c>
      <c r="R32" s="2" t="str">
        <f t="shared" si="0"/>
        <v>Map</v>
      </c>
      <c r="S32" s="2" t="str">
        <f>IF($C32="","",IFERROR(VLOOKUP($C32,sources!$A$2:$N$200,9,FALSE()),"?"))</f>
        <v>US official</v>
      </c>
      <c r="T32" t="s">
        <v>5692</v>
      </c>
      <c r="U32">
        <f>IF(OR(B32="",C32="",T32="Retracted",LEFT(D32,8)="Negative"),0,IF(COUNTIFS($B$2:B32,B32,$C$2:C32,C32,$D$2:D32,"&lt;&gt;Negative*",$T$2:T32,"&lt;&gt;Retracted")=1,1,0))</f>
        <v>1</v>
      </c>
    </row>
    <row r="33" spans="1:21" ht="15" customHeight="1" x14ac:dyDescent="0.2">
      <c r="A33" s="4" t="s">
        <v>1612</v>
      </c>
      <c r="B33" s="4" t="s">
        <v>213</v>
      </c>
      <c r="C33" s="4" t="s">
        <v>1179</v>
      </c>
      <c r="D33" s="4" t="s">
        <v>1613</v>
      </c>
      <c r="E33" s="4" t="s">
        <v>214</v>
      </c>
      <c r="F33" s="4" t="s">
        <v>1566</v>
      </c>
      <c r="G33" s="4"/>
      <c r="H33" s="4"/>
      <c r="I33" s="4" t="s">
        <v>1058</v>
      </c>
      <c r="J33" s="4"/>
      <c r="K33" s="4" t="s">
        <v>1181</v>
      </c>
      <c r="L33" s="4" t="s">
        <v>1181</v>
      </c>
      <c r="M33" s="4" t="s">
        <v>209</v>
      </c>
      <c r="N33" s="4" t="s">
        <v>209</v>
      </c>
      <c r="O33" s="4"/>
      <c r="P33" s="4"/>
      <c r="Q33" s="2" t="str">
        <f>IF($C33="","",IFERROR(VLOOKUP($C33,sources!$A$2:$N$200,2,FALSE()),"?"))</f>
        <v>Map</v>
      </c>
      <c r="R33" s="2" t="str">
        <f t="shared" si="0"/>
        <v>Map</v>
      </c>
      <c r="S33" s="2" t="str">
        <f>IF($C33="","",IFERROR(VLOOKUP($C33,sources!$A$2:$N$200,9,FALSE()),"?"))</f>
        <v>US official</v>
      </c>
      <c r="T33" t="s">
        <v>5692</v>
      </c>
      <c r="U33">
        <f>IF(OR(B33="",C33="",T33="Retracted",LEFT(D33,8)="Negative"),0,IF(COUNTIFS($B$2:B33,B33,$C$2:C33,C33,$D$2:D33,"&lt;&gt;Negative*",$T$2:T33,"&lt;&gt;Retracted")=1,1,0))</f>
        <v>0</v>
      </c>
    </row>
    <row r="34" spans="1:21" ht="15" customHeight="1" x14ac:dyDescent="0.2">
      <c r="A34" s="4" t="s">
        <v>1614</v>
      </c>
      <c r="B34" s="4" t="s">
        <v>269</v>
      </c>
      <c r="C34" s="4" t="s">
        <v>1148</v>
      </c>
      <c r="D34" s="4" t="s">
        <v>1575</v>
      </c>
      <c r="E34" s="4" t="s">
        <v>270</v>
      </c>
      <c r="F34" s="4" t="s">
        <v>1583</v>
      </c>
      <c r="G34" s="4"/>
      <c r="H34" s="4"/>
      <c r="I34" s="4" t="s">
        <v>1058</v>
      </c>
      <c r="J34" s="4"/>
      <c r="K34" s="4" t="s">
        <v>283</v>
      </c>
      <c r="L34" s="4" t="s">
        <v>273</v>
      </c>
      <c r="M34" s="4" t="s">
        <v>209</v>
      </c>
      <c r="N34" s="4" t="s">
        <v>203</v>
      </c>
      <c r="O34" s="4"/>
      <c r="P34" s="4"/>
      <c r="Q34" s="2" t="str">
        <f>IF($C34="","",IFERROR(VLOOKUP($C34,sources!$A$2:$N$200,2,FALSE()),"?"))</f>
        <v>Report</v>
      </c>
      <c r="R34" s="2" t="str">
        <f t="shared" si="0"/>
        <v>Textual</v>
      </c>
      <c r="S34" s="2" t="str">
        <f>IF($C34="","",IFERROR(VLOOKUP($C34,sources!$A$2:$N$200,9,FALSE()),"?"))</f>
        <v>US official</v>
      </c>
      <c r="T34" t="s">
        <v>5692</v>
      </c>
      <c r="U34">
        <f>IF(OR(B34="",C34="",T34="Retracted",LEFT(D34,8)="Negative"),0,IF(COUNTIFS($B$2:B34,B34,$C$2:C34,C34,$D$2:D34,"&lt;&gt;Negative*",$T$2:T34,"&lt;&gt;Retracted")=1,1,0))</f>
        <v>1</v>
      </c>
    </row>
    <row r="35" spans="1:21" ht="15" customHeight="1" x14ac:dyDescent="0.2">
      <c r="A35" s="4" t="s">
        <v>1615</v>
      </c>
      <c r="B35" s="4" t="s">
        <v>269</v>
      </c>
      <c r="C35" s="4" t="s">
        <v>1304</v>
      </c>
      <c r="D35" s="4" t="s">
        <v>1572</v>
      </c>
      <c r="E35" s="4" t="s">
        <v>271</v>
      </c>
      <c r="F35" s="4" t="s">
        <v>1583</v>
      </c>
      <c r="G35" s="4"/>
      <c r="H35" s="4"/>
      <c r="I35" s="4" t="s">
        <v>1573</v>
      </c>
      <c r="J35" s="4"/>
      <c r="K35" s="4" t="s">
        <v>1181</v>
      </c>
      <c r="L35" s="4" t="s">
        <v>1181</v>
      </c>
      <c r="M35" s="4" t="s">
        <v>209</v>
      </c>
      <c r="N35" s="4" t="s">
        <v>190</v>
      </c>
      <c r="O35" s="4"/>
      <c r="P35" s="4"/>
      <c r="Q35" s="2" t="str">
        <f>IF($C35="","",IFERROR(VLOOKUP($C35,sources!$A$2:$N$200,2,FALSE()),"?"))</f>
        <v>Map</v>
      </c>
      <c r="R35" s="2" t="str">
        <f t="shared" si="0"/>
        <v>Map</v>
      </c>
      <c r="S35" s="2" t="str">
        <f>IF($C35="","",IFERROR(VLOOKUP($C35,sources!$A$2:$N$200,9,FALSE()),"?"))</f>
        <v>US official</v>
      </c>
      <c r="T35" t="s">
        <v>5693</v>
      </c>
      <c r="U35">
        <f>IF(OR(B35="",C35="",T35="Retracted",LEFT(D35,8)="Negative"),0,IF(COUNTIFS($B$2:B35,B35,$C$2:C35,C35,$D$2:D35,"&lt;&gt;Negative*",$T$2:T35,"&lt;&gt;Retracted")=1,1,0))</f>
        <v>0</v>
      </c>
    </row>
    <row r="36" spans="1:21" ht="15" customHeight="1" x14ac:dyDescent="0.2">
      <c r="A36" s="4" t="s">
        <v>1616</v>
      </c>
      <c r="B36" s="4" t="s">
        <v>287</v>
      </c>
      <c r="C36" s="4" t="s">
        <v>1194</v>
      </c>
      <c r="D36" s="4" t="s">
        <v>1575</v>
      </c>
      <c r="E36" s="4" t="s">
        <v>1617</v>
      </c>
      <c r="F36" s="4" t="s">
        <v>1583</v>
      </c>
      <c r="G36" s="4"/>
      <c r="H36" s="4"/>
      <c r="I36" s="4" t="s">
        <v>1058</v>
      </c>
      <c r="J36" s="4"/>
      <c r="K36" s="4" t="s">
        <v>291</v>
      </c>
      <c r="L36" s="4" t="s">
        <v>273</v>
      </c>
      <c r="M36" s="4" t="s">
        <v>190</v>
      </c>
      <c r="N36" s="4" t="s">
        <v>209</v>
      </c>
      <c r="O36" s="4"/>
      <c r="P36" s="4"/>
      <c r="Q36" s="2" t="str">
        <f>IF($C36="","",IFERROR(VLOOKUP($C36,sources!$A$2:$N$200,2,FALSE()),"?"))</f>
        <v>Administrative</v>
      </c>
      <c r="R36" s="2" t="str">
        <f t="shared" si="0"/>
        <v>Textual</v>
      </c>
      <c r="S36" s="2" t="str">
        <f>IF($C36="","",IFERROR(VLOOKUP($C36,sources!$A$2:$N$200,9,FALSE()),"?"))</f>
        <v>Caribbean community</v>
      </c>
      <c r="T36" t="s">
        <v>5692</v>
      </c>
      <c r="U36">
        <f>IF(OR(B36="",C36="",T36="Retracted",LEFT(D36,8)="Negative"),0,IF(COUNTIFS($B$2:B36,B36,$C$2:C36,C36,$D$2:D36,"&lt;&gt;Negative*",$T$2:T36,"&lt;&gt;Retracted")=1,1,0))</f>
        <v>1</v>
      </c>
    </row>
    <row r="37" spans="1:21" ht="15" customHeight="1" x14ac:dyDescent="0.2">
      <c r="A37" s="4" t="s">
        <v>1618</v>
      </c>
      <c r="B37" s="4" t="s">
        <v>276</v>
      </c>
      <c r="C37" s="4" t="s">
        <v>1148</v>
      </c>
      <c r="D37" s="4" t="s">
        <v>1575</v>
      </c>
      <c r="E37" s="4" t="s">
        <v>277</v>
      </c>
      <c r="F37" s="4" t="s">
        <v>1583</v>
      </c>
      <c r="G37" s="4"/>
      <c r="H37" s="4"/>
      <c r="I37" s="4" t="s">
        <v>1058</v>
      </c>
      <c r="J37" s="4"/>
      <c r="K37" s="4" t="s">
        <v>283</v>
      </c>
      <c r="L37" s="4" t="s">
        <v>273</v>
      </c>
      <c r="M37" s="4" t="s">
        <v>209</v>
      </c>
      <c r="N37" s="4" t="s">
        <v>203</v>
      </c>
      <c r="O37" s="4"/>
      <c r="P37" s="4"/>
      <c r="Q37" s="2" t="str">
        <f>IF($C37="","",IFERROR(VLOOKUP($C37,sources!$A$2:$N$200,2,FALSE()),"?"))</f>
        <v>Report</v>
      </c>
      <c r="R37" s="2" t="str">
        <f t="shared" si="0"/>
        <v>Textual</v>
      </c>
      <c r="S37" s="2" t="str">
        <f>IF($C37="","",IFERROR(VLOOKUP($C37,sources!$A$2:$N$200,9,FALSE()),"?"))</f>
        <v>US official</v>
      </c>
      <c r="T37" t="s">
        <v>5692</v>
      </c>
      <c r="U37">
        <f>IF(OR(B37="",C37="",T37="Retracted",LEFT(D37,8)="Negative"),0,IF(COUNTIFS($B$2:B37,B37,$C$2:C37,C37,$D$2:D37,"&lt;&gt;Negative*",$T$2:T37,"&lt;&gt;Retracted")=1,1,0))</f>
        <v>1</v>
      </c>
    </row>
    <row r="38" spans="1:21" ht="15" customHeight="1" x14ac:dyDescent="0.2">
      <c r="A38" s="4" t="s">
        <v>1619</v>
      </c>
      <c r="B38" s="4" t="s">
        <v>677</v>
      </c>
      <c r="C38" s="4" t="s">
        <v>1148</v>
      </c>
      <c r="D38" s="4" t="s">
        <v>1575</v>
      </c>
      <c r="E38" s="4" t="s">
        <v>1620</v>
      </c>
      <c r="F38" s="4" t="s">
        <v>1583</v>
      </c>
      <c r="G38" s="4"/>
      <c r="H38" s="4"/>
      <c r="I38" s="4" t="s">
        <v>1058</v>
      </c>
      <c r="J38" s="4"/>
      <c r="K38" s="4" t="s">
        <v>283</v>
      </c>
      <c r="L38" s="4" t="s">
        <v>273</v>
      </c>
      <c r="M38" s="4" t="s">
        <v>209</v>
      </c>
      <c r="N38" s="4" t="s">
        <v>203</v>
      </c>
      <c r="O38" s="4"/>
      <c r="P38" s="4"/>
      <c r="Q38" s="2" t="str">
        <f>IF($C38="","",IFERROR(VLOOKUP($C38,sources!$A$2:$N$200,2,FALSE()),"?"))</f>
        <v>Report</v>
      </c>
      <c r="R38" s="2" t="str">
        <f t="shared" si="0"/>
        <v>Textual</v>
      </c>
      <c r="S38" s="2" t="str">
        <f>IF($C38="","",IFERROR(VLOOKUP($C38,sources!$A$2:$N$200,9,FALSE()),"?"))</f>
        <v>US official</v>
      </c>
      <c r="T38" t="s">
        <v>5692</v>
      </c>
      <c r="U38">
        <f>IF(OR(B38="",C38="",T38="Retracted",LEFT(D38,8)="Negative"),0,IF(COUNTIFS($B$2:B38,B38,$C$2:C38,C38,$D$2:D38,"&lt;&gt;Negative*",$T$2:T38,"&lt;&gt;Retracted")=1,1,0))</f>
        <v>1</v>
      </c>
    </row>
    <row r="39" spans="1:21" ht="15" customHeight="1" x14ac:dyDescent="0.2">
      <c r="A39" s="4" t="s">
        <v>1621</v>
      </c>
      <c r="B39" s="4" t="s">
        <v>294</v>
      </c>
      <c r="C39" s="4" t="s">
        <v>1168</v>
      </c>
      <c r="D39" s="4" t="s">
        <v>1572</v>
      </c>
      <c r="E39" s="4" t="s">
        <v>1622</v>
      </c>
      <c r="F39" s="4" t="s">
        <v>1583</v>
      </c>
      <c r="G39" s="4"/>
      <c r="H39" s="4"/>
      <c r="I39" s="4" t="s">
        <v>1573</v>
      </c>
      <c r="J39" s="4"/>
      <c r="K39" s="4" t="s">
        <v>1172</v>
      </c>
      <c r="L39" s="4" t="s">
        <v>1172</v>
      </c>
      <c r="M39" s="4" t="s">
        <v>209</v>
      </c>
      <c r="N39" s="4" t="s">
        <v>203</v>
      </c>
      <c r="O39" s="4"/>
      <c r="P39" s="4"/>
      <c r="Q39" s="2" t="str">
        <f>IF($C39="","",IFERROR(VLOOKUP($C39,sources!$A$2:$N$200,2,FALSE()),"?"))</f>
        <v>Map</v>
      </c>
      <c r="R39" s="2" t="str">
        <f t="shared" si="0"/>
        <v>Map</v>
      </c>
      <c r="S39" s="2" t="str">
        <f>IF($C39="","",IFERROR(VLOOKUP($C39,sources!$A$2:$N$200,9,FALSE()),"?"))</f>
        <v>US official</v>
      </c>
      <c r="T39" t="s">
        <v>5692</v>
      </c>
      <c r="U39">
        <f>IF(OR(B39="",C39="",T39="Retracted",LEFT(D39,8)="Negative"),0,IF(COUNTIFS($B$2:B39,B39,$C$2:C39,C39,$D$2:D39,"&lt;&gt;Negative*",$T$2:T39,"&lt;&gt;Retracted")=1,1,0))</f>
        <v>1</v>
      </c>
    </row>
    <row r="40" spans="1:21" ht="15" customHeight="1" x14ac:dyDescent="0.2">
      <c r="A40" s="4" t="s">
        <v>1623</v>
      </c>
      <c r="B40" s="4" t="s">
        <v>660</v>
      </c>
      <c r="C40" s="4" t="s">
        <v>1304</v>
      </c>
      <c r="D40" s="4" t="s">
        <v>1572</v>
      </c>
      <c r="E40" s="4" t="s">
        <v>1624</v>
      </c>
      <c r="F40" s="4" t="s">
        <v>1566</v>
      </c>
      <c r="G40" s="4"/>
      <c r="H40" s="4"/>
      <c r="I40" s="4" t="s">
        <v>1573</v>
      </c>
      <c r="J40" s="4"/>
      <c r="K40" s="4" t="s">
        <v>1181</v>
      </c>
      <c r="L40" s="4" t="s">
        <v>1181</v>
      </c>
      <c r="M40" s="4" t="s">
        <v>209</v>
      </c>
      <c r="N40" s="4" t="s">
        <v>203</v>
      </c>
      <c r="O40" s="4"/>
      <c r="P40" s="4"/>
      <c r="Q40" s="2" t="str">
        <f>IF($C40="","",IFERROR(VLOOKUP($C40,sources!$A$2:$N$200,2,FALSE()),"?"))</f>
        <v>Map</v>
      </c>
      <c r="R40" s="2" t="str">
        <f t="shared" si="0"/>
        <v>Map</v>
      </c>
      <c r="S40" s="2" t="str">
        <f>IF($C40="","",IFERROR(VLOOKUP($C40,sources!$A$2:$N$200,9,FALSE()),"?"))</f>
        <v>US official</v>
      </c>
      <c r="T40" t="s">
        <v>5692</v>
      </c>
      <c r="U40">
        <f>IF(OR(B40="",C40="",T40="Retracted",LEFT(D40,8)="Negative"),0,IF(COUNTIFS($B$2:B40,B40,$C$2:C40,C40,$D$2:D40,"&lt;&gt;Negative*",$T$2:T40,"&lt;&gt;Retracted")=1,1,0))</f>
        <v>1</v>
      </c>
    </row>
    <row r="41" spans="1:21" ht="15" customHeight="1" x14ac:dyDescent="0.2">
      <c r="A41" s="4" t="s">
        <v>1625</v>
      </c>
      <c r="B41" s="4" t="s">
        <v>317</v>
      </c>
      <c r="C41" s="4" t="s">
        <v>1194</v>
      </c>
      <c r="D41" s="4" t="s">
        <v>1575</v>
      </c>
      <c r="E41" s="4" t="s">
        <v>1626</v>
      </c>
      <c r="F41" s="4" t="s">
        <v>1583</v>
      </c>
      <c r="G41" s="4"/>
      <c r="H41" s="4"/>
      <c r="I41" s="4" t="s">
        <v>1058</v>
      </c>
      <c r="J41" s="4"/>
      <c r="K41" s="4" t="s">
        <v>272</v>
      </c>
      <c r="L41" s="4" t="s">
        <v>273</v>
      </c>
      <c r="M41" s="4" t="s">
        <v>190</v>
      </c>
      <c r="N41" s="4" t="s">
        <v>209</v>
      </c>
      <c r="O41" s="4"/>
      <c r="P41" s="4"/>
      <c r="Q41" s="2" t="str">
        <f>IF($C41="","",IFERROR(VLOOKUP($C41,sources!$A$2:$N$200,2,FALSE()),"?"))</f>
        <v>Administrative</v>
      </c>
      <c r="R41" s="2" t="str">
        <f t="shared" si="0"/>
        <v>Textual</v>
      </c>
      <c r="S41" s="2" t="str">
        <f>IF($C41="","",IFERROR(VLOOKUP($C41,sources!$A$2:$N$200,9,FALSE()),"?"))</f>
        <v>Caribbean community</v>
      </c>
      <c r="T41" t="s">
        <v>5692</v>
      </c>
      <c r="U41">
        <f>IF(OR(B41="",C41="",T41="Retracted",LEFT(D41,8)="Negative"),0,IF(COUNTIFS($B$2:B41,B41,$C$2:C41,C41,$D$2:D41,"&lt;&gt;Negative*",$T$2:T41,"&lt;&gt;Retracted")=1,1,0))</f>
        <v>1</v>
      </c>
    </row>
    <row r="42" spans="1:21" ht="15" customHeight="1" x14ac:dyDescent="0.2">
      <c r="A42" s="4" t="s">
        <v>1627</v>
      </c>
      <c r="B42" s="4" t="s">
        <v>326</v>
      </c>
      <c r="C42" s="4" t="s">
        <v>1148</v>
      </c>
      <c r="D42" s="4" t="s">
        <v>1575</v>
      </c>
      <c r="E42" s="4" t="s">
        <v>328</v>
      </c>
      <c r="F42" s="4" t="s">
        <v>1583</v>
      </c>
      <c r="G42" s="4"/>
      <c r="H42" s="4"/>
      <c r="I42" s="4" t="s">
        <v>1058</v>
      </c>
      <c r="J42" s="4"/>
      <c r="K42" s="4" t="s">
        <v>283</v>
      </c>
      <c r="L42" s="4" t="s">
        <v>273</v>
      </c>
      <c r="M42" s="4" t="s">
        <v>209</v>
      </c>
      <c r="N42" s="4" t="s">
        <v>203</v>
      </c>
      <c r="O42" s="4"/>
      <c r="P42" s="4"/>
      <c r="Q42" s="2" t="str">
        <f>IF($C42="","",IFERROR(VLOOKUP($C42,sources!$A$2:$N$200,2,FALSE()),"?"))</f>
        <v>Report</v>
      </c>
      <c r="R42" s="2" t="str">
        <f t="shared" si="0"/>
        <v>Textual</v>
      </c>
      <c r="S42" s="2" t="str">
        <f>IF($C42="","",IFERROR(VLOOKUP($C42,sources!$A$2:$N$200,9,FALSE()),"?"))</f>
        <v>US official</v>
      </c>
      <c r="T42" t="s">
        <v>5692</v>
      </c>
      <c r="U42">
        <f>IF(OR(B42="",C42="",T42="Retracted",LEFT(D42,8)="Negative"),0,IF(COUNTIFS($B$2:B42,B42,$C$2:C42,C42,$D$2:D42,"&lt;&gt;Negative*",$T$2:T42,"&lt;&gt;Retracted")=1,1,0))</f>
        <v>1</v>
      </c>
    </row>
    <row r="43" spans="1:21" ht="15" customHeight="1" x14ac:dyDescent="0.2">
      <c r="A43" s="4" t="s">
        <v>1628</v>
      </c>
      <c r="B43" s="4" t="s">
        <v>287</v>
      </c>
      <c r="C43" s="4" t="s">
        <v>1179</v>
      </c>
      <c r="D43" s="4" t="s">
        <v>1613</v>
      </c>
      <c r="E43" s="4" t="s">
        <v>1617</v>
      </c>
      <c r="F43" s="4" t="s">
        <v>1583</v>
      </c>
      <c r="G43" s="4"/>
      <c r="H43" s="4"/>
      <c r="I43" s="4" t="s">
        <v>1058</v>
      </c>
      <c r="J43" s="4"/>
      <c r="K43" s="4" t="s">
        <v>1181</v>
      </c>
      <c r="L43" s="4" t="s">
        <v>1181</v>
      </c>
      <c r="M43" s="4" t="s">
        <v>209</v>
      </c>
      <c r="N43" s="4" t="s">
        <v>203</v>
      </c>
      <c r="O43" s="4"/>
      <c r="P43" s="4"/>
      <c r="Q43" s="2" t="str">
        <f>IF($C43="","",IFERROR(VLOOKUP($C43,sources!$A$2:$N$200,2,FALSE()),"?"))</f>
        <v>Map</v>
      </c>
      <c r="R43" s="2" t="str">
        <f t="shared" si="0"/>
        <v>Map</v>
      </c>
      <c r="S43" s="2" t="str">
        <f>IF($C43="","",IFERROR(VLOOKUP($C43,sources!$A$2:$N$200,9,FALSE()),"?"))</f>
        <v>US official</v>
      </c>
      <c r="T43" t="s">
        <v>5692</v>
      </c>
      <c r="U43">
        <f>IF(OR(B43="",C43="",T43="Retracted",LEFT(D43,8)="Negative"),0,IF(COUNTIFS($B$2:B43,B43,$C$2:C43,C43,$D$2:D43,"&lt;&gt;Negative*",$T$2:T43,"&lt;&gt;Retracted")=1,1,0))</f>
        <v>0</v>
      </c>
    </row>
    <row r="44" spans="1:21" ht="15" customHeight="1" x14ac:dyDescent="0.2">
      <c r="A44" s="4" t="s">
        <v>1629</v>
      </c>
      <c r="B44" s="4" t="s">
        <v>322</v>
      </c>
      <c r="C44" s="4" t="s">
        <v>1179</v>
      </c>
      <c r="D44" s="4" t="s">
        <v>1613</v>
      </c>
      <c r="E44" s="4" t="s">
        <v>324</v>
      </c>
      <c r="F44" s="4" t="s">
        <v>1566</v>
      </c>
      <c r="G44" s="4"/>
      <c r="H44" s="4"/>
      <c r="I44" s="4" t="s">
        <v>1058</v>
      </c>
      <c r="J44" s="4"/>
      <c r="K44" s="4" t="s">
        <v>1181</v>
      </c>
      <c r="L44" s="4" t="s">
        <v>1181</v>
      </c>
      <c r="M44" s="4" t="s">
        <v>209</v>
      </c>
      <c r="N44" s="4" t="s">
        <v>209</v>
      </c>
      <c r="O44" s="4"/>
      <c r="P44" s="4"/>
      <c r="Q44" s="2" t="str">
        <f>IF($C44="","",IFERROR(VLOOKUP($C44,sources!$A$2:$N$200,2,FALSE()),"?"))</f>
        <v>Map</v>
      </c>
      <c r="R44" s="2" t="str">
        <f t="shared" si="0"/>
        <v>Map</v>
      </c>
      <c r="S44" s="2" t="str">
        <f>IF($C44="","",IFERROR(VLOOKUP($C44,sources!$A$2:$N$200,9,FALSE()),"?"))</f>
        <v>US official</v>
      </c>
      <c r="T44" t="s">
        <v>5692</v>
      </c>
      <c r="U44">
        <f>IF(OR(B44="",C44="",T44="Retracted",LEFT(D44,8)="Negative"),0,IF(COUNTIFS($B$2:B44,B44,$C$2:C44,C44,$D$2:D44,"&lt;&gt;Negative*",$T$2:T44,"&lt;&gt;Retracted")=1,1,0))</f>
        <v>0</v>
      </c>
    </row>
    <row r="45" spans="1:21" ht="15" customHeight="1" x14ac:dyDescent="0.2">
      <c r="A45" s="4" t="s">
        <v>1630</v>
      </c>
      <c r="B45" t="s">
        <v>330</v>
      </c>
      <c r="C45" t="s">
        <v>1213</v>
      </c>
      <c r="D45" t="s">
        <v>1575</v>
      </c>
      <c r="E45" t="s">
        <v>331</v>
      </c>
      <c r="F45" t="s">
        <v>1583</v>
      </c>
      <c r="I45" t="s">
        <v>1058</v>
      </c>
      <c r="K45" t="s">
        <v>272</v>
      </c>
      <c r="L45" t="s">
        <v>272</v>
      </c>
      <c r="M45" t="s">
        <v>203</v>
      </c>
      <c r="N45" t="s">
        <v>203</v>
      </c>
      <c r="Q45" s="2" t="str">
        <f>IF($C45="","",IFERROR(VLOOKUP($C45,sources!$A$2:$N$200,2,FALSE()),"?"))</f>
        <v>Newspaper</v>
      </c>
      <c r="R45" s="2" t="str">
        <f t="shared" si="0"/>
        <v>Textual</v>
      </c>
      <c r="S45" s="2" t="str">
        <f>IF($C45="","",IFERROR(VLOOKUP($C45,sources!$A$2:$N$200,9,FALSE()),"?"))</f>
        <v>US press</v>
      </c>
      <c r="T45" t="s">
        <v>5692</v>
      </c>
      <c r="U45">
        <f>IF(OR(B45="",C45="",T45="Retracted",LEFT(D45,8)="Negative"),0,IF(COUNTIFS($B$2:B45,B45,$C$2:C45,C45,$D$2:D45,"&lt;&gt;Negative*",$T$2:T45,"&lt;&gt;Retracted")=1,1,0))</f>
        <v>1</v>
      </c>
    </row>
    <row r="46" spans="1:21" ht="15" customHeight="1" x14ac:dyDescent="0.2">
      <c r="A46" s="4" t="s">
        <v>1631</v>
      </c>
      <c r="B46" t="s">
        <v>335</v>
      </c>
      <c r="C46" t="s">
        <v>1213</v>
      </c>
      <c r="D46" t="s">
        <v>1575</v>
      </c>
      <c r="E46" t="s">
        <v>336</v>
      </c>
      <c r="F46" t="s">
        <v>1583</v>
      </c>
      <c r="I46" t="s">
        <v>1058</v>
      </c>
      <c r="K46" t="s">
        <v>272</v>
      </c>
      <c r="L46" t="s">
        <v>272</v>
      </c>
      <c r="M46" t="s">
        <v>203</v>
      </c>
      <c r="N46" t="s">
        <v>203</v>
      </c>
      <c r="Q46" s="2" t="str">
        <f>IF($C46="","",IFERROR(VLOOKUP($C46,sources!$A$2:$N$200,2,FALSE()),"?"))</f>
        <v>Newspaper</v>
      </c>
      <c r="R46" s="2" t="str">
        <f t="shared" si="0"/>
        <v>Textual</v>
      </c>
      <c r="S46" s="2" t="str">
        <f>IF($C46="","",IFERROR(VLOOKUP($C46,sources!$A$2:$N$200,9,FALSE()),"?"))</f>
        <v>US press</v>
      </c>
      <c r="T46" t="s">
        <v>5692</v>
      </c>
      <c r="U46">
        <f>IF(OR(B46="",C46="",T46="Retracted",LEFT(D46,8)="Negative"),0,IF(COUNTIFS($B$2:B46,B46,$C$2:C46,C46,$D$2:D46,"&lt;&gt;Negative*",$T$2:T46,"&lt;&gt;Retracted")=1,1,0))</f>
        <v>1</v>
      </c>
    </row>
    <row r="47" spans="1:21" ht="15" customHeight="1" x14ac:dyDescent="0.2">
      <c r="A47" s="4" t="s">
        <v>1632</v>
      </c>
      <c r="B47" t="s">
        <v>340</v>
      </c>
      <c r="C47" t="s">
        <v>1221</v>
      </c>
      <c r="D47" t="s">
        <v>1577</v>
      </c>
      <c r="E47" t="s">
        <v>341</v>
      </c>
      <c r="F47" t="s">
        <v>1633</v>
      </c>
      <c r="I47" t="s">
        <v>1058</v>
      </c>
      <c r="K47" t="s">
        <v>342</v>
      </c>
      <c r="L47" t="s">
        <v>342</v>
      </c>
      <c r="M47" t="s">
        <v>209</v>
      </c>
      <c r="N47" t="s">
        <v>203</v>
      </c>
      <c r="Q47" s="2" t="str">
        <f>IF($C47="","",IFERROR(VLOOKUP($C47,sources!$A$2:$N$200,2,FALSE()),"?"))</f>
        <v>Newspaper</v>
      </c>
      <c r="R47" s="2" t="str">
        <f t="shared" si="0"/>
        <v>Textual</v>
      </c>
      <c r="S47" s="2" t="str">
        <f>IF($C47="","",IFERROR(VLOOKUP($C47,sources!$A$2:$N$200,9,FALSE()),"?"))</f>
        <v>US press</v>
      </c>
      <c r="T47" t="s">
        <v>5692</v>
      </c>
      <c r="U47">
        <f>IF(OR(B47="",C47="",T47="Retracted",LEFT(D47,8)="Negative"),0,IF(COUNTIFS($B$2:B47,B47,$C$2:C47,C47,$D$2:D47,"&lt;&gt;Negative*",$T$2:T47,"&lt;&gt;Retracted")=1,1,0))</f>
        <v>1</v>
      </c>
    </row>
    <row r="48" spans="1:21" ht="15" customHeight="1" x14ac:dyDescent="0.2">
      <c r="A48" s="4" t="s">
        <v>1634</v>
      </c>
      <c r="B48" t="s">
        <v>340</v>
      </c>
      <c r="C48" t="s">
        <v>1203</v>
      </c>
      <c r="D48" t="s">
        <v>1575</v>
      </c>
      <c r="E48" t="s">
        <v>341</v>
      </c>
      <c r="F48" t="s">
        <v>1583</v>
      </c>
      <c r="I48" t="s">
        <v>1058</v>
      </c>
      <c r="K48" t="s">
        <v>283</v>
      </c>
      <c r="L48" t="s">
        <v>283</v>
      </c>
      <c r="M48" t="s">
        <v>209</v>
      </c>
      <c r="N48" t="s">
        <v>203</v>
      </c>
      <c r="Q48" s="2" t="str">
        <f>IF($C48="","",IFERROR(VLOOKUP($C48,sources!$A$2:$N$200,2,FALSE()),"?"))</f>
        <v>Newspaper</v>
      </c>
      <c r="R48" s="2" t="str">
        <f t="shared" si="0"/>
        <v>Textual</v>
      </c>
      <c r="S48" s="2" t="str">
        <f>IF($C48="","",IFERROR(VLOOKUP($C48,sources!$A$2:$N$200,9,FALSE()),"?"))</f>
        <v>US press</v>
      </c>
      <c r="T48" t="s">
        <v>5692</v>
      </c>
      <c r="U48">
        <f>IF(OR(B48="",C48="",T48="Retracted",LEFT(D48,8)="Negative"),0,IF(COUNTIFS($B$2:B48,B48,$C$2:C48,C48,$D$2:D48,"&lt;&gt;Negative*",$T$2:T48,"&lt;&gt;Retracted")=1,1,0))</f>
        <v>1</v>
      </c>
    </row>
    <row r="49" spans="1:21" ht="15" customHeight="1" x14ac:dyDescent="0.2">
      <c r="A49" s="4" t="s">
        <v>1635</v>
      </c>
      <c r="B49" t="s">
        <v>344</v>
      </c>
      <c r="C49" t="s">
        <v>1213</v>
      </c>
      <c r="D49" t="s">
        <v>1575</v>
      </c>
      <c r="E49" t="s">
        <v>345</v>
      </c>
      <c r="F49" t="s">
        <v>1583</v>
      </c>
      <c r="I49" t="s">
        <v>1058</v>
      </c>
      <c r="K49" t="s">
        <v>272</v>
      </c>
      <c r="L49" t="s">
        <v>272</v>
      </c>
      <c r="M49" t="s">
        <v>203</v>
      </c>
      <c r="N49" t="s">
        <v>203</v>
      </c>
      <c r="Q49" s="2" t="str">
        <f>IF($C49="","",IFERROR(VLOOKUP($C49,sources!$A$2:$N$200,2,FALSE()),"?"))</f>
        <v>Newspaper</v>
      </c>
      <c r="R49" s="2" t="str">
        <f t="shared" si="0"/>
        <v>Textual</v>
      </c>
      <c r="S49" s="2" t="str">
        <f>IF($C49="","",IFERROR(VLOOKUP($C49,sources!$A$2:$N$200,9,FALSE()),"?"))</f>
        <v>US press</v>
      </c>
      <c r="T49" t="s">
        <v>5692</v>
      </c>
      <c r="U49">
        <f>IF(OR(B49="",C49="",T49="Retracted",LEFT(D49,8)="Negative"),0,IF(COUNTIFS($B$2:B49,B49,$C$2:C49,C49,$D$2:D49,"&lt;&gt;Negative*",$T$2:T49,"&lt;&gt;Retracted")=1,1,0))</f>
        <v>1</v>
      </c>
    </row>
    <row r="50" spans="1:21" ht="15" customHeight="1" x14ac:dyDescent="0.2">
      <c r="A50" s="4" t="s">
        <v>1636</v>
      </c>
      <c r="B50" t="s">
        <v>344</v>
      </c>
      <c r="C50" t="s">
        <v>1203</v>
      </c>
      <c r="D50" t="s">
        <v>1575</v>
      </c>
      <c r="E50" t="s">
        <v>345</v>
      </c>
      <c r="F50" t="s">
        <v>1583</v>
      </c>
      <c r="I50" t="s">
        <v>1058</v>
      </c>
      <c r="K50" t="s">
        <v>1637</v>
      </c>
      <c r="L50" t="s">
        <v>1637</v>
      </c>
      <c r="M50" t="s">
        <v>209</v>
      </c>
      <c r="N50" t="s">
        <v>203</v>
      </c>
      <c r="Q50" s="2" t="str">
        <f>IF($C50="","",IFERROR(VLOOKUP($C50,sources!$A$2:$N$200,2,FALSE()),"?"))</f>
        <v>Newspaper</v>
      </c>
      <c r="R50" s="2" t="str">
        <f t="shared" si="0"/>
        <v>Textual</v>
      </c>
      <c r="S50" s="2" t="str">
        <f>IF($C50="","",IFERROR(VLOOKUP($C50,sources!$A$2:$N$200,9,FALSE()),"?"))</f>
        <v>US press</v>
      </c>
      <c r="T50" t="s">
        <v>5692</v>
      </c>
      <c r="U50">
        <f>IF(OR(B50="",C50="",T50="Retracted",LEFT(D50,8)="Negative"),0,IF(COUNTIFS($B$2:B50,B50,$C$2:C50,C50,$D$2:D50,"&lt;&gt;Negative*",$T$2:T50,"&lt;&gt;Retracted")=1,1,0))</f>
        <v>1</v>
      </c>
    </row>
    <row r="51" spans="1:21" ht="15" customHeight="1" x14ac:dyDescent="0.2">
      <c r="A51" s="4" t="s">
        <v>1638</v>
      </c>
      <c r="B51" t="s">
        <v>348</v>
      </c>
      <c r="C51" t="s">
        <v>1213</v>
      </c>
      <c r="D51" t="s">
        <v>1575</v>
      </c>
      <c r="E51" t="s">
        <v>349</v>
      </c>
      <c r="F51" t="s">
        <v>1583</v>
      </c>
      <c r="I51" t="s">
        <v>1058</v>
      </c>
      <c r="K51" t="s">
        <v>272</v>
      </c>
      <c r="L51" t="s">
        <v>272</v>
      </c>
      <c r="M51" t="s">
        <v>203</v>
      </c>
      <c r="N51" t="s">
        <v>203</v>
      </c>
      <c r="Q51" s="2" t="str">
        <f>IF($C51="","",IFERROR(VLOOKUP($C51,sources!$A$2:$N$200,2,FALSE()),"?"))</f>
        <v>Newspaper</v>
      </c>
      <c r="R51" s="2" t="str">
        <f t="shared" si="0"/>
        <v>Textual</v>
      </c>
      <c r="S51" s="2" t="str">
        <f>IF($C51="","",IFERROR(VLOOKUP($C51,sources!$A$2:$N$200,9,FALSE()),"?"))</f>
        <v>US press</v>
      </c>
      <c r="T51" t="s">
        <v>5692</v>
      </c>
      <c r="U51">
        <f>IF(OR(B51="",C51="",T51="Retracted",LEFT(D51,8)="Negative"),0,IF(COUNTIFS($B$2:B51,B51,$C$2:C51,C51,$D$2:D51,"&lt;&gt;Negative*",$T$2:T51,"&lt;&gt;Retracted")=1,1,0))</f>
        <v>1</v>
      </c>
    </row>
    <row r="52" spans="1:21" ht="15" customHeight="1" x14ac:dyDescent="0.2">
      <c r="A52" s="4" t="s">
        <v>1639</v>
      </c>
      <c r="B52" t="s">
        <v>348</v>
      </c>
      <c r="C52" t="s">
        <v>1234</v>
      </c>
      <c r="D52" t="s">
        <v>1575</v>
      </c>
      <c r="E52" t="s">
        <v>349</v>
      </c>
      <c r="F52" t="s">
        <v>1583</v>
      </c>
      <c r="I52" t="s">
        <v>1058</v>
      </c>
      <c r="K52" t="s">
        <v>1640</v>
      </c>
      <c r="L52" t="s">
        <v>1640</v>
      </c>
      <c r="M52" t="s">
        <v>203</v>
      </c>
      <c r="N52" t="s">
        <v>203</v>
      </c>
      <c r="Q52" s="2" t="str">
        <f>IF($C52="","",IFERROR(VLOOKUP($C52,sources!$A$2:$N$200,2,FALSE()),"?"))</f>
        <v>Newspaper</v>
      </c>
      <c r="R52" s="2" t="str">
        <f t="shared" si="0"/>
        <v>Textual</v>
      </c>
      <c r="S52" s="2" t="str">
        <f>IF($C52="","",IFERROR(VLOOKUP($C52,sources!$A$2:$N$200,9,FALSE()),"?"))</f>
        <v>Caribbean community</v>
      </c>
      <c r="T52" t="s">
        <v>5692</v>
      </c>
      <c r="U52">
        <f>IF(OR(B52="",C52="",T52="Retracted",LEFT(D52,8)="Negative"),0,IF(COUNTIFS($B$2:B52,B52,$C$2:C52,C52,$D$2:D52,"&lt;&gt;Negative*",$T$2:T52,"&lt;&gt;Retracted")=1,1,0))</f>
        <v>1</v>
      </c>
    </row>
    <row r="53" spans="1:21" ht="15" customHeight="1" x14ac:dyDescent="0.2">
      <c r="A53" s="4" t="s">
        <v>1641</v>
      </c>
      <c r="B53" t="s">
        <v>351</v>
      </c>
      <c r="C53" t="s">
        <v>1213</v>
      </c>
      <c r="D53" t="s">
        <v>1575</v>
      </c>
      <c r="E53" t="s">
        <v>352</v>
      </c>
      <c r="F53" t="s">
        <v>1583</v>
      </c>
      <c r="I53" t="s">
        <v>1058</v>
      </c>
      <c r="K53" t="s">
        <v>272</v>
      </c>
      <c r="L53" t="s">
        <v>272</v>
      </c>
      <c r="M53" t="s">
        <v>203</v>
      </c>
      <c r="N53" t="s">
        <v>203</v>
      </c>
      <c r="Q53" s="2" t="str">
        <f>IF($C53="","",IFERROR(VLOOKUP($C53,sources!$A$2:$N$200,2,FALSE()),"?"))</f>
        <v>Newspaper</v>
      </c>
      <c r="R53" s="2" t="str">
        <f t="shared" si="0"/>
        <v>Textual</v>
      </c>
      <c r="S53" s="2" t="str">
        <f>IF($C53="","",IFERROR(VLOOKUP($C53,sources!$A$2:$N$200,9,FALSE()),"?"))</f>
        <v>US press</v>
      </c>
      <c r="T53" t="s">
        <v>5692</v>
      </c>
      <c r="U53">
        <f>IF(OR(B53="",C53="",T53="Retracted",LEFT(D53,8)="Negative"),0,IF(COUNTIFS($B$2:B53,B53,$C$2:C53,C53,$D$2:D53,"&lt;&gt;Negative*",$T$2:T53,"&lt;&gt;Retracted")=1,1,0))</f>
        <v>1</v>
      </c>
    </row>
    <row r="54" spans="1:21" ht="15" customHeight="1" x14ac:dyDescent="0.2">
      <c r="A54" s="4" t="s">
        <v>1642</v>
      </c>
      <c r="B54" t="s">
        <v>351</v>
      </c>
      <c r="C54" t="s">
        <v>1234</v>
      </c>
      <c r="D54" t="s">
        <v>1564</v>
      </c>
      <c r="E54" t="s">
        <v>1643</v>
      </c>
      <c r="F54" t="s">
        <v>1583</v>
      </c>
      <c r="I54" t="s">
        <v>1058</v>
      </c>
      <c r="K54" t="s">
        <v>1640</v>
      </c>
      <c r="L54" t="s">
        <v>1640</v>
      </c>
      <c r="M54" t="s">
        <v>203</v>
      </c>
      <c r="N54" t="s">
        <v>209</v>
      </c>
      <c r="Q54" s="2" t="str">
        <f>IF($C54="","",IFERROR(VLOOKUP($C54,sources!$A$2:$N$200,2,FALSE()),"?"))</f>
        <v>Newspaper</v>
      </c>
      <c r="R54" s="2" t="str">
        <f t="shared" si="0"/>
        <v>Textual</v>
      </c>
      <c r="S54" s="2" t="str">
        <f>IF($C54="","",IFERROR(VLOOKUP($C54,sources!$A$2:$N$200,9,FALSE()),"?"))</f>
        <v>Caribbean community</v>
      </c>
      <c r="T54" t="s">
        <v>5692</v>
      </c>
      <c r="U54">
        <f>IF(OR(B54="",C54="",T54="Retracted",LEFT(D54,8)="Negative"),0,IF(COUNTIFS($B$2:B54,B54,$C$2:C54,C54,$D$2:D54,"&lt;&gt;Negative*",$T$2:T54,"&lt;&gt;Retracted")=1,1,0))</f>
        <v>1</v>
      </c>
    </row>
    <row r="55" spans="1:21" ht="15" customHeight="1" x14ac:dyDescent="0.2">
      <c r="A55" s="4" t="s">
        <v>1644</v>
      </c>
      <c r="B55" t="s">
        <v>354</v>
      </c>
      <c r="C55" t="s">
        <v>1213</v>
      </c>
      <c r="D55" t="s">
        <v>1575</v>
      </c>
      <c r="E55" t="s">
        <v>355</v>
      </c>
      <c r="F55" t="s">
        <v>1583</v>
      </c>
      <c r="I55" t="s">
        <v>1058</v>
      </c>
      <c r="K55" t="s">
        <v>272</v>
      </c>
      <c r="L55" t="s">
        <v>272</v>
      </c>
      <c r="M55" t="s">
        <v>203</v>
      </c>
      <c r="N55" t="s">
        <v>203</v>
      </c>
      <c r="Q55" s="2" t="str">
        <f>IF($C55="","",IFERROR(VLOOKUP($C55,sources!$A$2:$N$200,2,FALSE()),"?"))</f>
        <v>Newspaper</v>
      </c>
      <c r="R55" s="2" t="str">
        <f t="shared" si="0"/>
        <v>Textual</v>
      </c>
      <c r="S55" s="2" t="str">
        <f>IF($C55="","",IFERROR(VLOOKUP($C55,sources!$A$2:$N$200,9,FALSE()),"?"))</f>
        <v>US press</v>
      </c>
      <c r="T55" t="s">
        <v>5692</v>
      </c>
      <c r="U55">
        <f>IF(OR(B55="",C55="",T55="Retracted",LEFT(D55,8)="Negative"),0,IF(COUNTIFS($B$2:B55,B55,$C$2:C55,C55,$D$2:D55,"&lt;&gt;Negative*",$T$2:T55,"&lt;&gt;Retracted")=1,1,0))</f>
        <v>1</v>
      </c>
    </row>
    <row r="56" spans="1:21" ht="15" customHeight="1" x14ac:dyDescent="0.2">
      <c r="A56" s="4" t="s">
        <v>1645</v>
      </c>
      <c r="B56" t="s">
        <v>354</v>
      </c>
      <c r="C56" t="s">
        <v>1234</v>
      </c>
      <c r="D56" t="s">
        <v>1575</v>
      </c>
      <c r="E56" t="s">
        <v>355</v>
      </c>
      <c r="F56" t="s">
        <v>1583</v>
      </c>
      <c r="I56" t="s">
        <v>1058</v>
      </c>
      <c r="K56" t="s">
        <v>1646</v>
      </c>
      <c r="L56" t="s">
        <v>1646</v>
      </c>
      <c r="M56" t="s">
        <v>203</v>
      </c>
      <c r="N56" t="s">
        <v>203</v>
      </c>
      <c r="Q56" s="2" t="str">
        <f>IF($C56="","",IFERROR(VLOOKUP($C56,sources!$A$2:$N$200,2,FALSE()),"?"))</f>
        <v>Newspaper</v>
      </c>
      <c r="R56" s="2" t="str">
        <f t="shared" si="0"/>
        <v>Textual</v>
      </c>
      <c r="S56" s="2" t="str">
        <f>IF($C56="","",IFERROR(VLOOKUP($C56,sources!$A$2:$N$200,9,FALSE()),"?"))</f>
        <v>Caribbean community</v>
      </c>
      <c r="T56" t="s">
        <v>5692</v>
      </c>
      <c r="U56">
        <f>IF(OR(B56="",C56="",T56="Retracted",LEFT(D56,8)="Negative"),0,IF(COUNTIFS($B$2:B56,B56,$C$2:C56,C56,$D$2:D56,"&lt;&gt;Negative*",$T$2:T56,"&lt;&gt;Retracted")=1,1,0))</f>
        <v>1</v>
      </c>
    </row>
    <row r="57" spans="1:21" ht="15" customHeight="1" x14ac:dyDescent="0.2">
      <c r="A57" s="4" t="s">
        <v>1647</v>
      </c>
      <c r="B57" t="s">
        <v>357</v>
      </c>
      <c r="C57" t="s">
        <v>1213</v>
      </c>
      <c r="D57" t="s">
        <v>1575</v>
      </c>
      <c r="E57" t="s">
        <v>358</v>
      </c>
      <c r="F57" t="s">
        <v>1583</v>
      </c>
      <c r="I57" t="s">
        <v>1058</v>
      </c>
      <c r="K57" t="s">
        <v>272</v>
      </c>
      <c r="L57" t="s">
        <v>272</v>
      </c>
      <c r="M57" t="s">
        <v>203</v>
      </c>
      <c r="N57" t="s">
        <v>203</v>
      </c>
      <c r="Q57" s="2" t="str">
        <f>IF($C57="","",IFERROR(VLOOKUP($C57,sources!$A$2:$N$200,2,FALSE()),"?"))</f>
        <v>Newspaper</v>
      </c>
      <c r="R57" s="2" t="str">
        <f t="shared" si="0"/>
        <v>Textual</v>
      </c>
      <c r="S57" s="2" t="str">
        <f>IF($C57="","",IFERROR(VLOOKUP($C57,sources!$A$2:$N$200,9,FALSE()),"?"))</f>
        <v>US press</v>
      </c>
      <c r="T57" t="s">
        <v>5692</v>
      </c>
      <c r="U57">
        <f>IF(OR(B57="",C57="",T57="Retracted",LEFT(D57,8)="Negative"),0,IF(COUNTIFS($B$2:B57,B57,$C$2:C57,C57,$D$2:D57,"&lt;&gt;Negative*",$T$2:T57,"&lt;&gt;Retracted")=1,1,0))</f>
        <v>1</v>
      </c>
    </row>
    <row r="58" spans="1:21" ht="15" customHeight="1" x14ac:dyDescent="0.2">
      <c r="A58" s="4" t="s">
        <v>1648</v>
      </c>
      <c r="B58" t="s">
        <v>357</v>
      </c>
      <c r="C58" t="s">
        <v>1234</v>
      </c>
      <c r="D58" t="s">
        <v>1575</v>
      </c>
      <c r="E58" t="s">
        <v>358</v>
      </c>
      <c r="F58" t="s">
        <v>1583</v>
      </c>
      <c r="I58" t="s">
        <v>1058</v>
      </c>
      <c r="K58" t="s">
        <v>1640</v>
      </c>
      <c r="L58" t="s">
        <v>1640</v>
      </c>
      <c r="M58" t="s">
        <v>203</v>
      </c>
      <c r="N58" t="s">
        <v>203</v>
      </c>
      <c r="Q58" s="2" t="str">
        <f>IF($C58="","",IFERROR(VLOOKUP($C58,sources!$A$2:$N$200,2,FALSE()),"?"))</f>
        <v>Newspaper</v>
      </c>
      <c r="R58" s="2" t="str">
        <f t="shared" si="0"/>
        <v>Textual</v>
      </c>
      <c r="S58" s="2" t="str">
        <f>IF($C58="","",IFERROR(VLOOKUP($C58,sources!$A$2:$N$200,9,FALSE()),"?"))</f>
        <v>Caribbean community</v>
      </c>
      <c r="T58" t="s">
        <v>5692</v>
      </c>
      <c r="U58">
        <f>IF(OR(B58="",C58="",T58="Retracted",LEFT(D58,8)="Negative"),0,IF(COUNTIFS($B$2:B58,B58,$C$2:C58,C58,$D$2:D58,"&lt;&gt;Negative*",$T$2:T58,"&lt;&gt;Retracted")=1,1,0))</f>
        <v>1</v>
      </c>
    </row>
    <row r="59" spans="1:21" ht="15" customHeight="1" x14ac:dyDescent="0.2">
      <c r="A59" s="4" t="s">
        <v>1649</v>
      </c>
      <c r="B59" t="s">
        <v>360</v>
      </c>
      <c r="C59" t="s">
        <v>1213</v>
      </c>
      <c r="D59" t="s">
        <v>1575</v>
      </c>
      <c r="E59" t="s">
        <v>361</v>
      </c>
      <c r="F59" t="s">
        <v>1583</v>
      </c>
      <c r="I59" t="s">
        <v>1058</v>
      </c>
      <c r="K59" t="s">
        <v>272</v>
      </c>
      <c r="L59" t="s">
        <v>272</v>
      </c>
      <c r="M59" t="s">
        <v>203</v>
      </c>
      <c r="N59" t="s">
        <v>203</v>
      </c>
      <c r="Q59" s="2" t="str">
        <f>IF($C59="","",IFERROR(VLOOKUP($C59,sources!$A$2:$N$200,2,FALSE()),"?"))</f>
        <v>Newspaper</v>
      </c>
      <c r="R59" s="2" t="str">
        <f t="shared" si="0"/>
        <v>Textual</v>
      </c>
      <c r="S59" s="2" t="str">
        <f>IF($C59="","",IFERROR(VLOOKUP($C59,sources!$A$2:$N$200,9,FALSE()),"?"))</f>
        <v>US press</v>
      </c>
      <c r="T59" t="s">
        <v>5692</v>
      </c>
      <c r="U59">
        <f>IF(OR(B59="",C59="",T59="Retracted",LEFT(D59,8)="Negative"),0,IF(COUNTIFS($B$2:B59,B59,$C$2:C59,C59,$D$2:D59,"&lt;&gt;Negative*",$T$2:T59,"&lt;&gt;Retracted")=1,1,0))</f>
        <v>1</v>
      </c>
    </row>
    <row r="60" spans="1:21" ht="15" customHeight="1" x14ac:dyDescent="0.2">
      <c r="A60" s="4" t="s">
        <v>1650</v>
      </c>
      <c r="B60" t="s">
        <v>360</v>
      </c>
      <c r="C60" t="s">
        <v>1234</v>
      </c>
      <c r="D60" t="s">
        <v>1575</v>
      </c>
      <c r="E60" t="s">
        <v>361</v>
      </c>
      <c r="F60" t="s">
        <v>1583</v>
      </c>
      <c r="I60" t="s">
        <v>1058</v>
      </c>
      <c r="K60" t="s">
        <v>1646</v>
      </c>
      <c r="L60" t="s">
        <v>1646</v>
      </c>
      <c r="M60" t="s">
        <v>203</v>
      </c>
      <c r="N60" t="s">
        <v>203</v>
      </c>
      <c r="Q60" s="2" t="str">
        <f>IF($C60="","",IFERROR(VLOOKUP($C60,sources!$A$2:$N$200,2,FALSE()),"?"))</f>
        <v>Newspaper</v>
      </c>
      <c r="R60" s="2" t="str">
        <f t="shared" si="0"/>
        <v>Textual</v>
      </c>
      <c r="S60" s="2" t="str">
        <f>IF($C60="","",IFERROR(VLOOKUP($C60,sources!$A$2:$N$200,9,FALSE()),"?"))</f>
        <v>Caribbean community</v>
      </c>
      <c r="T60" t="s">
        <v>5692</v>
      </c>
      <c r="U60">
        <f>IF(OR(B60="",C60="",T60="Retracted",LEFT(D60,8)="Negative"),0,IF(COUNTIFS($B$2:B60,B60,$C$2:C60,C60,$D$2:D60,"&lt;&gt;Negative*",$T$2:T60,"&lt;&gt;Retracted")=1,1,0))</f>
        <v>1</v>
      </c>
    </row>
    <row r="61" spans="1:21" ht="15" customHeight="1" x14ac:dyDescent="0.2">
      <c r="A61" s="4" t="s">
        <v>1651</v>
      </c>
      <c r="B61" t="s">
        <v>363</v>
      </c>
      <c r="C61" t="s">
        <v>1213</v>
      </c>
      <c r="D61" t="s">
        <v>1575</v>
      </c>
      <c r="E61" t="s">
        <v>364</v>
      </c>
      <c r="F61" t="s">
        <v>1583</v>
      </c>
      <c r="I61" t="s">
        <v>1058</v>
      </c>
      <c r="K61" t="s">
        <v>272</v>
      </c>
      <c r="L61" t="s">
        <v>272</v>
      </c>
      <c r="M61" t="s">
        <v>203</v>
      </c>
      <c r="N61" t="s">
        <v>203</v>
      </c>
      <c r="Q61" s="2" t="str">
        <f>IF($C61="","",IFERROR(VLOOKUP($C61,sources!$A$2:$N$200,2,FALSE()),"?"))</f>
        <v>Newspaper</v>
      </c>
      <c r="R61" s="2" t="str">
        <f t="shared" si="0"/>
        <v>Textual</v>
      </c>
      <c r="S61" s="2" t="str">
        <f>IF($C61="","",IFERROR(VLOOKUP($C61,sources!$A$2:$N$200,9,FALSE()),"?"))</f>
        <v>US press</v>
      </c>
      <c r="T61" t="s">
        <v>5692</v>
      </c>
      <c r="U61">
        <f>IF(OR(B61="",C61="",T61="Retracted",LEFT(D61,8)="Negative"),0,IF(COUNTIFS($B$2:B61,B61,$C$2:C61,C61,$D$2:D61,"&lt;&gt;Negative*",$T$2:T61,"&lt;&gt;Retracted")=1,1,0))</f>
        <v>1</v>
      </c>
    </row>
    <row r="62" spans="1:21" ht="15" customHeight="1" x14ac:dyDescent="0.2">
      <c r="A62" s="4" t="s">
        <v>1652</v>
      </c>
      <c r="B62" t="s">
        <v>363</v>
      </c>
      <c r="C62" t="s">
        <v>1221</v>
      </c>
      <c r="D62" t="s">
        <v>1577</v>
      </c>
      <c r="E62" t="s">
        <v>364</v>
      </c>
      <c r="F62" t="s">
        <v>1633</v>
      </c>
      <c r="I62" t="s">
        <v>1058</v>
      </c>
      <c r="K62" t="s">
        <v>1172</v>
      </c>
      <c r="L62" t="s">
        <v>1172</v>
      </c>
      <c r="M62" t="s">
        <v>209</v>
      </c>
      <c r="N62" t="s">
        <v>203</v>
      </c>
      <c r="Q62" s="2" t="str">
        <f>IF($C62="","",IFERROR(VLOOKUP($C62,sources!$A$2:$N$200,2,FALSE()),"?"))</f>
        <v>Newspaper</v>
      </c>
      <c r="R62" s="2" t="str">
        <f t="shared" si="0"/>
        <v>Textual</v>
      </c>
      <c r="S62" s="2" t="str">
        <f>IF($C62="","",IFERROR(VLOOKUP($C62,sources!$A$2:$N$200,9,FALSE()),"?"))</f>
        <v>US press</v>
      </c>
      <c r="T62" t="s">
        <v>5692</v>
      </c>
      <c r="U62">
        <f>IF(OR(B62="",C62="",T62="Retracted",LEFT(D62,8)="Negative"),0,IF(COUNTIFS($B$2:B62,B62,$C$2:C62,C62,$D$2:D62,"&lt;&gt;Negative*",$T$2:T62,"&lt;&gt;Retracted")=1,1,0))</f>
        <v>1</v>
      </c>
    </row>
    <row r="63" spans="1:21" ht="15" customHeight="1" x14ac:dyDescent="0.2">
      <c r="A63" s="4" t="s">
        <v>1653</v>
      </c>
      <c r="B63" t="s">
        <v>363</v>
      </c>
      <c r="C63" t="s">
        <v>1234</v>
      </c>
      <c r="D63" t="s">
        <v>1564</v>
      </c>
      <c r="E63" t="s">
        <v>1654</v>
      </c>
      <c r="F63" t="s">
        <v>1583</v>
      </c>
      <c r="I63" t="s">
        <v>1058</v>
      </c>
      <c r="K63" t="s">
        <v>1640</v>
      </c>
      <c r="L63" t="s">
        <v>1640</v>
      </c>
      <c r="M63" t="s">
        <v>203</v>
      </c>
      <c r="N63" t="s">
        <v>203</v>
      </c>
      <c r="Q63" s="2" t="str">
        <f>IF($C63="","",IFERROR(VLOOKUP($C63,sources!$A$2:$N$200,2,FALSE()),"?"))</f>
        <v>Newspaper</v>
      </c>
      <c r="R63" s="2" t="str">
        <f t="shared" si="0"/>
        <v>Textual</v>
      </c>
      <c r="S63" s="2" t="str">
        <f>IF($C63="","",IFERROR(VLOOKUP($C63,sources!$A$2:$N$200,9,FALSE()),"?"))</f>
        <v>Caribbean community</v>
      </c>
      <c r="T63" t="s">
        <v>5692</v>
      </c>
      <c r="U63">
        <f>IF(OR(B63="",C63="",T63="Retracted",LEFT(D63,8)="Negative"),0,IF(COUNTIFS($B$2:B63,B63,$C$2:C63,C63,$D$2:D63,"&lt;&gt;Negative*",$T$2:T63,"&lt;&gt;Retracted")=1,1,0))</f>
        <v>1</v>
      </c>
    </row>
    <row r="64" spans="1:21" ht="15" customHeight="1" x14ac:dyDescent="0.2">
      <c r="A64" s="4" t="s">
        <v>1655</v>
      </c>
      <c r="B64" t="s">
        <v>179</v>
      </c>
      <c r="C64" t="s">
        <v>1221</v>
      </c>
      <c r="D64" t="s">
        <v>1577</v>
      </c>
      <c r="E64" t="s">
        <v>180</v>
      </c>
      <c r="F64" t="s">
        <v>1633</v>
      </c>
      <c r="I64" t="s">
        <v>1058</v>
      </c>
      <c r="K64" t="s">
        <v>1040</v>
      </c>
      <c r="L64" t="s">
        <v>1040</v>
      </c>
      <c r="M64" t="s">
        <v>209</v>
      </c>
      <c r="N64" t="s">
        <v>203</v>
      </c>
      <c r="Q64" s="2" t="str">
        <f>IF($C64="","",IFERROR(VLOOKUP($C64,sources!$A$2:$N$200,2,FALSE()),"?"))</f>
        <v>Newspaper</v>
      </c>
      <c r="R64" s="2" t="str">
        <f t="shared" si="0"/>
        <v>Textual</v>
      </c>
      <c r="S64" s="2" t="str">
        <f>IF($C64="","",IFERROR(VLOOKUP($C64,sources!$A$2:$N$200,9,FALSE()),"?"))</f>
        <v>US press</v>
      </c>
      <c r="T64" t="s">
        <v>5692</v>
      </c>
      <c r="U64">
        <f>IF(OR(B64="",C64="",T64="Retracted",LEFT(D64,8)="Negative"),0,IF(COUNTIFS($B$2:B64,B64,$C$2:C64,C64,$D$2:D64,"&lt;&gt;Negative*",$T$2:T64,"&lt;&gt;Retracted")=1,1,0))</f>
        <v>1</v>
      </c>
    </row>
    <row r="65" spans="1:21" ht="15" customHeight="1" x14ac:dyDescent="0.2">
      <c r="A65" s="4" t="s">
        <v>1656</v>
      </c>
      <c r="B65" t="s">
        <v>179</v>
      </c>
      <c r="C65" t="s">
        <v>1228</v>
      </c>
      <c r="D65" t="s">
        <v>1564</v>
      </c>
      <c r="E65" t="s">
        <v>1657</v>
      </c>
      <c r="F65" t="s">
        <v>1583</v>
      </c>
      <c r="I65" t="s">
        <v>1058</v>
      </c>
      <c r="K65" t="s">
        <v>1172</v>
      </c>
      <c r="L65" t="s">
        <v>342</v>
      </c>
      <c r="M65" t="s">
        <v>203</v>
      </c>
      <c r="N65" t="s">
        <v>203</v>
      </c>
      <c r="Q65" s="2" t="str">
        <f>IF($C65="","",IFERROR(VLOOKUP($C65,sources!$A$2:$N$200,2,FALSE()),"?"))</f>
        <v>Newspaper</v>
      </c>
      <c r="R65" s="2" t="str">
        <f t="shared" si="0"/>
        <v>Textual</v>
      </c>
      <c r="S65" s="2" t="str">
        <f>IF($C65="","",IFERROR(VLOOKUP($C65,sources!$A$2:$N$200,9,FALSE()),"?"))</f>
        <v>US official</v>
      </c>
      <c r="T65" t="s">
        <v>5692</v>
      </c>
      <c r="U65">
        <f>IF(OR(B65="",C65="",T65="Retracted",LEFT(D65,8)="Negative"),0,IF(COUNTIFS($B$2:B65,B65,$C$2:C65,C65,$D$2:D65,"&lt;&gt;Negative*",$T$2:T65,"&lt;&gt;Retracted")=1,1,0))</f>
        <v>1</v>
      </c>
    </row>
    <row r="66" spans="1:21" ht="15" customHeight="1" x14ac:dyDescent="0.2">
      <c r="A66" s="4" t="s">
        <v>1658</v>
      </c>
      <c r="B66" t="s">
        <v>194</v>
      </c>
      <c r="C66" t="s">
        <v>1228</v>
      </c>
      <c r="D66" t="s">
        <v>1575</v>
      </c>
      <c r="E66" t="s">
        <v>1659</v>
      </c>
      <c r="F66" t="s">
        <v>1583</v>
      </c>
      <c r="I66" t="s">
        <v>1058</v>
      </c>
      <c r="K66" t="s">
        <v>1172</v>
      </c>
      <c r="L66" t="s">
        <v>342</v>
      </c>
      <c r="M66" t="s">
        <v>203</v>
      </c>
      <c r="N66" t="s">
        <v>203</v>
      </c>
      <c r="Q66" s="2" t="str">
        <f>IF($C66="","",IFERROR(VLOOKUP($C66,sources!$A$2:$N$200,2,FALSE()),"?"))</f>
        <v>Newspaper</v>
      </c>
      <c r="R66" s="2" t="str">
        <f t="shared" ref="R66:R129" si="1">IF($Q66="","",IF($Q66="Map","Map",IF(OR($Q66="Photograph",$Q66="Postcard"),"Image",IF(OR($Q66="Census or roll",$Q66="Report",$Q66="Newspaper",$Q66="Letter",$Q66="Memoir",$Q66="Administrative",$Q66="Web compilation"),"Textual",IF($Q66="Legal claim","Legal/admin",IF($Q66="Secondary","Secondary","Other"))))))</f>
        <v>Textual</v>
      </c>
      <c r="S66" s="2" t="str">
        <f>IF($C66="","",IFERROR(VLOOKUP($C66,sources!$A$2:$N$200,9,FALSE()),"?"))</f>
        <v>US official</v>
      </c>
      <c r="T66" t="s">
        <v>5692</v>
      </c>
      <c r="U66">
        <f>IF(OR(B66="",C66="",T66="Retracted",LEFT(D66,8)="Negative"),0,IF(COUNTIFS($B$2:B66,B66,$C$2:C66,C66,$D$2:D66,"&lt;&gt;Negative*",$T$2:T66,"&lt;&gt;Retracted")=1,1,0))</f>
        <v>1</v>
      </c>
    </row>
    <row r="67" spans="1:21" ht="15" customHeight="1" x14ac:dyDescent="0.2">
      <c r="A67" s="4" t="s">
        <v>1660</v>
      </c>
      <c r="B67" t="s">
        <v>199</v>
      </c>
      <c r="C67" t="s">
        <v>1228</v>
      </c>
      <c r="D67" t="s">
        <v>1564</v>
      </c>
      <c r="E67" t="s">
        <v>1661</v>
      </c>
      <c r="F67" t="s">
        <v>1583</v>
      </c>
      <c r="I67" t="s">
        <v>1058</v>
      </c>
      <c r="K67" t="s">
        <v>1172</v>
      </c>
      <c r="L67" t="s">
        <v>342</v>
      </c>
      <c r="M67" t="s">
        <v>203</v>
      </c>
      <c r="N67" t="s">
        <v>203</v>
      </c>
      <c r="Q67" s="2" t="str">
        <f>IF($C67="","",IFERROR(VLOOKUP($C67,sources!$A$2:$N$200,2,FALSE()),"?"))</f>
        <v>Newspaper</v>
      </c>
      <c r="R67" s="2" t="str">
        <f t="shared" si="1"/>
        <v>Textual</v>
      </c>
      <c r="S67" s="2" t="str">
        <f>IF($C67="","",IFERROR(VLOOKUP($C67,sources!$A$2:$N$200,9,FALSE()),"?"))</f>
        <v>US official</v>
      </c>
      <c r="T67" t="s">
        <v>5692</v>
      </c>
      <c r="U67">
        <f>IF(OR(B67="",C67="",T67="Retracted",LEFT(D67,8)="Negative"),0,IF(COUNTIFS($B$2:B67,B67,$C$2:C67,C67,$D$2:D67,"&lt;&gt;Negative*",$T$2:T67,"&lt;&gt;Retracted")=1,1,0))</f>
        <v>1</v>
      </c>
    </row>
    <row r="68" spans="1:21" ht="15" customHeight="1" x14ac:dyDescent="0.2">
      <c r="A68" s="4" t="s">
        <v>1662</v>
      </c>
      <c r="B68" t="s">
        <v>205</v>
      </c>
      <c r="C68" t="s">
        <v>1228</v>
      </c>
      <c r="D68" t="s">
        <v>1564</v>
      </c>
      <c r="E68" t="s">
        <v>206</v>
      </c>
      <c r="F68" t="s">
        <v>1583</v>
      </c>
      <c r="I68" t="s">
        <v>1058</v>
      </c>
      <c r="K68" t="s">
        <v>1172</v>
      </c>
      <c r="L68" t="s">
        <v>342</v>
      </c>
      <c r="M68" t="s">
        <v>203</v>
      </c>
      <c r="N68" t="s">
        <v>203</v>
      </c>
      <c r="Q68" s="2" t="str">
        <f>IF($C68="","",IFERROR(VLOOKUP($C68,sources!$A$2:$N$200,2,FALSE()),"?"))</f>
        <v>Newspaper</v>
      </c>
      <c r="R68" s="2" t="str">
        <f t="shared" si="1"/>
        <v>Textual</v>
      </c>
      <c r="S68" s="2" t="str">
        <f>IF($C68="","",IFERROR(VLOOKUP($C68,sources!$A$2:$N$200,9,FALSE()),"?"))</f>
        <v>US official</v>
      </c>
      <c r="T68" t="s">
        <v>5692</v>
      </c>
      <c r="U68">
        <f>IF(OR(B68="",C68="",T68="Retracted",LEFT(D68,8)="Negative"),0,IF(COUNTIFS($B$2:B68,B68,$C$2:C68,C68,$D$2:D68,"&lt;&gt;Negative*",$T$2:T68,"&lt;&gt;Retracted")=1,1,0))</f>
        <v>1</v>
      </c>
    </row>
    <row r="69" spans="1:21" ht="15" customHeight="1" x14ac:dyDescent="0.2">
      <c r="A69" s="4" t="s">
        <v>1663</v>
      </c>
      <c r="B69" t="s">
        <v>211</v>
      </c>
      <c r="C69" t="s">
        <v>1228</v>
      </c>
      <c r="D69" t="s">
        <v>1564</v>
      </c>
      <c r="E69" t="s">
        <v>212</v>
      </c>
      <c r="F69" t="s">
        <v>1583</v>
      </c>
      <c r="I69" t="s">
        <v>1058</v>
      </c>
      <c r="K69" t="s">
        <v>1172</v>
      </c>
      <c r="L69" t="s">
        <v>342</v>
      </c>
      <c r="M69" t="s">
        <v>203</v>
      </c>
      <c r="N69" t="s">
        <v>203</v>
      </c>
      <c r="Q69" s="2" t="str">
        <f>IF($C69="","",IFERROR(VLOOKUP($C69,sources!$A$2:$N$200,2,FALSE()),"?"))</f>
        <v>Newspaper</v>
      </c>
      <c r="R69" s="2" t="str">
        <f t="shared" si="1"/>
        <v>Textual</v>
      </c>
      <c r="S69" s="2" t="str">
        <f>IF($C69="","",IFERROR(VLOOKUP($C69,sources!$A$2:$N$200,9,FALSE()),"?"))</f>
        <v>US official</v>
      </c>
      <c r="T69" t="s">
        <v>5692</v>
      </c>
      <c r="U69">
        <f>IF(OR(B69="",C69="",T69="Retracted",LEFT(D69,8)="Negative"),0,IF(COUNTIFS($B$2:B69,B69,$C$2:C69,C69,$D$2:D69,"&lt;&gt;Negative*",$T$2:T69,"&lt;&gt;Retracted")=1,1,0))</f>
        <v>1</v>
      </c>
    </row>
    <row r="70" spans="1:21" ht="15" customHeight="1" x14ac:dyDescent="0.2">
      <c r="A70" s="4" t="s">
        <v>1664</v>
      </c>
      <c r="B70" t="s">
        <v>213</v>
      </c>
      <c r="C70" t="s">
        <v>1228</v>
      </c>
      <c r="D70" t="s">
        <v>1564</v>
      </c>
      <c r="E70" t="s">
        <v>214</v>
      </c>
      <c r="F70" t="s">
        <v>1583</v>
      </c>
      <c r="I70" t="s">
        <v>1058</v>
      </c>
      <c r="K70" t="s">
        <v>1172</v>
      </c>
      <c r="L70" t="s">
        <v>342</v>
      </c>
      <c r="M70" t="s">
        <v>203</v>
      </c>
      <c r="N70" t="s">
        <v>203</v>
      </c>
      <c r="Q70" s="2" t="str">
        <f>IF($C70="","",IFERROR(VLOOKUP($C70,sources!$A$2:$N$200,2,FALSE()),"?"))</f>
        <v>Newspaper</v>
      </c>
      <c r="R70" s="2" t="str">
        <f t="shared" si="1"/>
        <v>Textual</v>
      </c>
      <c r="S70" s="2" t="str">
        <f>IF($C70="","",IFERROR(VLOOKUP($C70,sources!$A$2:$N$200,9,FALSE()),"?"))</f>
        <v>US official</v>
      </c>
      <c r="T70" t="s">
        <v>5692</v>
      </c>
      <c r="U70">
        <f>IF(OR(B70="",C70="",T70="Retracted",LEFT(D70,8)="Negative"),0,IF(COUNTIFS($B$2:B70,B70,$C$2:C70,C70,$D$2:D70,"&lt;&gt;Negative*",$T$2:T70,"&lt;&gt;Retracted")=1,1,0))</f>
        <v>1</v>
      </c>
    </row>
    <row r="71" spans="1:21" ht="15" customHeight="1" x14ac:dyDescent="0.2">
      <c r="A71" s="4" t="s">
        <v>1665</v>
      </c>
      <c r="B71" t="s">
        <v>215</v>
      </c>
      <c r="C71" t="s">
        <v>1228</v>
      </c>
      <c r="D71" t="s">
        <v>1564</v>
      </c>
      <c r="E71" t="s">
        <v>1666</v>
      </c>
      <c r="F71" t="s">
        <v>1583</v>
      </c>
      <c r="I71" t="s">
        <v>1058</v>
      </c>
      <c r="K71" t="s">
        <v>1172</v>
      </c>
      <c r="L71" t="s">
        <v>342</v>
      </c>
      <c r="M71" t="s">
        <v>203</v>
      </c>
      <c r="N71" t="s">
        <v>203</v>
      </c>
      <c r="Q71" s="2" t="str">
        <f>IF($C71="","",IFERROR(VLOOKUP($C71,sources!$A$2:$N$200,2,FALSE()),"?"))</f>
        <v>Newspaper</v>
      </c>
      <c r="R71" s="2" t="str">
        <f t="shared" si="1"/>
        <v>Textual</v>
      </c>
      <c r="S71" s="2" t="str">
        <f>IF($C71="","",IFERROR(VLOOKUP($C71,sources!$A$2:$N$200,9,FALSE()),"?"))</f>
        <v>US official</v>
      </c>
      <c r="T71" t="s">
        <v>5692</v>
      </c>
      <c r="U71">
        <f>IF(OR(B71="",C71="",T71="Retracted",LEFT(D71,8)="Negative"),0,IF(COUNTIFS($B$2:B71,B71,$C$2:C71,C71,$D$2:D71,"&lt;&gt;Negative*",$T$2:T71,"&lt;&gt;Retracted")=1,1,0))</f>
        <v>1</v>
      </c>
    </row>
    <row r="72" spans="1:21" x14ac:dyDescent="0.2">
      <c r="A72" t="s">
        <v>1667</v>
      </c>
      <c r="B72" t="s">
        <v>217</v>
      </c>
      <c r="C72" t="s">
        <v>1228</v>
      </c>
      <c r="D72" t="s">
        <v>1564</v>
      </c>
      <c r="E72" t="s">
        <v>1668</v>
      </c>
      <c r="F72" t="s">
        <v>1583</v>
      </c>
      <c r="I72" t="s">
        <v>1058</v>
      </c>
      <c r="K72" t="s">
        <v>1172</v>
      </c>
      <c r="L72" t="s">
        <v>342</v>
      </c>
      <c r="M72" t="s">
        <v>203</v>
      </c>
      <c r="N72" t="s">
        <v>203</v>
      </c>
      <c r="Q72" s="2" t="str">
        <f>IF($C72="","",IFERROR(VLOOKUP($C72,sources!$A$2:$N$200,2,FALSE()),"?"))</f>
        <v>Newspaper</v>
      </c>
      <c r="R72" s="2" t="str">
        <f t="shared" si="1"/>
        <v>Textual</v>
      </c>
      <c r="S72" s="2" t="str">
        <f>IF($C72="","",IFERROR(VLOOKUP($C72,sources!$A$2:$N$200,9,FALSE()),"?"))</f>
        <v>US official</v>
      </c>
      <c r="T72" t="s">
        <v>5692</v>
      </c>
      <c r="U72">
        <f>IF(OR(B72="",C72="",T72="Retracted",LEFT(D72,8)="Negative"),0,IF(COUNTIFS($B$2:B72,B72,$C$2:C72,C72,$D$2:D72,"&lt;&gt;Negative*",$T$2:T72,"&lt;&gt;Retracted")=1,1,0))</f>
        <v>1</v>
      </c>
    </row>
    <row r="73" spans="1:21" x14ac:dyDescent="0.2">
      <c r="A73" t="s">
        <v>1669</v>
      </c>
      <c r="B73" t="s">
        <v>219</v>
      </c>
      <c r="C73" t="s">
        <v>1228</v>
      </c>
      <c r="D73" t="s">
        <v>1577</v>
      </c>
      <c r="E73" t="s">
        <v>1578</v>
      </c>
      <c r="F73" t="s">
        <v>1583</v>
      </c>
      <c r="I73" t="s">
        <v>1058</v>
      </c>
      <c r="K73" t="s">
        <v>1172</v>
      </c>
      <c r="L73" t="s">
        <v>342</v>
      </c>
      <c r="M73" t="s">
        <v>203</v>
      </c>
      <c r="N73" t="s">
        <v>203</v>
      </c>
      <c r="Q73" s="2" t="str">
        <f>IF($C73="","",IFERROR(VLOOKUP($C73,sources!$A$2:$N$200,2,FALSE()),"?"))</f>
        <v>Newspaper</v>
      </c>
      <c r="R73" s="2" t="str">
        <f t="shared" si="1"/>
        <v>Textual</v>
      </c>
      <c r="S73" s="2" t="str">
        <f>IF($C73="","",IFERROR(VLOOKUP($C73,sources!$A$2:$N$200,9,FALSE()),"?"))</f>
        <v>US official</v>
      </c>
      <c r="T73" t="s">
        <v>5692</v>
      </c>
      <c r="U73">
        <f>IF(OR(B73="",C73="",T73="Retracted",LEFT(D73,8)="Negative"),0,IF(COUNTIFS($B$2:B73,B73,$C$2:C73,C73,$D$2:D73,"&lt;&gt;Negative*",$T$2:T73,"&lt;&gt;Retracted")=1,1,0))</f>
        <v>1</v>
      </c>
    </row>
    <row r="74" spans="1:21" x14ac:dyDescent="0.2">
      <c r="A74" t="s">
        <v>1670</v>
      </c>
      <c r="B74" t="s">
        <v>242</v>
      </c>
      <c r="C74" t="s">
        <v>1221</v>
      </c>
      <c r="D74" t="s">
        <v>1577</v>
      </c>
      <c r="E74" t="s">
        <v>243</v>
      </c>
      <c r="F74" t="s">
        <v>1633</v>
      </c>
      <c r="I74" t="s">
        <v>1058</v>
      </c>
      <c r="K74" t="s">
        <v>1040</v>
      </c>
      <c r="L74" t="s">
        <v>1040</v>
      </c>
      <c r="M74" t="s">
        <v>209</v>
      </c>
      <c r="N74" t="s">
        <v>203</v>
      </c>
      <c r="Q74" s="2" t="str">
        <f>IF($C74="","",IFERROR(VLOOKUP($C74,sources!$A$2:$N$200,2,FALSE()),"?"))</f>
        <v>Newspaper</v>
      </c>
      <c r="R74" s="2" t="str">
        <f t="shared" si="1"/>
        <v>Textual</v>
      </c>
      <c r="S74" s="2" t="str">
        <f>IF($C74="","",IFERROR(VLOOKUP($C74,sources!$A$2:$N$200,9,FALSE()),"?"))</f>
        <v>US press</v>
      </c>
      <c r="T74" t="s">
        <v>5692</v>
      </c>
      <c r="U74">
        <f>IF(OR(B74="",C74="",T74="Retracted",LEFT(D74,8)="Negative"),0,IF(COUNTIFS($B$2:B74,B74,$C$2:C74,C74,$D$2:D74,"&lt;&gt;Negative*",$T$2:T74,"&lt;&gt;Retracted")=1,1,0))</f>
        <v>1</v>
      </c>
    </row>
    <row r="75" spans="1:21" x14ac:dyDescent="0.2">
      <c r="A75" t="s">
        <v>1671</v>
      </c>
      <c r="B75" t="s">
        <v>253</v>
      </c>
      <c r="C75" t="s">
        <v>1221</v>
      </c>
      <c r="D75" t="s">
        <v>1577</v>
      </c>
      <c r="E75" t="s">
        <v>1672</v>
      </c>
      <c r="F75" t="s">
        <v>1633</v>
      </c>
      <c r="I75" t="s">
        <v>1058</v>
      </c>
      <c r="K75" t="s">
        <v>1172</v>
      </c>
      <c r="L75" t="s">
        <v>1172</v>
      </c>
      <c r="M75" t="s">
        <v>209</v>
      </c>
      <c r="N75" t="s">
        <v>203</v>
      </c>
      <c r="Q75" s="2" t="str">
        <f>IF($C75="","",IFERROR(VLOOKUP($C75,sources!$A$2:$N$200,2,FALSE()),"?"))</f>
        <v>Newspaper</v>
      </c>
      <c r="R75" s="2" t="str">
        <f t="shared" si="1"/>
        <v>Textual</v>
      </c>
      <c r="S75" s="2" t="str">
        <f>IF($C75="","",IFERROR(VLOOKUP($C75,sources!$A$2:$N$200,9,FALSE()),"?"))</f>
        <v>US press</v>
      </c>
      <c r="T75" t="s">
        <v>5692</v>
      </c>
      <c r="U75">
        <f>IF(OR(B75="",C75="",T75="Retracted",LEFT(D75,8)="Negative"),0,IF(COUNTIFS($B$2:B75,B75,$C$2:C75,C75,$D$2:D75,"&lt;&gt;Negative*",$T$2:T75,"&lt;&gt;Retracted")=1,1,0))</f>
        <v>1</v>
      </c>
    </row>
    <row r="76" spans="1:21" x14ac:dyDescent="0.2">
      <c r="A76" t="s">
        <v>1673</v>
      </c>
      <c r="B76" t="s">
        <v>261</v>
      </c>
      <c r="C76" t="s">
        <v>1221</v>
      </c>
      <c r="D76" t="s">
        <v>1577</v>
      </c>
      <c r="E76" t="s">
        <v>1674</v>
      </c>
      <c r="F76" t="s">
        <v>1633</v>
      </c>
      <c r="I76" t="s">
        <v>1058</v>
      </c>
      <c r="K76" t="s">
        <v>342</v>
      </c>
      <c r="L76" t="s">
        <v>342</v>
      </c>
      <c r="M76" t="s">
        <v>209</v>
      </c>
      <c r="N76" t="s">
        <v>203</v>
      </c>
      <c r="Q76" s="2" t="str">
        <f>IF($C76="","",IFERROR(VLOOKUP($C76,sources!$A$2:$N$200,2,FALSE()),"?"))</f>
        <v>Newspaper</v>
      </c>
      <c r="R76" s="2" t="str">
        <f t="shared" si="1"/>
        <v>Textual</v>
      </c>
      <c r="S76" s="2" t="str">
        <f>IF($C76="","",IFERROR(VLOOKUP($C76,sources!$A$2:$N$200,9,FALSE()),"?"))</f>
        <v>US press</v>
      </c>
      <c r="T76" t="s">
        <v>5692</v>
      </c>
      <c r="U76">
        <f>IF(OR(B76="",C76="",T76="Retracted",LEFT(D76,8)="Negative"),0,IF(COUNTIFS($B$2:B76,B76,$C$2:C76,C76,$D$2:D76,"&lt;&gt;Negative*",$T$2:T76,"&lt;&gt;Retracted")=1,1,0))</f>
        <v>1</v>
      </c>
    </row>
    <row r="77" spans="1:21" x14ac:dyDescent="0.2">
      <c r="A77" t="s">
        <v>1675</v>
      </c>
      <c r="B77" t="s">
        <v>265</v>
      </c>
      <c r="C77" t="s">
        <v>1221</v>
      </c>
      <c r="D77" t="s">
        <v>1577</v>
      </c>
      <c r="E77" t="s">
        <v>266</v>
      </c>
      <c r="F77" t="s">
        <v>1633</v>
      </c>
      <c r="I77" t="s">
        <v>1058</v>
      </c>
      <c r="K77" t="s">
        <v>1172</v>
      </c>
      <c r="L77" t="s">
        <v>1172</v>
      </c>
      <c r="M77" t="s">
        <v>209</v>
      </c>
      <c r="N77" t="s">
        <v>203</v>
      </c>
      <c r="Q77" s="2" t="str">
        <f>IF($C77="","",IFERROR(VLOOKUP($C77,sources!$A$2:$N$200,2,FALSE()),"?"))</f>
        <v>Newspaper</v>
      </c>
      <c r="R77" s="2" t="str">
        <f t="shared" si="1"/>
        <v>Textual</v>
      </c>
      <c r="S77" s="2" t="str">
        <f>IF($C77="","",IFERROR(VLOOKUP($C77,sources!$A$2:$N$200,9,FALSE()),"?"))</f>
        <v>US press</v>
      </c>
      <c r="T77" t="s">
        <v>5692</v>
      </c>
      <c r="U77">
        <f>IF(OR(B77="",C77="",T77="Retracted",LEFT(D77,8)="Negative"),0,IF(COUNTIFS($B$2:B77,B77,$C$2:C77,C77,$D$2:D77,"&lt;&gt;Negative*",$T$2:T77,"&lt;&gt;Retracted")=1,1,0))</f>
        <v>1</v>
      </c>
    </row>
    <row r="78" spans="1:21" ht="26" x14ac:dyDescent="0.2">
      <c r="A78" t="s">
        <v>1676</v>
      </c>
      <c r="B78" t="s">
        <v>265</v>
      </c>
      <c r="C78" t="s">
        <v>1234</v>
      </c>
      <c r="D78" t="s">
        <v>1575</v>
      </c>
      <c r="E78" t="s">
        <v>1677</v>
      </c>
      <c r="F78" t="s">
        <v>1583</v>
      </c>
      <c r="I78" t="s">
        <v>1058</v>
      </c>
      <c r="K78" t="s">
        <v>1646</v>
      </c>
      <c r="L78" t="s">
        <v>1646</v>
      </c>
      <c r="M78" t="s">
        <v>203</v>
      </c>
      <c r="N78" t="s">
        <v>203</v>
      </c>
      <c r="Q78" s="2" t="str">
        <f>IF($C78="","",IFERROR(VLOOKUP($C78,sources!$A$2:$N$200,2,FALSE()),"?"))</f>
        <v>Newspaper</v>
      </c>
      <c r="R78" s="2" t="str">
        <f t="shared" si="1"/>
        <v>Textual</v>
      </c>
      <c r="S78" s="2" t="str">
        <f>IF($C78="","",IFERROR(VLOOKUP($C78,sources!$A$2:$N$200,9,FALSE()),"?"))</f>
        <v>Caribbean community</v>
      </c>
      <c r="T78" t="s">
        <v>5692</v>
      </c>
      <c r="U78">
        <f>IF(OR(B78="",C78="",T78="Retracted",LEFT(D78,8)="Negative"),0,IF(COUNTIFS($B$2:B78,B78,$C$2:C78,C78,$D$2:D78,"&lt;&gt;Negative*",$T$2:T78,"&lt;&gt;Retracted")=1,1,0))</f>
        <v>1</v>
      </c>
    </row>
    <row r="79" spans="1:21" ht="26" x14ac:dyDescent="0.2">
      <c r="A79" t="s">
        <v>1678</v>
      </c>
      <c r="B79" t="s">
        <v>233</v>
      </c>
      <c r="C79" t="s">
        <v>1234</v>
      </c>
      <c r="D79" t="s">
        <v>1564</v>
      </c>
      <c r="E79" t="s">
        <v>305</v>
      </c>
      <c r="F79" t="s">
        <v>1583</v>
      </c>
      <c r="I79" t="s">
        <v>1058</v>
      </c>
      <c r="K79" t="s">
        <v>1640</v>
      </c>
      <c r="L79" t="s">
        <v>1640</v>
      </c>
      <c r="M79" t="s">
        <v>203</v>
      </c>
      <c r="N79" t="s">
        <v>203</v>
      </c>
      <c r="Q79" s="2" t="str">
        <f>IF($C79="","",IFERROR(VLOOKUP($C79,sources!$A$2:$N$200,2,FALSE()),"?"))</f>
        <v>Newspaper</v>
      </c>
      <c r="R79" s="2" t="str">
        <f t="shared" si="1"/>
        <v>Textual</v>
      </c>
      <c r="S79" s="2" t="str">
        <f>IF($C79="","",IFERROR(VLOOKUP($C79,sources!$A$2:$N$200,9,FALSE()),"?"))</f>
        <v>Caribbean community</v>
      </c>
      <c r="T79" t="s">
        <v>5692</v>
      </c>
      <c r="U79">
        <f>IF(OR(B79="",C79="",T79="Retracted",LEFT(D79,8)="Negative"),0,IF(COUNTIFS($B$2:B79,B79,$C$2:C79,C79,$D$2:D79,"&lt;&gt;Negative*",$T$2:T79,"&lt;&gt;Retracted")=1,1,0))</f>
        <v>1</v>
      </c>
    </row>
    <row r="80" spans="1:21" ht="26" x14ac:dyDescent="0.2">
      <c r="A80" t="s">
        <v>1679</v>
      </c>
      <c r="B80" t="s">
        <v>247</v>
      </c>
      <c r="C80" t="s">
        <v>1234</v>
      </c>
      <c r="D80" t="s">
        <v>1564</v>
      </c>
      <c r="E80" t="s">
        <v>248</v>
      </c>
      <c r="F80" t="s">
        <v>1583</v>
      </c>
      <c r="I80" t="s">
        <v>1058</v>
      </c>
      <c r="K80" t="s">
        <v>1640</v>
      </c>
      <c r="L80" t="s">
        <v>1640</v>
      </c>
      <c r="M80" t="s">
        <v>203</v>
      </c>
      <c r="N80" t="s">
        <v>203</v>
      </c>
      <c r="Q80" s="2" t="str">
        <f>IF($C80="","",IFERROR(VLOOKUP($C80,sources!$A$2:$N$200,2,FALSE()),"?"))</f>
        <v>Newspaper</v>
      </c>
      <c r="R80" s="2" t="str">
        <f t="shared" si="1"/>
        <v>Textual</v>
      </c>
      <c r="S80" s="2" t="str">
        <f>IF($C80="","",IFERROR(VLOOKUP($C80,sources!$A$2:$N$200,9,FALSE()),"?"))</f>
        <v>Caribbean community</v>
      </c>
      <c r="T80" t="s">
        <v>5692</v>
      </c>
      <c r="U80">
        <f>IF(OR(B80="",C80="",T80="Retracted",LEFT(D80,8)="Negative"),0,IF(COUNTIFS($B$2:B80,B80,$C$2:C80,C80,$D$2:D80,"&lt;&gt;Negative*",$T$2:T80,"&lt;&gt;Retracted")=1,1,0))</f>
        <v>1</v>
      </c>
    </row>
    <row r="81" spans="1:21" ht="26" x14ac:dyDescent="0.2">
      <c r="A81" t="s">
        <v>1680</v>
      </c>
      <c r="B81" t="s">
        <v>369</v>
      </c>
      <c r="C81" t="s">
        <v>1234</v>
      </c>
      <c r="D81" t="s">
        <v>1575</v>
      </c>
      <c r="E81" t="s">
        <v>370</v>
      </c>
      <c r="F81" t="s">
        <v>1583</v>
      </c>
      <c r="I81" t="s">
        <v>1058</v>
      </c>
      <c r="K81" t="s">
        <v>1646</v>
      </c>
      <c r="L81" t="s">
        <v>1646</v>
      </c>
      <c r="M81" t="s">
        <v>203</v>
      </c>
      <c r="N81" t="s">
        <v>203</v>
      </c>
      <c r="Q81" s="2" t="str">
        <f>IF($C81="","",IFERROR(VLOOKUP($C81,sources!$A$2:$N$200,2,FALSE()),"?"))</f>
        <v>Newspaper</v>
      </c>
      <c r="R81" s="2" t="str">
        <f t="shared" si="1"/>
        <v>Textual</v>
      </c>
      <c r="S81" s="2" t="str">
        <f>IF($C81="","",IFERROR(VLOOKUP($C81,sources!$A$2:$N$200,9,FALSE()),"?"))</f>
        <v>Caribbean community</v>
      </c>
      <c r="T81" t="s">
        <v>5692</v>
      </c>
      <c r="U81">
        <f>IF(OR(B81="",C81="",T81="Retracted",LEFT(D81,8)="Negative"),0,IF(COUNTIFS($B$2:B81,B81,$C$2:C81,C81,$D$2:D81,"&lt;&gt;Negative*",$T$2:T81,"&lt;&gt;Retracted")=1,1,0))</f>
        <v>1</v>
      </c>
    </row>
    <row r="82" spans="1:21" x14ac:dyDescent="0.2">
      <c r="A82" t="s">
        <v>1681</v>
      </c>
      <c r="B82" t="s">
        <v>374</v>
      </c>
      <c r="C82" t="s">
        <v>1203</v>
      </c>
      <c r="D82" t="s">
        <v>1575</v>
      </c>
      <c r="E82" t="s">
        <v>375</v>
      </c>
      <c r="F82" t="s">
        <v>1583</v>
      </c>
      <c r="I82" t="s">
        <v>1058</v>
      </c>
      <c r="K82" t="s">
        <v>283</v>
      </c>
      <c r="L82" t="s">
        <v>283</v>
      </c>
      <c r="M82" t="s">
        <v>209</v>
      </c>
      <c r="N82" t="s">
        <v>203</v>
      </c>
      <c r="Q82" s="2" t="str">
        <f>IF($C82="","",IFERROR(VLOOKUP($C82,sources!$A$2:$N$200,2,FALSE()),"?"))</f>
        <v>Newspaper</v>
      </c>
      <c r="R82" s="2" t="str">
        <f t="shared" si="1"/>
        <v>Textual</v>
      </c>
      <c r="S82" s="2" t="str">
        <f>IF($C82="","",IFERROR(VLOOKUP($C82,sources!$A$2:$N$200,9,FALSE()),"?"))</f>
        <v>US press</v>
      </c>
      <c r="T82" t="s">
        <v>5692</v>
      </c>
      <c r="U82">
        <f>IF(OR(B82="",C82="",T82="Retracted",LEFT(D82,8)="Negative"),0,IF(COUNTIFS($B$2:B82,B82,$C$2:C82,C82,$D$2:D82,"&lt;&gt;Negative*",$T$2:T82,"&lt;&gt;Retracted")=1,1,0))</f>
        <v>1</v>
      </c>
    </row>
    <row r="83" spans="1:21" x14ac:dyDescent="0.2">
      <c r="A83" t="s">
        <v>1682</v>
      </c>
      <c r="B83" t="s">
        <v>374</v>
      </c>
      <c r="C83" t="s">
        <v>1203</v>
      </c>
      <c r="D83" t="s">
        <v>1575</v>
      </c>
      <c r="E83" t="s">
        <v>375</v>
      </c>
      <c r="F83" t="s">
        <v>1583</v>
      </c>
      <c r="I83" t="s">
        <v>1058</v>
      </c>
      <c r="M83" t="s">
        <v>209</v>
      </c>
      <c r="N83" t="s">
        <v>203</v>
      </c>
      <c r="Q83" s="2" t="str">
        <f>IF($C83="","",IFERROR(VLOOKUP($C83,sources!$A$2:$N$200,2,FALSE()),"?"))</f>
        <v>Newspaper</v>
      </c>
      <c r="R83" s="2" t="str">
        <f t="shared" si="1"/>
        <v>Textual</v>
      </c>
      <c r="S83" s="2" t="str">
        <f>IF($C83="","",IFERROR(VLOOKUP($C83,sources!$A$2:$N$200,9,FALSE()),"?"))</f>
        <v>US press</v>
      </c>
      <c r="T83" t="s">
        <v>5692</v>
      </c>
      <c r="U83">
        <f>IF(OR(B83="",C83="",T83="Retracted",LEFT(D83,8)="Negative"),0,IF(COUNTIFS($B$2:B83,B83,$C$2:C83,C83,$D$2:D83,"&lt;&gt;Negative*",$T$2:T83,"&lt;&gt;Retracted")=1,1,0))</f>
        <v>0</v>
      </c>
    </row>
    <row r="84" spans="1:21" x14ac:dyDescent="0.2">
      <c r="A84" t="s">
        <v>1683</v>
      </c>
      <c r="B84" t="s">
        <v>395</v>
      </c>
      <c r="C84" t="s">
        <v>1203</v>
      </c>
      <c r="D84" t="s">
        <v>1575</v>
      </c>
      <c r="E84" t="s">
        <v>396</v>
      </c>
      <c r="F84" t="s">
        <v>1583</v>
      </c>
      <c r="I84" t="s">
        <v>1058</v>
      </c>
      <c r="K84" t="s">
        <v>283</v>
      </c>
      <c r="L84" t="s">
        <v>283</v>
      </c>
      <c r="M84" t="s">
        <v>209</v>
      </c>
      <c r="N84" t="s">
        <v>203</v>
      </c>
      <c r="Q84" s="2" t="str">
        <f>IF($C84="","",IFERROR(VLOOKUP($C84,sources!$A$2:$N$200,2,FALSE()),"?"))</f>
        <v>Newspaper</v>
      </c>
      <c r="R84" s="2" t="str">
        <f t="shared" si="1"/>
        <v>Textual</v>
      </c>
      <c r="S84" s="2" t="str">
        <f>IF($C84="","",IFERROR(VLOOKUP($C84,sources!$A$2:$N$200,9,FALSE()),"?"))</f>
        <v>US press</v>
      </c>
      <c r="T84" t="s">
        <v>5692</v>
      </c>
      <c r="U84">
        <f>IF(OR(B84="",C84="",T84="Retracted",LEFT(D84,8)="Negative"),0,IF(COUNTIFS($B$2:B84,B84,$C$2:C84,C84,$D$2:D84,"&lt;&gt;Negative*",$T$2:T84,"&lt;&gt;Retracted")=1,1,0))</f>
        <v>1</v>
      </c>
    </row>
    <row r="85" spans="1:21" x14ac:dyDescent="0.2">
      <c r="A85" t="s">
        <v>1684</v>
      </c>
      <c r="B85" t="s">
        <v>253</v>
      </c>
      <c r="C85" t="s">
        <v>1203</v>
      </c>
      <c r="D85" t="s">
        <v>1575</v>
      </c>
      <c r="E85" t="s">
        <v>566</v>
      </c>
      <c r="F85" t="s">
        <v>1583</v>
      </c>
      <c r="I85" t="s">
        <v>1058</v>
      </c>
      <c r="K85" t="s">
        <v>283</v>
      </c>
      <c r="L85" t="s">
        <v>283</v>
      </c>
      <c r="M85" t="s">
        <v>209</v>
      </c>
      <c r="N85" t="s">
        <v>203</v>
      </c>
      <c r="Q85" s="2" t="str">
        <f>IF($C85="","",IFERROR(VLOOKUP($C85,sources!$A$2:$N$200,2,FALSE()),"?"))</f>
        <v>Newspaper</v>
      </c>
      <c r="R85" s="2" t="str">
        <f t="shared" si="1"/>
        <v>Textual</v>
      </c>
      <c r="S85" s="2" t="str">
        <f>IF($C85="","",IFERROR(VLOOKUP($C85,sources!$A$2:$N$200,9,FALSE()),"?"))</f>
        <v>US press</v>
      </c>
      <c r="T85" t="s">
        <v>5692</v>
      </c>
      <c r="U85">
        <f>IF(OR(B85="",C85="",T85="Retracted",LEFT(D85,8)="Negative"),0,IF(COUNTIFS($B$2:B85,B85,$C$2:C85,C85,$D$2:D85,"&lt;&gt;Negative*",$T$2:T85,"&lt;&gt;Retracted")=1,1,0))</f>
        <v>1</v>
      </c>
    </row>
    <row r="86" spans="1:21" x14ac:dyDescent="0.2">
      <c r="A86" t="s">
        <v>1685</v>
      </c>
      <c r="B86" t="s">
        <v>424</v>
      </c>
      <c r="C86" t="s">
        <v>1228</v>
      </c>
      <c r="D86" t="s">
        <v>1575</v>
      </c>
      <c r="E86" t="s">
        <v>425</v>
      </c>
      <c r="F86" t="s">
        <v>1583</v>
      </c>
      <c r="I86" t="s">
        <v>1058</v>
      </c>
      <c r="K86" t="s">
        <v>1172</v>
      </c>
      <c r="L86" t="s">
        <v>342</v>
      </c>
      <c r="M86" t="s">
        <v>203</v>
      </c>
      <c r="N86" t="s">
        <v>203</v>
      </c>
      <c r="Q86" s="2" t="str">
        <f>IF($C86="","",IFERROR(VLOOKUP($C86,sources!$A$2:$N$200,2,FALSE()),"?"))</f>
        <v>Newspaper</v>
      </c>
      <c r="R86" s="2" t="str">
        <f t="shared" si="1"/>
        <v>Textual</v>
      </c>
      <c r="S86" s="2" t="str">
        <f>IF($C86="","",IFERROR(VLOOKUP($C86,sources!$A$2:$N$200,9,FALSE()),"?"))</f>
        <v>US official</v>
      </c>
      <c r="T86" t="s">
        <v>5692</v>
      </c>
      <c r="U86">
        <f>IF(OR(B86="",C86="",T86="Retracted",LEFT(D86,8)="Negative"),0,IF(COUNTIFS($B$2:B86,B86,$C$2:C86,C86,$D$2:D86,"&lt;&gt;Negative*",$T$2:T86,"&lt;&gt;Retracted")=1,1,0))</f>
        <v>1</v>
      </c>
    </row>
    <row r="87" spans="1:21" x14ac:dyDescent="0.2">
      <c r="A87" t="s">
        <v>1686</v>
      </c>
      <c r="B87" t="s">
        <v>429</v>
      </c>
      <c r="C87" t="s">
        <v>1203</v>
      </c>
      <c r="D87" t="s">
        <v>1575</v>
      </c>
      <c r="E87" t="s">
        <v>430</v>
      </c>
      <c r="F87" t="s">
        <v>1583</v>
      </c>
      <c r="I87" t="s">
        <v>1058</v>
      </c>
      <c r="K87" t="s">
        <v>1637</v>
      </c>
      <c r="L87" t="s">
        <v>1637</v>
      </c>
      <c r="M87" t="s">
        <v>209</v>
      </c>
      <c r="N87" t="s">
        <v>203</v>
      </c>
      <c r="Q87" s="2" t="str">
        <f>IF($C87="","",IFERROR(VLOOKUP($C87,sources!$A$2:$N$200,2,FALSE()),"?"))</f>
        <v>Newspaper</v>
      </c>
      <c r="R87" s="2" t="str">
        <f t="shared" si="1"/>
        <v>Textual</v>
      </c>
      <c r="S87" s="2" t="str">
        <f>IF($C87="","",IFERROR(VLOOKUP($C87,sources!$A$2:$N$200,9,FALSE()),"?"))</f>
        <v>US press</v>
      </c>
      <c r="T87" t="s">
        <v>5692</v>
      </c>
      <c r="U87">
        <f>IF(OR(B87="",C87="",T87="Retracted",LEFT(D87,8)="Negative"),0,IF(COUNTIFS($B$2:B87,B87,$C$2:C87,C87,$D$2:D87,"&lt;&gt;Negative*",$T$2:T87,"&lt;&gt;Retracted")=1,1,0))</f>
        <v>1</v>
      </c>
    </row>
    <row r="88" spans="1:21" x14ac:dyDescent="0.2">
      <c r="A88" t="s">
        <v>1687</v>
      </c>
      <c r="B88" t="s">
        <v>433</v>
      </c>
      <c r="C88" t="s">
        <v>1203</v>
      </c>
      <c r="D88" t="s">
        <v>1564</v>
      </c>
      <c r="E88" t="s">
        <v>1688</v>
      </c>
      <c r="F88" t="s">
        <v>1566</v>
      </c>
      <c r="I88" t="s">
        <v>1058</v>
      </c>
      <c r="K88" t="s">
        <v>272</v>
      </c>
      <c r="L88" t="s">
        <v>272</v>
      </c>
      <c r="M88" t="s">
        <v>203</v>
      </c>
      <c r="N88" t="s">
        <v>209</v>
      </c>
      <c r="Q88" s="2" t="str">
        <f>IF($C88="","",IFERROR(VLOOKUP($C88,sources!$A$2:$N$200,2,FALSE()),"?"))</f>
        <v>Newspaper</v>
      </c>
      <c r="R88" s="2" t="str">
        <f t="shared" si="1"/>
        <v>Textual</v>
      </c>
      <c r="S88" s="2" t="str">
        <f>IF($C88="","",IFERROR(VLOOKUP($C88,sources!$A$2:$N$200,9,FALSE()),"?"))</f>
        <v>US press</v>
      </c>
      <c r="T88" t="s">
        <v>5692</v>
      </c>
      <c r="U88">
        <f>IF(OR(B88="",C88="",T88="Retracted",LEFT(D88,8)="Negative"),0,IF(COUNTIFS($B$2:B88,B88,$C$2:C88,C88,$D$2:D88,"&lt;&gt;Negative*",$T$2:T88,"&lt;&gt;Retracted")=1,1,0))</f>
        <v>1</v>
      </c>
    </row>
    <row r="89" spans="1:21" x14ac:dyDescent="0.2">
      <c r="A89" t="s">
        <v>1689</v>
      </c>
      <c r="B89" t="s">
        <v>436</v>
      </c>
      <c r="C89" t="s">
        <v>1203</v>
      </c>
      <c r="D89" t="s">
        <v>1564</v>
      </c>
      <c r="E89" t="s">
        <v>1690</v>
      </c>
      <c r="F89" t="s">
        <v>1633</v>
      </c>
      <c r="I89" t="s">
        <v>1058</v>
      </c>
      <c r="K89" t="s">
        <v>1691</v>
      </c>
      <c r="L89" t="s">
        <v>1691</v>
      </c>
      <c r="M89" t="s">
        <v>203</v>
      </c>
      <c r="N89" t="s">
        <v>209</v>
      </c>
      <c r="Q89" s="2" t="str">
        <f>IF($C89="","",IFERROR(VLOOKUP($C89,sources!$A$2:$N$200,2,FALSE()),"?"))</f>
        <v>Newspaper</v>
      </c>
      <c r="R89" s="2" t="str">
        <f t="shared" si="1"/>
        <v>Textual</v>
      </c>
      <c r="S89" s="2" t="str">
        <f>IF($C89="","",IFERROR(VLOOKUP($C89,sources!$A$2:$N$200,9,FALSE()),"?"))</f>
        <v>US press</v>
      </c>
      <c r="T89" t="s">
        <v>5692</v>
      </c>
      <c r="U89">
        <f>IF(OR(B89="",C89="",T89="Retracted",LEFT(D89,8)="Negative"),0,IF(COUNTIFS($B$2:B89,B89,$C$2:C89,C89,$D$2:D89,"&lt;&gt;Negative*",$T$2:T89,"&lt;&gt;Retracted")=1,1,0))</f>
        <v>1</v>
      </c>
    </row>
    <row r="90" spans="1:21" x14ac:dyDescent="0.2">
      <c r="A90" t="s">
        <v>1692</v>
      </c>
      <c r="B90" t="s">
        <v>378</v>
      </c>
      <c r="C90" t="s">
        <v>1203</v>
      </c>
      <c r="D90" t="s">
        <v>1575</v>
      </c>
      <c r="E90" t="s">
        <v>379</v>
      </c>
      <c r="F90" t="s">
        <v>1583</v>
      </c>
      <c r="I90" t="s">
        <v>1058</v>
      </c>
      <c r="M90" t="s">
        <v>190</v>
      </c>
      <c r="N90" t="s">
        <v>190</v>
      </c>
      <c r="Q90" s="2" t="str">
        <f>IF($C90="","",IFERROR(VLOOKUP($C90,sources!$A$2:$N$200,2,FALSE()),"?"))</f>
        <v>Newspaper</v>
      </c>
      <c r="R90" s="2" t="str">
        <f t="shared" si="1"/>
        <v>Textual</v>
      </c>
      <c r="S90" s="2" t="str">
        <f>IF($C90="","",IFERROR(VLOOKUP($C90,sources!$A$2:$N$200,9,FALSE()),"?"))</f>
        <v>US press</v>
      </c>
      <c r="T90" t="s">
        <v>5692</v>
      </c>
      <c r="U90">
        <f>IF(OR(B90="",C90="",T90="Retracted",LEFT(D90,8)="Negative"),0,IF(COUNTIFS($B$2:B90,B90,$C$2:C90,C90,$D$2:D90,"&lt;&gt;Negative*",$T$2:T90,"&lt;&gt;Retracted")=1,1,0))</f>
        <v>1</v>
      </c>
    </row>
    <row r="91" spans="1:21" x14ac:dyDescent="0.2">
      <c r="A91" t="s">
        <v>1693</v>
      </c>
      <c r="B91" t="s">
        <v>383</v>
      </c>
      <c r="C91" t="s">
        <v>1203</v>
      </c>
      <c r="D91" t="s">
        <v>1575</v>
      </c>
      <c r="E91" t="s">
        <v>384</v>
      </c>
      <c r="F91" t="s">
        <v>1583</v>
      </c>
      <c r="I91" t="s">
        <v>1058</v>
      </c>
      <c r="M91" t="s">
        <v>190</v>
      </c>
      <c r="N91" t="s">
        <v>190</v>
      </c>
      <c r="Q91" s="2" t="str">
        <f>IF($C91="","",IFERROR(VLOOKUP($C91,sources!$A$2:$N$200,2,FALSE()),"?"))</f>
        <v>Newspaper</v>
      </c>
      <c r="R91" s="2" t="str">
        <f t="shared" si="1"/>
        <v>Textual</v>
      </c>
      <c r="S91" s="2" t="str">
        <f>IF($C91="","",IFERROR(VLOOKUP($C91,sources!$A$2:$N$200,9,FALSE()),"?"))</f>
        <v>US press</v>
      </c>
      <c r="T91" t="s">
        <v>5692</v>
      </c>
      <c r="U91">
        <f>IF(OR(B91="",C91="",T91="Retracted",LEFT(D91,8)="Negative"),0,IF(COUNTIFS($B$2:B91,B91,$C$2:C91,C91,$D$2:D91,"&lt;&gt;Negative*",$T$2:T91,"&lt;&gt;Retracted")=1,1,0))</f>
        <v>1</v>
      </c>
    </row>
    <row r="92" spans="1:21" x14ac:dyDescent="0.2">
      <c r="A92" t="s">
        <v>1694</v>
      </c>
      <c r="B92" t="s">
        <v>386</v>
      </c>
      <c r="C92" t="s">
        <v>1203</v>
      </c>
      <c r="D92" t="s">
        <v>1575</v>
      </c>
      <c r="E92" t="s">
        <v>387</v>
      </c>
      <c r="F92" t="s">
        <v>1583</v>
      </c>
      <c r="I92" t="s">
        <v>1058</v>
      </c>
      <c r="M92" t="s">
        <v>190</v>
      </c>
      <c r="N92" t="s">
        <v>190</v>
      </c>
      <c r="Q92" s="2" t="str">
        <f>IF($C92="","",IFERROR(VLOOKUP($C92,sources!$A$2:$N$200,2,FALSE()),"?"))</f>
        <v>Newspaper</v>
      </c>
      <c r="R92" s="2" t="str">
        <f t="shared" si="1"/>
        <v>Textual</v>
      </c>
      <c r="S92" s="2" t="str">
        <f>IF($C92="","",IFERROR(VLOOKUP($C92,sources!$A$2:$N$200,9,FALSE()),"?"))</f>
        <v>US press</v>
      </c>
      <c r="T92" t="s">
        <v>5692</v>
      </c>
      <c r="U92">
        <f>IF(OR(B92="",C92="",T92="Retracted",LEFT(D92,8)="Negative"),0,IF(COUNTIFS($B$2:B92,B92,$C$2:C92,C92,$D$2:D92,"&lt;&gt;Negative*",$T$2:T92,"&lt;&gt;Retracted")=1,1,0))</f>
        <v>1</v>
      </c>
    </row>
    <row r="93" spans="1:21" x14ac:dyDescent="0.2">
      <c r="A93" t="s">
        <v>1695</v>
      </c>
      <c r="B93" t="s">
        <v>389</v>
      </c>
      <c r="C93" t="s">
        <v>1203</v>
      </c>
      <c r="D93" t="s">
        <v>1575</v>
      </c>
      <c r="E93" t="s">
        <v>390</v>
      </c>
      <c r="F93" t="s">
        <v>1583</v>
      </c>
      <c r="I93" t="s">
        <v>1058</v>
      </c>
      <c r="M93" t="s">
        <v>190</v>
      </c>
      <c r="N93" t="s">
        <v>190</v>
      </c>
      <c r="Q93" s="2" t="str">
        <f>IF($C93="","",IFERROR(VLOOKUP($C93,sources!$A$2:$N$200,2,FALSE()),"?"))</f>
        <v>Newspaper</v>
      </c>
      <c r="R93" s="2" t="str">
        <f t="shared" si="1"/>
        <v>Textual</v>
      </c>
      <c r="S93" s="2" t="str">
        <f>IF($C93="","",IFERROR(VLOOKUP($C93,sources!$A$2:$N$200,9,FALSE()),"?"))</f>
        <v>US press</v>
      </c>
      <c r="T93" t="s">
        <v>5692</v>
      </c>
      <c r="U93">
        <f>IF(OR(B93="",C93="",T93="Retracted",LEFT(D93,8)="Negative"),0,IF(COUNTIFS($B$2:B93,B93,$C$2:C93,C93,$D$2:D93,"&lt;&gt;Negative*",$T$2:T93,"&lt;&gt;Retracted")=1,1,0))</f>
        <v>1</v>
      </c>
    </row>
    <row r="94" spans="1:21" x14ac:dyDescent="0.2">
      <c r="A94" t="s">
        <v>1696</v>
      </c>
      <c r="B94" t="s">
        <v>392</v>
      </c>
      <c r="C94" t="s">
        <v>1203</v>
      </c>
      <c r="D94" t="s">
        <v>1575</v>
      </c>
      <c r="E94" t="s">
        <v>393</v>
      </c>
      <c r="F94" t="s">
        <v>1583</v>
      </c>
      <c r="I94" t="s">
        <v>1058</v>
      </c>
      <c r="M94" t="s">
        <v>190</v>
      </c>
      <c r="N94" t="s">
        <v>190</v>
      </c>
      <c r="Q94" s="2" t="str">
        <f>IF($C94="","",IFERROR(VLOOKUP($C94,sources!$A$2:$N$200,2,FALSE()),"?"))</f>
        <v>Newspaper</v>
      </c>
      <c r="R94" s="2" t="str">
        <f t="shared" si="1"/>
        <v>Textual</v>
      </c>
      <c r="S94" s="2" t="str">
        <f>IF($C94="","",IFERROR(VLOOKUP($C94,sources!$A$2:$N$200,9,FALSE()),"?"))</f>
        <v>US press</v>
      </c>
      <c r="T94" t="s">
        <v>5692</v>
      </c>
      <c r="U94">
        <f>IF(OR(B94="",C94="",T94="Retracted",LEFT(D94,8)="Negative"),0,IF(COUNTIFS($B$2:B94,B94,$C$2:C94,C94,$D$2:D94,"&lt;&gt;Negative*",$T$2:T94,"&lt;&gt;Retracted")=1,1,0))</f>
        <v>1</v>
      </c>
    </row>
    <row r="95" spans="1:21" x14ac:dyDescent="0.2">
      <c r="A95" t="s">
        <v>1697</v>
      </c>
      <c r="B95" t="s">
        <v>398</v>
      </c>
      <c r="C95" t="s">
        <v>1203</v>
      </c>
      <c r="D95" t="s">
        <v>1575</v>
      </c>
      <c r="E95" t="s">
        <v>399</v>
      </c>
      <c r="F95" t="s">
        <v>1583</v>
      </c>
      <c r="I95" t="s">
        <v>1058</v>
      </c>
      <c r="M95" t="s">
        <v>190</v>
      </c>
      <c r="N95" t="s">
        <v>190</v>
      </c>
      <c r="Q95" s="2" t="str">
        <f>IF($C95="","",IFERROR(VLOOKUP($C95,sources!$A$2:$N$200,2,FALSE()),"?"))</f>
        <v>Newspaper</v>
      </c>
      <c r="R95" s="2" t="str">
        <f t="shared" si="1"/>
        <v>Textual</v>
      </c>
      <c r="S95" s="2" t="str">
        <f>IF($C95="","",IFERROR(VLOOKUP($C95,sources!$A$2:$N$200,9,FALSE()),"?"))</f>
        <v>US press</v>
      </c>
      <c r="T95" t="s">
        <v>5692</v>
      </c>
      <c r="U95">
        <f>IF(OR(B95="",C95="",T95="Retracted",LEFT(D95,8)="Negative"),0,IF(COUNTIFS($B$2:B95,B95,$C$2:C95,C95,$D$2:D95,"&lt;&gt;Negative*",$T$2:T95,"&lt;&gt;Retracted")=1,1,0))</f>
        <v>1</v>
      </c>
    </row>
    <row r="96" spans="1:21" x14ac:dyDescent="0.2">
      <c r="A96" t="s">
        <v>1698</v>
      </c>
      <c r="B96" t="s">
        <v>403</v>
      </c>
      <c r="C96" t="s">
        <v>1203</v>
      </c>
      <c r="D96" t="s">
        <v>1575</v>
      </c>
      <c r="E96" t="s">
        <v>404</v>
      </c>
      <c r="F96" t="s">
        <v>1583</v>
      </c>
      <c r="I96" t="s">
        <v>1058</v>
      </c>
      <c r="M96" t="s">
        <v>190</v>
      </c>
      <c r="N96" t="s">
        <v>190</v>
      </c>
      <c r="Q96" s="2" t="str">
        <f>IF($C96="","",IFERROR(VLOOKUP($C96,sources!$A$2:$N$200,2,FALSE()),"?"))</f>
        <v>Newspaper</v>
      </c>
      <c r="R96" s="2" t="str">
        <f t="shared" si="1"/>
        <v>Textual</v>
      </c>
      <c r="S96" s="2" t="str">
        <f>IF($C96="","",IFERROR(VLOOKUP($C96,sources!$A$2:$N$200,9,FALSE()),"?"))</f>
        <v>US press</v>
      </c>
      <c r="T96" t="s">
        <v>5692</v>
      </c>
      <c r="U96">
        <f>IF(OR(B96="",C96="",T96="Retracted",LEFT(D96,8)="Negative"),0,IF(COUNTIFS($B$2:B96,B96,$C$2:C96,C96,$D$2:D96,"&lt;&gt;Negative*",$T$2:T96,"&lt;&gt;Retracted")=1,1,0))</f>
        <v>1</v>
      </c>
    </row>
    <row r="97" spans="1:21" x14ac:dyDescent="0.2">
      <c r="A97" t="s">
        <v>1699</v>
      </c>
      <c r="B97" t="s">
        <v>407</v>
      </c>
      <c r="C97" t="s">
        <v>1203</v>
      </c>
      <c r="D97" t="s">
        <v>1575</v>
      </c>
      <c r="E97" t="s">
        <v>408</v>
      </c>
      <c r="F97" t="s">
        <v>1583</v>
      </c>
      <c r="I97" t="s">
        <v>1058</v>
      </c>
      <c r="M97" t="s">
        <v>190</v>
      </c>
      <c r="N97" t="s">
        <v>190</v>
      </c>
      <c r="Q97" s="2" t="str">
        <f>IF($C97="","",IFERROR(VLOOKUP($C97,sources!$A$2:$N$200,2,FALSE()),"?"))</f>
        <v>Newspaper</v>
      </c>
      <c r="R97" s="2" t="str">
        <f t="shared" si="1"/>
        <v>Textual</v>
      </c>
      <c r="S97" s="2" t="str">
        <f>IF($C97="","",IFERROR(VLOOKUP($C97,sources!$A$2:$N$200,9,FALSE()),"?"))</f>
        <v>US press</v>
      </c>
      <c r="T97" t="s">
        <v>5692</v>
      </c>
      <c r="U97">
        <f>IF(OR(B97="",C97="",T97="Retracted",LEFT(D97,8)="Negative"),0,IF(COUNTIFS($B$2:B97,B97,$C$2:C97,C97,$D$2:D97,"&lt;&gt;Negative*",$T$2:T97,"&lt;&gt;Retracted")=1,1,0))</f>
        <v>1</v>
      </c>
    </row>
    <row r="98" spans="1:21" x14ac:dyDescent="0.2">
      <c r="A98" t="s">
        <v>1700</v>
      </c>
      <c r="B98" t="s">
        <v>411</v>
      </c>
      <c r="C98" t="s">
        <v>1203</v>
      </c>
      <c r="D98" t="s">
        <v>1575</v>
      </c>
      <c r="E98" t="s">
        <v>412</v>
      </c>
      <c r="F98" t="s">
        <v>1583</v>
      </c>
      <c r="I98" t="s">
        <v>1058</v>
      </c>
      <c r="M98" t="s">
        <v>190</v>
      </c>
      <c r="N98" t="s">
        <v>190</v>
      </c>
      <c r="Q98" s="2" t="str">
        <f>IF($C98="","",IFERROR(VLOOKUP($C98,sources!$A$2:$N$200,2,FALSE()),"?"))</f>
        <v>Newspaper</v>
      </c>
      <c r="R98" s="2" t="str">
        <f t="shared" si="1"/>
        <v>Textual</v>
      </c>
      <c r="S98" s="2" t="str">
        <f>IF($C98="","",IFERROR(VLOOKUP($C98,sources!$A$2:$N$200,9,FALSE()),"?"))</f>
        <v>US press</v>
      </c>
      <c r="T98" t="s">
        <v>5692</v>
      </c>
      <c r="U98">
        <f>IF(OR(B98="",C98="",T98="Retracted",LEFT(D98,8)="Negative"),0,IF(COUNTIFS($B$2:B98,B98,$C$2:C98,C98,$D$2:D98,"&lt;&gt;Negative*",$T$2:T98,"&lt;&gt;Retracted")=1,1,0))</f>
        <v>1</v>
      </c>
    </row>
    <row r="99" spans="1:21" x14ac:dyDescent="0.2">
      <c r="A99" t="s">
        <v>1701</v>
      </c>
      <c r="B99" t="s">
        <v>415</v>
      </c>
      <c r="C99" t="s">
        <v>1203</v>
      </c>
      <c r="D99" t="s">
        <v>1575</v>
      </c>
      <c r="E99" t="s">
        <v>416</v>
      </c>
      <c r="F99" t="s">
        <v>1583</v>
      </c>
      <c r="I99" t="s">
        <v>1058</v>
      </c>
      <c r="M99" t="s">
        <v>190</v>
      </c>
      <c r="N99" t="s">
        <v>190</v>
      </c>
      <c r="Q99" s="2" t="str">
        <f>IF($C99="","",IFERROR(VLOOKUP($C99,sources!$A$2:$N$200,2,FALSE()),"?"))</f>
        <v>Newspaper</v>
      </c>
      <c r="R99" s="2" t="str">
        <f t="shared" si="1"/>
        <v>Textual</v>
      </c>
      <c r="S99" s="2" t="str">
        <f>IF($C99="","",IFERROR(VLOOKUP($C99,sources!$A$2:$N$200,9,FALSE()),"?"))</f>
        <v>US press</v>
      </c>
      <c r="T99" t="s">
        <v>5692</v>
      </c>
      <c r="U99">
        <f>IF(OR(B99="",C99="",T99="Retracted",LEFT(D99,8)="Negative"),0,IF(COUNTIFS($B$2:B99,B99,$C$2:C99,C99,$D$2:D99,"&lt;&gt;Negative*",$T$2:T99,"&lt;&gt;Retracted")=1,1,0))</f>
        <v>1</v>
      </c>
    </row>
    <row r="100" spans="1:21" x14ac:dyDescent="0.2">
      <c r="A100" t="s">
        <v>1702</v>
      </c>
      <c r="B100" t="s">
        <v>420</v>
      </c>
      <c r="C100" t="s">
        <v>1203</v>
      </c>
      <c r="D100" t="s">
        <v>1575</v>
      </c>
      <c r="E100" t="s">
        <v>421</v>
      </c>
      <c r="F100" t="s">
        <v>1583</v>
      </c>
      <c r="I100" t="s">
        <v>1058</v>
      </c>
      <c r="M100" t="s">
        <v>190</v>
      </c>
      <c r="N100" t="s">
        <v>190</v>
      </c>
      <c r="Q100" s="2" t="str">
        <f>IF($C100="","",IFERROR(VLOOKUP($C100,sources!$A$2:$N$200,2,FALSE()),"?"))</f>
        <v>Newspaper</v>
      </c>
      <c r="R100" s="2" t="str">
        <f t="shared" si="1"/>
        <v>Textual</v>
      </c>
      <c r="S100" s="2" t="str">
        <f>IF($C100="","",IFERROR(VLOOKUP($C100,sources!$A$2:$N$200,9,FALSE()),"?"))</f>
        <v>US press</v>
      </c>
      <c r="T100" t="s">
        <v>5692</v>
      </c>
      <c r="U100">
        <f>IF(OR(B100="",C100="",T100="Retracted",LEFT(D100,8)="Negative"),0,IF(COUNTIFS($B$2:B100,B100,$C$2:C100,C100,$D$2:D100,"&lt;&gt;Negative*",$T$2:T100,"&lt;&gt;Retracted")=1,1,0))</f>
        <v>1</v>
      </c>
    </row>
    <row r="101" spans="1:21" x14ac:dyDescent="0.2">
      <c r="A101" t="s">
        <v>1703</v>
      </c>
      <c r="B101" t="s">
        <v>179</v>
      </c>
      <c r="C101" t="s">
        <v>1148</v>
      </c>
      <c r="D101" t="s">
        <v>1575</v>
      </c>
      <c r="E101" t="s">
        <v>180</v>
      </c>
      <c r="F101" t="s">
        <v>1583</v>
      </c>
      <c r="I101" t="s">
        <v>1058</v>
      </c>
      <c r="K101" t="s">
        <v>283</v>
      </c>
      <c r="L101" t="s">
        <v>231</v>
      </c>
      <c r="M101" t="s">
        <v>209</v>
      </c>
      <c r="N101" t="s">
        <v>203</v>
      </c>
      <c r="Q101" s="2" t="str">
        <f>IF($C101="","",IFERROR(VLOOKUP($C101,sources!$A$2:$N$200,2,FALSE()),"?"))</f>
        <v>Report</v>
      </c>
      <c r="R101" s="2" t="str">
        <f t="shared" si="1"/>
        <v>Textual</v>
      </c>
      <c r="S101" s="2" t="str">
        <f>IF($C101="","",IFERROR(VLOOKUP($C101,sources!$A$2:$N$200,9,FALSE()),"?"))</f>
        <v>US official</v>
      </c>
      <c r="T101" t="s">
        <v>5692</v>
      </c>
      <c r="U101">
        <f>IF(OR(B101="",C101="",T101="Retracted",LEFT(D101,8)="Negative"),0,IF(COUNTIFS($B$2:B101,B101,$C$2:C101,C101,$D$2:D101,"&lt;&gt;Negative*",$T$2:T101,"&lt;&gt;Retracted")=1,1,0))</f>
        <v>1</v>
      </c>
    </row>
    <row r="102" spans="1:21" x14ac:dyDescent="0.2">
      <c r="A102" t="s">
        <v>1704</v>
      </c>
      <c r="B102" t="s">
        <v>179</v>
      </c>
      <c r="C102" t="s">
        <v>1148</v>
      </c>
      <c r="D102" t="s">
        <v>1575</v>
      </c>
      <c r="E102" t="s">
        <v>180</v>
      </c>
      <c r="F102" t="s">
        <v>1583</v>
      </c>
      <c r="I102" t="s">
        <v>1058</v>
      </c>
      <c r="M102" t="s">
        <v>209</v>
      </c>
      <c r="N102" t="s">
        <v>203</v>
      </c>
      <c r="Q102" s="2" t="str">
        <f>IF($C102="","",IFERROR(VLOOKUP($C102,sources!$A$2:$N$200,2,FALSE()),"?"))</f>
        <v>Report</v>
      </c>
      <c r="R102" s="2" t="str">
        <f t="shared" si="1"/>
        <v>Textual</v>
      </c>
      <c r="S102" s="2" t="str">
        <f>IF($C102="","",IFERROR(VLOOKUP($C102,sources!$A$2:$N$200,9,FALSE()),"?"))</f>
        <v>US official</v>
      </c>
      <c r="T102" t="s">
        <v>5692</v>
      </c>
      <c r="U102">
        <f>IF(OR(B102="",C102="",T102="Retracted",LEFT(D102,8)="Negative"),0,IF(COUNTIFS($B$2:B102,B102,$C$2:C102,C102,$D$2:D102,"&lt;&gt;Negative*",$T$2:T102,"&lt;&gt;Retracted")=1,1,0))</f>
        <v>0</v>
      </c>
    </row>
    <row r="103" spans="1:21" x14ac:dyDescent="0.2">
      <c r="A103" t="s">
        <v>1705</v>
      </c>
      <c r="B103" t="s">
        <v>194</v>
      </c>
      <c r="C103" t="s">
        <v>1148</v>
      </c>
      <c r="D103" t="s">
        <v>1575</v>
      </c>
      <c r="E103" t="s">
        <v>195</v>
      </c>
      <c r="F103" t="s">
        <v>1583</v>
      </c>
      <c r="I103" t="s">
        <v>1058</v>
      </c>
      <c r="K103" t="s">
        <v>283</v>
      </c>
      <c r="L103" t="s">
        <v>231</v>
      </c>
      <c r="M103" t="s">
        <v>209</v>
      </c>
      <c r="N103" t="s">
        <v>203</v>
      </c>
      <c r="Q103" s="2" t="str">
        <f>IF($C103="","",IFERROR(VLOOKUP($C103,sources!$A$2:$N$200,2,FALSE()),"?"))</f>
        <v>Report</v>
      </c>
      <c r="R103" s="2" t="str">
        <f t="shared" si="1"/>
        <v>Textual</v>
      </c>
      <c r="S103" s="2" t="str">
        <f>IF($C103="","",IFERROR(VLOOKUP($C103,sources!$A$2:$N$200,9,FALSE()),"?"))</f>
        <v>US official</v>
      </c>
      <c r="T103" t="s">
        <v>5692</v>
      </c>
      <c r="U103">
        <f>IF(OR(B103="",C103="",T103="Retracted",LEFT(D103,8)="Negative"),0,IF(COUNTIFS($B$2:B103,B103,$C$2:C103,C103,$D$2:D103,"&lt;&gt;Negative*",$T$2:T103,"&lt;&gt;Retracted")=1,1,0))</f>
        <v>1</v>
      </c>
    </row>
    <row r="104" spans="1:21" x14ac:dyDescent="0.2">
      <c r="A104" t="s">
        <v>1706</v>
      </c>
      <c r="B104" t="s">
        <v>194</v>
      </c>
      <c r="C104" t="s">
        <v>1148</v>
      </c>
      <c r="D104" t="s">
        <v>1575</v>
      </c>
      <c r="E104" t="s">
        <v>195</v>
      </c>
      <c r="F104" t="s">
        <v>1583</v>
      </c>
      <c r="I104" t="s">
        <v>1058</v>
      </c>
      <c r="M104" t="s">
        <v>209</v>
      </c>
      <c r="N104" t="s">
        <v>203</v>
      </c>
      <c r="Q104" s="2" t="str">
        <f>IF($C104="","",IFERROR(VLOOKUP($C104,sources!$A$2:$N$200,2,FALSE()),"?"))</f>
        <v>Report</v>
      </c>
      <c r="R104" s="2" t="str">
        <f t="shared" si="1"/>
        <v>Textual</v>
      </c>
      <c r="S104" s="2" t="str">
        <f>IF($C104="","",IFERROR(VLOOKUP($C104,sources!$A$2:$N$200,9,FALSE()),"?"))</f>
        <v>US official</v>
      </c>
      <c r="T104" t="s">
        <v>5692</v>
      </c>
      <c r="U104">
        <f>IF(OR(B104="",C104="",T104="Retracted",LEFT(D104,8)="Negative"),0,IF(COUNTIFS($B$2:B104,B104,$C$2:C104,C104,$D$2:D104,"&lt;&gt;Negative*",$T$2:T104,"&lt;&gt;Retracted")=1,1,0))</f>
        <v>0</v>
      </c>
    </row>
    <row r="105" spans="1:21" x14ac:dyDescent="0.2">
      <c r="A105" t="s">
        <v>1707</v>
      </c>
      <c r="B105" t="s">
        <v>199</v>
      </c>
      <c r="C105" t="s">
        <v>1148</v>
      </c>
      <c r="D105" t="s">
        <v>1575</v>
      </c>
      <c r="E105" t="s">
        <v>200</v>
      </c>
      <c r="F105" t="s">
        <v>1583</v>
      </c>
      <c r="I105" t="s">
        <v>1058</v>
      </c>
      <c r="K105" t="s">
        <v>283</v>
      </c>
      <c r="L105" t="s">
        <v>231</v>
      </c>
      <c r="M105" t="s">
        <v>209</v>
      </c>
      <c r="N105" t="s">
        <v>203</v>
      </c>
      <c r="Q105" s="2" t="str">
        <f>IF($C105="","",IFERROR(VLOOKUP($C105,sources!$A$2:$N$200,2,FALSE()),"?"))</f>
        <v>Report</v>
      </c>
      <c r="R105" s="2" t="str">
        <f t="shared" si="1"/>
        <v>Textual</v>
      </c>
      <c r="S105" s="2" t="str">
        <f>IF($C105="","",IFERROR(VLOOKUP($C105,sources!$A$2:$N$200,9,FALSE()),"?"))</f>
        <v>US official</v>
      </c>
      <c r="T105" t="s">
        <v>5692</v>
      </c>
      <c r="U105">
        <f>IF(OR(B105="",C105="",T105="Retracted",LEFT(D105,8)="Negative"),0,IF(COUNTIFS($B$2:B105,B105,$C$2:C105,C105,$D$2:D105,"&lt;&gt;Negative*",$T$2:T105,"&lt;&gt;Retracted")=1,1,0))</f>
        <v>0</v>
      </c>
    </row>
    <row r="106" spans="1:21" x14ac:dyDescent="0.2">
      <c r="A106" t="s">
        <v>1708</v>
      </c>
      <c r="B106" t="s">
        <v>199</v>
      </c>
      <c r="C106" t="s">
        <v>1148</v>
      </c>
      <c r="D106" t="s">
        <v>1575</v>
      </c>
      <c r="E106" t="s">
        <v>200</v>
      </c>
      <c r="F106" t="s">
        <v>1583</v>
      </c>
      <c r="I106" t="s">
        <v>1058</v>
      </c>
      <c r="M106" t="s">
        <v>209</v>
      </c>
      <c r="N106" t="s">
        <v>203</v>
      </c>
      <c r="Q106" s="2" t="str">
        <f>IF($C106="","",IFERROR(VLOOKUP($C106,sources!$A$2:$N$200,2,FALSE()),"?"))</f>
        <v>Report</v>
      </c>
      <c r="R106" s="2" t="str">
        <f t="shared" si="1"/>
        <v>Textual</v>
      </c>
      <c r="S106" s="2" t="str">
        <f>IF($C106="","",IFERROR(VLOOKUP($C106,sources!$A$2:$N$200,9,FALSE()),"?"))</f>
        <v>US official</v>
      </c>
      <c r="T106" t="s">
        <v>5692</v>
      </c>
      <c r="U106">
        <f>IF(OR(B106="",C106="",T106="Retracted",LEFT(D106,8)="Negative"),0,IF(COUNTIFS($B$2:B106,B106,$C$2:C106,C106,$D$2:D106,"&lt;&gt;Negative*",$T$2:T106,"&lt;&gt;Retracted")=1,1,0))</f>
        <v>0</v>
      </c>
    </row>
    <row r="107" spans="1:21" x14ac:dyDescent="0.2">
      <c r="A107" t="s">
        <v>1709</v>
      </c>
      <c r="B107" t="s">
        <v>205</v>
      </c>
      <c r="C107" t="s">
        <v>1148</v>
      </c>
      <c r="D107" t="s">
        <v>1575</v>
      </c>
      <c r="E107" t="s">
        <v>206</v>
      </c>
      <c r="F107" t="s">
        <v>1583</v>
      </c>
      <c r="I107" t="s">
        <v>1058</v>
      </c>
      <c r="K107" t="s">
        <v>283</v>
      </c>
      <c r="L107" t="s">
        <v>231</v>
      </c>
      <c r="M107" t="s">
        <v>209</v>
      </c>
      <c r="N107" t="s">
        <v>203</v>
      </c>
      <c r="Q107" s="2" t="str">
        <f>IF($C107="","",IFERROR(VLOOKUP($C107,sources!$A$2:$N$200,2,FALSE()),"?"))</f>
        <v>Report</v>
      </c>
      <c r="R107" s="2" t="str">
        <f t="shared" si="1"/>
        <v>Textual</v>
      </c>
      <c r="S107" s="2" t="str">
        <f>IF($C107="","",IFERROR(VLOOKUP($C107,sources!$A$2:$N$200,9,FALSE()),"?"))</f>
        <v>US official</v>
      </c>
      <c r="T107" t="s">
        <v>5692</v>
      </c>
      <c r="U107">
        <f>IF(OR(B107="",C107="",T107="Retracted",LEFT(D107,8)="Negative"),0,IF(COUNTIFS($B$2:B107,B107,$C$2:C107,C107,$D$2:D107,"&lt;&gt;Negative*",$T$2:T107,"&lt;&gt;Retracted")=1,1,0))</f>
        <v>1</v>
      </c>
    </row>
    <row r="108" spans="1:21" x14ac:dyDescent="0.2">
      <c r="A108" t="s">
        <v>1710</v>
      </c>
      <c r="B108" t="s">
        <v>205</v>
      </c>
      <c r="C108" t="s">
        <v>1148</v>
      </c>
      <c r="D108" t="s">
        <v>1575</v>
      </c>
      <c r="E108" t="s">
        <v>206</v>
      </c>
      <c r="F108" t="s">
        <v>1583</v>
      </c>
      <c r="I108" t="s">
        <v>1058</v>
      </c>
      <c r="M108" t="s">
        <v>209</v>
      </c>
      <c r="N108" t="s">
        <v>203</v>
      </c>
      <c r="Q108" s="2" t="str">
        <f>IF($C108="","",IFERROR(VLOOKUP($C108,sources!$A$2:$N$200,2,FALSE()),"?"))</f>
        <v>Report</v>
      </c>
      <c r="R108" s="2" t="str">
        <f t="shared" si="1"/>
        <v>Textual</v>
      </c>
      <c r="S108" s="2" t="str">
        <f>IF($C108="","",IFERROR(VLOOKUP($C108,sources!$A$2:$N$200,9,FALSE()),"?"))</f>
        <v>US official</v>
      </c>
      <c r="T108" t="s">
        <v>5692</v>
      </c>
      <c r="U108">
        <f>IF(OR(B108="",C108="",T108="Retracted",LEFT(D108,8)="Negative"),0,IF(COUNTIFS($B$2:B108,B108,$C$2:C108,C108,$D$2:D108,"&lt;&gt;Negative*",$T$2:T108,"&lt;&gt;Retracted")=1,1,0))</f>
        <v>0</v>
      </c>
    </row>
    <row r="109" spans="1:21" x14ac:dyDescent="0.2">
      <c r="A109" t="s">
        <v>1711</v>
      </c>
      <c r="B109" t="s">
        <v>211</v>
      </c>
      <c r="C109" t="s">
        <v>1148</v>
      </c>
      <c r="D109" t="s">
        <v>1575</v>
      </c>
      <c r="E109" t="s">
        <v>212</v>
      </c>
      <c r="F109" t="s">
        <v>1583</v>
      </c>
      <c r="I109" t="s">
        <v>1058</v>
      </c>
      <c r="K109" t="s">
        <v>283</v>
      </c>
      <c r="L109" t="s">
        <v>231</v>
      </c>
      <c r="M109" t="s">
        <v>209</v>
      </c>
      <c r="N109" t="s">
        <v>203</v>
      </c>
      <c r="Q109" s="2" t="str">
        <f>IF($C109="","",IFERROR(VLOOKUP($C109,sources!$A$2:$N$200,2,FALSE()),"?"))</f>
        <v>Report</v>
      </c>
      <c r="R109" s="2" t="str">
        <f t="shared" si="1"/>
        <v>Textual</v>
      </c>
      <c r="S109" s="2" t="str">
        <f>IF($C109="","",IFERROR(VLOOKUP($C109,sources!$A$2:$N$200,9,FALSE()),"?"))</f>
        <v>US official</v>
      </c>
      <c r="T109" t="s">
        <v>5692</v>
      </c>
      <c r="U109">
        <f>IF(OR(B109="",C109="",T109="Retracted",LEFT(D109,8)="Negative"),0,IF(COUNTIFS($B$2:B109,B109,$C$2:C109,C109,$D$2:D109,"&lt;&gt;Negative*",$T$2:T109,"&lt;&gt;Retracted")=1,1,0))</f>
        <v>1</v>
      </c>
    </row>
    <row r="110" spans="1:21" x14ac:dyDescent="0.2">
      <c r="A110" t="s">
        <v>1712</v>
      </c>
      <c r="B110" t="s">
        <v>211</v>
      </c>
      <c r="C110" t="s">
        <v>1148</v>
      </c>
      <c r="D110" t="s">
        <v>1575</v>
      </c>
      <c r="E110" t="s">
        <v>212</v>
      </c>
      <c r="F110" t="s">
        <v>1583</v>
      </c>
      <c r="I110" t="s">
        <v>1058</v>
      </c>
      <c r="M110" t="s">
        <v>209</v>
      </c>
      <c r="N110" t="s">
        <v>203</v>
      </c>
      <c r="Q110" s="2" t="str">
        <f>IF($C110="","",IFERROR(VLOOKUP($C110,sources!$A$2:$N$200,2,FALSE()),"?"))</f>
        <v>Report</v>
      </c>
      <c r="R110" s="2" t="str">
        <f t="shared" si="1"/>
        <v>Textual</v>
      </c>
      <c r="S110" s="2" t="str">
        <f>IF($C110="","",IFERROR(VLOOKUP($C110,sources!$A$2:$N$200,9,FALSE()),"?"))</f>
        <v>US official</v>
      </c>
      <c r="T110" t="s">
        <v>5692</v>
      </c>
      <c r="U110">
        <f>IF(OR(B110="",C110="",T110="Retracted",LEFT(D110,8)="Negative"),0,IF(COUNTIFS($B$2:B110,B110,$C$2:C110,C110,$D$2:D110,"&lt;&gt;Negative*",$T$2:T110,"&lt;&gt;Retracted")=1,1,0))</f>
        <v>0</v>
      </c>
    </row>
    <row r="111" spans="1:21" x14ac:dyDescent="0.2">
      <c r="A111" t="s">
        <v>1713</v>
      </c>
      <c r="B111" t="s">
        <v>213</v>
      </c>
      <c r="C111" t="s">
        <v>1148</v>
      </c>
      <c r="D111" t="s">
        <v>1575</v>
      </c>
      <c r="E111" t="s">
        <v>214</v>
      </c>
      <c r="F111" t="s">
        <v>1583</v>
      </c>
      <c r="I111" t="s">
        <v>1058</v>
      </c>
      <c r="K111" t="s">
        <v>283</v>
      </c>
      <c r="L111" t="s">
        <v>231</v>
      </c>
      <c r="M111" t="s">
        <v>209</v>
      </c>
      <c r="N111" t="s">
        <v>203</v>
      </c>
      <c r="Q111" s="2" t="str">
        <f>IF($C111="","",IFERROR(VLOOKUP($C111,sources!$A$2:$N$200,2,FALSE()),"?"))</f>
        <v>Report</v>
      </c>
      <c r="R111" s="2" t="str">
        <f t="shared" si="1"/>
        <v>Textual</v>
      </c>
      <c r="S111" s="2" t="str">
        <f>IF($C111="","",IFERROR(VLOOKUP($C111,sources!$A$2:$N$200,9,FALSE()),"?"))</f>
        <v>US official</v>
      </c>
      <c r="T111" t="s">
        <v>5692</v>
      </c>
      <c r="U111">
        <f>IF(OR(B111="",C111="",T111="Retracted",LEFT(D111,8)="Negative"),0,IF(COUNTIFS($B$2:B111,B111,$C$2:C111,C111,$D$2:D111,"&lt;&gt;Negative*",$T$2:T111,"&lt;&gt;Retracted")=1,1,0))</f>
        <v>1</v>
      </c>
    </row>
    <row r="112" spans="1:21" x14ac:dyDescent="0.2">
      <c r="A112" t="s">
        <v>1714</v>
      </c>
      <c r="B112" t="s">
        <v>213</v>
      </c>
      <c r="C112" t="s">
        <v>1148</v>
      </c>
      <c r="D112" t="s">
        <v>1575</v>
      </c>
      <c r="E112" t="s">
        <v>214</v>
      </c>
      <c r="F112" t="s">
        <v>1583</v>
      </c>
      <c r="I112" t="s">
        <v>1058</v>
      </c>
      <c r="M112" t="s">
        <v>209</v>
      </c>
      <c r="N112" t="s">
        <v>203</v>
      </c>
      <c r="Q112" s="2" t="str">
        <f>IF($C112="","",IFERROR(VLOOKUP($C112,sources!$A$2:$N$200,2,FALSE()),"?"))</f>
        <v>Report</v>
      </c>
      <c r="R112" s="2" t="str">
        <f t="shared" si="1"/>
        <v>Textual</v>
      </c>
      <c r="S112" s="2" t="str">
        <f>IF($C112="","",IFERROR(VLOOKUP($C112,sources!$A$2:$N$200,9,FALSE()),"?"))</f>
        <v>US official</v>
      </c>
      <c r="T112" t="s">
        <v>5692</v>
      </c>
      <c r="U112">
        <f>IF(OR(B112="",C112="",T112="Retracted",LEFT(D112,8)="Negative"),0,IF(COUNTIFS($B$2:B112,B112,$C$2:C112,C112,$D$2:D112,"&lt;&gt;Negative*",$T$2:T112,"&lt;&gt;Retracted")=1,1,0))</f>
        <v>0</v>
      </c>
    </row>
    <row r="113" spans="1:21" x14ac:dyDescent="0.2">
      <c r="A113" t="s">
        <v>1715</v>
      </c>
      <c r="B113" t="s">
        <v>215</v>
      </c>
      <c r="C113" t="s">
        <v>1148</v>
      </c>
      <c r="D113" t="s">
        <v>1575</v>
      </c>
      <c r="E113" t="s">
        <v>216</v>
      </c>
      <c r="F113" t="s">
        <v>1583</v>
      </c>
      <c r="I113" t="s">
        <v>1058</v>
      </c>
      <c r="K113" t="s">
        <v>283</v>
      </c>
      <c r="L113" t="s">
        <v>231</v>
      </c>
      <c r="M113" t="s">
        <v>209</v>
      </c>
      <c r="N113" t="s">
        <v>203</v>
      </c>
      <c r="Q113" s="2" t="str">
        <f>IF($C113="","",IFERROR(VLOOKUP($C113,sources!$A$2:$N$200,2,FALSE()),"?"))</f>
        <v>Report</v>
      </c>
      <c r="R113" s="2" t="str">
        <f t="shared" si="1"/>
        <v>Textual</v>
      </c>
      <c r="S113" s="2" t="str">
        <f>IF($C113="","",IFERROR(VLOOKUP($C113,sources!$A$2:$N$200,9,FALSE()),"?"))</f>
        <v>US official</v>
      </c>
      <c r="T113" t="s">
        <v>5692</v>
      </c>
      <c r="U113">
        <f>IF(OR(B113="",C113="",T113="Retracted",LEFT(D113,8)="Negative"),0,IF(COUNTIFS($B$2:B113,B113,$C$2:C113,C113,$D$2:D113,"&lt;&gt;Negative*",$T$2:T113,"&lt;&gt;Retracted")=1,1,0))</f>
        <v>1</v>
      </c>
    </row>
    <row r="114" spans="1:21" x14ac:dyDescent="0.2">
      <c r="A114" t="s">
        <v>1716</v>
      </c>
      <c r="B114" t="s">
        <v>215</v>
      </c>
      <c r="C114" t="s">
        <v>1148</v>
      </c>
      <c r="D114" t="s">
        <v>1575</v>
      </c>
      <c r="E114" t="s">
        <v>216</v>
      </c>
      <c r="F114" t="s">
        <v>1583</v>
      </c>
      <c r="I114" t="s">
        <v>1058</v>
      </c>
      <c r="M114" t="s">
        <v>209</v>
      </c>
      <c r="N114" t="s">
        <v>203</v>
      </c>
      <c r="Q114" s="2" t="str">
        <f>IF($C114="","",IFERROR(VLOOKUP($C114,sources!$A$2:$N$200,2,FALSE()),"?"))</f>
        <v>Report</v>
      </c>
      <c r="R114" s="2" t="str">
        <f t="shared" si="1"/>
        <v>Textual</v>
      </c>
      <c r="S114" s="2" t="str">
        <f>IF($C114="","",IFERROR(VLOOKUP($C114,sources!$A$2:$N$200,9,FALSE()),"?"))</f>
        <v>US official</v>
      </c>
      <c r="T114" t="s">
        <v>5692</v>
      </c>
      <c r="U114">
        <f>IF(OR(B114="",C114="",T114="Retracted",LEFT(D114,8)="Negative"),0,IF(COUNTIFS($B$2:B114,B114,$C$2:C114,C114,$D$2:D114,"&lt;&gt;Negative*",$T$2:T114,"&lt;&gt;Retracted")=1,1,0))</f>
        <v>0</v>
      </c>
    </row>
    <row r="115" spans="1:21" x14ac:dyDescent="0.2">
      <c r="A115" t="s">
        <v>1717</v>
      </c>
      <c r="B115" t="s">
        <v>217</v>
      </c>
      <c r="C115" t="s">
        <v>1148</v>
      </c>
      <c r="D115" t="s">
        <v>1575</v>
      </c>
      <c r="E115" t="s">
        <v>218</v>
      </c>
      <c r="F115" t="s">
        <v>1583</v>
      </c>
      <c r="I115" t="s">
        <v>1058</v>
      </c>
      <c r="K115" t="s">
        <v>1172</v>
      </c>
      <c r="L115" t="s">
        <v>342</v>
      </c>
      <c r="M115" t="s">
        <v>209</v>
      </c>
      <c r="N115" t="s">
        <v>203</v>
      </c>
      <c r="Q115" s="2" t="str">
        <f>IF($C115="","",IFERROR(VLOOKUP($C115,sources!$A$2:$N$200,2,FALSE()),"?"))</f>
        <v>Report</v>
      </c>
      <c r="R115" s="2" t="str">
        <f t="shared" si="1"/>
        <v>Textual</v>
      </c>
      <c r="S115" s="2" t="str">
        <f>IF($C115="","",IFERROR(VLOOKUP($C115,sources!$A$2:$N$200,9,FALSE()),"?"))</f>
        <v>US official</v>
      </c>
      <c r="T115" t="s">
        <v>5692</v>
      </c>
      <c r="U115">
        <f>IF(OR(B115="",C115="",T115="Retracted",LEFT(D115,8)="Negative"),0,IF(COUNTIFS($B$2:B115,B115,$C$2:C115,C115,$D$2:D115,"&lt;&gt;Negative*",$T$2:T115,"&lt;&gt;Retracted")=1,1,0))</f>
        <v>1</v>
      </c>
    </row>
    <row r="116" spans="1:21" x14ac:dyDescent="0.2">
      <c r="A116" t="s">
        <v>1718</v>
      </c>
      <c r="B116" t="s">
        <v>219</v>
      </c>
      <c r="C116" t="s">
        <v>1148</v>
      </c>
      <c r="D116" t="s">
        <v>1575</v>
      </c>
      <c r="E116" t="s">
        <v>1580</v>
      </c>
      <c r="F116" t="s">
        <v>1583</v>
      </c>
      <c r="I116" t="s">
        <v>1058</v>
      </c>
      <c r="K116" t="s">
        <v>283</v>
      </c>
      <c r="L116" t="s">
        <v>231</v>
      </c>
      <c r="M116" t="s">
        <v>209</v>
      </c>
      <c r="N116" t="s">
        <v>203</v>
      </c>
      <c r="Q116" s="2" t="str">
        <f>IF($C116="","",IFERROR(VLOOKUP($C116,sources!$A$2:$N$200,2,FALSE()),"?"))</f>
        <v>Report</v>
      </c>
      <c r="R116" s="2" t="str">
        <f t="shared" si="1"/>
        <v>Textual</v>
      </c>
      <c r="S116" s="2" t="str">
        <f>IF($C116="","",IFERROR(VLOOKUP($C116,sources!$A$2:$N$200,9,FALSE()),"?"))</f>
        <v>US official</v>
      </c>
      <c r="T116" t="s">
        <v>5692</v>
      </c>
      <c r="U116">
        <f>IF(OR(B116="",C116="",T116="Retracted",LEFT(D116,8)="Negative"),0,IF(COUNTIFS($B$2:B116,B116,$C$2:C116,C116,$D$2:D116,"&lt;&gt;Negative*",$T$2:T116,"&lt;&gt;Retracted")=1,1,0))</f>
        <v>1</v>
      </c>
    </row>
    <row r="117" spans="1:21" x14ac:dyDescent="0.2">
      <c r="A117" t="s">
        <v>1719</v>
      </c>
      <c r="B117" t="s">
        <v>219</v>
      </c>
      <c r="C117" t="s">
        <v>1148</v>
      </c>
      <c r="D117" t="s">
        <v>1575</v>
      </c>
      <c r="E117" t="s">
        <v>1580</v>
      </c>
      <c r="F117" t="s">
        <v>1583</v>
      </c>
      <c r="I117" t="s">
        <v>1058</v>
      </c>
      <c r="M117" t="s">
        <v>209</v>
      </c>
      <c r="N117" t="s">
        <v>203</v>
      </c>
      <c r="Q117" s="2" t="str">
        <f>IF($C117="","",IFERROR(VLOOKUP($C117,sources!$A$2:$N$200,2,FALSE()),"?"))</f>
        <v>Report</v>
      </c>
      <c r="R117" s="2" t="str">
        <f t="shared" si="1"/>
        <v>Textual</v>
      </c>
      <c r="S117" s="2" t="str">
        <f>IF($C117="","",IFERROR(VLOOKUP($C117,sources!$A$2:$N$200,9,FALSE()),"?"))</f>
        <v>US official</v>
      </c>
      <c r="T117" t="s">
        <v>5692</v>
      </c>
      <c r="U117">
        <f>IF(OR(B117="",C117="",T117="Retracted",LEFT(D117,8)="Negative"),0,IF(COUNTIFS($B$2:B117,B117,$C$2:C117,C117,$D$2:D117,"&lt;&gt;Negative*",$T$2:T117,"&lt;&gt;Retracted")=1,1,0))</f>
        <v>0</v>
      </c>
    </row>
    <row r="118" spans="1:21" x14ac:dyDescent="0.2">
      <c r="A118" t="s">
        <v>1720</v>
      </c>
      <c r="B118" t="s">
        <v>226</v>
      </c>
      <c r="C118" t="s">
        <v>1148</v>
      </c>
      <c r="D118" t="s">
        <v>1575</v>
      </c>
      <c r="E118" t="s">
        <v>227</v>
      </c>
      <c r="F118" t="s">
        <v>1583</v>
      </c>
      <c r="I118" t="s">
        <v>1058</v>
      </c>
      <c r="K118" t="s">
        <v>231</v>
      </c>
      <c r="L118" t="s">
        <v>1721</v>
      </c>
      <c r="M118" t="s">
        <v>209</v>
      </c>
      <c r="N118" t="s">
        <v>203</v>
      </c>
      <c r="Q118" s="2" t="str">
        <f>IF($C118="","",IFERROR(VLOOKUP($C118,sources!$A$2:$N$200,2,FALSE()),"?"))</f>
        <v>Report</v>
      </c>
      <c r="R118" s="2" t="str">
        <f t="shared" si="1"/>
        <v>Textual</v>
      </c>
      <c r="S118" s="2" t="str">
        <f>IF($C118="","",IFERROR(VLOOKUP($C118,sources!$A$2:$N$200,9,FALSE()),"?"))</f>
        <v>US official</v>
      </c>
      <c r="T118" t="s">
        <v>5692</v>
      </c>
      <c r="U118">
        <f>IF(OR(B118="",C118="",T118="Retracted",LEFT(D118,8)="Negative"),0,IF(COUNTIFS($B$2:B118,B118,$C$2:C118,C118,$D$2:D118,"&lt;&gt;Negative*",$T$2:T118,"&lt;&gt;Retracted")=1,1,0))</f>
        <v>0</v>
      </c>
    </row>
    <row r="119" spans="1:21" x14ac:dyDescent="0.2">
      <c r="A119" t="s">
        <v>1722</v>
      </c>
      <c r="B119" t="s">
        <v>226</v>
      </c>
      <c r="C119" t="s">
        <v>1148</v>
      </c>
      <c r="D119" t="s">
        <v>1575</v>
      </c>
      <c r="E119" t="s">
        <v>227</v>
      </c>
      <c r="F119" t="s">
        <v>1583</v>
      </c>
      <c r="I119" t="s">
        <v>1058</v>
      </c>
      <c r="K119" t="s">
        <v>1723</v>
      </c>
      <c r="L119" t="s">
        <v>1724</v>
      </c>
      <c r="M119" t="s">
        <v>209</v>
      </c>
      <c r="N119" t="s">
        <v>203</v>
      </c>
      <c r="Q119" s="2" t="str">
        <f>IF($C119="","",IFERROR(VLOOKUP($C119,sources!$A$2:$N$200,2,FALSE()),"?"))</f>
        <v>Report</v>
      </c>
      <c r="R119" s="2" t="str">
        <f t="shared" si="1"/>
        <v>Textual</v>
      </c>
      <c r="S119" s="2" t="str">
        <f>IF($C119="","",IFERROR(VLOOKUP($C119,sources!$A$2:$N$200,9,FALSE()),"?"))</f>
        <v>US official</v>
      </c>
      <c r="T119" t="s">
        <v>5692</v>
      </c>
      <c r="U119">
        <f>IF(OR(B119="",C119="",T119="Retracted",LEFT(D119,8)="Negative"),0,IF(COUNTIFS($B$2:B119,B119,$C$2:C119,C119,$D$2:D119,"&lt;&gt;Negative*",$T$2:T119,"&lt;&gt;Retracted")=1,1,0))</f>
        <v>0</v>
      </c>
    </row>
    <row r="120" spans="1:21" x14ac:dyDescent="0.2">
      <c r="A120" t="s">
        <v>1725</v>
      </c>
      <c r="B120" t="s">
        <v>233</v>
      </c>
      <c r="C120" t="s">
        <v>1148</v>
      </c>
      <c r="D120" t="s">
        <v>1575</v>
      </c>
      <c r="E120" t="s">
        <v>234</v>
      </c>
      <c r="F120" t="s">
        <v>1583</v>
      </c>
      <c r="I120" t="s">
        <v>1058</v>
      </c>
      <c r="K120" t="s">
        <v>283</v>
      </c>
      <c r="L120" t="s">
        <v>231</v>
      </c>
      <c r="M120" t="s">
        <v>209</v>
      </c>
      <c r="N120" t="s">
        <v>203</v>
      </c>
      <c r="Q120" s="2" t="str">
        <f>IF($C120="","",IFERROR(VLOOKUP($C120,sources!$A$2:$N$200,2,FALSE()),"?"))</f>
        <v>Report</v>
      </c>
      <c r="R120" s="2" t="str">
        <f t="shared" si="1"/>
        <v>Textual</v>
      </c>
      <c r="S120" s="2" t="str">
        <f>IF($C120="","",IFERROR(VLOOKUP($C120,sources!$A$2:$N$200,9,FALSE()),"?"))</f>
        <v>US official</v>
      </c>
      <c r="T120" t="s">
        <v>5692</v>
      </c>
      <c r="U120">
        <f>IF(OR(B120="",C120="",T120="Retracted",LEFT(D120,8)="Negative"),0,IF(COUNTIFS($B$2:B120,B120,$C$2:C120,C120,$D$2:D120,"&lt;&gt;Negative*",$T$2:T120,"&lt;&gt;Retracted")=1,1,0))</f>
        <v>0</v>
      </c>
    </row>
    <row r="121" spans="1:21" x14ac:dyDescent="0.2">
      <c r="A121" t="s">
        <v>1726</v>
      </c>
      <c r="B121" t="s">
        <v>233</v>
      </c>
      <c r="C121" t="s">
        <v>1148</v>
      </c>
      <c r="D121" t="s">
        <v>1575</v>
      </c>
      <c r="E121" t="s">
        <v>234</v>
      </c>
      <c r="F121" t="s">
        <v>1583</v>
      </c>
      <c r="I121" t="s">
        <v>1058</v>
      </c>
      <c r="M121" t="s">
        <v>209</v>
      </c>
      <c r="N121" t="s">
        <v>203</v>
      </c>
      <c r="Q121" s="2" t="str">
        <f>IF($C121="","",IFERROR(VLOOKUP($C121,sources!$A$2:$N$200,2,FALSE()),"?"))</f>
        <v>Report</v>
      </c>
      <c r="R121" s="2" t="str">
        <f t="shared" si="1"/>
        <v>Textual</v>
      </c>
      <c r="S121" s="2" t="str">
        <f>IF($C121="","",IFERROR(VLOOKUP($C121,sources!$A$2:$N$200,9,FALSE()),"?"))</f>
        <v>US official</v>
      </c>
      <c r="T121" t="s">
        <v>5692</v>
      </c>
      <c r="U121">
        <f>IF(OR(B121="",C121="",T121="Retracted",LEFT(D121,8)="Negative"),0,IF(COUNTIFS($B$2:B121,B121,$C$2:C121,C121,$D$2:D121,"&lt;&gt;Negative*",$T$2:T121,"&lt;&gt;Retracted")=1,1,0))</f>
        <v>0</v>
      </c>
    </row>
    <row r="122" spans="1:21" x14ac:dyDescent="0.2">
      <c r="A122" t="s">
        <v>1727</v>
      </c>
      <c r="B122" t="s">
        <v>242</v>
      </c>
      <c r="C122" t="s">
        <v>1148</v>
      </c>
      <c r="D122" t="s">
        <v>1575</v>
      </c>
      <c r="E122" t="s">
        <v>243</v>
      </c>
      <c r="F122" t="s">
        <v>1583</v>
      </c>
      <c r="I122" t="s">
        <v>1058</v>
      </c>
      <c r="K122" t="s">
        <v>283</v>
      </c>
      <c r="L122" t="s">
        <v>231</v>
      </c>
      <c r="M122" t="s">
        <v>209</v>
      </c>
      <c r="N122" t="s">
        <v>203</v>
      </c>
      <c r="Q122" s="2" t="str">
        <f>IF($C122="","",IFERROR(VLOOKUP($C122,sources!$A$2:$N$200,2,FALSE()),"?"))</f>
        <v>Report</v>
      </c>
      <c r="R122" s="2" t="str">
        <f t="shared" si="1"/>
        <v>Textual</v>
      </c>
      <c r="S122" s="2" t="str">
        <f>IF($C122="","",IFERROR(VLOOKUP($C122,sources!$A$2:$N$200,9,FALSE()),"?"))</f>
        <v>US official</v>
      </c>
      <c r="T122" t="s">
        <v>5692</v>
      </c>
      <c r="U122">
        <f>IF(OR(B122="",C122="",T122="Retracted",LEFT(D122,8)="Negative"),0,IF(COUNTIFS($B$2:B122,B122,$C$2:C122,C122,$D$2:D122,"&lt;&gt;Negative*",$T$2:T122,"&lt;&gt;Retracted")=1,1,0))</f>
        <v>0</v>
      </c>
    </row>
    <row r="123" spans="1:21" x14ac:dyDescent="0.2">
      <c r="A123" t="s">
        <v>1728</v>
      </c>
      <c r="B123" t="s">
        <v>242</v>
      </c>
      <c r="C123" t="s">
        <v>1148</v>
      </c>
      <c r="D123" t="s">
        <v>1575</v>
      </c>
      <c r="E123" t="s">
        <v>243</v>
      </c>
      <c r="F123" t="s">
        <v>1583</v>
      </c>
      <c r="I123" t="s">
        <v>1058</v>
      </c>
      <c r="M123" t="s">
        <v>209</v>
      </c>
      <c r="N123" t="s">
        <v>203</v>
      </c>
      <c r="Q123" s="2" t="str">
        <f>IF($C123="","",IFERROR(VLOOKUP($C123,sources!$A$2:$N$200,2,FALSE()),"?"))</f>
        <v>Report</v>
      </c>
      <c r="R123" s="2" t="str">
        <f t="shared" si="1"/>
        <v>Textual</v>
      </c>
      <c r="S123" s="2" t="str">
        <f>IF($C123="","",IFERROR(VLOOKUP($C123,sources!$A$2:$N$200,9,FALSE()),"?"))</f>
        <v>US official</v>
      </c>
      <c r="T123" t="s">
        <v>5692</v>
      </c>
      <c r="U123">
        <f>IF(OR(B123="",C123="",T123="Retracted",LEFT(D123,8)="Negative"),0,IF(COUNTIFS($B$2:B123,B123,$C$2:C123,C123,$D$2:D123,"&lt;&gt;Negative*",$T$2:T123,"&lt;&gt;Retracted")=1,1,0))</f>
        <v>0</v>
      </c>
    </row>
    <row r="124" spans="1:21" x14ac:dyDescent="0.2">
      <c r="A124" t="s">
        <v>1729</v>
      </c>
      <c r="B124" t="s">
        <v>247</v>
      </c>
      <c r="C124" t="s">
        <v>1148</v>
      </c>
      <c r="D124" t="s">
        <v>1575</v>
      </c>
      <c r="E124" t="s">
        <v>248</v>
      </c>
      <c r="F124" t="s">
        <v>1583</v>
      </c>
      <c r="I124" t="s">
        <v>1058</v>
      </c>
      <c r="K124" t="s">
        <v>283</v>
      </c>
      <c r="L124" t="s">
        <v>231</v>
      </c>
      <c r="M124" t="s">
        <v>209</v>
      </c>
      <c r="N124" t="s">
        <v>203</v>
      </c>
      <c r="Q124" s="2" t="str">
        <f>IF($C124="","",IFERROR(VLOOKUP($C124,sources!$A$2:$N$200,2,FALSE()),"?"))</f>
        <v>Report</v>
      </c>
      <c r="R124" s="2" t="str">
        <f t="shared" si="1"/>
        <v>Textual</v>
      </c>
      <c r="S124" s="2" t="str">
        <f>IF($C124="","",IFERROR(VLOOKUP($C124,sources!$A$2:$N$200,9,FALSE()),"?"))</f>
        <v>US official</v>
      </c>
      <c r="T124" t="s">
        <v>5692</v>
      </c>
      <c r="U124">
        <f>IF(OR(B124="",C124="",T124="Retracted",LEFT(D124,8)="Negative"),0,IF(COUNTIFS($B$2:B124,B124,$C$2:C124,C124,$D$2:D124,"&lt;&gt;Negative*",$T$2:T124,"&lt;&gt;Retracted")=1,1,0))</f>
        <v>1</v>
      </c>
    </row>
    <row r="125" spans="1:21" x14ac:dyDescent="0.2">
      <c r="A125" t="s">
        <v>1730</v>
      </c>
      <c r="B125" t="s">
        <v>247</v>
      </c>
      <c r="C125" t="s">
        <v>1148</v>
      </c>
      <c r="D125" t="s">
        <v>1575</v>
      </c>
      <c r="E125" t="s">
        <v>248</v>
      </c>
      <c r="F125" t="s">
        <v>1583</v>
      </c>
      <c r="I125" t="s">
        <v>1058</v>
      </c>
      <c r="M125" t="s">
        <v>209</v>
      </c>
      <c r="N125" t="s">
        <v>203</v>
      </c>
      <c r="Q125" s="2" t="str">
        <f>IF($C125="","",IFERROR(VLOOKUP($C125,sources!$A$2:$N$200,2,FALSE()),"?"))</f>
        <v>Report</v>
      </c>
      <c r="R125" s="2" t="str">
        <f t="shared" si="1"/>
        <v>Textual</v>
      </c>
      <c r="S125" s="2" t="str">
        <f>IF($C125="","",IFERROR(VLOOKUP($C125,sources!$A$2:$N$200,9,FALSE()),"?"))</f>
        <v>US official</v>
      </c>
      <c r="T125" t="s">
        <v>5692</v>
      </c>
      <c r="U125">
        <f>IF(OR(B125="",C125="",T125="Retracted",LEFT(D125,8)="Negative"),0,IF(COUNTIFS($B$2:B125,B125,$C$2:C125,C125,$D$2:D125,"&lt;&gt;Negative*",$T$2:T125,"&lt;&gt;Retracted")=1,1,0))</f>
        <v>0</v>
      </c>
    </row>
    <row r="126" spans="1:21" x14ac:dyDescent="0.2">
      <c r="A126" t="s">
        <v>1731</v>
      </c>
      <c r="B126" t="s">
        <v>253</v>
      </c>
      <c r="C126" t="s">
        <v>1148</v>
      </c>
      <c r="D126" t="s">
        <v>1575</v>
      </c>
      <c r="E126" t="s">
        <v>254</v>
      </c>
      <c r="F126" t="s">
        <v>1583</v>
      </c>
      <c r="I126" t="s">
        <v>1058</v>
      </c>
      <c r="K126" t="s">
        <v>283</v>
      </c>
      <c r="L126" t="s">
        <v>231</v>
      </c>
      <c r="M126" t="s">
        <v>209</v>
      </c>
      <c r="N126" t="s">
        <v>203</v>
      </c>
      <c r="Q126" s="2" t="str">
        <f>IF($C126="","",IFERROR(VLOOKUP($C126,sources!$A$2:$N$200,2,FALSE()),"?"))</f>
        <v>Report</v>
      </c>
      <c r="R126" s="2" t="str">
        <f t="shared" si="1"/>
        <v>Textual</v>
      </c>
      <c r="S126" s="2" t="str">
        <f>IF($C126="","",IFERROR(VLOOKUP($C126,sources!$A$2:$N$200,9,FALSE()),"?"))</f>
        <v>US official</v>
      </c>
      <c r="T126" t="s">
        <v>5692</v>
      </c>
      <c r="U126">
        <f>IF(OR(B126="",C126="",T126="Retracted",LEFT(D126,8)="Negative"),0,IF(COUNTIFS($B$2:B126,B126,$C$2:C126,C126,$D$2:D126,"&lt;&gt;Negative*",$T$2:T126,"&lt;&gt;Retracted")=1,1,0))</f>
        <v>1</v>
      </c>
    </row>
    <row r="127" spans="1:21" x14ac:dyDescent="0.2">
      <c r="A127" t="s">
        <v>1732</v>
      </c>
      <c r="B127" t="s">
        <v>253</v>
      </c>
      <c r="C127" t="s">
        <v>1148</v>
      </c>
      <c r="D127" t="s">
        <v>1575</v>
      </c>
      <c r="E127" t="s">
        <v>254</v>
      </c>
      <c r="F127" t="s">
        <v>1583</v>
      </c>
      <c r="I127" t="s">
        <v>1058</v>
      </c>
      <c r="N127" t="s">
        <v>203</v>
      </c>
      <c r="Q127" s="2" t="str">
        <f>IF($C127="","",IFERROR(VLOOKUP($C127,sources!$A$2:$N$200,2,FALSE()),"?"))</f>
        <v>Report</v>
      </c>
      <c r="R127" s="2" t="str">
        <f t="shared" si="1"/>
        <v>Textual</v>
      </c>
      <c r="S127" s="2" t="str">
        <f>IF($C127="","",IFERROR(VLOOKUP($C127,sources!$A$2:$N$200,9,FALSE()),"?"))</f>
        <v>US official</v>
      </c>
      <c r="T127" t="s">
        <v>5692</v>
      </c>
      <c r="U127">
        <f>IF(OR(B127="",C127="",T127="Retracted",LEFT(D127,8)="Negative"),0,IF(COUNTIFS($B$2:B127,B127,$C$2:C127,C127,$D$2:D127,"&lt;&gt;Negative*",$T$2:T127,"&lt;&gt;Retracted")=1,1,0))</f>
        <v>0</v>
      </c>
    </row>
    <row r="128" spans="1:21" x14ac:dyDescent="0.2">
      <c r="A128" t="s">
        <v>1733</v>
      </c>
      <c r="B128" t="s">
        <v>261</v>
      </c>
      <c r="C128" t="s">
        <v>1148</v>
      </c>
      <c r="D128" t="s">
        <v>1575</v>
      </c>
      <c r="E128" t="s">
        <v>262</v>
      </c>
      <c r="F128" t="s">
        <v>1583</v>
      </c>
      <c r="I128" t="s">
        <v>1058</v>
      </c>
      <c r="K128" t="s">
        <v>283</v>
      </c>
      <c r="L128" t="s">
        <v>231</v>
      </c>
      <c r="M128" t="s">
        <v>209</v>
      </c>
      <c r="N128" t="s">
        <v>203</v>
      </c>
      <c r="Q128" s="2" t="str">
        <f>IF($C128="","",IFERROR(VLOOKUP($C128,sources!$A$2:$N$200,2,FALSE()),"?"))</f>
        <v>Report</v>
      </c>
      <c r="R128" s="2" t="str">
        <f t="shared" si="1"/>
        <v>Textual</v>
      </c>
      <c r="S128" s="2" t="str">
        <f>IF($C128="","",IFERROR(VLOOKUP($C128,sources!$A$2:$N$200,9,FALSE()),"?"))</f>
        <v>US official</v>
      </c>
      <c r="T128" t="s">
        <v>5692</v>
      </c>
      <c r="U128">
        <f>IF(OR(B128="",C128="",T128="Retracted",LEFT(D128,8)="Negative"),0,IF(COUNTIFS($B$2:B128,B128,$C$2:C128,C128,$D$2:D128,"&lt;&gt;Negative*",$T$2:T128,"&lt;&gt;Retracted")=1,1,0))</f>
        <v>1</v>
      </c>
    </row>
    <row r="129" spans="1:21" x14ac:dyDescent="0.2">
      <c r="A129" t="s">
        <v>1734</v>
      </c>
      <c r="B129" t="s">
        <v>261</v>
      </c>
      <c r="C129" t="s">
        <v>1148</v>
      </c>
      <c r="D129" t="s">
        <v>1575</v>
      </c>
      <c r="E129" t="s">
        <v>262</v>
      </c>
      <c r="F129" t="s">
        <v>1583</v>
      </c>
      <c r="I129" t="s">
        <v>1058</v>
      </c>
      <c r="K129" t="s">
        <v>1735</v>
      </c>
      <c r="L129" t="s">
        <v>1736</v>
      </c>
      <c r="M129" t="s">
        <v>209</v>
      </c>
      <c r="N129" t="s">
        <v>203</v>
      </c>
      <c r="Q129" s="2" t="str">
        <f>IF($C129="","",IFERROR(VLOOKUP($C129,sources!$A$2:$N$200,2,FALSE()),"?"))</f>
        <v>Report</v>
      </c>
      <c r="R129" s="2" t="str">
        <f t="shared" si="1"/>
        <v>Textual</v>
      </c>
      <c r="S129" s="2" t="str">
        <f>IF($C129="","",IFERROR(VLOOKUP($C129,sources!$A$2:$N$200,9,FALSE()),"?"))</f>
        <v>US official</v>
      </c>
      <c r="T129" t="s">
        <v>5692</v>
      </c>
      <c r="U129">
        <f>IF(OR(B129="",C129="",T129="Retracted",LEFT(D129,8)="Negative"),0,IF(COUNTIFS($B$2:B129,B129,$C$2:C129,C129,$D$2:D129,"&lt;&gt;Negative*",$T$2:T129,"&lt;&gt;Retracted")=1,1,0))</f>
        <v>0</v>
      </c>
    </row>
    <row r="130" spans="1:21" x14ac:dyDescent="0.2">
      <c r="A130" t="s">
        <v>1737</v>
      </c>
      <c r="B130" t="s">
        <v>265</v>
      </c>
      <c r="C130" t="s">
        <v>1148</v>
      </c>
      <c r="D130" t="s">
        <v>1575</v>
      </c>
      <c r="E130" t="s">
        <v>266</v>
      </c>
      <c r="F130" t="s">
        <v>1583</v>
      </c>
      <c r="I130" t="s">
        <v>1058</v>
      </c>
      <c r="K130" t="s">
        <v>283</v>
      </c>
      <c r="L130" t="s">
        <v>231</v>
      </c>
      <c r="M130" t="s">
        <v>209</v>
      </c>
      <c r="N130" t="s">
        <v>203</v>
      </c>
      <c r="Q130" s="2" t="str">
        <f>IF($C130="","",IFERROR(VLOOKUP($C130,sources!$A$2:$N$200,2,FALSE()),"?"))</f>
        <v>Report</v>
      </c>
      <c r="R130" s="2" t="str">
        <f t="shared" ref="R130:R193" si="2">IF($Q130="","",IF($Q130="Map","Map",IF(OR($Q130="Photograph",$Q130="Postcard"),"Image",IF(OR($Q130="Census or roll",$Q130="Report",$Q130="Newspaper",$Q130="Letter",$Q130="Memoir",$Q130="Administrative",$Q130="Web compilation"),"Textual",IF($Q130="Legal claim","Legal/admin",IF($Q130="Secondary","Secondary","Other"))))))</f>
        <v>Textual</v>
      </c>
      <c r="S130" s="2" t="str">
        <f>IF($C130="","",IFERROR(VLOOKUP($C130,sources!$A$2:$N$200,9,FALSE()),"?"))</f>
        <v>US official</v>
      </c>
      <c r="T130" t="s">
        <v>5692</v>
      </c>
      <c r="U130">
        <f>IF(OR(B130="",C130="",T130="Retracted",LEFT(D130,8)="Negative"),0,IF(COUNTIFS($B$2:B130,B130,$C$2:C130,C130,$D$2:D130,"&lt;&gt;Negative*",$T$2:T130,"&lt;&gt;Retracted")=1,1,0))</f>
        <v>1</v>
      </c>
    </row>
    <row r="131" spans="1:21" x14ac:dyDescent="0.2">
      <c r="A131" t="s">
        <v>1738</v>
      </c>
      <c r="B131" t="s">
        <v>265</v>
      </c>
      <c r="C131" t="s">
        <v>1148</v>
      </c>
      <c r="D131" t="s">
        <v>1575</v>
      </c>
      <c r="E131" t="s">
        <v>266</v>
      </c>
      <c r="F131" t="s">
        <v>1583</v>
      </c>
      <c r="I131" t="s">
        <v>1058</v>
      </c>
      <c r="N131" t="s">
        <v>203</v>
      </c>
      <c r="Q131" s="2" t="str">
        <f>IF($C131="","",IFERROR(VLOOKUP($C131,sources!$A$2:$N$200,2,FALSE()),"?"))</f>
        <v>Report</v>
      </c>
      <c r="R131" s="2" t="str">
        <f t="shared" si="2"/>
        <v>Textual</v>
      </c>
      <c r="S131" s="2" t="str">
        <f>IF($C131="","",IFERROR(VLOOKUP($C131,sources!$A$2:$N$200,9,FALSE()),"?"))</f>
        <v>US official</v>
      </c>
      <c r="T131" t="s">
        <v>5692</v>
      </c>
      <c r="U131">
        <f>IF(OR(B131="",C131="",T131="Retracted",LEFT(D131,8)="Negative"),0,IF(COUNTIFS($B$2:B131,B131,$C$2:C131,C131,$D$2:D131,"&lt;&gt;Negative*",$T$2:T131,"&lt;&gt;Retracted")=1,1,0))</f>
        <v>0</v>
      </c>
    </row>
    <row r="132" spans="1:21" x14ac:dyDescent="0.2">
      <c r="A132" t="s">
        <v>1739</v>
      </c>
      <c r="B132" t="s">
        <v>330</v>
      </c>
      <c r="C132" t="s">
        <v>1148</v>
      </c>
      <c r="D132" t="s">
        <v>1575</v>
      </c>
      <c r="E132" t="s">
        <v>331</v>
      </c>
      <c r="F132" t="s">
        <v>1583</v>
      </c>
      <c r="I132" t="s">
        <v>1058</v>
      </c>
      <c r="K132" t="s">
        <v>1591</v>
      </c>
      <c r="L132" t="s">
        <v>273</v>
      </c>
      <c r="M132" t="s">
        <v>209</v>
      </c>
      <c r="N132" t="s">
        <v>203</v>
      </c>
      <c r="Q132" s="2" t="str">
        <f>IF($C132="","",IFERROR(VLOOKUP($C132,sources!$A$2:$N$200,2,FALSE()),"?"))</f>
        <v>Report</v>
      </c>
      <c r="R132" s="2" t="str">
        <f t="shared" si="2"/>
        <v>Textual</v>
      </c>
      <c r="S132" s="2" t="str">
        <f>IF($C132="","",IFERROR(VLOOKUP($C132,sources!$A$2:$N$200,9,FALSE()),"?"))</f>
        <v>US official</v>
      </c>
      <c r="T132" t="s">
        <v>5692</v>
      </c>
      <c r="U132">
        <f>IF(OR(B132="",C132="",T132="Retracted",LEFT(D132,8)="Negative"),0,IF(COUNTIFS($B$2:B132,B132,$C$2:C132,C132,$D$2:D132,"&lt;&gt;Negative*",$T$2:T132,"&lt;&gt;Retracted")=1,1,0))</f>
        <v>1</v>
      </c>
    </row>
    <row r="133" spans="1:21" x14ac:dyDescent="0.2">
      <c r="A133" t="s">
        <v>1740</v>
      </c>
      <c r="B133" t="s">
        <v>330</v>
      </c>
      <c r="C133" t="s">
        <v>1148</v>
      </c>
      <c r="D133" t="s">
        <v>1575</v>
      </c>
      <c r="E133" t="s">
        <v>331</v>
      </c>
      <c r="F133" t="s">
        <v>1583</v>
      </c>
      <c r="I133" t="s">
        <v>1058</v>
      </c>
      <c r="K133" t="s">
        <v>1373</v>
      </c>
      <c r="L133" t="s">
        <v>1741</v>
      </c>
      <c r="M133" t="s">
        <v>209</v>
      </c>
      <c r="N133" t="s">
        <v>203</v>
      </c>
      <c r="Q133" s="2" t="str">
        <f>IF($C133="","",IFERROR(VLOOKUP($C133,sources!$A$2:$N$200,2,FALSE()),"?"))</f>
        <v>Report</v>
      </c>
      <c r="R133" s="2" t="str">
        <f t="shared" si="2"/>
        <v>Textual</v>
      </c>
      <c r="S133" s="2" t="str">
        <f>IF($C133="","",IFERROR(VLOOKUP($C133,sources!$A$2:$N$200,9,FALSE()),"?"))</f>
        <v>US official</v>
      </c>
      <c r="T133" t="s">
        <v>5692</v>
      </c>
      <c r="U133">
        <f>IF(OR(B133="",C133="",T133="Retracted",LEFT(D133,8)="Negative"),0,IF(COUNTIFS($B$2:B133,B133,$C$2:C133,C133,$D$2:D133,"&lt;&gt;Negative*",$T$2:T133,"&lt;&gt;Retracted")=1,1,0))</f>
        <v>0</v>
      </c>
    </row>
    <row r="134" spans="1:21" x14ac:dyDescent="0.2">
      <c r="A134" t="s">
        <v>1742</v>
      </c>
      <c r="B134" t="s">
        <v>335</v>
      </c>
      <c r="C134" t="s">
        <v>1148</v>
      </c>
      <c r="D134" t="s">
        <v>1575</v>
      </c>
      <c r="E134" t="s">
        <v>336</v>
      </c>
      <c r="F134" t="s">
        <v>1583</v>
      </c>
      <c r="I134" t="s">
        <v>1058</v>
      </c>
      <c r="K134" t="s">
        <v>283</v>
      </c>
      <c r="L134" t="s">
        <v>231</v>
      </c>
      <c r="M134" t="s">
        <v>209</v>
      </c>
      <c r="N134" t="s">
        <v>203</v>
      </c>
      <c r="Q134" s="2" t="str">
        <f>IF($C134="","",IFERROR(VLOOKUP($C134,sources!$A$2:$N$200,2,FALSE()),"?"))</f>
        <v>Report</v>
      </c>
      <c r="R134" s="2" t="str">
        <f t="shared" si="2"/>
        <v>Textual</v>
      </c>
      <c r="S134" s="2" t="str">
        <f>IF($C134="","",IFERROR(VLOOKUP($C134,sources!$A$2:$N$200,9,FALSE()),"?"))</f>
        <v>US official</v>
      </c>
      <c r="T134" t="s">
        <v>5692</v>
      </c>
      <c r="U134">
        <f>IF(OR(B134="",C134="",T134="Retracted",LEFT(D134,8)="Negative"),0,IF(COUNTIFS($B$2:B134,B134,$C$2:C134,C134,$D$2:D134,"&lt;&gt;Negative*",$T$2:T134,"&lt;&gt;Retracted")=1,1,0))</f>
        <v>1</v>
      </c>
    </row>
    <row r="135" spans="1:21" x14ac:dyDescent="0.2">
      <c r="A135" t="s">
        <v>1743</v>
      </c>
      <c r="B135" t="s">
        <v>335</v>
      </c>
      <c r="C135" t="s">
        <v>1148</v>
      </c>
      <c r="D135" t="s">
        <v>1575</v>
      </c>
      <c r="E135" t="s">
        <v>336</v>
      </c>
      <c r="F135" t="s">
        <v>1583</v>
      </c>
      <c r="I135" t="s">
        <v>1058</v>
      </c>
      <c r="K135" t="s">
        <v>1744</v>
      </c>
      <c r="L135" t="s">
        <v>1373</v>
      </c>
      <c r="M135" t="s">
        <v>209</v>
      </c>
      <c r="N135" t="s">
        <v>203</v>
      </c>
      <c r="Q135" s="2" t="str">
        <f>IF($C135="","",IFERROR(VLOOKUP($C135,sources!$A$2:$N$200,2,FALSE()),"?"))</f>
        <v>Report</v>
      </c>
      <c r="R135" s="2" t="str">
        <f t="shared" si="2"/>
        <v>Textual</v>
      </c>
      <c r="S135" s="2" t="str">
        <f>IF($C135="","",IFERROR(VLOOKUP($C135,sources!$A$2:$N$200,9,FALSE()),"?"))</f>
        <v>US official</v>
      </c>
      <c r="T135" t="s">
        <v>5692</v>
      </c>
      <c r="U135">
        <f>IF(OR(B135="",C135="",T135="Retracted",LEFT(D135,8)="Negative"),0,IF(COUNTIFS($B$2:B135,B135,$C$2:C135,C135,$D$2:D135,"&lt;&gt;Negative*",$T$2:T135,"&lt;&gt;Retracted")=1,1,0))</f>
        <v>0</v>
      </c>
    </row>
    <row r="136" spans="1:21" x14ac:dyDescent="0.2">
      <c r="A136" t="s">
        <v>1745</v>
      </c>
      <c r="B136" t="s">
        <v>340</v>
      </c>
      <c r="C136" t="s">
        <v>1148</v>
      </c>
      <c r="D136" t="s">
        <v>1575</v>
      </c>
      <c r="E136" t="s">
        <v>341</v>
      </c>
      <c r="F136" t="s">
        <v>1583</v>
      </c>
      <c r="I136" t="s">
        <v>1058</v>
      </c>
      <c r="K136" t="s">
        <v>283</v>
      </c>
      <c r="L136" t="s">
        <v>231</v>
      </c>
      <c r="M136" t="s">
        <v>209</v>
      </c>
      <c r="N136" t="s">
        <v>203</v>
      </c>
      <c r="Q136" s="2" t="str">
        <f>IF($C136="","",IFERROR(VLOOKUP($C136,sources!$A$2:$N$200,2,FALSE()),"?"))</f>
        <v>Report</v>
      </c>
      <c r="R136" s="2" t="str">
        <f t="shared" si="2"/>
        <v>Textual</v>
      </c>
      <c r="S136" s="2" t="str">
        <f>IF($C136="","",IFERROR(VLOOKUP($C136,sources!$A$2:$N$200,9,FALSE()),"?"))</f>
        <v>US official</v>
      </c>
      <c r="T136" t="s">
        <v>5692</v>
      </c>
      <c r="U136">
        <f>IF(OR(B136="",C136="",T136="Retracted",LEFT(D136,8)="Negative"),0,IF(COUNTIFS($B$2:B136,B136,$C$2:C136,C136,$D$2:D136,"&lt;&gt;Negative*",$T$2:T136,"&lt;&gt;Retracted")=1,1,0))</f>
        <v>1</v>
      </c>
    </row>
    <row r="137" spans="1:21" x14ac:dyDescent="0.2">
      <c r="A137" t="s">
        <v>1746</v>
      </c>
      <c r="B137" t="s">
        <v>340</v>
      </c>
      <c r="C137" t="s">
        <v>1148</v>
      </c>
      <c r="D137" t="s">
        <v>1575</v>
      </c>
      <c r="E137" t="s">
        <v>341</v>
      </c>
      <c r="F137" t="s">
        <v>1583</v>
      </c>
      <c r="I137" t="s">
        <v>1058</v>
      </c>
      <c r="M137" t="s">
        <v>209</v>
      </c>
      <c r="N137" t="s">
        <v>203</v>
      </c>
      <c r="Q137" s="2" t="str">
        <f>IF($C137="","",IFERROR(VLOOKUP($C137,sources!$A$2:$N$200,2,FALSE()),"?"))</f>
        <v>Report</v>
      </c>
      <c r="R137" s="2" t="str">
        <f t="shared" si="2"/>
        <v>Textual</v>
      </c>
      <c r="S137" s="2" t="str">
        <f>IF($C137="","",IFERROR(VLOOKUP($C137,sources!$A$2:$N$200,9,FALSE()),"?"))</f>
        <v>US official</v>
      </c>
      <c r="T137" t="s">
        <v>5692</v>
      </c>
      <c r="U137">
        <f>IF(OR(B137="",C137="",T137="Retracted",LEFT(D137,8)="Negative"),0,IF(COUNTIFS($B$2:B137,B137,$C$2:C137,C137,$D$2:D137,"&lt;&gt;Negative*",$T$2:T137,"&lt;&gt;Retracted")=1,1,0))</f>
        <v>0</v>
      </c>
    </row>
    <row r="138" spans="1:21" x14ac:dyDescent="0.2">
      <c r="A138" t="s">
        <v>1747</v>
      </c>
      <c r="B138" t="s">
        <v>344</v>
      </c>
      <c r="C138" t="s">
        <v>1148</v>
      </c>
      <c r="D138" t="s">
        <v>1575</v>
      </c>
      <c r="E138" t="s">
        <v>345</v>
      </c>
      <c r="F138" t="s">
        <v>1583</v>
      </c>
      <c r="I138" t="s">
        <v>1058</v>
      </c>
      <c r="K138" t="s">
        <v>231</v>
      </c>
      <c r="L138" t="s">
        <v>1721</v>
      </c>
      <c r="M138" t="s">
        <v>209</v>
      </c>
      <c r="N138" t="s">
        <v>203</v>
      </c>
      <c r="Q138" s="2" t="str">
        <f>IF($C138="","",IFERROR(VLOOKUP($C138,sources!$A$2:$N$200,2,FALSE()),"?"))</f>
        <v>Report</v>
      </c>
      <c r="R138" s="2" t="str">
        <f t="shared" si="2"/>
        <v>Textual</v>
      </c>
      <c r="S138" s="2" t="str">
        <f>IF($C138="","",IFERROR(VLOOKUP($C138,sources!$A$2:$N$200,9,FALSE()),"?"))</f>
        <v>US official</v>
      </c>
      <c r="T138" t="s">
        <v>5692</v>
      </c>
      <c r="U138">
        <f>IF(OR(B138="",C138="",T138="Retracted",LEFT(D138,8)="Negative"),0,IF(COUNTIFS($B$2:B138,B138,$C$2:C138,C138,$D$2:D138,"&lt;&gt;Negative*",$T$2:T138,"&lt;&gt;Retracted")=1,1,0))</f>
        <v>1</v>
      </c>
    </row>
    <row r="139" spans="1:21" x14ac:dyDescent="0.2">
      <c r="A139" t="s">
        <v>1748</v>
      </c>
      <c r="B139" t="s">
        <v>344</v>
      </c>
      <c r="C139" t="s">
        <v>1148</v>
      </c>
      <c r="D139" t="s">
        <v>1575</v>
      </c>
      <c r="E139" t="s">
        <v>345</v>
      </c>
      <c r="F139" t="s">
        <v>1583</v>
      </c>
      <c r="I139" t="s">
        <v>1058</v>
      </c>
      <c r="K139" t="s">
        <v>1749</v>
      </c>
      <c r="L139" t="s">
        <v>1744</v>
      </c>
      <c r="M139" t="s">
        <v>209</v>
      </c>
      <c r="N139" t="s">
        <v>203</v>
      </c>
      <c r="Q139" s="2" t="str">
        <f>IF($C139="","",IFERROR(VLOOKUP($C139,sources!$A$2:$N$200,2,FALSE()),"?"))</f>
        <v>Report</v>
      </c>
      <c r="R139" s="2" t="str">
        <f t="shared" si="2"/>
        <v>Textual</v>
      </c>
      <c r="S139" s="2" t="str">
        <f>IF($C139="","",IFERROR(VLOOKUP($C139,sources!$A$2:$N$200,9,FALSE()),"?"))</f>
        <v>US official</v>
      </c>
      <c r="T139" t="s">
        <v>5692</v>
      </c>
      <c r="U139">
        <f>IF(OR(B139="",C139="",T139="Retracted",LEFT(D139,8)="Negative"),0,IF(COUNTIFS($B$2:B139,B139,$C$2:C139,C139,$D$2:D139,"&lt;&gt;Negative*",$T$2:T139,"&lt;&gt;Retracted")=1,1,0))</f>
        <v>0</v>
      </c>
    </row>
    <row r="140" spans="1:21" x14ac:dyDescent="0.2">
      <c r="A140" t="s">
        <v>1750</v>
      </c>
      <c r="B140" t="s">
        <v>348</v>
      </c>
      <c r="C140" t="s">
        <v>1148</v>
      </c>
      <c r="D140" t="s">
        <v>1575</v>
      </c>
      <c r="E140" t="s">
        <v>349</v>
      </c>
      <c r="F140" t="s">
        <v>1583</v>
      </c>
      <c r="I140" t="s">
        <v>1058</v>
      </c>
      <c r="K140" t="s">
        <v>283</v>
      </c>
      <c r="L140" t="s">
        <v>231</v>
      </c>
      <c r="M140" t="s">
        <v>209</v>
      </c>
      <c r="N140" t="s">
        <v>203</v>
      </c>
      <c r="Q140" s="2" t="str">
        <f>IF($C140="","",IFERROR(VLOOKUP($C140,sources!$A$2:$N$200,2,FALSE()),"?"))</f>
        <v>Report</v>
      </c>
      <c r="R140" s="2" t="str">
        <f t="shared" si="2"/>
        <v>Textual</v>
      </c>
      <c r="S140" s="2" t="str">
        <f>IF($C140="","",IFERROR(VLOOKUP($C140,sources!$A$2:$N$200,9,FALSE()),"?"))</f>
        <v>US official</v>
      </c>
      <c r="T140" t="s">
        <v>5692</v>
      </c>
      <c r="U140">
        <f>IF(OR(B140="",C140="",T140="Retracted",LEFT(D140,8)="Negative"),0,IF(COUNTIFS($B$2:B140,B140,$C$2:C140,C140,$D$2:D140,"&lt;&gt;Negative*",$T$2:T140,"&lt;&gt;Retracted")=1,1,0))</f>
        <v>1</v>
      </c>
    </row>
    <row r="141" spans="1:21" x14ac:dyDescent="0.2">
      <c r="A141" t="s">
        <v>1751</v>
      </c>
      <c r="B141" t="s">
        <v>348</v>
      </c>
      <c r="C141" t="s">
        <v>1148</v>
      </c>
      <c r="D141" t="s">
        <v>1575</v>
      </c>
      <c r="E141" t="s">
        <v>349</v>
      </c>
      <c r="F141" t="s">
        <v>1583</v>
      </c>
      <c r="I141" t="s">
        <v>1058</v>
      </c>
      <c r="M141" t="s">
        <v>209</v>
      </c>
      <c r="N141" t="s">
        <v>203</v>
      </c>
      <c r="Q141" s="2" t="str">
        <f>IF($C141="","",IFERROR(VLOOKUP($C141,sources!$A$2:$N$200,2,FALSE()),"?"))</f>
        <v>Report</v>
      </c>
      <c r="R141" s="2" t="str">
        <f t="shared" si="2"/>
        <v>Textual</v>
      </c>
      <c r="S141" s="2" t="str">
        <f>IF($C141="","",IFERROR(VLOOKUP($C141,sources!$A$2:$N$200,9,FALSE()),"?"))</f>
        <v>US official</v>
      </c>
      <c r="T141" t="s">
        <v>5692</v>
      </c>
      <c r="U141">
        <f>IF(OR(B141="",C141="",T141="Retracted",LEFT(D141,8)="Negative"),0,IF(COUNTIFS($B$2:B141,B141,$C$2:C141,C141,$D$2:D141,"&lt;&gt;Negative*",$T$2:T141,"&lt;&gt;Retracted")=1,1,0))</f>
        <v>0</v>
      </c>
    </row>
    <row r="142" spans="1:21" x14ac:dyDescent="0.2">
      <c r="A142" t="s">
        <v>1752</v>
      </c>
      <c r="B142" t="s">
        <v>351</v>
      </c>
      <c r="C142" t="s">
        <v>1148</v>
      </c>
      <c r="D142" t="s">
        <v>1575</v>
      </c>
      <c r="E142" t="s">
        <v>352</v>
      </c>
      <c r="F142" t="s">
        <v>1583</v>
      </c>
      <c r="I142" t="s">
        <v>1058</v>
      </c>
      <c r="K142" t="s">
        <v>283</v>
      </c>
      <c r="L142" t="s">
        <v>231</v>
      </c>
      <c r="M142" t="s">
        <v>209</v>
      </c>
      <c r="N142" t="s">
        <v>203</v>
      </c>
      <c r="Q142" s="2" t="str">
        <f>IF($C142="","",IFERROR(VLOOKUP($C142,sources!$A$2:$N$200,2,FALSE()),"?"))</f>
        <v>Report</v>
      </c>
      <c r="R142" s="2" t="str">
        <f t="shared" si="2"/>
        <v>Textual</v>
      </c>
      <c r="S142" s="2" t="str">
        <f>IF($C142="","",IFERROR(VLOOKUP($C142,sources!$A$2:$N$200,9,FALSE()),"?"))</f>
        <v>US official</v>
      </c>
      <c r="T142" t="s">
        <v>5692</v>
      </c>
      <c r="U142">
        <f>IF(OR(B142="",C142="",T142="Retracted",LEFT(D142,8)="Negative"),0,IF(COUNTIFS($B$2:B142,B142,$C$2:C142,C142,$D$2:D142,"&lt;&gt;Negative*",$T$2:T142,"&lt;&gt;Retracted")=1,1,0))</f>
        <v>1</v>
      </c>
    </row>
    <row r="143" spans="1:21" x14ac:dyDescent="0.2">
      <c r="A143" t="s">
        <v>1753</v>
      </c>
      <c r="B143" t="s">
        <v>351</v>
      </c>
      <c r="C143" t="s">
        <v>1148</v>
      </c>
      <c r="D143" t="s">
        <v>1575</v>
      </c>
      <c r="E143" t="s">
        <v>352</v>
      </c>
      <c r="F143" t="s">
        <v>1583</v>
      </c>
      <c r="I143" t="s">
        <v>1058</v>
      </c>
      <c r="K143" t="s">
        <v>1744</v>
      </c>
      <c r="L143" t="s">
        <v>1373</v>
      </c>
      <c r="M143" t="s">
        <v>209</v>
      </c>
      <c r="N143" t="s">
        <v>203</v>
      </c>
      <c r="Q143" s="2" t="str">
        <f>IF($C143="","",IFERROR(VLOOKUP($C143,sources!$A$2:$N$200,2,FALSE()),"?"))</f>
        <v>Report</v>
      </c>
      <c r="R143" s="2" t="str">
        <f t="shared" si="2"/>
        <v>Textual</v>
      </c>
      <c r="S143" s="2" t="str">
        <f>IF($C143="","",IFERROR(VLOOKUP($C143,sources!$A$2:$N$200,9,FALSE()),"?"))</f>
        <v>US official</v>
      </c>
      <c r="T143" t="s">
        <v>5692</v>
      </c>
      <c r="U143">
        <f>IF(OR(B143="",C143="",T143="Retracted",LEFT(D143,8)="Negative"),0,IF(COUNTIFS($B$2:B143,B143,$C$2:C143,C143,$D$2:D143,"&lt;&gt;Negative*",$T$2:T143,"&lt;&gt;Retracted")=1,1,0))</f>
        <v>0</v>
      </c>
    </row>
    <row r="144" spans="1:21" x14ac:dyDescent="0.2">
      <c r="A144" t="s">
        <v>1754</v>
      </c>
      <c r="B144" t="s">
        <v>354</v>
      </c>
      <c r="C144" t="s">
        <v>1148</v>
      </c>
      <c r="D144" t="s">
        <v>1575</v>
      </c>
      <c r="E144" t="s">
        <v>355</v>
      </c>
      <c r="F144" t="s">
        <v>1583</v>
      </c>
      <c r="I144" t="s">
        <v>1058</v>
      </c>
      <c r="K144" t="s">
        <v>283</v>
      </c>
      <c r="L144" t="s">
        <v>231</v>
      </c>
      <c r="M144" t="s">
        <v>209</v>
      </c>
      <c r="N144" t="s">
        <v>203</v>
      </c>
      <c r="Q144" s="2" t="str">
        <f>IF($C144="","",IFERROR(VLOOKUP($C144,sources!$A$2:$N$200,2,FALSE()),"?"))</f>
        <v>Report</v>
      </c>
      <c r="R144" s="2" t="str">
        <f t="shared" si="2"/>
        <v>Textual</v>
      </c>
      <c r="S144" s="2" t="str">
        <f>IF($C144="","",IFERROR(VLOOKUP($C144,sources!$A$2:$N$200,9,FALSE()),"?"))</f>
        <v>US official</v>
      </c>
      <c r="T144" t="s">
        <v>5692</v>
      </c>
      <c r="U144">
        <f>IF(OR(B144="",C144="",T144="Retracted",LEFT(D144,8)="Negative"),0,IF(COUNTIFS($B$2:B144,B144,$C$2:C144,C144,$D$2:D144,"&lt;&gt;Negative*",$T$2:T144,"&lt;&gt;Retracted")=1,1,0))</f>
        <v>1</v>
      </c>
    </row>
    <row r="145" spans="1:21" x14ac:dyDescent="0.2">
      <c r="A145" t="s">
        <v>1755</v>
      </c>
      <c r="B145" t="s">
        <v>847</v>
      </c>
      <c r="C145" t="s">
        <v>1148</v>
      </c>
      <c r="D145" t="s">
        <v>1575</v>
      </c>
      <c r="E145" t="s">
        <v>355</v>
      </c>
      <c r="F145" t="s">
        <v>1583</v>
      </c>
      <c r="I145" t="s">
        <v>1058</v>
      </c>
      <c r="M145" t="s">
        <v>209</v>
      </c>
      <c r="N145" t="s">
        <v>203</v>
      </c>
      <c r="Q145" s="2" t="str">
        <f>IF($C145="","",IFERROR(VLOOKUP($C145,sources!$A$2:$N$200,2,FALSE()),"?"))</f>
        <v>Report</v>
      </c>
      <c r="R145" s="2" t="str">
        <f t="shared" si="2"/>
        <v>Textual</v>
      </c>
      <c r="S145" s="2" t="str">
        <f>IF($C145="","",IFERROR(VLOOKUP($C145,sources!$A$2:$N$200,9,FALSE()),"?"))</f>
        <v>US official</v>
      </c>
      <c r="T145" t="s">
        <v>5692</v>
      </c>
      <c r="U145">
        <f>IF(OR(B145="",C145="",T145="Retracted",LEFT(D145,8)="Negative"),0,IF(COUNTIFS($B$2:B145,B145,$C$2:C145,C145,$D$2:D145,"&lt;&gt;Negative*",$T$2:T145,"&lt;&gt;Retracted")=1,1,0))</f>
        <v>1</v>
      </c>
    </row>
    <row r="146" spans="1:21" x14ac:dyDescent="0.2">
      <c r="A146" t="s">
        <v>1756</v>
      </c>
      <c r="B146" t="s">
        <v>357</v>
      </c>
      <c r="C146" t="s">
        <v>1148</v>
      </c>
      <c r="D146" t="s">
        <v>1575</v>
      </c>
      <c r="E146" t="s">
        <v>358</v>
      </c>
      <c r="F146" t="s">
        <v>1583</v>
      </c>
      <c r="I146" t="s">
        <v>1058</v>
      </c>
      <c r="K146" t="s">
        <v>283</v>
      </c>
      <c r="L146" t="s">
        <v>231</v>
      </c>
      <c r="M146" t="s">
        <v>209</v>
      </c>
      <c r="N146" t="s">
        <v>203</v>
      </c>
      <c r="Q146" s="2" t="str">
        <f>IF($C146="","",IFERROR(VLOOKUP($C146,sources!$A$2:$N$200,2,FALSE()),"?"))</f>
        <v>Report</v>
      </c>
      <c r="R146" s="2" t="str">
        <f t="shared" si="2"/>
        <v>Textual</v>
      </c>
      <c r="S146" s="2" t="str">
        <f>IF($C146="","",IFERROR(VLOOKUP($C146,sources!$A$2:$N$200,9,FALSE()),"?"))</f>
        <v>US official</v>
      </c>
      <c r="T146" t="s">
        <v>5692</v>
      </c>
      <c r="U146">
        <f>IF(OR(B146="",C146="",T146="Retracted",LEFT(D146,8)="Negative"),0,IF(COUNTIFS($B$2:B146,B146,$C$2:C146,C146,$D$2:D146,"&lt;&gt;Negative*",$T$2:T146,"&lt;&gt;Retracted")=1,1,0))</f>
        <v>1</v>
      </c>
    </row>
    <row r="147" spans="1:21" x14ac:dyDescent="0.2">
      <c r="A147" t="s">
        <v>1757</v>
      </c>
      <c r="B147" t="s">
        <v>357</v>
      </c>
      <c r="C147" t="s">
        <v>1148</v>
      </c>
      <c r="D147" t="s">
        <v>1575</v>
      </c>
      <c r="E147" t="s">
        <v>358</v>
      </c>
      <c r="F147" t="s">
        <v>1583</v>
      </c>
      <c r="I147" t="s">
        <v>1058</v>
      </c>
      <c r="K147" t="s">
        <v>1758</v>
      </c>
      <c r="L147" t="s">
        <v>1759</v>
      </c>
      <c r="M147" t="s">
        <v>209</v>
      </c>
      <c r="N147" t="s">
        <v>203</v>
      </c>
      <c r="Q147" s="2" t="str">
        <f>IF($C147="","",IFERROR(VLOOKUP($C147,sources!$A$2:$N$200,2,FALSE()),"?"))</f>
        <v>Report</v>
      </c>
      <c r="R147" s="2" t="str">
        <f t="shared" si="2"/>
        <v>Textual</v>
      </c>
      <c r="S147" s="2" t="str">
        <f>IF($C147="","",IFERROR(VLOOKUP($C147,sources!$A$2:$N$200,9,FALSE()),"?"))</f>
        <v>US official</v>
      </c>
      <c r="T147" t="s">
        <v>5692</v>
      </c>
      <c r="U147">
        <f>IF(OR(B147="",C147="",T147="Retracted",LEFT(D147,8)="Negative"),0,IF(COUNTIFS($B$2:B147,B147,$C$2:C147,C147,$D$2:D147,"&lt;&gt;Negative*",$T$2:T147,"&lt;&gt;Retracted")=1,1,0))</f>
        <v>0</v>
      </c>
    </row>
    <row r="148" spans="1:21" x14ac:dyDescent="0.2">
      <c r="A148" t="s">
        <v>1760</v>
      </c>
      <c r="B148" t="s">
        <v>360</v>
      </c>
      <c r="C148" t="s">
        <v>1148</v>
      </c>
      <c r="D148" t="s">
        <v>1575</v>
      </c>
      <c r="E148" t="s">
        <v>361</v>
      </c>
      <c r="F148" t="s">
        <v>1583</v>
      </c>
      <c r="I148" t="s">
        <v>1058</v>
      </c>
      <c r="K148" t="s">
        <v>283</v>
      </c>
      <c r="L148" t="s">
        <v>231</v>
      </c>
      <c r="M148" t="s">
        <v>209</v>
      </c>
      <c r="N148" t="s">
        <v>203</v>
      </c>
      <c r="Q148" s="2" t="str">
        <f>IF($C148="","",IFERROR(VLOOKUP($C148,sources!$A$2:$N$200,2,FALSE()),"?"))</f>
        <v>Report</v>
      </c>
      <c r="R148" s="2" t="str">
        <f t="shared" si="2"/>
        <v>Textual</v>
      </c>
      <c r="S148" s="2" t="str">
        <f>IF($C148="","",IFERROR(VLOOKUP($C148,sources!$A$2:$N$200,9,FALSE()),"?"))</f>
        <v>US official</v>
      </c>
      <c r="T148" t="s">
        <v>5692</v>
      </c>
      <c r="U148">
        <f>IF(OR(B148="",C148="",T148="Retracted",LEFT(D148,8)="Negative"),0,IF(COUNTIFS($B$2:B148,B148,$C$2:C148,C148,$D$2:D148,"&lt;&gt;Negative*",$T$2:T148,"&lt;&gt;Retracted")=1,1,0))</f>
        <v>1</v>
      </c>
    </row>
    <row r="149" spans="1:21" x14ac:dyDescent="0.2">
      <c r="A149" t="s">
        <v>1761</v>
      </c>
      <c r="B149" t="s">
        <v>360</v>
      </c>
      <c r="C149" t="s">
        <v>1148</v>
      </c>
      <c r="D149" t="s">
        <v>1575</v>
      </c>
      <c r="E149" t="s">
        <v>361</v>
      </c>
      <c r="F149" t="s">
        <v>1583</v>
      </c>
      <c r="I149" t="s">
        <v>1058</v>
      </c>
      <c r="M149" t="s">
        <v>209</v>
      </c>
      <c r="N149" t="s">
        <v>203</v>
      </c>
      <c r="Q149" s="2" t="str">
        <f>IF($C149="","",IFERROR(VLOOKUP($C149,sources!$A$2:$N$200,2,FALSE()),"?"))</f>
        <v>Report</v>
      </c>
      <c r="R149" s="2" t="str">
        <f t="shared" si="2"/>
        <v>Textual</v>
      </c>
      <c r="S149" s="2" t="str">
        <f>IF($C149="","",IFERROR(VLOOKUP($C149,sources!$A$2:$N$200,9,FALSE()),"?"))</f>
        <v>US official</v>
      </c>
      <c r="T149" t="s">
        <v>5692</v>
      </c>
      <c r="U149">
        <f>IF(OR(B149="",C149="",T149="Retracted",LEFT(D149,8)="Negative"),0,IF(COUNTIFS($B$2:B149,B149,$C$2:C149,C149,$D$2:D149,"&lt;&gt;Negative*",$T$2:T149,"&lt;&gt;Retracted")=1,1,0))</f>
        <v>0</v>
      </c>
    </row>
    <row r="150" spans="1:21" x14ac:dyDescent="0.2">
      <c r="A150" t="s">
        <v>1762</v>
      </c>
      <c r="B150" t="s">
        <v>363</v>
      </c>
      <c r="C150" t="s">
        <v>1148</v>
      </c>
      <c r="D150" t="s">
        <v>1575</v>
      </c>
      <c r="E150" t="s">
        <v>364</v>
      </c>
      <c r="F150" t="s">
        <v>1583</v>
      </c>
      <c r="I150" t="s">
        <v>1058</v>
      </c>
      <c r="K150" t="s">
        <v>283</v>
      </c>
      <c r="L150" t="s">
        <v>231</v>
      </c>
      <c r="M150" t="s">
        <v>209</v>
      </c>
      <c r="N150" t="s">
        <v>203</v>
      </c>
      <c r="Q150" s="2" t="str">
        <f>IF($C150="","",IFERROR(VLOOKUP($C150,sources!$A$2:$N$200,2,FALSE()),"?"))</f>
        <v>Report</v>
      </c>
      <c r="R150" s="2" t="str">
        <f t="shared" si="2"/>
        <v>Textual</v>
      </c>
      <c r="S150" s="2" t="str">
        <f>IF($C150="","",IFERROR(VLOOKUP($C150,sources!$A$2:$N$200,9,FALSE()),"?"))</f>
        <v>US official</v>
      </c>
      <c r="T150" t="s">
        <v>5692</v>
      </c>
      <c r="U150">
        <f>IF(OR(B150="",C150="",T150="Retracted",LEFT(D150,8)="Negative"),0,IF(COUNTIFS($B$2:B150,B150,$C$2:C150,C150,$D$2:D150,"&lt;&gt;Negative*",$T$2:T150,"&lt;&gt;Retracted")=1,1,0))</f>
        <v>1</v>
      </c>
    </row>
    <row r="151" spans="1:21" x14ac:dyDescent="0.2">
      <c r="A151" t="s">
        <v>1763</v>
      </c>
      <c r="B151" t="s">
        <v>363</v>
      </c>
      <c r="C151" t="s">
        <v>1148</v>
      </c>
      <c r="D151" t="s">
        <v>1575</v>
      </c>
      <c r="E151" t="s">
        <v>1654</v>
      </c>
      <c r="F151" t="s">
        <v>1583</v>
      </c>
      <c r="I151" t="s">
        <v>1058</v>
      </c>
      <c r="M151" t="s">
        <v>209</v>
      </c>
      <c r="N151" t="s">
        <v>203</v>
      </c>
      <c r="Q151" s="2" t="str">
        <f>IF($C151="","",IFERROR(VLOOKUP($C151,sources!$A$2:$N$200,2,FALSE()),"?"))</f>
        <v>Report</v>
      </c>
      <c r="R151" s="2" t="str">
        <f t="shared" si="2"/>
        <v>Textual</v>
      </c>
      <c r="S151" s="2" t="str">
        <f>IF($C151="","",IFERROR(VLOOKUP($C151,sources!$A$2:$N$200,9,FALSE()),"?"))</f>
        <v>US official</v>
      </c>
      <c r="T151" t="s">
        <v>5692</v>
      </c>
      <c r="U151">
        <f>IF(OR(B151="",C151="",T151="Retracted",LEFT(D151,8)="Negative"),0,IF(COUNTIFS($B$2:B151,B151,$C$2:C151,C151,$D$2:D151,"&lt;&gt;Negative*",$T$2:T151,"&lt;&gt;Retracted")=1,1,0))</f>
        <v>0</v>
      </c>
    </row>
    <row r="152" spans="1:21" x14ac:dyDescent="0.2">
      <c r="A152" t="s">
        <v>1764</v>
      </c>
      <c r="B152" t="s">
        <v>369</v>
      </c>
      <c r="C152" t="s">
        <v>1148</v>
      </c>
      <c r="D152" t="s">
        <v>1575</v>
      </c>
      <c r="E152" t="s">
        <v>370</v>
      </c>
      <c r="F152" t="s">
        <v>1583</v>
      </c>
      <c r="I152" t="s">
        <v>1058</v>
      </c>
      <c r="K152" t="s">
        <v>231</v>
      </c>
      <c r="L152" t="s">
        <v>1721</v>
      </c>
      <c r="M152" t="s">
        <v>209</v>
      </c>
      <c r="N152" t="s">
        <v>203</v>
      </c>
      <c r="Q152" s="2" t="str">
        <f>IF($C152="","",IFERROR(VLOOKUP($C152,sources!$A$2:$N$200,2,FALSE()),"?"))</f>
        <v>Report</v>
      </c>
      <c r="R152" s="2" t="str">
        <f t="shared" si="2"/>
        <v>Textual</v>
      </c>
      <c r="S152" s="2" t="str">
        <f>IF($C152="","",IFERROR(VLOOKUP($C152,sources!$A$2:$N$200,9,FALSE()),"?"))</f>
        <v>US official</v>
      </c>
      <c r="T152" t="s">
        <v>5692</v>
      </c>
      <c r="U152">
        <f>IF(OR(B152="",C152="",T152="Retracted",LEFT(D152,8)="Negative"),0,IF(COUNTIFS($B$2:B152,B152,$C$2:C152,C152,$D$2:D152,"&lt;&gt;Negative*",$T$2:T152,"&lt;&gt;Retracted")=1,1,0))</f>
        <v>1</v>
      </c>
    </row>
    <row r="153" spans="1:21" x14ac:dyDescent="0.2">
      <c r="A153" t="s">
        <v>1765</v>
      </c>
      <c r="B153" t="s">
        <v>369</v>
      </c>
      <c r="C153" t="s">
        <v>1148</v>
      </c>
      <c r="D153" t="s">
        <v>1575</v>
      </c>
      <c r="E153" t="s">
        <v>370</v>
      </c>
      <c r="F153" t="s">
        <v>1583</v>
      </c>
      <c r="I153" t="s">
        <v>1058</v>
      </c>
      <c r="K153" t="s">
        <v>1749</v>
      </c>
      <c r="L153" t="s">
        <v>1744</v>
      </c>
      <c r="M153" t="s">
        <v>209</v>
      </c>
      <c r="N153" t="s">
        <v>203</v>
      </c>
      <c r="Q153" s="2" t="str">
        <f>IF($C153="","",IFERROR(VLOOKUP($C153,sources!$A$2:$N$200,2,FALSE()),"?"))</f>
        <v>Report</v>
      </c>
      <c r="R153" s="2" t="str">
        <f t="shared" si="2"/>
        <v>Textual</v>
      </c>
      <c r="S153" s="2" t="str">
        <f>IF($C153="","",IFERROR(VLOOKUP($C153,sources!$A$2:$N$200,9,FALSE()),"?"))</f>
        <v>US official</v>
      </c>
      <c r="T153" t="s">
        <v>5692</v>
      </c>
      <c r="U153">
        <f>IF(OR(B153="",C153="",T153="Retracted",LEFT(D153,8)="Negative"),0,IF(COUNTIFS($B$2:B153,B153,$C$2:C153,C153,$D$2:D153,"&lt;&gt;Negative*",$T$2:T153,"&lt;&gt;Retracted")=1,1,0))</f>
        <v>0</v>
      </c>
    </row>
    <row r="154" spans="1:21" x14ac:dyDescent="0.2">
      <c r="A154" t="s">
        <v>1766</v>
      </c>
      <c r="B154" t="s">
        <v>374</v>
      </c>
      <c r="C154" t="s">
        <v>1148</v>
      </c>
      <c r="D154" t="s">
        <v>1575</v>
      </c>
      <c r="E154" t="s">
        <v>375</v>
      </c>
      <c r="F154" t="s">
        <v>1583</v>
      </c>
      <c r="I154" t="s">
        <v>1058</v>
      </c>
      <c r="K154" t="s">
        <v>283</v>
      </c>
      <c r="L154" t="s">
        <v>231</v>
      </c>
      <c r="M154" t="s">
        <v>209</v>
      </c>
      <c r="N154" t="s">
        <v>203</v>
      </c>
      <c r="Q154" s="2" t="str">
        <f>IF($C154="","",IFERROR(VLOOKUP($C154,sources!$A$2:$N$200,2,FALSE()),"?"))</f>
        <v>Report</v>
      </c>
      <c r="R154" s="2" t="str">
        <f t="shared" si="2"/>
        <v>Textual</v>
      </c>
      <c r="S154" s="2" t="str">
        <f>IF($C154="","",IFERROR(VLOOKUP($C154,sources!$A$2:$N$200,9,FALSE()),"?"))</f>
        <v>US official</v>
      </c>
      <c r="T154" t="s">
        <v>5692</v>
      </c>
      <c r="U154">
        <f>IF(OR(B154="",C154="",T154="Retracted",LEFT(D154,8)="Negative"),0,IF(COUNTIFS($B$2:B154,B154,$C$2:C154,C154,$D$2:D154,"&lt;&gt;Negative*",$T$2:T154,"&lt;&gt;Retracted")=1,1,0))</f>
        <v>1</v>
      </c>
    </row>
    <row r="155" spans="1:21" x14ac:dyDescent="0.2">
      <c r="A155" t="s">
        <v>1767</v>
      </c>
      <c r="B155" t="s">
        <v>374</v>
      </c>
      <c r="C155" t="s">
        <v>1148</v>
      </c>
      <c r="D155" t="s">
        <v>1575</v>
      </c>
      <c r="E155" t="s">
        <v>375</v>
      </c>
      <c r="F155" t="s">
        <v>1583</v>
      </c>
      <c r="I155" t="s">
        <v>1058</v>
      </c>
      <c r="M155" t="s">
        <v>209</v>
      </c>
      <c r="N155" t="s">
        <v>203</v>
      </c>
      <c r="Q155" s="2" t="str">
        <f>IF($C155="","",IFERROR(VLOOKUP($C155,sources!$A$2:$N$200,2,FALSE()),"?"))</f>
        <v>Report</v>
      </c>
      <c r="R155" s="2" t="str">
        <f t="shared" si="2"/>
        <v>Textual</v>
      </c>
      <c r="S155" s="2" t="str">
        <f>IF($C155="","",IFERROR(VLOOKUP($C155,sources!$A$2:$N$200,9,FALSE()),"?"))</f>
        <v>US official</v>
      </c>
      <c r="T155" t="s">
        <v>5692</v>
      </c>
      <c r="U155">
        <f>IF(OR(B155="",C155="",T155="Retracted",LEFT(D155,8)="Negative"),0,IF(COUNTIFS($B$2:B155,B155,$C$2:C155,C155,$D$2:D155,"&lt;&gt;Negative*",$T$2:T155,"&lt;&gt;Retracted")=1,1,0))</f>
        <v>0</v>
      </c>
    </row>
    <row r="156" spans="1:21" x14ac:dyDescent="0.2">
      <c r="A156" t="s">
        <v>1768</v>
      </c>
      <c r="B156" t="s">
        <v>378</v>
      </c>
      <c r="C156" t="s">
        <v>1148</v>
      </c>
      <c r="D156" t="s">
        <v>1575</v>
      </c>
      <c r="E156" t="s">
        <v>379</v>
      </c>
      <c r="F156" t="s">
        <v>1583</v>
      </c>
      <c r="I156" t="s">
        <v>1058</v>
      </c>
      <c r="K156" t="s">
        <v>283</v>
      </c>
      <c r="L156" t="s">
        <v>231</v>
      </c>
      <c r="M156" t="s">
        <v>209</v>
      </c>
      <c r="N156" t="s">
        <v>203</v>
      </c>
      <c r="Q156" s="2" t="str">
        <f>IF($C156="","",IFERROR(VLOOKUP($C156,sources!$A$2:$N$200,2,FALSE()),"?"))</f>
        <v>Report</v>
      </c>
      <c r="R156" s="2" t="str">
        <f t="shared" si="2"/>
        <v>Textual</v>
      </c>
      <c r="S156" s="2" t="str">
        <f>IF($C156="","",IFERROR(VLOOKUP($C156,sources!$A$2:$N$200,9,FALSE()),"?"))</f>
        <v>US official</v>
      </c>
      <c r="T156" t="s">
        <v>5692</v>
      </c>
      <c r="U156">
        <f>IF(OR(B156="",C156="",T156="Retracted",LEFT(D156,8)="Negative"),0,IF(COUNTIFS($B$2:B156,B156,$C$2:C156,C156,$D$2:D156,"&lt;&gt;Negative*",$T$2:T156,"&lt;&gt;Retracted")=1,1,0))</f>
        <v>1</v>
      </c>
    </row>
    <row r="157" spans="1:21" x14ac:dyDescent="0.2">
      <c r="A157" t="s">
        <v>1769</v>
      </c>
      <c r="B157" t="s">
        <v>378</v>
      </c>
      <c r="C157" t="s">
        <v>1148</v>
      </c>
      <c r="D157" t="s">
        <v>1575</v>
      </c>
      <c r="E157" t="s">
        <v>379</v>
      </c>
      <c r="F157" t="s">
        <v>1583</v>
      </c>
      <c r="I157" t="s">
        <v>1058</v>
      </c>
      <c r="M157" t="s">
        <v>209</v>
      </c>
      <c r="N157" t="s">
        <v>203</v>
      </c>
      <c r="Q157" s="2" t="str">
        <f>IF($C157="","",IFERROR(VLOOKUP($C157,sources!$A$2:$N$200,2,FALSE()),"?"))</f>
        <v>Report</v>
      </c>
      <c r="R157" s="2" t="str">
        <f t="shared" si="2"/>
        <v>Textual</v>
      </c>
      <c r="S157" s="2" t="str">
        <f>IF($C157="","",IFERROR(VLOOKUP($C157,sources!$A$2:$N$200,9,FALSE()),"?"))</f>
        <v>US official</v>
      </c>
      <c r="T157" t="s">
        <v>5692</v>
      </c>
      <c r="U157">
        <f>IF(OR(B157="",C157="",T157="Retracted",LEFT(D157,8)="Negative"),0,IF(COUNTIFS($B$2:B157,B157,$C$2:C157,C157,$D$2:D157,"&lt;&gt;Negative*",$T$2:T157,"&lt;&gt;Retracted")=1,1,0))</f>
        <v>0</v>
      </c>
    </row>
    <row r="158" spans="1:21" x14ac:dyDescent="0.2">
      <c r="A158" t="s">
        <v>1770</v>
      </c>
      <c r="B158" t="s">
        <v>383</v>
      </c>
      <c r="C158" t="s">
        <v>1148</v>
      </c>
      <c r="D158" t="s">
        <v>1575</v>
      </c>
      <c r="E158" t="s">
        <v>384</v>
      </c>
      <c r="F158" t="s">
        <v>1583</v>
      </c>
      <c r="I158" t="s">
        <v>1058</v>
      </c>
      <c r="K158" t="s">
        <v>283</v>
      </c>
      <c r="L158" t="s">
        <v>231</v>
      </c>
      <c r="M158" t="s">
        <v>209</v>
      </c>
      <c r="N158" t="s">
        <v>203</v>
      </c>
      <c r="Q158" s="2" t="str">
        <f>IF($C158="","",IFERROR(VLOOKUP($C158,sources!$A$2:$N$200,2,FALSE()),"?"))</f>
        <v>Report</v>
      </c>
      <c r="R158" s="2" t="str">
        <f t="shared" si="2"/>
        <v>Textual</v>
      </c>
      <c r="S158" s="2" t="str">
        <f>IF($C158="","",IFERROR(VLOOKUP($C158,sources!$A$2:$N$200,9,FALSE()),"?"))</f>
        <v>US official</v>
      </c>
      <c r="T158" t="s">
        <v>5692</v>
      </c>
      <c r="U158">
        <f>IF(OR(B158="",C158="",T158="Retracted",LEFT(D158,8)="Negative"),0,IF(COUNTIFS($B$2:B158,B158,$C$2:C158,C158,$D$2:D158,"&lt;&gt;Negative*",$T$2:T158,"&lt;&gt;Retracted")=1,1,0))</f>
        <v>1</v>
      </c>
    </row>
    <row r="159" spans="1:21" x14ac:dyDescent="0.2">
      <c r="A159" t="s">
        <v>1771</v>
      </c>
      <c r="B159" t="s">
        <v>383</v>
      </c>
      <c r="C159" t="s">
        <v>1148</v>
      </c>
      <c r="D159" t="s">
        <v>1575</v>
      </c>
      <c r="E159" t="s">
        <v>384</v>
      </c>
      <c r="F159" t="s">
        <v>1583</v>
      </c>
      <c r="I159" t="s">
        <v>1058</v>
      </c>
      <c r="K159" t="s">
        <v>1744</v>
      </c>
      <c r="L159" t="s">
        <v>1373</v>
      </c>
      <c r="M159" t="s">
        <v>209</v>
      </c>
      <c r="N159" t="s">
        <v>203</v>
      </c>
      <c r="Q159" s="2" t="str">
        <f>IF($C159="","",IFERROR(VLOOKUP($C159,sources!$A$2:$N$200,2,FALSE()),"?"))</f>
        <v>Report</v>
      </c>
      <c r="R159" s="2" t="str">
        <f t="shared" si="2"/>
        <v>Textual</v>
      </c>
      <c r="S159" s="2" t="str">
        <f>IF($C159="","",IFERROR(VLOOKUP($C159,sources!$A$2:$N$200,9,FALSE()),"?"))</f>
        <v>US official</v>
      </c>
      <c r="T159" t="s">
        <v>5692</v>
      </c>
      <c r="U159">
        <f>IF(OR(B159="",C159="",T159="Retracted",LEFT(D159,8)="Negative"),0,IF(COUNTIFS($B$2:B159,B159,$C$2:C159,C159,$D$2:D159,"&lt;&gt;Negative*",$T$2:T159,"&lt;&gt;Retracted")=1,1,0))</f>
        <v>0</v>
      </c>
    </row>
    <row r="160" spans="1:21" x14ac:dyDescent="0.2">
      <c r="A160" t="s">
        <v>1772</v>
      </c>
      <c r="B160" t="s">
        <v>386</v>
      </c>
      <c r="C160" t="s">
        <v>1148</v>
      </c>
      <c r="D160" t="s">
        <v>1575</v>
      </c>
      <c r="E160" t="s">
        <v>387</v>
      </c>
      <c r="F160" t="s">
        <v>1583</v>
      </c>
      <c r="I160" t="s">
        <v>1058</v>
      </c>
      <c r="K160" t="s">
        <v>283</v>
      </c>
      <c r="L160" t="s">
        <v>231</v>
      </c>
      <c r="M160" t="s">
        <v>209</v>
      </c>
      <c r="N160" t="s">
        <v>203</v>
      </c>
      <c r="Q160" s="2" t="str">
        <f>IF($C160="","",IFERROR(VLOOKUP($C160,sources!$A$2:$N$200,2,FALSE()),"?"))</f>
        <v>Report</v>
      </c>
      <c r="R160" s="2" t="str">
        <f t="shared" si="2"/>
        <v>Textual</v>
      </c>
      <c r="S160" s="2" t="str">
        <f>IF($C160="","",IFERROR(VLOOKUP($C160,sources!$A$2:$N$200,9,FALSE()),"?"))</f>
        <v>US official</v>
      </c>
      <c r="T160" t="s">
        <v>5692</v>
      </c>
      <c r="U160">
        <f>IF(OR(B160="",C160="",T160="Retracted",LEFT(D160,8)="Negative"),0,IF(COUNTIFS($B$2:B160,B160,$C$2:C160,C160,$D$2:D160,"&lt;&gt;Negative*",$T$2:T160,"&lt;&gt;Retracted")=1,1,0))</f>
        <v>1</v>
      </c>
    </row>
    <row r="161" spans="1:21" x14ac:dyDescent="0.2">
      <c r="A161" t="s">
        <v>1773</v>
      </c>
      <c r="B161" t="s">
        <v>386</v>
      </c>
      <c r="C161" t="s">
        <v>1148</v>
      </c>
      <c r="D161" t="s">
        <v>1575</v>
      </c>
      <c r="E161" t="s">
        <v>387</v>
      </c>
      <c r="F161" t="s">
        <v>1583</v>
      </c>
      <c r="I161" t="s">
        <v>1058</v>
      </c>
      <c r="M161" t="s">
        <v>209</v>
      </c>
      <c r="N161" t="s">
        <v>203</v>
      </c>
      <c r="Q161" s="2" t="str">
        <f>IF($C161="","",IFERROR(VLOOKUP($C161,sources!$A$2:$N$200,2,FALSE()),"?"))</f>
        <v>Report</v>
      </c>
      <c r="R161" s="2" t="str">
        <f t="shared" si="2"/>
        <v>Textual</v>
      </c>
      <c r="S161" s="2" t="str">
        <f>IF($C161="","",IFERROR(VLOOKUP($C161,sources!$A$2:$N$200,9,FALSE()),"?"))</f>
        <v>US official</v>
      </c>
      <c r="T161" t="s">
        <v>5692</v>
      </c>
      <c r="U161">
        <f>IF(OR(B161="",C161="",T161="Retracted",LEFT(D161,8)="Negative"),0,IF(COUNTIFS($B$2:B161,B161,$C$2:C161,C161,$D$2:D161,"&lt;&gt;Negative*",$T$2:T161,"&lt;&gt;Retracted")=1,1,0))</f>
        <v>0</v>
      </c>
    </row>
    <row r="162" spans="1:21" x14ac:dyDescent="0.2">
      <c r="A162" t="s">
        <v>1774</v>
      </c>
      <c r="B162" t="s">
        <v>389</v>
      </c>
      <c r="C162" t="s">
        <v>1148</v>
      </c>
      <c r="D162" t="s">
        <v>1575</v>
      </c>
      <c r="E162" t="s">
        <v>390</v>
      </c>
      <c r="F162" t="s">
        <v>1583</v>
      </c>
      <c r="I162" t="s">
        <v>1058</v>
      </c>
      <c r="K162" t="s">
        <v>283</v>
      </c>
      <c r="L162" t="s">
        <v>231</v>
      </c>
      <c r="M162" t="s">
        <v>209</v>
      </c>
      <c r="N162" t="s">
        <v>203</v>
      </c>
      <c r="Q162" s="2" t="str">
        <f>IF($C162="","",IFERROR(VLOOKUP($C162,sources!$A$2:$N$200,2,FALSE()),"?"))</f>
        <v>Report</v>
      </c>
      <c r="R162" s="2" t="str">
        <f t="shared" si="2"/>
        <v>Textual</v>
      </c>
      <c r="S162" s="2" t="str">
        <f>IF($C162="","",IFERROR(VLOOKUP($C162,sources!$A$2:$N$200,9,FALSE()),"?"))</f>
        <v>US official</v>
      </c>
      <c r="T162" t="s">
        <v>5692</v>
      </c>
      <c r="U162">
        <f>IF(OR(B162="",C162="",T162="Retracted",LEFT(D162,8)="Negative"),0,IF(COUNTIFS($B$2:B162,B162,$C$2:C162,C162,$D$2:D162,"&lt;&gt;Negative*",$T$2:T162,"&lt;&gt;Retracted")=1,1,0))</f>
        <v>1</v>
      </c>
    </row>
    <row r="163" spans="1:21" x14ac:dyDescent="0.2">
      <c r="A163" t="s">
        <v>1775</v>
      </c>
      <c r="B163" t="s">
        <v>389</v>
      </c>
      <c r="C163" t="s">
        <v>1148</v>
      </c>
      <c r="D163" t="s">
        <v>1575</v>
      </c>
      <c r="E163" t="s">
        <v>390</v>
      </c>
      <c r="F163" t="s">
        <v>1583</v>
      </c>
      <c r="I163" t="s">
        <v>1058</v>
      </c>
      <c r="M163" t="s">
        <v>209</v>
      </c>
      <c r="N163" t="s">
        <v>203</v>
      </c>
      <c r="Q163" s="2" t="str">
        <f>IF($C163="","",IFERROR(VLOOKUP($C163,sources!$A$2:$N$200,2,FALSE()),"?"))</f>
        <v>Report</v>
      </c>
      <c r="R163" s="2" t="str">
        <f t="shared" si="2"/>
        <v>Textual</v>
      </c>
      <c r="S163" s="2" t="str">
        <f>IF($C163="","",IFERROR(VLOOKUP($C163,sources!$A$2:$N$200,9,FALSE()),"?"))</f>
        <v>US official</v>
      </c>
      <c r="T163" t="s">
        <v>5692</v>
      </c>
      <c r="U163">
        <f>IF(OR(B163="",C163="",T163="Retracted",LEFT(D163,8)="Negative"),0,IF(COUNTIFS($B$2:B163,B163,$C$2:C163,C163,$D$2:D163,"&lt;&gt;Negative*",$T$2:T163,"&lt;&gt;Retracted")=1,1,0))</f>
        <v>0</v>
      </c>
    </row>
    <row r="164" spans="1:21" x14ac:dyDescent="0.2">
      <c r="A164" t="s">
        <v>1776</v>
      </c>
      <c r="B164" t="s">
        <v>392</v>
      </c>
      <c r="C164" t="s">
        <v>1148</v>
      </c>
      <c r="D164" t="s">
        <v>1575</v>
      </c>
      <c r="E164" t="s">
        <v>393</v>
      </c>
      <c r="F164" t="s">
        <v>1583</v>
      </c>
      <c r="I164" t="s">
        <v>1058</v>
      </c>
      <c r="K164" t="s">
        <v>283</v>
      </c>
      <c r="L164" t="s">
        <v>231</v>
      </c>
      <c r="M164" t="s">
        <v>209</v>
      </c>
      <c r="N164" t="s">
        <v>203</v>
      </c>
      <c r="Q164" s="2" t="str">
        <f>IF($C164="","",IFERROR(VLOOKUP($C164,sources!$A$2:$N$200,2,FALSE()),"?"))</f>
        <v>Report</v>
      </c>
      <c r="R164" s="2" t="str">
        <f t="shared" si="2"/>
        <v>Textual</v>
      </c>
      <c r="S164" s="2" t="str">
        <f>IF($C164="","",IFERROR(VLOOKUP($C164,sources!$A$2:$N$200,9,FALSE()),"?"))</f>
        <v>US official</v>
      </c>
      <c r="T164" t="s">
        <v>5692</v>
      </c>
      <c r="U164">
        <f>IF(OR(B164="",C164="",T164="Retracted",LEFT(D164,8)="Negative"),0,IF(COUNTIFS($B$2:B164,B164,$C$2:C164,C164,$D$2:D164,"&lt;&gt;Negative*",$T$2:T164,"&lt;&gt;Retracted")=1,1,0))</f>
        <v>1</v>
      </c>
    </row>
    <row r="165" spans="1:21" x14ac:dyDescent="0.2">
      <c r="A165" t="s">
        <v>1777</v>
      </c>
      <c r="B165" t="s">
        <v>392</v>
      </c>
      <c r="C165" t="s">
        <v>1148</v>
      </c>
      <c r="D165" t="s">
        <v>1575</v>
      </c>
      <c r="E165" t="s">
        <v>393</v>
      </c>
      <c r="F165" t="s">
        <v>1583</v>
      </c>
      <c r="I165" t="s">
        <v>1058</v>
      </c>
      <c r="K165" t="s">
        <v>1172</v>
      </c>
      <c r="L165" t="s">
        <v>342</v>
      </c>
      <c r="M165" t="s">
        <v>209</v>
      </c>
      <c r="N165" t="s">
        <v>203</v>
      </c>
      <c r="Q165" s="2" t="str">
        <f>IF($C165="","",IFERROR(VLOOKUP($C165,sources!$A$2:$N$200,2,FALSE()),"?"))</f>
        <v>Report</v>
      </c>
      <c r="R165" s="2" t="str">
        <f t="shared" si="2"/>
        <v>Textual</v>
      </c>
      <c r="S165" s="2" t="str">
        <f>IF($C165="","",IFERROR(VLOOKUP($C165,sources!$A$2:$N$200,9,FALSE()),"?"))</f>
        <v>US official</v>
      </c>
      <c r="T165" t="s">
        <v>5692</v>
      </c>
      <c r="U165">
        <f>IF(OR(B165="",C165="",T165="Retracted",LEFT(D165,8)="Negative"),0,IF(COUNTIFS($B$2:B165,B165,$C$2:C165,C165,$D$2:D165,"&lt;&gt;Negative*",$T$2:T165,"&lt;&gt;Retracted")=1,1,0))</f>
        <v>0</v>
      </c>
    </row>
    <row r="166" spans="1:21" x14ac:dyDescent="0.2">
      <c r="A166" t="s">
        <v>1778</v>
      </c>
      <c r="B166" t="s">
        <v>395</v>
      </c>
      <c r="C166" t="s">
        <v>1148</v>
      </c>
      <c r="D166" t="s">
        <v>1575</v>
      </c>
      <c r="E166" t="s">
        <v>396</v>
      </c>
      <c r="F166" t="s">
        <v>1583</v>
      </c>
      <c r="I166" t="s">
        <v>1058</v>
      </c>
      <c r="K166" t="s">
        <v>283</v>
      </c>
      <c r="L166" t="s">
        <v>231</v>
      </c>
      <c r="M166" t="s">
        <v>209</v>
      </c>
      <c r="N166" t="s">
        <v>203</v>
      </c>
      <c r="Q166" s="2" t="str">
        <f>IF($C166="","",IFERROR(VLOOKUP($C166,sources!$A$2:$N$200,2,FALSE()),"?"))</f>
        <v>Report</v>
      </c>
      <c r="R166" s="2" t="str">
        <f t="shared" si="2"/>
        <v>Textual</v>
      </c>
      <c r="S166" s="2" t="str">
        <f>IF($C166="","",IFERROR(VLOOKUP($C166,sources!$A$2:$N$200,9,FALSE()),"?"))</f>
        <v>US official</v>
      </c>
      <c r="T166" t="s">
        <v>5692</v>
      </c>
      <c r="U166">
        <f>IF(OR(B166="",C166="",T166="Retracted",LEFT(D166,8)="Negative"),0,IF(COUNTIFS($B$2:B166,B166,$C$2:C166,C166,$D$2:D166,"&lt;&gt;Negative*",$T$2:T166,"&lt;&gt;Retracted")=1,1,0))</f>
        <v>1</v>
      </c>
    </row>
    <row r="167" spans="1:21" x14ac:dyDescent="0.2">
      <c r="A167" t="s">
        <v>1779</v>
      </c>
      <c r="B167" t="s">
        <v>395</v>
      </c>
      <c r="C167" t="s">
        <v>1148</v>
      </c>
      <c r="D167" t="s">
        <v>1575</v>
      </c>
      <c r="E167" t="s">
        <v>396</v>
      </c>
      <c r="F167" t="s">
        <v>1583</v>
      </c>
      <c r="I167" t="s">
        <v>1058</v>
      </c>
      <c r="M167" t="s">
        <v>209</v>
      </c>
      <c r="N167" t="s">
        <v>203</v>
      </c>
      <c r="Q167" s="2" t="str">
        <f>IF($C167="","",IFERROR(VLOOKUP($C167,sources!$A$2:$N$200,2,FALSE()),"?"))</f>
        <v>Report</v>
      </c>
      <c r="R167" s="2" t="str">
        <f t="shared" si="2"/>
        <v>Textual</v>
      </c>
      <c r="S167" s="2" t="str">
        <f>IF($C167="","",IFERROR(VLOOKUP($C167,sources!$A$2:$N$200,9,FALSE()),"?"))</f>
        <v>US official</v>
      </c>
      <c r="T167" t="s">
        <v>5692</v>
      </c>
      <c r="U167">
        <f>IF(OR(B167="",C167="",T167="Retracted",LEFT(D167,8)="Negative"),0,IF(COUNTIFS($B$2:B167,B167,$C$2:C167,C167,$D$2:D167,"&lt;&gt;Negative*",$T$2:T167,"&lt;&gt;Retracted")=1,1,0))</f>
        <v>0</v>
      </c>
    </row>
    <row r="168" spans="1:21" x14ac:dyDescent="0.2">
      <c r="A168" t="s">
        <v>1780</v>
      </c>
      <c r="B168" t="s">
        <v>398</v>
      </c>
      <c r="C168" t="s">
        <v>1148</v>
      </c>
      <c r="D168" t="s">
        <v>1575</v>
      </c>
      <c r="E168" t="s">
        <v>399</v>
      </c>
      <c r="F168" t="s">
        <v>1583</v>
      </c>
      <c r="I168" t="s">
        <v>1058</v>
      </c>
      <c r="K168" t="s">
        <v>283</v>
      </c>
      <c r="L168" t="s">
        <v>231</v>
      </c>
      <c r="M168" t="s">
        <v>209</v>
      </c>
      <c r="N168" t="s">
        <v>203</v>
      </c>
      <c r="Q168" s="2" t="str">
        <f>IF($C168="","",IFERROR(VLOOKUP($C168,sources!$A$2:$N$200,2,FALSE()),"?"))</f>
        <v>Report</v>
      </c>
      <c r="R168" s="2" t="str">
        <f t="shared" si="2"/>
        <v>Textual</v>
      </c>
      <c r="S168" s="2" t="str">
        <f>IF($C168="","",IFERROR(VLOOKUP($C168,sources!$A$2:$N$200,9,FALSE()),"?"))</f>
        <v>US official</v>
      </c>
      <c r="T168" t="s">
        <v>5692</v>
      </c>
      <c r="U168">
        <f>IF(OR(B168="",C168="",T168="Retracted",LEFT(D168,8)="Negative"),0,IF(COUNTIFS($B$2:B168,B168,$C$2:C168,C168,$D$2:D168,"&lt;&gt;Negative*",$T$2:T168,"&lt;&gt;Retracted")=1,1,0))</f>
        <v>1</v>
      </c>
    </row>
    <row r="169" spans="1:21" x14ac:dyDescent="0.2">
      <c r="A169" t="s">
        <v>1781</v>
      </c>
      <c r="B169" t="s">
        <v>398</v>
      </c>
      <c r="C169" t="s">
        <v>1148</v>
      </c>
      <c r="D169" t="s">
        <v>1575</v>
      </c>
      <c r="E169" t="s">
        <v>399</v>
      </c>
      <c r="F169" t="s">
        <v>1583</v>
      </c>
      <c r="I169" t="s">
        <v>1058</v>
      </c>
      <c r="K169" t="s">
        <v>1040</v>
      </c>
      <c r="L169" t="s">
        <v>1782</v>
      </c>
      <c r="M169" t="s">
        <v>209</v>
      </c>
      <c r="N169" t="s">
        <v>203</v>
      </c>
      <c r="Q169" s="2" t="str">
        <f>IF($C169="","",IFERROR(VLOOKUP($C169,sources!$A$2:$N$200,2,FALSE()),"?"))</f>
        <v>Report</v>
      </c>
      <c r="R169" s="2" t="str">
        <f t="shared" si="2"/>
        <v>Textual</v>
      </c>
      <c r="S169" s="2" t="str">
        <f>IF($C169="","",IFERROR(VLOOKUP($C169,sources!$A$2:$N$200,9,FALSE()),"?"))</f>
        <v>US official</v>
      </c>
      <c r="T169" t="s">
        <v>5692</v>
      </c>
      <c r="U169">
        <f>IF(OR(B169="",C169="",T169="Retracted",LEFT(D169,8)="Negative"),0,IF(COUNTIFS($B$2:B169,B169,$C$2:C169,C169,$D$2:D169,"&lt;&gt;Negative*",$T$2:T169,"&lt;&gt;Retracted")=1,1,0))</f>
        <v>0</v>
      </c>
    </row>
    <row r="170" spans="1:21" x14ac:dyDescent="0.2">
      <c r="A170" t="s">
        <v>1783</v>
      </c>
      <c r="B170" t="s">
        <v>403</v>
      </c>
      <c r="C170" t="s">
        <v>1148</v>
      </c>
      <c r="D170" t="s">
        <v>1575</v>
      </c>
      <c r="E170" t="s">
        <v>404</v>
      </c>
      <c r="F170" t="s">
        <v>1583</v>
      </c>
      <c r="I170" t="s">
        <v>1058</v>
      </c>
      <c r="K170" t="s">
        <v>1721</v>
      </c>
      <c r="L170" t="s">
        <v>1181</v>
      </c>
      <c r="M170" t="s">
        <v>209</v>
      </c>
      <c r="N170" t="s">
        <v>203</v>
      </c>
      <c r="Q170" s="2" t="str">
        <f>IF($C170="","",IFERROR(VLOOKUP($C170,sources!$A$2:$N$200,2,FALSE()),"?"))</f>
        <v>Report</v>
      </c>
      <c r="R170" s="2" t="str">
        <f t="shared" si="2"/>
        <v>Textual</v>
      </c>
      <c r="S170" s="2" t="str">
        <f>IF($C170="","",IFERROR(VLOOKUP($C170,sources!$A$2:$N$200,9,FALSE()),"?"))</f>
        <v>US official</v>
      </c>
      <c r="T170" t="s">
        <v>5692</v>
      </c>
      <c r="U170">
        <f>IF(OR(B170="",C170="",T170="Retracted",LEFT(D170,8)="Negative"),0,IF(COUNTIFS($B$2:B170,B170,$C$2:C170,C170,$D$2:D170,"&lt;&gt;Negative*",$T$2:T170,"&lt;&gt;Retracted")=1,1,0))</f>
        <v>1</v>
      </c>
    </row>
    <row r="171" spans="1:21" x14ac:dyDescent="0.2">
      <c r="A171" t="s">
        <v>1784</v>
      </c>
      <c r="B171" t="s">
        <v>403</v>
      </c>
      <c r="C171" t="s">
        <v>1148</v>
      </c>
      <c r="D171" t="s">
        <v>1575</v>
      </c>
      <c r="E171" t="s">
        <v>404</v>
      </c>
      <c r="F171" t="s">
        <v>1583</v>
      </c>
      <c r="I171" t="s">
        <v>1058</v>
      </c>
      <c r="K171" t="s">
        <v>1373</v>
      </c>
      <c r="L171" t="s">
        <v>1741</v>
      </c>
      <c r="M171" t="s">
        <v>209</v>
      </c>
      <c r="N171" t="s">
        <v>203</v>
      </c>
      <c r="Q171" s="2" t="str">
        <f>IF($C171="","",IFERROR(VLOOKUP($C171,sources!$A$2:$N$200,2,FALSE()),"?"))</f>
        <v>Report</v>
      </c>
      <c r="R171" s="2" t="str">
        <f t="shared" si="2"/>
        <v>Textual</v>
      </c>
      <c r="S171" s="2" t="str">
        <f>IF($C171="","",IFERROR(VLOOKUP($C171,sources!$A$2:$N$200,9,FALSE()),"?"))</f>
        <v>US official</v>
      </c>
      <c r="T171" t="s">
        <v>5692</v>
      </c>
      <c r="U171">
        <f>IF(OR(B171="",C171="",T171="Retracted",LEFT(D171,8)="Negative"),0,IF(COUNTIFS($B$2:B171,B171,$C$2:C171,C171,$D$2:D171,"&lt;&gt;Negative*",$T$2:T171,"&lt;&gt;Retracted")=1,1,0))</f>
        <v>0</v>
      </c>
    </row>
    <row r="172" spans="1:21" x14ac:dyDescent="0.2">
      <c r="A172" t="s">
        <v>1785</v>
      </c>
      <c r="B172" t="s">
        <v>407</v>
      </c>
      <c r="C172" t="s">
        <v>1148</v>
      </c>
      <c r="D172" t="s">
        <v>1575</v>
      </c>
      <c r="E172" t="s">
        <v>408</v>
      </c>
      <c r="F172" t="s">
        <v>1583</v>
      </c>
      <c r="I172" t="s">
        <v>1058</v>
      </c>
      <c r="K172" t="s">
        <v>283</v>
      </c>
      <c r="L172" t="s">
        <v>231</v>
      </c>
      <c r="M172" t="s">
        <v>209</v>
      </c>
      <c r="N172" t="s">
        <v>203</v>
      </c>
      <c r="Q172" s="2" t="str">
        <f>IF($C172="","",IFERROR(VLOOKUP($C172,sources!$A$2:$N$200,2,FALSE()),"?"))</f>
        <v>Report</v>
      </c>
      <c r="R172" s="2" t="str">
        <f t="shared" si="2"/>
        <v>Textual</v>
      </c>
      <c r="S172" s="2" t="str">
        <f>IF($C172="","",IFERROR(VLOOKUP($C172,sources!$A$2:$N$200,9,FALSE()),"?"))</f>
        <v>US official</v>
      </c>
      <c r="T172" t="s">
        <v>5692</v>
      </c>
      <c r="U172">
        <f>IF(OR(B172="",C172="",T172="Retracted",LEFT(D172,8)="Negative"),0,IF(COUNTIFS($B$2:B172,B172,$C$2:C172,C172,$D$2:D172,"&lt;&gt;Negative*",$T$2:T172,"&lt;&gt;Retracted")=1,1,0))</f>
        <v>1</v>
      </c>
    </row>
    <row r="173" spans="1:21" x14ac:dyDescent="0.2">
      <c r="A173" t="s">
        <v>1786</v>
      </c>
      <c r="B173" t="s">
        <v>407</v>
      </c>
      <c r="C173" t="s">
        <v>1148</v>
      </c>
      <c r="D173" t="s">
        <v>1575</v>
      </c>
      <c r="E173" t="s">
        <v>408</v>
      </c>
      <c r="F173" t="s">
        <v>1583</v>
      </c>
      <c r="I173" t="s">
        <v>1058</v>
      </c>
      <c r="K173" t="s">
        <v>1758</v>
      </c>
      <c r="L173" t="s">
        <v>1759</v>
      </c>
      <c r="M173" t="s">
        <v>209</v>
      </c>
      <c r="N173" t="s">
        <v>203</v>
      </c>
      <c r="Q173" s="2" t="str">
        <f>IF($C173="","",IFERROR(VLOOKUP($C173,sources!$A$2:$N$200,2,FALSE()),"?"))</f>
        <v>Report</v>
      </c>
      <c r="R173" s="2" t="str">
        <f t="shared" si="2"/>
        <v>Textual</v>
      </c>
      <c r="S173" s="2" t="str">
        <f>IF($C173="","",IFERROR(VLOOKUP($C173,sources!$A$2:$N$200,9,FALSE()),"?"))</f>
        <v>US official</v>
      </c>
      <c r="T173" t="s">
        <v>5692</v>
      </c>
      <c r="U173">
        <f>IF(OR(B173="",C173="",T173="Retracted",LEFT(D173,8)="Negative"),0,IF(COUNTIFS($B$2:B173,B173,$C$2:C173,C173,$D$2:D173,"&lt;&gt;Negative*",$T$2:T173,"&lt;&gt;Retracted")=1,1,0))</f>
        <v>0</v>
      </c>
    </row>
    <row r="174" spans="1:21" x14ac:dyDescent="0.2">
      <c r="A174" t="s">
        <v>1787</v>
      </c>
      <c r="B174" t="s">
        <v>411</v>
      </c>
      <c r="C174" t="s">
        <v>1148</v>
      </c>
      <c r="D174" t="s">
        <v>1575</v>
      </c>
      <c r="E174" t="s">
        <v>412</v>
      </c>
      <c r="F174" t="s">
        <v>1583</v>
      </c>
      <c r="I174" t="s">
        <v>1058</v>
      </c>
      <c r="K174" t="s">
        <v>1782</v>
      </c>
      <c r="L174" t="s">
        <v>1591</v>
      </c>
      <c r="M174" t="s">
        <v>209</v>
      </c>
      <c r="N174" t="s">
        <v>203</v>
      </c>
      <c r="Q174" s="2" t="str">
        <f>IF($C174="","",IFERROR(VLOOKUP($C174,sources!$A$2:$N$200,2,FALSE()),"?"))</f>
        <v>Report</v>
      </c>
      <c r="R174" s="2" t="str">
        <f t="shared" si="2"/>
        <v>Textual</v>
      </c>
      <c r="S174" s="2" t="str">
        <f>IF($C174="","",IFERROR(VLOOKUP($C174,sources!$A$2:$N$200,9,FALSE()),"?"))</f>
        <v>US official</v>
      </c>
      <c r="T174" t="s">
        <v>5692</v>
      </c>
      <c r="U174">
        <f>IF(OR(B174="",C174="",T174="Retracted",LEFT(D174,8)="Negative"),0,IF(COUNTIFS($B$2:B174,B174,$C$2:C174,C174,$D$2:D174,"&lt;&gt;Negative*",$T$2:T174,"&lt;&gt;Retracted")=1,1,0))</f>
        <v>1</v>
      </c>
    </row>
    <row r="175" spans="1:21" x14ac:dyDescent="0.2">
      <c r="A175" t="s">
        <v>1788</v>
      </c>
      <c r="B175" t="s">
        <v>411</v>
      </c>
      <c r="C175" t="s">
        <v>1148</v>
      </c>
      <c r="D175" t="s">
        <v>1575</v>
      </c>
      <c r="E175" t="s">
        <v>412</v>
      </c>
      <c r="F175" t="s">
        <v>1583</v>
      </c>
      <c r="I175" t="s">
        <v>1058</v>
      </c>
      <c r="K175" t="s">
        <v>1373</v>
      </c>
      <c r="L175" t="s">
        <v>1741</v>
      </c>
      <c r="M175" t="s">
        <v>209</v>
      </c>
      <c r="N175" t="s">
        <v>203</v>
      </c>
      <c r="Q175" s="2" t="str">
        <f>IF($C175="","",IFERROR(VLOOKUP($C175,sources!$A$2:$N$200,2,FALSE()),"?"))</f>
        <v>Report</v>
      </c>
      <c r="R175" s="2" t="str">
        <f t="shared" si="2"/>
        <v>Textual</v>
      </c>
      <c r="S175" s="2" t="str">
        <f>IF($C175="","",IFERROR(VLOOKUP($C175,sources!$A$2:$N$200,9,FALSE()),"?"))</f>
        <v>US official</v>
      </c>
      <c r="T175" t="s">
        <v>5692</v>
      </c>
      <c r="U175">
        <f>IF(OR(B175="",C175="",T175="Retracted",LEFT(D175,8)="Negative"),0,IF(COUNTIFS($B$2:B175,B175,$C$2:C175,C175,$D$2:D175,"&lt;&gt;Negative*",$T$2:T175,"&lt;&gt;Retracted")=1,1,0))</f>
        <v>0</v>
      </c>
    </row>
    <row r="176" spans="1:21" x14ac:dyDescent="0.2">
      <c r="A176" t="s">
        <v>1789</v>
      </c>
      <c r="B176" t="s">
        <v>415</v>
      </c>
      <c r="C176" t="s">
        <v>1148</v>
      </c>
      <c r="D176" t="s">
        <v>1575</v>
      </c>
      <c r="E176" t="s">
        <v>416</v>
      </c>
      <c r="F176" t="s">
        <v>1583</v>
      </c>
      <c r="I176" t="s">
        <v>1058</v>
      </c>
      <c r="K176" t="s">
        <v>283</v>
      </c>
      <c r="L176" t="s">
        <v>231</v>
      </c>
      <c r="M176" t="s">
        <v>209</v>
      </c>
      <c r="N176" t="s">
        <v>203</v>
      </c>
      <c r="Q176" s="2" t="str">
        <f>IF($C176="","",IFERROR(VLOOKUP($C176,sources!$A$2:$N$200,2,FALSE()),"?"))</f>
        <v>Report</v>
      </c>
      <c r="R176" s="2" t="str">
        <f t="shared" si="2"/>
        <v>Textual</v>
      </c>
      <c r="S176" s="2" t="str">
        <f>IF($C176="","",IFERROR(VLOOKUP($C176,sources!$A$2:$N$200,9,FALSE()),"?"))</f>
        <v>US official</v>
      </c>
      <c r="T176" t="s">
        <v>5692</v>
      </c>
      <c r="U176">
        <f>IF(OR(B176="",C176="",T176="Retracted",LEFT(D176,8)="Negative"),0,IF(COUNTIFS($B$2:B176,B176,$C$2:C176,C176,$D$2:D176,"&lt;&gt;Negative*",$T$2:T176,"&lt;&gt;Retracted")=1,1,0))</f>
        <v>1</v>
      </c>
    </row>
    <row r="177" spans="1:21" x14ac:dyDescent="0.2">
      <c r="A177" t="s">
        <v>1790</v>
      </c>
      <c r="B177" t="s">
        <v>415</v>
      </c>
      <c r="C177" t="s">
        <v>1148</v>
      </c>
      <c r="D177" t="s">
        <v>1575</v>
      </c>
      <c r="E177" t="s">
        <v>416</v>
      </c>
      <c r="F177" t="s">
        <v>1583</v>
      </c>
      <c r="I177" t="s">
        <v>1058</v>
      </c>
      <c r="K177" t="s">
        <v>1373</v>
      </c>
      <c r="L177" t="s">
        <v>1741</v>
      </c>
      <c r="M177" t="s">
        <v>209</v>
      </c>
      <c r="N177" t="s">
        <v>203</v>
      </c>
      <c r="Q177" s="2" t="str">
        <f>IF($C177="","",IFERROR(VLOOKUP($C177,sources!$A$2:$N$200,2,FALSE()),"?"))</f>
        <v>Report</v>
      </c>
      <c r="R177" s="2" t="str">
        <f t="shared" si="2"/>
        <v>Textual</v>
      </c>
      <c r="S177" s="2" t="str">
        <f>IF($C177="","",IFERROR(VLOOKUP($C177,sources!$A$2:$N$200,9,FALSE()),"?"))</f>
        <v>US official</v>
      </c>
      <c r="T177" t="s">
        <v>5692</v>
      </c>
      <c r="U177">
        <f>IF(OR(B177="",C177="",T177="Retracted",LEFT(D177,8)="Negative"),0,IF(COUNTIFS($B$2:B177,B177,$C$2:C177,C177,$D$2:D177,"&lt;&gt;Negative*",$T$2:T177,"&lt;&gt;Retracted")=1,1,0))</f>
        <v>0</v>
      </c>
    </row>
    <row r="178" spans="1:21" x14ac:dyDescent="0.2">
      <c r="A178" t="s">
        <v>1791</v>
      </c>
      <c r="B178" t="s">
        <v>420</v>
      </c>
      <c r="C178" t="s">
        <v>1148</v>
      </c>
      <c r="D178" t="s">
        <v>1575</v>
      </c>
      <c r="E178" t="s">
        <v>421</v>
      </c>
      <c r="F178" t="s">
        <v>1583</v>
      </c>
      <c r="I178" t="s">
        <v>1058</v>
      </c>
      <c r="K178" t="s">
        <v>283</v>
      </c>
      <c r="L178" t="s">
        <v>231</v>
      </c>
      <c r="M178" t="s">
        <v>209</v>
      </c>
      <c r="N178" t="s">
        <v>203</v>
      </c>
      <c r="Q178" s="2" t="str">
        <f>IF($C178="","",IFERROR(VLOOKUP($C178,sources!$A$2:$N$200,2,FALSE()),"?"))</f>
        <v>Report</v>
      </c>
      <c r="R178" s="2" t="str">
        <f t="shared" si="2"/>
        <v>Textual</v>
      </c>
      <c r="S178" s="2" t="str">
        <f>IF($C178="","",IFERROR(VLOOKUP($C178,sources!$A$2:$N$200,9,FALSE()),"?"))</f>
        <v>US official</v>
      </c>
      <c r="T178" t="s">
        <v>5692</v>
      </c>
      <c r="U178">
        <f>IF(OR(B178="",C178="",T178="Retracted",LEFT(D178,8)="Negative"),0,IF(COUNTIFS($B$2:B178,B178,$C$2:C178,C178,$D$2:D178,"&lt;&gt;Negative*",$T$2:T178,"&lt;&gt;Retracted")=1,1,0))</f>
        <v>1</v>
      </c>
    </row>
    <row r="179" spans="1:21" x14ac:dyDescent="0.2">
      <c r="A179" t="s">
        <v>1792</v>
      </c>
      <c r="B179" t="s">
        <v>420</v>
      </c>
      <c r="C179" t="s">
        <v>1148</v>
      </c>
      <c r="D179" t="s">
        <v>1575</v>
      </c>
      <c r="E179" t="s">
        <v>421</v>
      </c>
      <c r="F179" t="s">
        <v>1583</v>
      </c>
      <c r="I179" t="s">
        <v>1058</v>
      </c>
      <c r="K179" t="s">
        <v>1793</v>
      </c>
      <c r="L179" t="s">
        <v>1735</v>
      </c>
      <c r="M179" t="s">
        <v>209</v>
      </c>
      <c r="N179" t="s">
        <v>203</v>
      </c>
      <c r="Q179" s="2" t="str">
        <f>IF($C179="","",IFERROR(VLOOKUP($C179,sources!$A$2:$N$200,2,FALSE()),"?"))</f>
        <v>Report</v>
      </c>
      <c r="R179" s="2" t="str">
        <f t="shared" si="2"/>
        <v>Textual</v>
      </c>
      <c r="S179" s="2" t="str">
        <f>IF($C179="","",IFERROR(VLOOKUP($C179,sources!$A$2:$N$200,9,FALSE()),"?"))</f>
        <v>US official</v>
      </c>
      <c r="T179" t="s">
        <v>5692</v>
      </c>
      <c r="U179">
        <f>IF(OR(B179="",C179="",T179="Retracted",LEFT(D179,8)="Negative"),0,IF(COUNTIFS($B$2:B179,B179,$C$2:C179,C179,$D$2:D179,"&lt;&gt;Negative*",$T$2:T179,"&lt;&gt;Retracted")=1,1,0))</f>
        <v>0</v>
      </c>
    </row>
    <row r="180" spans="1:21" x14ac:dyDescent="0.2">
      <c r="A180" t="s">
        <v>1794</v>
      </c>
      <c r="B180" t="s">
        <v>424</v>
      </c>
      <c r="C180" t="s">
        <v>1148</v>
      </c>
      <c r="D180" t="s">
        <v>1575</v>
      </c>
      <c r="E180" t="s">
        <v>425</v>
      </c>
      <c r="F180" t="s">
        <v>1583</v>
      </c>
      <c r="I180" t="s">
        <v>1058</v>
      </c>
      <c r="K180" t="s">
        <v>283</v>
      </c>
      <c r="L180" t="s">
        <v>231</v>
      </c>
      <c r="M180" t="s">
        <v>209</v>
      </c>
      <c r="N180" t="s">
        <v>203</v>
      </c>
      <c r="Q180" s="2" t="str">
        <f>IF($C180="","",IFERROR(VLOOKUP($C180,sources!$A$2:$N$200,2,FALSE()),"?"))</f>
        <v>Report</v>
      </c>
      <c r="R180" s="2" t="str">
        <f t="shared" si="2"/>
        <v>Textual</v>
      </c>
      <c r="S180" s="2" t="str">
        <f>IF($C180="","",IFERROR(VLOOKUP($C180,sources!$A$2:$N$200,9,FALSE()),"?"))</f>
        <v>US official</v>
      </c>
      <c r="T180" t="s">
        <v>5692</v>
      </c>
      <c r="U180">
        <f>IF(OR(B180="",C180="",T180="Retracted",LEFT(D180,8)="Negative"),0,IF(COUNTIFS($B$2:B180,B180,$C$2:C180,C180,$D$2:D180,"&lt;&gt;Negative*",$T$2:T180,"&lt;&gt;Retracted")=1,1,0))</f>
        <v>1</v>
      </c>
    </row>
    <row r="181" spans="1:21" x14ac:dyDescent="0.2">
      <c r="A181" t="s">
        <v>1795</v>
      </c>
      <c r="B181" t="s">
        <v>424</v>
      </c>
      <c r="C181" t="s">
        <v>1148</v>
      </c>
      <c r="D181" t="s">
        <v>1575</v>
      </c>
      <c r="E181" t="s">
        <v>425</v>
      </c>
      <c r="F181" t="s">
        <v>1583</v>
      </c>
      <c r="I181" t="s">
        <v>1058</v>
      </c>
      <c r="K181" t="s">
        <v>1744</v>
      </c>
      <c r="L181" t="s">
        <v>1373</v>
      </c>
      <c r="M181" t="s">
        <v>209</v>
      </c>
      <c r="N181" t="s">
        <v>203</v>
      </c>
      <c r="Q181" s="2" t="str">
        <f>IF($C181="","",IFERROR(VLOOKUP($C181,sources!$A$2:$N$200,2,FALSE()),"?"))</f>
        <v>Report</v>
      </c>
      <c r="R181" s="2" t="str">
        <f t="shared" si="2"/>
        <v>Textual</v>
      </c>
      <c r="S181" s="2" t="str">
        <f>IF($C181="","",IFERROR(VLOOKUP($C181,sources!$A$2:$N$200,9,FALSE()),"?"))</f>
        <v>US official</v>
      </c>
      <c r="T181" t="s">
        <v>5692</v>
      </c>
      <c r="U181">
        <f>IF(OR(B181="",C181="",T181="Retracted",LEFT(D181,8)="Negative"),0,IF(COUNTIFS($B$2:B181,B181,$C$2:C181,C181,$D$2:D181,"&lt;&gt;Negative*",$T$2:T181,"&lt;&gt;Retracted")=1,1,0))</f>
        <v>0</v>
      </c>
    </row>
    <row r="182" spans="1:21" x14ac:dyDescent="0.2">
      <c r="A182" t="s">
        <v>1796</v>
      </c>
      <c r="B182" t="s">
        <v>429</v>
      </c>
      <c r="C182" t="s">
        <v>1148</v>
      </c>
      <c r="D182" t="s">
        <v>1575</v>
      </c>
      <c r="E182" t="s">
        <v>430</v>
      </c>
      <c r="F182" t="s">
        <v>1583</v>
      </c>
      <c r="I182" t="s">
        <v>1058</v>
      </c>
      <c r="K182" t="s">
        <v>231</v>
      </c>
      <c r="L182" t="s">
        <v>1721</v>
      </c>
      <c r="M182" t="s">
        <v>209</v>
      </c>
      <c r="N182" t="s">
        <v>203</v>
      </c>
      <c r="Q182" s="2" t="str">
        <f>IF($C182="","",IFERROR(VLOOKUP($C182,sources!$A$2:$N$200,2,FALSE()),"?"))</f>
        <v>Report</v>
      </c>
      <c r="R182" s="2" t="str">
        <f t="shared" si="2"/>
        <v>Textual</v>
      </c>
      <c r="S182" s="2" t="str">
        <f>IF($C182="","",IFERROR(VLOOKUP($C182,sources!$A$2:$N$200,9,FALSE()),"?"))</f>
        <v>US official</v>
      </c>
      <c r="T182" t="s">
        <v>5692</v>
      </c>
      <c r="U182">
        <f>IF(OR(B182="",C182="",T182="Retracted",LEFT(D182,8)="Negative"),0,IF(COUNTIFS($B$2:B182,B182,$C$2:C182,C182,$D$2:D182,"&lt;&gt;Negative*",$T$2:T182,"&lt;&gt;Retracted")=1,1,0))</f>
        <v>1</v>
      </c>
    </row>
    <row r="183" spans="1:21" x14ac:dyDescent="0.2">
      <c r="A183" t="s">
        <v>1797</v>
      </c>
      <c r="B183" t="s">
        <v>429</v>
      </c>
      <c r="C183" t="s">
        <v>1148</v>
      </c>
      <c r="D183" t="s">
        <v>1575</v>
      </c>
      <c r="E183" t="s">
        <v>430</v>
      </c>
      <c r="F183" t="s">
        <v>1583</v>
      </c>
      <c r="I183" t="s">
        <v>1058</v>
      </c>
      <c r="K183" t="s">
        <v>1758</v>
      </c>
      <c r="L183" t="s">
        <v>1759</v>
      </c>
      <c r="M183" t="s">
        <v>209</v>
      </c>
      <c r="N183" t="s">
        <v>203</v>
      </c>
      <c r="Q183" s="2" t="str">
        <f>IF($C183="","",IFERROR(VLOOKUP($C183,sources!$A$2:$N$200,2,FALSE()),"?"))</f>
        <v>Report</v>
      </c>
      <c r="R183" s="2" t="str">
        <f t="shared" si="2"/>
        <v>Textual</v>
      </c>
      <c r="S183" s="2" t="str">
        <f>IF($C183="","",IFERROR(VLOOKUP($C183,sources!$A$2:$N$200,9,FALSE()),"?"))</f>
        <v>US official</v>
      </c>
      <c r="T183" t="s">
        <v>5692</v>
      </c>
      <c r="U183">
        <f>IF(OR(B183="",C183="",T183="Retracted",LEFT(D183,8)="Negative"),0,IF(COUNTIFS($B$2:B183,B183,$C$2:C183,C183,$D$2:D183,"&lt;&gt;Negative*",$T$2:T183,"&lt;&gt;Retracted")=1,1,0))</f>
        <v>0</v>
      </c>
    </row>
    <row r="184" spans="1:21" x14ac:dyDescent="0.2">
      <c r="A184" t="s">
        <v>1798</v>
      </c>
      <c r="B184" t="s">
        <v>433</v>
      </c>
      <c r="C184" t="s">
        <v>1148</v>
      </c>
      <c r="D184" t="s">
        <v>1575</v>
      </c>
      <c r="E184" t="s">
        <v>434</v>
      </c>
      <c r="F184" t="s">
        <v>1583</v>
      </c>
      <c r="I184" t="s">
        <v>1058</v>
      </c>
      <c r="K184" t="s">
        <v>283</v>
      </c>
      <c r="L184" t="s">
        <v>231</v>
      </c>
      <c r="M184" t="s">
        <v>209</v>
      </c>
      <c r="N184" t="s">
        <v>203</v>
      </c>
      <c r="Q184" s="2" t="str">
        <f>IF($C184="","",IFERROR(VLOOKUP($C184,sources!$A$2:$N$200,2,FALSE()),"?"))</f>
        <v>Report</v>
      </c>
      <c r="R184" s="2" t="str">
        <f t="shared" si="2"/>
        <v>Textual</v>
      </c>
      <c r="S184" s="2" t="str">
        <f>IF($C184="","",IFERROR(VLOOKUP($C184,sources!$A$2:$N$200,9,FALSE()),"?"))</f>
        <v>US official</v>
      </c>
      <c r="T184" t="s">
        <v>5692</v>
      </c>
      <c r="U184">
        <f>IF(OR(B184="",C184="",T184="Retracted",LEFT(D184,8)="Negative"),0,IF(COUNTIFS($B$2:B184,B184,$C$2:C184,C184,$D$2:D184,"&lt;&gt;Negative*",$T$2:T184,"&lt;&gt;Retracted")=1,1,0))</f>
        <v>1</v>
      </c>
    </row>
    <row r="185" spans="1:21" x14ac:dyDescent="0.2">
      <c r="A185" t="s">
        <v>1799</v>
      </c>
      <c r="B185" t="s">
        <v>433</v>
      </c>
      <c r="C185" t="s">
        <v>1148</v>
      </c>
      <c r="D185" t="s">
        <v>1575</v>
      </c>
      <c r="E185" t="s">
        <v>434</v>
      </c>
      <c r="F185" t="s">
        <v>1583</v>
      </c>
      <c r="I185" t="s">
        <v>1058</v>
      </c>
      <c r="K185" t="s">
        <v>1723</v>
      </c>
      <c r="L185" t="s">
        <v>1724</v>
      </c>
      <c r="M185" t="s">
        <v>209</v>
      </c>
      <c r="N185" t="s">
        <v>203</v>
      </c>
      <c r="Q185" s="2" t="str">
        <f>IF($C185="","",IFERROR(VLOOKUP($C185,sources!$A$2:$N$200,2,FALSE()),"?"))</f>
        <v>Report</v>
      </c>
      <c r="R185" s="2" t="str">
        <f t="shared" si="2"/>
        <v>Textual</v>
      </c>
      <c r="S185" s="2" t="str">
        <f>IF($C185="","",IFERROR(VLOOKUP($C185,sources!$A$2:$N$200,9,FALSE()),"?"))</f>
        <v>US official</v>
      </c>
      <c r="T185" t="s">
        <v>5692</v>
      </c>
      <c r="U185">
        <f>IF(OR(B185="",C185="",T185="Retracted",LEFT(D185,8)="Negative"),0,IF(COUNTIFS($B$2:B185,B185,$C$2:C185,C185,$D$2:D185,"&lt;&gt;Negative*",$T$2:T185,"&lt;&gt;Retracted")=1,1,0))</f>
        <v>0</v>
      </c>
    </row>
    <row r="186" spans="1:21" x14ac:dyDescent="0.2">
      <c r="A186" t="s">
        <v>1800</v>
      </c>
      <c r="B186" t="s">
        <v>436</v>
      </c>
      <c r="C186" t="s">
        <v>1148</v>
      </c>
      <c r="D186" t="s">
        <v>1575</v>
      </c>
      <c r="E186" t="s">
        <v>437</v>
      </c>
      <c r="F186" t="s">
        <v>1583</v>
      </c>
      <c r="I186" t="s">
        <v>1058</v>
      </c>
      <c r="K186" t="s">
        <v>283</v>
      </c>
      <c r="L186" t="s">
        <v>231</v>
      </c>
      <c r="M186" t="s">
        <v>209</v>
      </c>
      <c r="N186" t="s">
        <v>203</v>
      </c>
      <c r="Q186" s="2" t="str">
        <f>IF($C186="","",IFERROR(VLOOKUP($C186,sources!$A$2:$N$200,2,FALSE()),"?"))</f>
        <v>Report</v>
      </c>
      <c r="R186" s="2" t="str">
        <f t="shared" si="2"/>
        <v>Textual</v>
      </c>
      <c r="S186" s="2" t="str">
        <f>IF($C186="","",IFERROR(VLOOKUP($C186,sources!$A$2:$N$200,9,FALSE()),"?"))</f>
        <v>US official</v>
      </c>
      <c r="T186" t="s">
        <v>5692</v>
      </c>
      <c r="U186">
        <f>IF(OR(B186="",C186="",T186="Retracted",LEFT(D186,8)="Negative"),0,IF(COUNTIFS($B$2:B186,B186,$C$2:C186,C186,$D$2:D186,"&lt;&gt;Negative*",$T$2:T186,"&lt;&gt;Retracted")=1,1,0))</f>
        <v>1</v>
      </c>
    </row>
    <row r="187" spans="1:21" x14ac:dyDescent="0.2">
      <c r="A187" t="s">
        <v>1801</v>
      </c>
      <c r="B187" t="s">
        <v>436</v>
      </c>
      <c r="C187" t="s">
        <v>1148</v>
      </c>
      <c r="D187" t="s">
        <v>1575</v>
      </c>
      <c r="E187" t="s">
        <v>437</v>
      </c>
      <c r="F187" t="s">
        <v>1583</v>
      </c>
      <c r="I187" t="s">
        <v>1058</v>
      </c>
      <c r="K187" t="s">
        <v>1723</v>
      </c>
      <c r="L187" t="s">
        <v>1724</v>
      </c>
      <c r="M187" t="s">
        <v>209</v>
      </c>
      <c r="N187" t="s">
        <v>203</v>
      </c>
      <c r="Q187" s="2" t="str">
        <f>IF($C187="","",IFERROR(VLOOKUP($C187,sources!$A$2:$N$200,2,FALSE()),"?"))</f>
        <v>Report</v>
      </c>
      <c r="R187" s="2" t="str">
        <f t="shared" si="2"/>
        <v>Textual</v>
      </c>
      <c r="S187" s="2" t="str">
        <f>IF($C187="","",IFERROR(VLOOKUP($C187,sources!$A$2:$N$200,9,FALSE()),"?"))</f>
        <v>US official</v>
      </c>
      <c r="T187" t="s">
        <v>5692</v>
      </c>
      <c r="U187">
        <f>IF(OR(B187="",C187="",T187="Retracted",LEFT(D187,8)="Negative"),0,IF(COUNTIFS($B$2:B187,B187,$C$2:C187,C187,$D$2:D187,"&lt;&gt;Negative*",$T$2:T187,"&lt;&gt;Retracted")=1,1,0))</f>
        <v>0</v>
      </c>
    </row>
    <row r="188" spans="1:21" x14ac:dyDescent="0.2">
      <c r="A188" t="s">
        <v>1802</v>
      </c>
      <c r="B188" t="s">
        <v>439</v>
      </c>
      <c r="C188" t="s">
        <v>1148</v>
      </c>
      <c r="D188" t="s">
        <v>1575</v>
      </c>
      <c r="E188" t="s">
        <v>440</v>
      </c>
      <c r="F188" t="s">
        <v>1583</v>
      </c>
      <c r="I188" t="s">
        <v>1058</v>
      </c>
      <c r="K188" t="s">
        <v>1782</v>
      </c>
      <c r="L188" t="s">
        <v>1591</v>
      </c>
      <c r="M188" t="s">
        <v>209</v>
      </c>
      <c r="N188" t="s">
        <v>203</v>
      </c>
      <c r="Q188" s="2" t="str">
        <f>IF($C188="","",IFERROR(VLOOKUP($C188,sources!$A$2:$N$200,2,FALSE()),"?"))</f>
        <v>Report</v>
      </c>
      <c r="R188" s="2" t="str">
        <f t="shared" si="2"/>
        <v>Textual</v>
      </c>
      <c r="S188" s="2" t="str">
        <f>IF($C188="","",IFERROR(VLOOKUP($C188,sources!$A$2:$N$200,9,FALSE()),"?"))</f>
        <v>US official</v>
      </c>
      <c r="T188" t="s">
        <v>5692</v>
      </c>
      <c r="U188">
        <f>IF(OR(B188="",C188="",T188="Retracted",LEFT(D188,8)="Negative"),0,IF(COUNTIFS($B$2:B188,B188,$C$2:C188,C188,$D$2:D188,"&lt;&gt;Negative*",$T$2:T188,"&lt;&gt;Retracted")=1,1,0))</f>
        <v>1</v>
      </c>
    </row>
    <row r="189" spans="1:21" x14ac:dyDescent="0.2">
      <c r="A189" t="s">
        <v>1803</v>
      </c>
      <c r="B189" t="s">
        <v>443</v>
      </c>
      <c r="C189" t="s">
        <v>1148</v>
      </c>
      <c r="D189" t="s">
        <v>1577</v>
      </c>
      <c r="E189" t="s">
        <v>1804</v>
      </c>
      <c r="F189" t="s">
        <v>1583</v>
      </c>
      <c r="I189" t="s">
        <v>1058</v>
      </c>
      <c r="K189" t="s">
        <v>1591</v>
      </c>
      <c r="L189" t="s">
        <v>273</v>
      </c>
      <c r="M189" t="s">
        <v>209</v>
      </c>
      <c r="N189" t="s">
        <v>203</v>
      </c>
      <c r="Q189" s="2" t="str">
        <f>IF($C189="","",IFERROR(VLOOKUP($C189,sources!$A$2:$N$200,2,FALSE()),"?"))</f>
        <v>Report</v>
      </c>
      <c r="R189" s="2" t="str">
        <f t="shared" si="2"/>
        <v>Textual</v>
      </c>
      <c r="S189" s="2" t="str">
        <f>IF($C189="","",IFERROR(VLOOKUP($C189,sources!$A$2:$N$200,9,FALSE()),"?"))</f>
        <v>US official</v>
      </c>
      <c r="T189" t="s">
        <v>5692</v>
      </c>
      <c r="U189">
        <f>IF(OR(B189="",C189="",T189="Retracted",LEFT(D189,8)="Negative"),0,IF(COUNTIFS($B$2:B189,B189,$C$2:C189,C189,$D$2:D189,"&lt;&gt;Negative*",$T$2:T189,"&lt;&gt;Retracted")=1,1,0))</f>
        <v>1</v>
      </c>
    </row>
    <row r="190" spans="1:21" x14ac:dyDescent="0.2">
      <c r="A190" t="s">
        <v>1805</v>
      </c>
      <c r="B190" t="s">
        <v>447</v>
      </c>
      <c r="C190" t="s">
        <v>1148</v>
      </c>
      <c r="D190" t="s">
        <v>1575</v>
      </c>
      <c r="E190" t="s">
        <v>448</v>
      </c>
      <c r="F190" t="s">
        <v>1583</v>
      </c>
      <c r="I190" t="s">
        <v>1058</v>
      </c>
      <c r="K190" t="s">
        <v>283</v>
      </c>
      <c r="L190" t="s">
        <v>231</v>
      </c>
      <c r="M190" t="s">
        <v>209</v>
      </c>
      <c r="N190" t="s">
        <v>203</v>
      </c>
      <c r="Q190" s="2" t="str">
        <f>IF($C190="","",IFERROR(VLOOKUP($C190,sources!$A$2:$N$200,2,FALSE()),"?"))</f>
        <v>Report</v>
      </c>
      <c r="R190" s="2" t="str">
        <f t="shared" si="2"/>
        <v>Textual</v>
      </c>
      <c r="S190" s="2" t="str">
        <f>IF($C190="","",IFERROR(VLOOKUP($C190,sources!$A$2:$N$200,9,FALSE()),"?"))</f>
        <v>US official</v>
      </c>
      <c r="T190" t="s">
        <v>5692</v>
      </c>
      <c r="U190">
        <f>IF(OR(B190="",C190="",T190="Retracted",LEFT(D190,8)="Negative"),0,IF(COUNTIFS($B$2:B190,B190,$C$2:C190,C190,$D$2:D190,"&lt;&gt;Negative*",$T$2:T190,"&lt;&gt;Retracted")=1,1,0))</f>
        <v>1</v>
      </c>
    </row>
    <row r="191" spans="1:21" x14ac:dyDescent="0.2">
      <c r="A191" t="s">
        <v>1806</v>
      </c>
      <c r="B191" t="s">
        <v>452</v>
      </c>
      <c r="C191" t="s">
        <v>1148</v>
      </c>
      <c r="D191" t="s">
        <v>1575</v>
      </c>
      <c r="E191" t="s">
        <v>1807</v>
      </c>
      <c r="F191" t="s">
        <v>1583</v>
      </c>
      <c r="I191" t="s">
        <v>1058</v>
      </c>
      <c r="K191" t="s">
        <v>1591</v>
      </c>
      <c r="L191" t="s">
        <v>273</v>
      </c>
      <c r="M191" t="s">
        <v>209</v>
      </c>
      <c r="N191" t="s">
        <v>203</v>
      </c>
      <c r="Q191" s="2" t="str">
        <f>IF($C191="","",IFERROR(VLOOKUP($C191,sources!$A$2:$N$200,2,FALSE()),"?"))</f>
        <v>Report</v>
      </c>
      <c r="R191" s="2" t="str">
        <f t="shared" si="2"/>
        <v>Textual</v>
      </c>
      <c r="S191" s="2" t="str">
        <f>IF($C191="","",IFERROR(VLOOKUP($C191,sources!$A$2:$N$200,9,FALSE()),"?"))</f>
        <v>US official</v>
      </c>
      <c r="T191" t="s">
        <v>5692</v>
      </c>
      <c r="U191">
        <f>IF(OR(B191="",C191="",T191="Retracted",LEFT(D191,8)="Negative"),0,IF(COUNTIFS($B$2:B191,B191,$C$2:C191,C191,$D$2:D191,"&lt;&gt;Negative*",$T$2:T191,"&lt;&gt;Retracted")=1,1,0))</f>
        <v>1</v>
      </c>
    </row>
    <row r="192" spans="1:21" x14ac:dyDescent="0.2">
      <c r="A192" t="s">
        <v>1808</v>
      </c>
      <c r="B192" t="s">
        <v>456</v>
      </c>
      <c r="C192" t="s">
        <v>1148</v>
      </c>
      <c r="D192" t="s">
        <v>1564</v>
      </c>
      <c r="E192" t="s">
        <v>1809</v>
      </c>
      <c r="F192" t="s">
        <v>1583</v>
      </c>
      <c r="I192" t="s">
        <v>1058</v>
      </c>
      <c r="K192" t="s">
        <v>1810</v>
      </c>
      <c r="L192" t="s">
        <v>1811</v>
      </c>
      <c r="M192" t="s">
        <v>209</v>
      </c>
      <c r="N192" t="s">
        <v>203</v>
      </c>
      <c r="Q192" s="2" t="str">
        <f>IF($C192="","",IFERROR(VLOOKUP($C192,sources!$A$2:$N$200,2,FALSE()),"?"))</f>
        <v>Report</v>
      </c>
      <c r="R192" s="2" t="str">
        <f t="shared" si="2"/>
        <v>Textual</v>
      </c>
      <c r="S192" s="2" t="str">
        <f>IF($C192="","",IFERROR(VLOOKUP($C192,sources!$A$2:$N$200,9,FALSE()),"?"))</f>
        <v>US official</v>
      </c>
      <c r="T192" t="s">
        <v>5692</v>
      </c>
      <c r="U192">
        <f>IF(OR(B192="",C192="",T192="Retracted",LEFT(D192,8)="Negative"),0,IF(COUNTIFS($B$2:B192,B192,$C$2:C192,C192,$D$2:D192,"&lt;&gt;Negative*",$T$2:T192,"&lt;&gt;Retracted")=1,1,0))</f>
        <v>1</v>
      </c>
    </row>
    <row r="193" spans="1:21" x14ac:dyDescent="0.2">
      <c r="A193" t="s">
        <v>1812</v>
      </c>
      <c r="B193" t="s">
        <v>461</v>
      </c>
      <c r="C193" t="s">
        <v>1148</v>
      </c>
      <c r="D193" t="s">
        <v>1575</v>
      </c>
      <c r="E193" t="s">
        <v>462</v>
      </c>
      <c r="F193" t="s">
        <v>1583</v>
      </c>
      <c r="I193" t="s">
        <v>1058</v>
      </c>
      <c r="K193" t="s">
        <v>273</v>
      </c>
      <c r="L193" t="s">
        <v>1810</v>
      </c>
      <c r="M193" t="s">
        <v>209</v>
      </c>
      <c r="N193" t="s">
        <v>203</v>
      </c>
      <c r="Q193" s="2" t="str">
        <f>IF($C193="","",IFERROR(VLOOKUP($C193,sources!$A$2:$N$200,2,FALSE()),"?"))</f>
        <v>Report</v>
      </c>
      <c r="R193" s="2" t="str">
        <f t="shared" si="2"/>
        <v>Textual</v>
      </c>
      <c r="S193" s="2" t="str">
        <f>IF($C193="","",IFERROR(VLOOKUP($C193,sources!$A$2:$N$200,9,FALSE()),"?"))</f>
        <v>US official</v>
      </c>
      <c r="T193" t="s">
        <v>5692</v>
      </c>
      <c r="U193">
        <f>IF(OR(B193="",C193="",T193="Retracted",LEFT(D193,8)="Negative"),0,IF(COUNTIFS($B$2:B193,B193,$C$2:C193,C193,$D$2:D193,"&lt;&gt;Negative*",$T$2:T193,"&lt;&gt;Retracted")=1,1,0))</f>
        <v>1</v>
      </c>
    </row>
    <row r="194" spans="1:21" x14ac:dyDescent="0.2">
      <c r="A194" t="s">
        <v>1813</v>
      </c>
      <c r="B194" t="s">
        <v>465</v>
      </c>
      <c r="C194" t="s">
        <v>1148</v>
      </c>
      <c r="D194" t="s">
        <v>1575</v>
      </c>
      <c r="E194" t="s">
        <v>466</v>
      </c>
      <c r="F194" t="s">
        <v>1583</v>
      </c>
      <c r="I194" t="s">
        <v>1058</v>
      </c>
      <c r="K194" t="s">
        <v>231</v>
      </c>
      <c r="L194" t="s">
        <v>1721</v>
      </c>
      <c r="M194" t="s">
        <v>209</v>
      </c>
      <c r="N194" t="s">
        <v>203</v>
      </c>
      <c r="Q194" s="2" t="str">
        <f>IF($C194="","",IFERROR(VLOOKUP($C194,sources!$A$2:$N$200,2,FALSE()),"?"))</f>
        <v>Report</v>
      </c>
      <c r="R194" s="2" t="str">
        <f t="shared" ref="R194:R257" si="3">IF($Q194="","",IF($Q194="Map","Map",IF(OR($Q194="Photograph",$Q194="Postcard"),"Image",IF(OR($Q194="Census or roll",$Q194="Report",$Q194="Newspaper",$Q194="Letter",$Q194="Memoir",$Q194="Administrative",$Q194="Web compilation"),"Textual",IF($Q194="Legal claim","Legal/admin",IF($Q194="Secondary","Secondary","Other"))))))</f>
        <v>Textual</v>
      </c>
      <c r="S194" s="2" t="str">
        <f>IF($C194="","",IFERROR(VLOOKUP($C194,sources!$A$2:$N$200,9,FALSE()),"?"))</f>
        <v>US official</v>
      </c>
      <c r="T194" t="s">
        <v>5692</v>
      </c>
      <c r="U194">
        <f>IF(OR(B194="",C194="",T194="Retracted",LEFT(D194,8)="Negative"),0,IF(COUNTIFS($B$2:B194,B194,$C$2:C194,C194,$D$2:D194,"&lt;&gt;Negative*",$T$2:T194,"&lt;&gt;Retracted")=1,1,0))</f>
        <v>1</v>
      </c>
    </row>
    <row r="195" spans="1:21" x14ac:dyDescent="0.2">
      <c r="A195" t="s">
        <v>1814</v>
      </c>
      <c r="B195" t="s">
        <v>468</v>
      </c>
      <c r="C195" t="s">
        <v>1148</v>
      </c>
      <c r="D195" t="s">
        <v>1575</v>
      </c>
      <c r="E195" t="s">
        <v>469</v>
      </c>
      <c r="F195" t="s">
        <v>1583</v>
      </c>
      <c r="I195" t="s">
        <v>1058</v>
      </c>
      <c r="K195" t="s">
        <v>283</v>
      </c>
      <c r="L195" t="s">
        <v>231</v>
      </c>
      <c r="M195" t="s">
        <v>209</v>
      </c>
      <c r="N195" t="s">
        <v>203</v>
      </c>
      <c r="Q195" s="2" t="str">
        <f>IF($C195="","",IFERROR(VLOOKUP($C195,sources!$A$2:$N$200,2,FALSE()),"?"))</f>
        <v>Report</v>
      </c>
      <c r="R195" s="2" t="str">
        <f t="shared" si="3"/>
        <v>Textual</v>
      </c>
      <c r="S195" s="2" t="str">
        <f>IF($C195="","",IFERROR(VLOOKUP($C195,sources!$A$2:$N$200,9,FALSE()),"?"))</f>
        <v>US official</v>
      </c>
      <c r="T195" t="s">
        <v>5692</v>
      </c>
      <c r="U195">
        <f>IF(OR(B195="",C195="",T195="Retracted",LEFT(D195,8)="Negative"),0,IF(COUNTIFS($B$2:B195,B195,$C$2:C195,C195,$D$2:D195,"&lt;&gt;Negative*",$T$2:T195,"&lt;&gt;Retracted")=1,1,0))</f>
        <v>1</v>
      </c>
    </row>
    <row r="196" spans="1:21" x14ac:dyDescent="0.2">
      <c r="A196" t="s">
        <v>1815</v>
      </c>
      <c r="B196" t="s">
        <v>472</v>
      </c>
      <c r="C196" t="s">
        <v>1148</v>
      </c>
      <c r="D196" t="s">
        <v>1575</v>
      </c>
      <c r="E196" t="s">
        <v>473</v>
      </c>
      <c r="F196" t="s">
        <v>1583</v>
      </c>
      <c r="I196" t="s">
        <v>1058</v>
      </c>
      <c r="K196" t="s">
        <v>231</v>
      </c>
      <c r="L196" t="s">
        <v>1721</v>
      </c>
      <c r="M196" t="s">
        <v>209</v>
      </c>
      <c r="N196" t="s">
        <v>203</v>
      </c>
      <c r="Q196" s="2" t="str">
        <f>IF($C196="","",IFERROR(VLOOKUP($C196,sources!$A$2:$N$200,2,FALSE()),"?"))</f>
        <v>Report</v>
      </c>
      <c r="R196" s="2" t="str">
        <f t="shared" si="3"/>
        <v>Textual</v>
      </c>
      <c r="S196" s="2" t="str">
        <f>IF($C196="","",IFERROR(VLOOKUP($C196,sources!$A$2:$N$200,9,FALSE()),"?"))</f>
        <v>US official</v>
      </c>
      <c r="T196" t="s">
        <v>5692</v>
      </c>
      <c r="U196">
        <f>IF(OR(B196="",C196="",T196="Retracted",LEFT(D196,8)="Negative"),0,IF(COUNTIFS($B$2:B196,B196,$C$2:C196,C196,$D$2:D196,"&lt;&gt;Negative*",$T$2:T196,"&lt;&gt;Retracted")=1,1,0))</f>
        <v>1</v>
      </c>
    </row>
    <row r="197" spans="1:21" x14ac:dyDescent="0.2">
      <c r="A197" t="s">
        <v>1816</v>
      </c>
      <c r="B197" t="s">
        <v>475</v>
      </c>
      <c r="C197" t="s">
        <v>1148</v>
      </c>
      <c r="D197" t="s">
        <v>1577</v>
      </c>
      <c r="E197" t="s">
        <v>476</v>
      </c>
      <c r="F197" t="s">
        <v>1583</v>
      </c>
      <c r="I197" t="s">
        <v>1058</v>
      </c>
      <c r="K197" t="s">
        <v>342</v>
      </c>
      <c r="L197" t="s">
        <v>1040</v>
      </c>
      <c r="M197" t="s">
        <v>209</v>
      </c>
      <c r="N197" t="s">
        <v>203</v>
      </c>
      <c r="Q197" s="2" t="str">
        <f>IF($C197="","",IFERROR(VLOOKUP($C197,sources!$A$2:$N$200,2,FALSE()),"?"))</f>
        <v>Report</v>
      </c>
      <c r="R197" s="2" t="str">
        <f t="shared" si="3"/>
        <v>Textual</v>
      </c>
      <c r="S197" s="2" t="str">
        <f>IF($C197="","",IFERROR(VLOOKUP($C197,sources!$A$2:$N$200,9,FALSE()),"?"))</f>
        <v>US official</v>
      </c>
      <c r="T197" t="s">
        <v>5692</v>
      </c>
      <c r="U197">
        <f>IF(OR(B197="",C197="",T197="Retracted",LEFT(D197,8)="Negative"),0,IF(COUNTIFS($B$2:B197,B197,$C$2:C197,C197,$D$2:D197,"&lt;&gt;Negative*",$T$2:T197,"&lt;&gt;Retracted")=1,1,0))</f>
        <v>1</v>
      </c>
    </row>
    <row r="198" spans="1:21" x14ac:dyDescent="0.2">
      <c r="A198" t="s">
        <v>1817</v>
      </c>
      <c r="B198" t="s">
        <v>487</v>
      </c>
      <c r="C198" t="s">
        <v>1148</v>
      </c>
      <c r="D198" t="s">
        <v>1575</v>
      </c>
      <c r="E198" t="s">
        <v>488</v>
      </c>
      <c r="F198" t="s">
        <v>1583</v>
      </c>
      <c r="I198" t="s">
        <v>1058</v>
      </c>
      <c r="K198" t="s">
        <v>283</v>
      </c>
      <c r="L198" t="s">
        <v>231</v>
      </c>
      <c r="M198" t="s">
        <v>209</v>
      </c>
      <c r="N198" t="s">
        <v>203</v>
      </c>
      <c r="Q198" s="2" t="str">
        <f>IF($C198="","",IFERROR(VLOOKUP($C198,sources!$A$2:$N$200,2,FALSE()),"?"))</f>
        <v>Report</v>
      </c>
      <c r="R198" s="2" t="str">
        <f t="shared" si="3"/>
        <v>Textual</v>
      </c>
      <c r="S198" s="2" t="str">
        <f>IF($C198="","",IFERROR(VLOOKUP($C198,sources!$A$2:$N$200,9,FALSE()),"?"))</f>
        <v>US official</v>
      </c>
      <c r="T198" t="s">
        <v>5692</v>
      </c>
      <c r="U198">
        <f>IF(OR(B198="",C198="",T198="Retracted",LEFT(D198,8)="Negative"),0,IF(COUNTIFS($B$2:B198,B198,$C$2:C198,C198,$D$2:D198,"&lt;&gt;Negative*",$T$2:T198,"&lt;&gt;Retracted")=1,1,0))</f>
        <v>1</v>
      </c>
    </row>
    <row r="199" spans="1:21" x14ac:dyDescent="0.2">
      <c r="A199" t="s">
        <v>1818</v>
      </c>
      <c r="B199" t="s">
        <v>247</v>
      </c>
      <c r="C199" t="s">
        <v>1148</v>
      </c>
      <c r="D199" t="s">
        <v>1564</v>
      </c>
      <c r="E199" t="s">
        <v>1819</v>
      </c>
      <c r="F199" t="s">
        <v>1583</v>
      </c>
      <c r="I199" t="s">
        <v>1058</v>
      </c>
      <c r="K199" t="s">
        <v>1782</v>
      </c>
      <c r="L199" t="s">
        <v>1591</v>
      </c>
      <c r="M199" t="s">
        <v>209</v>
      </c>
      <c r="N199" t="s">
        <v>203</v>
      </c>
      <c r="Q199" s="2" t="str">
        <f>IF($C199="","",IFERROR(VLOOKUP($C199,sources!$A$2:$N$200,2,FALSE()),"?"))</f>
        <v>Report</v>
      </c>
      <c r="R199" s="2" t="str">
        <f t="shared" si="3"/>
        <v>Textual</v>
      </c>
      <c r="S199" s="2" t="str">
        <f>IF($C199="","",IFERROR(VLOOKUP($C199,sources!$A$2:$N$200,9,FALSE()),"?"))</f>
        <v>US official</v>
      </c>
      <c r="T199" t="s">
        <v>5692</v>
      </c>
      <c r="U199">
        <f>IF(OR(B199="",C199="",T199="Retracted",LEFT(D199,8)="Negative"),0,IF(COUNTIFS($B$2:B199,B199,$C$2:C199,C199,$D$2:D199,"&lt;&gt;Negative*",$T$2:T199,"&lt;&gt;Retracted")=1,1,0))</f>
        <v>0</v>
      </c>
    </row>
    <row r="200" spans="1:21" x14ac:dyDescent="0.2">
      <c r="A200" t="s">
        <v>1820</v>
      </c>
      <c r="B200" t="s">
        <v>242</v>
      </c>
      <c r="C200" t="s">
        <v>1148</v>
      </c>
      <c r="D200" t="s">
        <v>1564</v>
      </c>
      <c r="E200" t="s">
        <v>1821</v>
      </c>
      <c r="F200" t="s">
        <v>1583</v>
      </c>
      <c r="I200" t="s">
        <v>1058</v>
      </c>
      <c r="K200" t="s">
        <v>342</v>
      </c>
      <c r="L200" t="s">
        <v>1040</v>
      </c>
      <c r="M200" t="s">
        <v>209</v>
      </c>
      <c r="N200" t="s">
        <v>203</v>
      </c>
      <c r="Q200" s="2" t="str">
        <f>IF($C200="","",IFERROR(VLOOKUP($C200,sources!$A$2:$N$200,2,FALSE()),"?"))</f>
        <v>Report</v>
      </c>
      <c r="R200" s="2" t="str">
        <f t="shared" si="3"/>
        <v>Textual</v>
      </c>
      <c r="S200" s="2" t="str">
        <f>IF($C200="","",IFERROR(VLOOKUP($C200,sources!$A$2:$N$200,9,FALSE()),"?"))</f>
        <v>US official</v>
      </c>
      <c r="T200" t="s">
        <v>5692</v>
      </c>
      <c r="U200">
        <f>IF(OR(B200="",C200="",T200="Retracted",LEFT(D200,8)="Negative"),0,IF(COUNTIFS($B$2:B200,B200,$C$2:C200,C200,$D$2:D200,"&lt;&gt;Negative*",$T$2:T200,"&lt;&gt;Retracted")=1,1,0))</f>
        <v>0</v>
      </c>
    </row>
    <row r="201" spans="1:21" x14ac:dyDescent="0.2">
      <c r="A201" t="s">
        <v>1822</v>
      </c>
      <c r="B201" t="s">
        <v>847</v>
      </c>
      <c r="C201" t="s">
        <v>1148</v>
      </c>
      <c r="D201" t="s">
        <v>1564</v>
      </c>
      <c r="E201" t="s">
        <v>848</v>
      </c>
      <c r="F201" t="s">
        <v>1583</v>
      </c>
      <c r="I201" t="s">
        <v>1058</v>
      </c>
      <c r="K201" t="s">
        <v>1721</v>
      </c>
      <c r="L201" t="s">
        <v>1181</v>
      </c>
      <c r="M201" t="s">
        <v>209</v>
      </c>
      <c r="N201" t="s">
        <v>203</v>
      </c>
      <c r="Q201" s="2" t="str">
        <f>IF($C201="","",IFERROR(VLOOKUP($C201,sources!$A$2:$N$200,2,FALSE()),"?"))</f>
        <v>Report</v>
      </c>
      <c r="R201" s="2" t="str">
        <f t="shared" si="3"/>
        <v>Textual</v>
      </c>
      <c r="S201" s="2" t="str">
        <f>IF($C201="","",IFERROR(VLOOKUP($C201,sources!$A$2:$N$200,9,FALSE()),"?"))</f>
        <v>US official</v>
      </c>
      <c r="T201" t="s">
        <v>5692</v>
      </c>
      <c r="U201">
        <f>IF(OR(B201="",C201="",T201="Retracted",LEFT(D201,8)="Negative"),0,IF(COUNTIFS($B$2:B201,B201,$C$2:C201,C201,$D$2:D201,"&lt;&gt;Negative*",$T$2:T201,"&lt;&gt;Retracted")=1,1,0))</f>
        <v>0</v>
      </c>
    </row>
    <row r="202" spans="1:21" x14ac:dyDescent="0.2">
      <c r="A202" t="s">
        <v>1823</v>
      </c>
      <c r="B202" t="s">
        <v>407</v>
      </c>
      <c r="C202" t="s">
        <v>1148</v>
      </c>
      <c r="D202" t="s">
        <v>1564</v>
      </c>
      <c r="E202" t="s">
        <v>535</v>
      </c>
      <c r="F202" t="s">
        <v>1583</v>
      </c>
      <c r="I202" t="s">
        <v>1058</v>
      </c>
      <c r="K202" t="s">
        <v>1040</v>
      </c>
      <c r="L202" t="s">
        <v>1782</v>
      </c>
      <c r="M202" t="s">
        <v>209</v>
      </c>
      <c r="N202" t="s">
        <v>203</v>
      </c>
      <c r="Q202" s="2" t="str">
        <f>IF($C202="","",IFERROR(VLOOKUP($C202,sources!$A$2:$N$200,2,FALSE()),"?"))</f>
        <v>Report</v>
      </c>
      <c r="R202" s="2" t="str">
        <f t="shared" si="3"/>
        <v>Textual</v>
      </c>
      <c r="S202" s="2" t="str">
        <f>IF($C202="","",IFERROR(VLOOKUP($C202,sources!$A$2:$N$200,9,FALSE()),"?"))</f>
        <v>US official</v>
      </c>
      <c r="T202" t="s">
        <v>5692</v>
      </c>
      <c r="U202">
        <f>IF(OR(B202="",C202="",T202="Retracted",LEFT(D202,8)="Negative"),0,IF(COUNTIFS($B$2:B202,B202,$C$2:C202,C202,$D$2:D202,"&lt;&gt;Negative*",$T$2:T202,"&lt;&gt;Retracted")=1,1,0))</f>
        <v>0</v>
      </c>
    </row>
    <row r="203" spans="1:21" x14ac:dyDescent="0.2">
      <c r="A203" t="s">
        <v>1824</v>
      </c>
      <c r="B203" t="s">
        <v>179</v>
      </c>
      <c r="C203" t="s">
        <v>1241</v>
      </c>
      <c r="D203" t="s">
        <v>1575</v>
      </c>
      <c r="E203" t="s">
        <v>1825</v>
      </c>
      <c r="F203" t="s">
        <v>1583</v>
      </c>
      <c r="I203" t="s">
        <v>1058</v>
      </c>
      <c r="K203" t="s">
        <v>1411</v>
      </c>
      <c r="L203" t="s">
        <v>1411</v>
      </c>
      <c r="M203" t="s">
        <v>203</v>
      </c>
      <c r="N203" t="s">
        <v>203</v>
      </c>
      <c r="Q203" s="2" t="str">
        <f>IF($C203="","",IFERROR(VLOOKUP($C203,sources!$A$2:$N$200,2,FALSE()),"?"))</f>
        <v>Photograph</v>
      </c>
      <c r="R203" s="2" t="str">
        <f t="shared" si="3"/>
        <v>Image</v>
      </c>
      <c r="S203" s="2" t="str">
        <f>IF($C203="","",IFERROR(VLOOKUP($C203,sources!$A$2:$N$200,9,FALSE()),"?"))</f>
        <v>US official</v>
      </c>
      <c r="T203" t="s">
        <v>5692</v>
      </c>
      <c r="U203">
        <f>IF(OR(B203="",C203="",T203="Retracted",LEFT(D203,8)="Negative"),0,IF(COUNTIFS($B$2:B203,B203,$C$2:C203,C203,$D$2:D203,"&lt;&gt;Negative*",$T$2:T203,"&lt;&gt;Retracted")=1,1,0))</f>
        <v>1</v>
      </c>
    </row>
    <row r="204" spans="1:21" x14ac:dyDescent="0.2">
      <c r="A204" t="s">
        <v>1826</v>
      </c>
      <c r="B204" t="s">
        <v>194</v>
      </c>
      <c r="C204" t="s">
        <v>1241</v>
      </c>
      <c r="D204" t="s">
        <v>1575</v>
      </c>
      <c r="E204" t="s">
        <v>1827</v>
      </c>
      <c r="F204" t="s">
        <v>1583</v>
      </c>
      <c r="I204" t="s">
        <v>1058</v>
      </c>
      <c r="K204" t="s">
        <v>283</v>
      </c>
      <c r="L204" t="s">
        <v>283</v>
      </c>
      <c r="M204" t="s">
        <v>203</v>
      </c>
      <c r="N204" t="s">
        <v>203</v>
      </c>
      <c r="Q204" s="2" t="str">
        <f>IF($C204="","",IFERROR(VLOOKUP($C204,sources!$A$2:$N$200,2,FALSE()),"?"))</f>
        <v>Photograph</v>
      </c>
      <c r="R204" s="2" t="str">
        <f t="shared" si="3"/>
        <v>Image</v>
      </c>
      <c r="S204" s="2" t="str">
        <f>IF($C204="","",IFERROR(VLOOKUP($C204,sources!$A$2:$N$200,9,FALSE()),"?"))</f>
        <v>US official</v>
      </c>
      <c r="T204" t="s">
        <v>5692</v>
      </c>
      <c r="U204">
        <f>IF(OR(B204="",C204="",T204="Retracted",LEFT(D204,8)="Negative"),0,IF(COUNTIFS($B$2:B204,B204,$C$2:C204,C204,$D$2:D204,"&lt;&gt;Negative*",$T$2:T204,"&lt;&gt;Retracted")=1,1,0))</f>
        <v>1</v>
      </c>
    </row>
    <row r="205" spans="1:21" x14ac:dyDescent="0.2">
      <c r="A205" t="s">
        <v>1828</v>
      </c>
      <c r="B205" t="s">
        <v>199</v>
      </c>
      <c r="C205" t="s">
        <v>1241</v>
      </c>
      <c r="D205" t="s">
        <v>1575</v>
      </c>
      <c r="E205" t="s">
        <v>1829</v>
      </c>
      <c r="F205" t="s">
        <v>1583</v>
      </c>
      <c r="I205" t="s">
        <v>1058</v>
      </c>
      <c r="K205" t="s">
        <v>342</v>
      </c>
      <c r="L205" t="s">
        <v>342</v>
      </c>
      <c r="M205" t="s">
        <v>203</v>
      </c>
      <c r="N205" t="s">
        <v>203</v>
      </c>
      <c r="Q205" s="2" t="str">
        <f>IF($C205="","",IFERROR(VLOOKUP($C205,sources!$A$2:$N$200,2,FALSE()),"?"))</f>
        <v>Photograph</v>
      </c>
      <c r="R205" s="2" t="str">
        <f t="shared" si="3"/>
        <v>Image</v>
      </c>
      <c r="S205" s="2" t="str">
        <f>IF($C205="","",IFERROR(VLOOKUP($C205,sources!$A$2:$N$200,9,FALSE()),"?"))</f>
        <v>US official</v>
      </c>
      <c r="T205" t="s">
        <v>5692</v>
      </c>
      <c r="U205">
        <f>IF(OR(B205="",C205="",T205="Retracted",LEFT(D205,8)="Negative"),0,IF(COUNTIFS($B$2:B205,B205,$C$2:C205,C205,$D$2:D205,"&lt;&gt;Negative*",$T$2:T205,"&lt;&gt;Retracted")=1,1,0))</f>
        <v>1</v>
      </c>
    </row>
    <row r="206" spans="1:21" x14ac:dyDescent="0.2">
      <c r="A206" t="s">
        <v>1830</v>
      </c>
      <c r="B206" t="s">
        <v>211</v>
      </c>
      <c r="C206" t="s">
        <v>1241</v>
      </c>
      <c r="D206" t="s">
        <v>1575</v>
      </c>
      <c r="E206" t="s">
        <v>1831</v>
      </c>
      <c r="F206" t="s">
        <v>1583</v>
      </c>
      <c r="I206" t="s">
        <v>1058</v>
      </c>
      <c r="K206" t="s">
        <v>231</v>
      </c>
      <c r="L206" t="s">
        <v>231</v>
      </c>
      <c r="M206" t="s">
        <v>203</v>
      </c>
      <c r="N206" t="s">
        <v>203</v>
      </c>
      <c r="Q206" s="2" t="str">
        <f>IF($C206="","",IFERROR(VLOOKUP($C206,sources!$A$2:$N$200,2,FALSE()),"?"))</f>
        <v>Photograph</v>
      </c>
      <c r="R206" s="2" t="str">
        <f t="shared" si="3"/>
        <v>Image</v>
      </c>
      <c r="S206" s="2" t="str">
        <f>IF($C206="","",IFERROR(VLOOKUP($C206,sources!$A$2:$N$200,9,FALSE()),"?"))</f>
        <v>US official</v>
      </c>
      <c r="T206" t="s">
        <v>5692</v>
      </c>
      <c r="U206">
        <f>IF(OR(B206="",C206="",T206="Retracted",LEFT(D206,8)="Negative"),0,IF(COUNTIFS($B$2:B206,B206,$C$2:C206,C206,$D$2:D206,"&lt;&gt;Negative*",$T$2:T206,"&lt;&gt;Retracted")=1,1,0))</f>
        <v>1</v>
      </c>
    </row>
    <row r="207" spans="1:21" x14ac:dyDescent="0.2">
      <c r="A207" t="s">
        <v>1832</v>
      </c>
      <c r="B207" t="s">
        <v>213</v>
      </c>
      <c r="C207" t="s">
        <v>1241</v>
      </c>
      <c r="D207" t="s">
        <v>1575</v>
      </c>
      <c r="E207" t="s">
        <v>1833</v>
      </c>
      <c r="F207" t="s">
        <v>1583</v>
      </c>
      <c r="I207" t="s">
        <v>1058</v>
      </c>
      <c r="K207" t="s">
        <v>231</v>
      </c>
      <c r="L207" t="s">
        <v>231</v>
      </c>
      <c r="M207" t="s">
        <v>203</v>
      </c>
      <c r="N207" t="s">
        <v>203</v>
      </c>
      <c r="Q207" s="2" t="str">
        <f>IF($C207="","",IFERROR(VLOOKUP($C207,sources!$A$2:$N$200,2,FALSE()),"?"))</f>
        <v>Photograph</v>
      </c>
      <c r="R207" s="2" t="str">
        <f t="shared" si="3"/>
        <v>Image</v>
      </c>
      <c r="S207" s="2" t="str">
        <f>IF($C207="","",IFERROR(VLOOKUP($C207,sources!$A$2:$N$200,9,FALSE()),"?"))</f>
        <v>US official</v>
      </c>
      <c r="T207" t="s">
        <v>5692</v>
      </c>
      <c r="U207">
        <f>IF(OR(B207="",C207="",T207="Retracted",LEFT(D207,8)="Negative"),0,IF(COUNTIFS($B$2:B207,B207,$C$2:C207,C207,$D$2:D207,"&lt;&gt;Negative*",$T$2:T207,"&lt;&gt;Retracted")=1,1,0))</f>
        <v>1</v>
      </c>
    </row>
    <row r="208" spans="1:21" x14ac:dyDescent="0.2">
      <c r="A208" t="s">
        <v>1834</v>
      </c>
      <c r="B208" t="s">
        <v>219</v>
      </c>
      <c r="C208" t="s">
        <v>1241</v>
      </c>
      <c r="D208" t="s">
        <v>1575</v>
      </c>
      <c r="E208" t="s">
        <v>1835</v>
      </c>
      <c r="F208" t="s">
        <v>1583</v>
      </c>
      <c r="I208" t="s">
        <v>1058</v>
      </c>
      <c r="K208" t="s">
        <v>283</v>
      </c>
      <c r="L208" t="s">
        <v>283</v>
      </c>
      <c r="M208" t="s">
        <v>203</v>
      </c>
      <c r="N208" t="s">
        <v>203</v>
      </c>
      <c r="Q208" s="2" t="str">
        <f>IF($C208="","",IFERROR(VLOOKUP($C208,sources!$A$2:$N$200,2,FALSE()),"?"))</f>
        <v>Photograph</v>
      </c>
      <c r="R208" s="2" t="str">
        <f t="shared" si="3"/>
        <v>Image</v>
      </c>
      <c r="S208" s="2" t="str">
        <f>IF($C208="","",IFERROR(VLOOKUP($C208,sources!$A$2:$N$200,9,FALSE()),"?"))</f>
        <v>US official</v>
      </c>
      <c r="T208" t="s">
        <v>5692</v>
      </c>
      <c r="U208">
        <f>IF(OR(B208="",C208="",T208="Retracted",LEFT(D208,8)="Negative"),0,IF(COUNTIFS($B$2:B208,B208,$C$2:C208,C208,$D$2:D208,"&lt;&gt;Negative*",$T$2:T208,"&lt;&gt;Retracted")=1,1,0))</f>
        <v>1</v>
      </c>
    </row>
    <row r="209" spans="1:21" x14ac:dyDescent="0.2">
      <c r="A209" t="s">
        <v>1836</v>
      </c>
      <c r="B209" t="s">
        <v>226</v>
      </c>
      <c r="C209" t="s">
        <v>1241</v>
      </c>
      <c r="D209" t="s">
        <v>1575</v>
      </c>
      <c r="E209" t="s">
        <v>1837</v>
      </c>
      <c r="F209" t="s">
        <v>1583</v>
      </c>
      <c r="I209" t="s">
        <v>1058</v>
      </c>
      <c r="M209" t="s">
        <v>190</v>
      </c>
      <c r="N209" t="s">
        <v>203</v>
      </c>
      <c r="Q209" s="2" t="str">
        <f>IF($C209="","",IFERROR(VLOOKUP($C209,sources!$A$2:$N$200,2,FALSE()),"?"))</f>
        <v>Photograph</v>
      </c>
      <c r="R209" s="2" t="str">
        <f t="shared" si="3"/>
        <v>Image</v>
      </c>
      <c r="S209" s="2" t="str">
        <f>IF($C209="","",IFERROR(VLOOKUP($C209,sources!$A$2:$N$200,9,FALSE()),"?"))</f>
        <v>US official</v>
      </c>
      <c r="T209" t="s">
        <v>5692</v>
      </c>
      <c r="U209">
        <f>IF(OR(B209="",C209="",T209="Retracted",LEFT(D209,8)="Negative"),0,IF(COUNTIFS($B$2:B209,B209,$C$2:C209,C209,$D$2:D209,"&lt;&gt;Negative*",$T$2:T209,"&lt;&gt;Retracted")=1,1,0))</f>
        <v>1</v>
      </c>
    </row>
    <row r="210" spans="1:21" x14ac:dyDescent="0.2">
      <c r="A210" t="s">
        <v>1838</v>
      </c>
      <c r="B210" t="s">
        <v>233</v>
      </c>
      <c r="C210" t="s">
        <v>1241</v>
      </c>
      <c r="D210" t="s">
        <v>1575</v>
      </c>
      <c r="E210" t="s">
        <v>1839</v>
      </c>
      <c r="F210" t="s">
        <v>1583</v>
      </c>
      <c r="I210" t="s">
        <v>1058</v>
      </c>
      <c r="M210" t="s">
        <v>190</v>
      </c>
      <c r="N210" t="s">
        <v>203</v>
      </c>
      <c r="Q210" s="2" t="str">
        <f>IF($C210="","",IFERROR(VLOOKUP($C210,sources!$A$2:$N$200,2,FALSE()),"?"))</f>
        <v>Photograph</v>
      </c>
      <c r="R210" s="2" t="str">
        <f t="shared" si="3"/>
        <v>Image</v>
      </c>
      <c r="S210" s="2" t="str">
        <f>IF($C210="","",IFERROR(VLOOKUP($C210,sources!$A$2:$N$200,9,FALSE()),"?"))</f>
        <v>US official</v>
      </c>
      <c r="T210" t="s">
        <v>5692</v>
      </c>
      <c r="U210">
        <f>IF(OR(B210="",C210="",T210="Retracted",LEFT(D210,8)="Negative"),0,IF(COUNTIFS($B$2:B210,B210,$C$2:C210,C210,$D$2:D210,"&lt;&gt;Negative*",$T$2:T210,"&lt;&gt;Retracted")=1,1,0))</f>
        <v>1</v>
      </c>
    </row>
    <row r="211" spans="1:21" x14ac:dyDescent="0.2">
      <c r="A211" t="s">
        <v>1840</v>
      </c>
      <c r="B211" t="s">
        <v>242</v>
      </c>
      <c r="C211" t="s">
        <v>1241</v>
      </c>
      <c r="D211" t="s">
        <v>1575</v>
      </c>
      <c r="E211" t="s">
        <v>1841</v>
      </c>
      <c r="F211" t="s">
        <v>1583</v>
      </c>
      <c r="I211" t="s">
        <v>1058</v>
      </c>
      <c r="K211" t="s">
        <v>1040</v>
      </c>
      <c r="L211" t="s">
        <v>1040</v>
      </c>
      <c r="M211" t="s">
        <v>203</v>
      </c>
      <c r="N211" t="s">
        <v>203</v>
      </c>
      <c r="Q211" s="2" t="str">
        <f>IF($C211="","",IFERROR(VLOOKUP($C211,sources!$A$2:$N$200,2,FALSE()),"?"))</f>
        <v>Photograph</v>
      </c>
      <c r="R211" s="2" t="str">
        <f t="shared" si="3"/>
        <v>Image</v>
      </c>
      <c r="S211" s="2" t="str">
        <f>IF($C211="","",IFERROR(VLOOKUP($C211,sources!$A$2:$N$200,9,FALSE()),"?"))</f>
        <v>US official</v>
      </c>
      <c r="T211" t="s">
        <v>5692</v>
      </c>
      <c r="U211">
        <f>IF(OR(B211="",C211="",T211="Retracted",LEFT(D211,8)="Negative"),0,IF(COUNTIFS($B$2:B211,B211,$C$2:C211,C211,$D$2:D211,"&lt;&gt;Negative*",$T$2:T211,"&lt;&gt;Retracted")=1,1,0))</f>
        <v>1</v>
      </c>
    </row>
    <row r="212" spans="1:21" x14ac:dyDescent="0.2">
      <c r="A212" t="s">
        <v>1842</v>
      </c>
      <c r="B212" t="s">
        <v>247</v>
      </c>
      <c r="C212" t="s">
        <v>1241</v>
      </c>
      <c r="D212" t="s">
        <v>1575</v>
      </c>
      <c r="E212" t="s">
        <v>1843</v>
      </c>
      <c r="F212" t="s">
        <v>1583</v>
      </c>
      <c r="I212" t="s">
        <v>1058</v>
      </c>
      <c r="K212" t="s">
        <v>1172</v>
      </c>
      <c r="L212" t="s">
        <v>1172</v>
      </c>
      <c r="M212" t="s">
        <v>203</v>
      </c>
      <c r="N212" t="s">
        <v>203</v>
      </c>
      <c r="Q212" s="2" t="str">
        <f>IF($C212="","",IFERROR(VLOOKUP($C212,sources!$A$2:$N$200,2,FALSE()),"?"))</f>
        <v>Photograph</v>
      </c>
      <c r="R212" s="2" t="str">
        <f t="shared" si="3"/>
        <v>Image</v>
      </c>
      <c r="S212" s="2" t="str">
        <f>IF($C212="","",IFERROR(VLOOKUP($C212,sources!$A$2:$N$200,9,FALSE()),"?"))</f>
        <v>US official</v>
      </c>
      <c r="T212" t="s">
        <v>5692</v>
      </c>
      <c r="U212">
        <f>IF(OR(B212="",C212="",T212="Retracted",LEFT(D212,8)="Negative"),0,IF(COUNTIFS($B$2:B212,B212,$C$2:C212,C212,$D$2:D212,"&lt;&gt;Negative*",$T$2:T212,"&lt;&gt;Retracted")=1,1,0))</f>
        <v>1</v>
      </c>
    </row>
    <row r="213" spans="1:21" x14ac:dyDescent="0.2">
      <c r="A213" t="s">
        <v>1844</v>
      </c>
      <c r="B213" t="s">
        <v>253</v>
      </c>
      <c r="C213" t="s">
        <v>1241</v>
      </c>
      <c r="D213" t="s">
        <v>1575</v>
      </c>
      <c r="E213" t="s">
        <v>1845</v>
      </c>
      <c r="F213" t="s">
        <v>1583</v>
      </c>
      <c r="I213" t="s">
        <v>1058</v>
      </c>
      <c r="K213" t="s">
        <v>272</v>
      </c>
      <c r="L213" t="s">
        <v>272</v>
      </c>
      <c r="M213" t="s">
        <v>203</v>
      </c>
      <c r="N213" t="s">
        <v>203</v>
      </c>
      <c r="Q213" s="2" t="str">
        <f>IF($C213="","",IFERROR(VLOOKUP($C213,sources!$A$2:$N$200,2,FALSE()),"?"))</f>
        <v>Photograph</v>
      </c>
      <c r="R213" s="2" t="str">
        <f t="shared" si="3"/>
        <v>Image</v>
      </c>
      <c r="S213" s="2" t="str">
        <f>IF($C213="","",IFERROR(VLOOKUP($C213,sources!$A$2:$N$200,9,FALSE()),"?"))</f>
        <v>US official</v>
      </c>
      <c r="T213" t="s">
        <v>5692</v>
      </c>
      <c r="U213">
        <f>IF(OR(B213="",C213="",T213="Retracted",LEFT(D213,8)="Negative"),0,IF(COUNTIFS($B$2:B213,B213,$C$2:C213,C213,$D$2:D213,"&lt;&gt;Negative*",$T$2:T213,"&lt;&gt;Retracted")=1,1,0))</f>
        <v>1</v>
      </c>
    </row>
    <row r="214" spans="1:21" x14ac:dyDescent="0.2">
      <c r="A214" t="s">
        <v>1846</v>
      </c>
      <c r="B214" t="s">
        <v>261</v>
      </c>
      <c r="C214" t="s">
        <v>1241</v>
      </c>
      <c r="D214" t="s">
        <v>1575</v>
      </c>
      <c r="E214" t="s">
        <v>1847</v>
      </c>
      <c r="F214" t="s">
        <v>1583</v>
      </c>
      <c r="I214" t="s">
        <v>1058</v>
      </c>
      <c r="K214" t="s">
        <v>231</v>
      </c>
      <c r="L214" t="s">
        <v>231</v>
      </c>
      <c r="M214" t="s">
        <v>203</v>
      </c>
      <c r="N214" t="s">
        <v>203</v>
      </c>
      <c r="Q214" s="2" t="str">
        <f>IF($C214="","",IFERROR(VLOOKUP($C214,sources!$A$2:$N$200,2,FALSE()),"?"))</f>
        <v>Photograph</v>
      </c>
      <c r="R214" s="2" t="str">
        <f t="shared" si="3"/>
        <v>Image</v>
      </c>
      <c r="S214" s="2" t="str">
        <f>IF($C214="","",IFERROR(VLOOKUP($C214,sources!$A$2:$N$200,9,FALSE()),"?"))</f>
        <v>US official</v>
      </c>
      <c r="T214" t="s">
        <v>5692</v>
      </c>
      <c r="U214">
        <f>IF(OR(B214="",C214="",T214="Retracted",LEFT(D214,8)="Negative"),0,IF(COUNTIFS($B$2:B214,B214,$C$2:C214,C214,$D$2:D214,"&lt;&gt;Negative*",$T$2:T214,"&lt;&gt;Retracted")=1,1,0))</f>
        <v>1</v>
      </c>
    </row>
    <row r="215" spans="1:21" x14ac:dyDescent="0.2">
      <c r="A215" t="s">
        <v>1848</v>
      </c>
      <c r="B215" t="s">
        <v>265</v>
      </c>
      <c r="C215" t="s">
        <v>1241</v>
      </c>
      <c r="D215" t="s">
        <v>1575</v>
      </c>
      <c r="E215" t="s">
        <v>1849</v>
      </c>
      <c r="F215" t="s">
        <v>1583</v>
      </c>
      <c r="I215" t="s">
        <v>1058</v>
      </c>
      <c r="K215" t="s">
        <v>342</v>
      </c>
      <c r="L215" t="s">
        <v>342</v>
      </c>
      <c r="M215" t="s">
        <v>203</v>
      </c>
      <c r="N215" t="s">
        <v>203</v>
      </c>
      <c r="Q215" s="2" t="str">
        <f>IF($C215="","",IFERROR(VLOOKUP($C215,sources!$A$2:$N$200,2,FALSE()),"?"))</f>
        <v>Photograph</v>
      </c>
      <c r="R215" s="2" t="str">
        <f t="shared" si="3"/>
        <v>Image</v>
      </c>
      <c r="S215" s="2" t="str">
        <f>IF($C215="","",IFERROR(VLOOKUP($C215,sources!$A$2:$N$200,9,FALSE()),"?"))</f>
        <v>US official</v>
      </c>
      <c r="T215" t="s">
        <v>5692</v>
      </c>
      <c r="U215">
        <f>IF(OR(B215="",C215="",T215="Retracted",LEFT(D215,8)="Negative"),0,IF(COUNTIFS($B$2:B215,B215,$C$2:C215,C215,$D$2:D215,"&lt;&gt;Negative*",$T$2:T215,"&lt;&gt;Retracted")=1,1,0))</f>
        <v>1</v>
      </c>
    </row>
    <row r="216" spans="1:21" x14ac:dyDescent="0.2">
      <c r="A216" t="s">
        <v>1850</v>
      </c>
      <c r="B216" t="s">
        <v>330</v>
      </c>
      <c r="C216" t="s">
        <v>1241</v>
      </c>
      <c r="D216" t="s">
        <v>1575</v>
      </c>
      <c r="E216" t="s">
        <v>1851</v>
      </c>
      <c r="F216" t="s">
        <v>1583</v>
      </c>
      <c r="I216" t="s">
        <v>1058</v>
      </c>
      <c r="M216" t="s">
        <v>190</v>
      </c>
      <c r="N216" t="s">
        <v>203</v>
      </c>
      <c r="Q216" s="2" t="str">
        <f>IF($C216="","",IFERROR(VLOOKUP($C216,sources!$A$2:$N$200,2,FALSE()),"?"))</f>
        <v>Photograph</v>
      </c>
      <c r="R216" s="2" t="str">
        <f t="shared" si="3"/>
        <v>Image</v>
      </c>
      <c r="S216" s="2" t="str">
        <f>IF($C216="","",IFERROR(VLOOKUP($C216,sources!$A$2:$N$200,9,FALSE()),"?"))</f>
        <v>US official</v>
      </c>
      <c r="T216" t="s">
        <v>5692</v>
      </c>
      <c r="U216">
        <f>IF(OR(B216="",C216="",T216="Retracted",LEFT(D216,8)="Negative"),0,IF(COUNTIFS($B$2:B216,B216,$C$2:C216,C216,$D$2:D216,"&lt;&gt;Negative*",$T$2:T216,"&lt;&gt;Retracted")=1,1,0))</f>
        <v>1</v>
      </c>
    </row>
    <row r="217" spans="1:21" x14ac:dyDescent="0.2">
      <c r="A217" t="s">
        <v>1852</v>
      </c>
      <c r="B217" t="s">
        <v>335</v>
      </c>
      <c r="C217" t="s">
        <v>1241</v>
      </c>
      <c r="D217" t="s">
        <v>1575</v>
      </c>
      <c r="E217" t="s">
        <v>1853</v>
      </c>
      <c r="F217" t="s">
        <v>1583</v>
      </c>
      <c r="I217" t="s">
        <v>1058</v>
      </c>
      <c r="K217" t="s">
        <v>342</v>
      </c>
      <c r="L217" t="s">
        <v>342</v>
      </c>
      <c r="M217" t="s">
        <v>203</v>
      </c>
      <c r="N217" t="s">
        <v>203</v>
      </c>
      <c r="Q217" s="2" t="str">
        <f>IF($C217="","",IFERROR(VLOOKUP($C217,sources!$A$2:$N$200,2,FALSE()),"?"))</f>
        <v>Photograph</v>
      </c>
      <c r="R217" s="2" t="str">
        <f t="shared" si="3"/>
        <v>Image</v>
      </c>
      <c r="S217" s="2" t="str">
        <f>IF($C217="","",IFERROR(VLOOKUP($C217,sources!$A$2:$N$200,9,FALSE()),"?"))</f>
        <v>US official</v>
      </c>
      <c r="T217" t="s">
        <v>5692</v>
      </c>
      <c r="U217">
        <f>IF(OR(B217="",C217="",T217="Retracted",LEFT(D217,8)="Negative"),0,IF(COUNTIFS($B$2:B217,B217,$C$2:C217,C217,$D$2:D217,"&lt;&gt;Negative*",$T$2:T217,"&lt;&gt;Retracted")=1,1,0))</f>
        <v>1</v>
      </c>
    </row>
    <row r="218" spans="1:21" x14ac:dyDescent="0.2">
      <c r="A218" t="s">
        <v>1854</v>
      </c>
      <c r="B218" t="s">
        <v>340</v>
      </c>
      <c r="C218" t="s">
        <v>1241</v>
      </c>
      <c r="D218" t="s">
        <v>1575</v>
      </c>
      <c r="E218" t="s">
        <v>1855</v>
      </c>
      <c r="F218" t="s">
        <v>1583</v>
      </c>
      <c r="I218" t="s">
        <v>1058</v>
      </c>
      <c r="M218" t="s">
        <v>190</v>
      </c>
      <c r="N218" t="s">
        <v>203</v>
      </c>
      <c r="Q218" s="2" t="str">
        <f>IF($C218="","",IFERROR(VLOOKUP($C218,sources!$A$2:$N$200,2,FALSE()),"?"))</f>
        <v>Photograph</v>
      </c>
      <c r="R218" s="2" t="str">
        <f t="shared" si="3"/>
        <v>Image</v>
      </c>
      <c r="S218" s="2" t="str">
        <f>IF($C218="","",IFERROR(VLOOKUP($C218,sources!$A$2:$N$200,9,FALSE()),"?"))</f>
        <v>US official</v>
      </c>
      <c r="T218" t="s">
        <v>5692</v>
      </c>
      <c r="U218">
        <f>IF(OR(B218="",C218="",T218="Retracted",LEFT(D218,8)="Negative"),0,IF(COUNTIFS($B$2:B218,B218,$C$2:C218,C218,$D$2:D218,"&lt;&gt;Negative*",$T$2:T218,"&lt;&gt;Retracted")=1,1,0))</f>
        <v>1</v>
      </c>
    </row>
    <row r="219" spans="1:21" x14ac:dyDescent="0.2">
      <c r="A219" t="s">
        <v>1856</v>
      </c>
      <c r="B219" t="s">
        <v>344</v>
      </c>
      <c r="C219" t="s">
        <v>1241</v>
      </c>
      <c r="D219" t="s">
        <v>1575</v>
      </c>
      <c r="E219" t="s">
        <v>1857</v>
      </c>
      <c r="F219" t="s">
        <v>1583</v>
      </c>
      <c r="I219" t="s">
        <v>1058</v>
      </c>
      <c r="K219" t="s">
        <v>342</v>
      </c>
      <c r="L219" t="s">
        <v>342</v>
      </c>
      <c r="M219" t="s">
        <v>203</v>
      </c>
      <c r="N219" t="s">
        <v>203</v>
      </c>
      <c r="Q219" s="2" t="str">
        <f>IF($C219="","",IFERROR(VLOOKUP($C219,sources!$A$2:$N$200,2,FALSE()),"?"))</f>
        <v>Photograph</v>
      </c>
      <c r="R219" s="2" t="str">
        <f t="shared" si="3"/>
        <v>Image</v>
      </c>
      <c r="S219" s="2" t="str">
        <f>IF($C219="","",IFERROR(VLOOKUP($C219,sources!$A$2:$N$200,9,FALSE()),"?"))</f>
        <v>US official</v>
      </c>
      <c r="T219" t="s">
        <v>5692</v>
      </c>
      <c r="U219">
        <f>IF(OR(B219="",C219="",T219="Retracted",LEFT(D219,8)="Negative"),0,IF(COUNTIFS($B$2:B219,B219,$C$2:C219,C219,$D$2:D219,"&lt;&gt;Negative*",$T$2:T219,"&lt;&gt;Retracted")=1,1,0))</f>
        <v>1</v>
      </c>
    </row>
    <row r="220" spans="1:21" x14ac:dyDescent="0.2">
      <c r="A220" t="s">
        <v>1858</v>
      </c>
      <c r="B220" t="s">
        <v>348</v>
      </c>
      <c r="C220" t="s">
        <v>1241</v>
      </c>
      <c r="D220" t="s">
        <v>1575</v>
      </c>
      <c r="E220" t="s">
        <v>1859</v>
      </c>
      <c r="F220" t="s">
        <v>1583</v>
      </c>
      <c r="I220" t="s">
        <v>1058</v>
      </c>
      <c r="M220" t="s">
        <v>190</v>
      </c>
      <c r="N220" t="s">
        <v>203</v>
      </c>
      <c r="Q220" s="2" t="str">
        <f>IF($C220="","",IFERROR(VLOOKUP($C220,sources!$A$2:$N$200,2,FALSE()),"?"))</f>
        <v>Photograph</v>
      </c>
      <c r="R220" s="2" t="str">
        <f t="shared" si="3"/>
        <v>Image</v>
      </c>
      <c r="S220" s="2" t="str">
        <f>IF($C220="","",IFERROR(VLOOKUP($C220,sources!$A$2:$N$200,9,FALSE()),"?"))</f>
        <v>US official</v>
      </c>
      <c r="T220" t="s">
        <v>5692</v>
      </c>
      <c r="U220">
        <f>IF(OR(B220="",C220="",T220="Retracted",LEFT(D220,8)="Negative"),0,IF(COUNTIFS($B$2:B220,B220,$C$2:C220,C220,$D$2:D220,"&lt;&gt;Negative*",$T$2:T220,"&lt;&gt;Retracted")=1,1,0))</f>
        <v>1</v>
      </c>
    </row>
    <row r="221" spans="1:21" x14ac:dyDescent="0.2">
      <c r="A221" t="s">
        <v>1860</v>
      </c>
      <c r="B221" t="s">
        <v>351</v>
      </c>
      <c r="C221" t="s">
        <v>1241</v>
      </c>
      <c r="D221" t="s">
        <v>1575</v>
      </c>
      <c r="E221" t="s">
        <v>1861</v>
      </c>
      <c r="F221" t="s">
        <v>1583</v>
      </c>
      <c r="I221" t="s">
        <v>1058</v>
      </c>
      <c r="M221" t="s">
        <v>190</v>
      </c>
      <c r="N221" t="s">
        <v>203</v>
      </c>
      <c r="Q221" s="2" t="str">
        <f>IF($C221="","",IFERROR(VLOOKUP($C221,sources!$A$2:$N$200,2,FALSE()),"?"))</f>
        <v>Photograph</v>
      </c>
      <c r="R221" s="2" t="str">
        <f t="shared" si="3"/>
        <v>Image</v>
      </c>
      <c r="S221" s="2" t="str">
        <f>IF($C221="","",IFERROR(VLOOKUP($C221,sources!$A$2:$N$200,9,FALSE()),"?"))</f>
        <v>US official</v>
      </c>
      <c r="T221" t="s">
        <v>5692</v>
      </c>
      <c r="U221">
        <f>IF(OR(B221="",C221="",T221="Retracted",LEFT(D221,8)="Negative"),0,IF(COUNTIFS($B$2:B221,B221,$C$2:C221,C221,$D$2:D221,"&lt;&gt;Negative*",$T$2:T221,"&lt;&gt;Retracted")=1,1,0))</f>
        <v>1</v>
      </c>
    </row>
    <row r="222" spans="1:21" x14ac:dyDescent="0.2">
      <c r="A222" t="s">
        <v>1862</v>
      </c>
      <c r="B222" t="s">
        <v>354</v>
      </c>
      <c r="C222" t="s">
        <v>1241</v>
      </c>
      <c r="D222" t="s">
        <v>1575</v>
      </c>
      <c r="E222" t="s">
        <v>1863</v>
      </c>
      <c r="F222" t="s">
        <v>1583</v>
      </c>
      <c r="I222" t="s">
        <v>1058</v>
      </c>
      <c r="K222" t="s">
        <v>342</v>
      </c>
      <c r="L222" t="s">
        <v>342</v>
      </c>
      <c r="M222" t="s">
        <v>203</v>
      </c>
      <c r="N222" t="s">
        <v>203</v>
      </c>
      <c r="Q222" s="2" t="str">
        <f>IF($C222="","",IFERROR(VLOOKUP($C222,sources!$A$2:$N$200,2,FALSE()),"?"))</f>
        <v>Photograph</v>
      </c>
      <c r="R222" s="2" t="str">
        <f t="shared" si="3"/>
        <v>Image</v>
      </c>
      <c r="S222" s="2" t="str">
        <f>IF($C222="","",IFERROR(VLOOKUP($C222,sources!$A$2:$N$200,9,FALSE()),"?"))</f>
        <v>US official</v>
      </c>
      <c r="T222" t="s">
        <v>5692</v>
      </c>
      <c r="U222">
        <f>IF(OR(B222="",C222="",T222="Retracted",LEFT(D222,8)="Negative"),0,IF(COUNTIFS($B$2:B222,B222,$C$2:C222,C222,$D$2:D222,"&lt;&gt;Negative*",$T$2:T222,"&lt;&gt;Retracted")=1,1,0))</f>
        <v>1</v>
      </c>
    </row>
    <row r="223" spans="1:21" x14ac:dyDescent="0.2">
      <c r="A223" t="s">
        <v>1864</v>
      </c>
      <c r="B223" t="s">
        <v>357</v>
      </c>
      <c r="C223" t="s">
        <v>1241</v>
      </c>
      <c r="D223" t="s">
        <v>1575</v>
      </c>
      <c r="E223" t="s">
        <v>1865</v>
      </c>
      <c r="F223" t="s">
        <v>1583</v>
      </c>
      <c r="I223" t="s">
        <v>1058</v>
      </c>
      <c r="M223" t="s">
        <v>190</v>
      </c>
      <c r="N223" t="s">
        <v>203</v>
      </c>
      <c r="Q223" s="2" t="str">
        <f>IF($C223="","",IFERROR(VLOOKUP($C223,sources!$A$2:$N$200,2,FALSE()),"?"))</f>
        <v>Photograph</v>
      </c>
      <c r="R223" s="2" t="str">
        <f t="shared" si="3"/>
        <v>Image</v>
      </c>
      <c r="S223" s="2" t="str">
        <f>IF($C223="","",IFERROR(VLOOKUP($C223,sources!$A$2:$N$200,9,FALSE()),"?"))</f>
        <v>US official</v>
      </c>
      <c r="T223" t="s">
        <v>5692</v>
      </c>
      <c r="U223">
        <f>IF(OR(B223="",C223="",T223="Retracted",LEFT(D223,8)="Negative"),0,IF(COUNTIFS($B$2:B223,B223,$C$2:C223,C223,$D$2:D223,"&lt;&gt;Negative*",$T$2:T223,"&lt;&gt;Retracted")=1,1,0))</f>
        <v>1</v>
      </c>
    </row>
    <row r="224" spans="1:21" x14ac:dyDescent="0.2">
      <c r="A224" t="s">
        <v>1866</v>
      </c>
      <c r="B224" t="s">
        <v>360</v>
      </c>
      <c r="C224" t="s">
        <v>1241</v>
      </c>
      <c r="D224" t="s">
        <v>1575</v>
      </c>
      <c r="E224" t="s">
        <v>1867</v>
      </c>
      <c r="F224" t="s">
        <v>1583</v>
      </c>
      <c r="I224" t="s">
        <v>1058</v>
      </c>
      <c r="M224" t="s">
        <v>190</v>
      </c>
      <c r="N224" t="s">
        <v>203</v>
      </c>
      <c r="Q224" s="2" t="str">
        <f>IF($C224="","",IFERROR(VLOOKUP($C224,sources!$A$2:$N$200,2,FALSE()),"?"))</f>
        <v>Photograph</v>
      </c>
      <c r="R224" s="2" t="str">
        <f t="shared" si="3"/>
        <v>Image</v>
      </c>
      <c r="S224" s="2" t="str">
        <f>IF($C224="","",IFERROR(VLOOKUP($C224,sources!$A$2:$N$200,9,FALSE()),"?"))</f>
        <v>US official</v>
      </c>
      <c r="T224" t="s">
        <v>5692</v>
      </c>
      <c r="U224">
        <f>IF(OR(B224="",C224="",T224="Retracted",LEFT(D224,8)="Negative"),0,IF(COUNTIFS($B$2:B224,B224,$C$2:C224,C224,$D$2:D224,"&lt;&gt;Negative*",$T$2:T224,"&lt;&gt;Retracted")=1,1,0))</f>
        <v>1</v>
      </c>
    </row>
    <row r="225" spans="1:21" x14ac:dyDescent="0.2">
      <c r="A225" t="s">
        <v>1868</v>
      </c>
      <c r="B225" t="s">
        <v>363</v>
      </c>
      <c r="C225" t="s">
        <v>1241</v>
      </c>
      <c r="D225" t="s">
        <v>1575</v>
      </c>
      <c r="E225" t="s">
        <v>1869</v>
      </c>
      <c r="F225" t="s">
        <v>1583</v>
      </c>
      <c r="I225" t="s">
        <v>1058</v>
      </c>
      <c r="M225" t="s">
        <v>190</v>
      </c>
      <c r="N225" t="s">
        <v>203</v>
      </c>
      <c r="Q225" s="2" t="str">
        <f>IF($C225="","",IFERROR(VLOOKUP($C225,sources!$A$2:$N$200,2,FALSE()),"?"))</f>
        <v>Photograph</v>
      </c>
      <c r="R225" s="2" t="str">
        <f t="shared" si="3"/>
        <v>Image</v>
      </c>
      <c r="S225" s="2" t="str">
        <f>IF($C225="","",IFERROR(VLOOKUP($C225,sources!$A$2:$N$200,9,FALSE()),"?"))</f>
        <v>US official</v>
      </c>
      <c r="T225" t="s">
        <v>5692</v>
      </c>
      <c r="U225">
        <f>IF(OR(B225="",C225="",T225="Retracted",LEFT(D225,8)="Negative"),0,IF(COUNTIFS($B$2:B225,B225,$C$2:C225,C225,$D$2:D225,"&lt;&gt;Negative*",$T$2:T225,"&lt;&gt;Retracted")=1,1,0))</f>
        <v>1</v>
      </c>
    </row>
    <row r="226" spans="1:21" x14ac:dyDescent="0.2">
      <c r="A226" t="s">
        <v>1870</v>
      </c>
      <c r="B226" t="s">
        <v>369</v>
      </c>
      <c r="C226" t="s">
        <v>1241</v>
      </c>
      <c r="D226" t="s">
        <v>1575</v>
      </c>
      <c r="E226" t="s">
        <v>1871</v>
      </c>
      <c r="F226" t="s">
        <v>1583</v>
      </c>
      <c r="I226" t="s">
        <v>1058</v>
      </c>
      <c r="M226" t="s">
        <v>190</v>
      </c>
      <c r="N226" t="s">
        <v>203</v>
      </c>
      <c r="Q226" s="2" t="str">
        <f>IF($C226="","",IFERROR(VLOOKUP($C226,sources!$A$2:$N$200,2,FALSE()),"?"))</f>
        <v>Photograph</v>
      </c>
      <c r="R226" s="2" t="str">
        <f t="shared" si="3"/>
        <v>Image</v>
      </c>
      <c r="S226" s="2" t="str">
        <f>IF($C226="","",IFERROR(VLOOKUP($C226,sources!$A$2:$N$200,9,FALSE()),"?"))</f>
        <v>US official</v>
      </c>
      <c r="T226" t="s">
        <v>5692</v>
      </c>
      <c r="U226">
        <f>IF(OR(B226="",C226="",T226="Retracted",LEFT(D226,8)="Negative"),0,IF(COUNTIFS($B$2:B226,B226,$C$2:C226,C226,$D$2:D226,"&lt;&gt;Negative*",$T$2:T226,"&lt;&gt;Retracted")=1,1,0))</f>
        <v>1</v>
      </c>
    </row>
    <row r="227" spans="1:21" x14ac:dyDescent="0.2">
      <c r="A227" t="s">
        <v>1872</v>
      </c>
      <c r="B227" t="s">
        <v>374</v>
      </c>
      <c r="C227" t="s">
        <v>1241</v>
      </c>
      <c r="D227" t="s">
        <v>1575</v>
      </c>
      <c r="E227" t="s">
        <v>1873</v>
      </c>
      <c r="F227" t="s">
        <v>1583</v>
      </c>
      <c r="I227" t="s">
        <v>1058</v>
      </c>
      <c r="M227" t="s">
        <v>190</v>
      </c>
      <c r="N227" t="s">
        <v>203</v>
      </c>
      <c r="Q227" s="2" t="str">
        <f>IF($C227="","",IFERROR(VLOOKUP($C227,sources!$A$2:$N$200,2,FALSE()),"?"))</f>
        <v>Photograph</v>
      </c>
      <c r="R227" s="2" t="str">
        <f t="shared" si="3"/>
        <v>Image</v>
      </c>
      <c r="S227" s="2" t="str">
        <f>IF($C227="","",IFERROR(VLOOKUP($C227,sources!$A$2:$N$200,9,FALSE()),"?"))</f>
        <v>US official</v>
      </c>
      <c r="T227" t="s">
        <v>5692</v>
      </c>
      <c r="U227">
        <f>IF(OR(B227="",C227="",T227="Retracted",LEFT(D227,8)="Negative"),0,IF(COUNTIFS($B$2:B227,B227,$C$2:C227,C227,$D$2:D227,"&lt;&gt;Negative*",$T$2:T227,"&lt;&gt;Retracted")=1,1,0))</f>
        <v>1</v>
      </c>
    </row>
    <row r="228" spans="1:21" x14ac:dyDescent="0.2">
      <c r="A228" t="s">
        <v>1874</v>
      </c>
      <c r="B228" t="s">
        <v>378</v>
      </c>
      <c r="C228" t="s">
        <v>1241</v>
      </c>
      <c r="D228" t="s">
        <v>1575</v>
      </c>
      <c r="E228" t="s">
        <v>1875</v>
      </c>
      <c r="F228" t="s">
        <v>1583</v>
      </c>
      <c r="I228" t="s">
        <v>1058</v>
      </c>
      <c r="M228" t="s">
        <v>190</v>
      </c>
      <c r="N228" t="s">
        <v>203</v>
      </c>
      <c r="Q228" s="2" t="str">
        <f>IF($C228="","",IFERROR(VLOOKUP($C228,sources!$A$2:$N$200,2,FALSE()),"?"))</f>
        <v>Photograph</v>
      </c>
      <c r="R228" s="2" t="str">
        <f t="shared" si="3"/>
        <v>Image</v>
      </c>
      <c r="S228" s="2" t="str">
        <f>IF($C228="","",IFERROR(VLOOKUP($C228,sources!$A$2:$N$200,9,FALSE()),"?"))</f>
        <v>US official</v>
      </c>
      <c r="T228" t="s">
        <v>5692</v>
      </c>
      <c r="U228">
        <f>IF(OR(B228="",C228="",T228="Retracted",LEFT(D228,8)="Negative"),0,IF(COUNTIFS($B$2:B228,B228,$C$2:C228,C228,$D$2:D228,"&lt;&gt;Negative*",$T$2:T228,"&lt;&gt;Retracted")=1,1,0))</f>
        <v>1</v>
      </c>
    </row>
    <row r="229" spans="1:21" x14ac:dyDescent="0.2">
      <c r="A229" t="s">
        <v>1876</v>
      </c>
      <c r="B229" t="s">
        <v>383</v>
      </c>
      <c r="C229" t="s">
        <v>1241</v>
      </c>
      <c r="D229" t="s">
        <v>1575</v>
      </c>
      <c r="E229" t="s">
        <v>1877</v>
      </c>
      <c r="F229" t="s">
        <v>1583</v>
      </c>
      <c r="I229" t="s">
        <v>1058</v>
      </c>
      <c r="M229" t="s">
        <v>190</v>
      </c>
      <c r="N229" t="s">
        <v>203</v>
      </c>
      <c r="Q229" s="2" t="str">
        <f>IF($C229="","",IFERROR(VLOOKUP($C229,sources!$A$2:$N$200,2,FALSE()),"?"))</f>
        <v>Photograph</v>
      </c>
      <c r="R229" s="2" t="str">
        <f t="shared" si="3"/>
        <v>Image</v>
      </c>
      <c r="S229" s="2" t="str">
        <f>IF($C229="","",IFERROR(VLOOKUP($C229,sources!$A$2:$N$200,9,FALSE()),"?"))</f>
        <v>US official</v>
      </c>
      <c r="T229" t="s">
        <v>5692</v>
      </c>
      <c r="U229">
        <f>IF(OR(B229="",C229="",T229="Retracted",LEFT(D229,8)="Negative"),0,IF(COUNTIFS($B$2:B229,B229,$C$2:C229,C229,$D$2:D229,"&lt;&gt;Negative*",$T$2:T229,"&lt;&gt;Retracted")=1,1,0))</f>
        <v>1</v>
      </c>
    </row>
    <row r="230" spans="1:21" x14ac:dyDescent="0.2">
      <c r="A230" t="s">
        <v>1878</v>
      </c>
      <c r="B230" t="s">
        <v>395</v>
      </c>
      <c r="C230" t="s">
        <v>1241</v>
      </c>
      <c r="D230" t="s">
        <v>1575</v>
      </c>
      <c r="E230" t="s">
        <v>1879</v>
      </c>
      <c r="F230" t="s">
        <v>1583</v>
      </c>
      <c r="I230" t="s">
        <v>1058</v>
      </c>
      <c r="K230" t="s">
        <v>1782</v>
      </c>
      <c r="L230" t="s">
        <v>1782</v>
      </c>
      <c r="M230" t="s">
        <v>203</v>
      </c>
      <c r="N230" t="s">
        <v>203</v>
      </c>
      <c r="Q230" s="2" t="str">
        <f>IF($C230="","",IFERROR(VLOOKUP($C230,sources!$A$2:$N$200,2,FALSE()),"?"))</f>
        <v>Photograph</v>
      </c>
      <c r="R230" s="2" t="str">
        <f t="shared" si="3"/>
        <v>Image</v>
      </c>
      <c r="S230" s="2" t="str">
        <f>IF($C230="","",IFERROR(VLOOKUP($C230,sources!$A$2:$N$200,9,FALSE()),"?"))</f>
        <v>US official</v>
      </c>
      <c r="T230" t="s">
        <v>5692</v>
      </c>
      <c r="U230">
        <f>IF(OR(B230="",C230="",T230="Retracted",LEFT(D230,8)="Negative"),0,IF(COUNTIFS($B$2:B230,B230,$C$2:C230,C230,$D$2:D230,"&lt;&gt;Negative*",$T$2:T230,"&lt;&gt;Retracted")=1,1,0))</f>
        <v>1</v>
      </c>
    </row>
    <row r="231" spans="1:21" x14ac:dyDescent="0.2">
      <c r="A231" t="s">
        <v>1880</v>
      </c>
      <c r="B231" t="s">
        <v>403</v>
      </c>
      <c r="C231" t="s">
        <v>1241</v>
      </c>
      <c r="D231" t="s">
        <v>1575</v>
      </c>
      <c r="E231" t="s">
        <v>1881</v>
      </c>
      <c r="F231" t="s">
        <v>1583</v>
      </c>
      <c r="I231" t="s">
        <v>1058</v>
      </c>
      <c r="K231" t="s">
        <v>342</v>
      </c>
      <c r="L231" t="s">
        <v>342</v>
      </c>
      <c r="M231" t="s">
        <v>203</v>
      </c>
      <c r="N231" t="s">
        <v>203</v>
      </c>
      <c r="Q231" s="2" t="str">
        <f>IF($C231="","",IFERROR(VLOOKUP($C231,sources!$A$2:$N$200,2,FALSE()),"?"))</f>
        <v>Photograph</v>
      </c>
      <c r="R231" s="2" t="str">
        <f t="shared" si="3"/>
        <v>Image</v>
      </c>
      <c r="S231" s="2" t="str">
        <f>IF($C231="","",IFERROR(VLOOKUP($C231,sources!$A$2:$N$200,9,FALSE()),"?"))</f>
        <v>US official</v>
      </c>
      <c r="T231" t="s">
        <v>5692</v>
      </c>
      <c r="U231">
        <f>IF(OR(B231="",C231="",T231="Retracted",LEFT(D231,8)="Negative"),0,IF(COUNTIFS($B$2:B231,B231,$C$2:C231,C231,$D$2:D231,"&lt;&gt;Negative*",$T$2:T231,"&lt;&gt;Retracted")=1,1,0))</f>
        <v>1</v>
      </c>
    </row>
    <row r="232" spans="1:21" x14ac:dyDescent="0.2">
      <c r="A232" t="s">
        <v>1882</v>
      </c>
      <c r="B232" t="s">
        <v>407</v>
      </c>
      <c r="C232" t="s">
        <v>1241</v>
      </c>
      <c r="D232" t="s">
        <v>1575</v>
      </c>
      <c r="E232" t="s">
        <v>1883</v>
      </c>
      <c r="F232" t="s">
        <v>1583</v>
      </c>
      <c r="I232" t="s">
        <v>1058</v>
      </c>
      <c r="K232" t="s">
        <v>1040</v>
      </c>
      <c r="L232" t="s">
        <v>1040</v>
      </c>
      <c r="M232" t="s">
        <v>203</v>
      </c>
      <c r="N232" t="s">
        <v>203</v>
      </c>
      <c r="Q232" s="2" t="str">
        <f>IF($C232="","",IFERROR(VLOOKUP($C232,sources!$A$2:$N$200,2,FALSE()),"?"))</f>
        <v>Photograph</v>
      </c>
      <c r="R232" s="2" t="str">
        <f t="shared" si="3"/>
        <v>Image</v>
      </c>
      <c r="S232" s="2" t="str">
        <f>IF($C232="","",IFERROR(VLOOKUP($C232,sources!$A$2:$N$200,9,FALSE()),"?"))</f>
        <v>US official</v>
      </c>
      <c r="T232" t="s">
        <v>5692</v>
      </c>
      <c r="U232">
        <f>IF(OR(B232="",C232="",T232="Retracted",LEFT(D232,8)="Negative"),0,IF(COUNTIFS($B$2:B232,B232,$C$2:C232,C232,$D$2:D232,"&lt;&gt;Negative*",$T$2:T232,"&lt;&gt;Retracted")=1,1,0))</f>
        <v>1</v>
      </c>
    </row>
    <row r="233" spans="1:21" x14ac:dyDescent="0.2">
      <c r="A233" t="s">
        <v>1884</v>
      </c>
      <c r="B233" t="s">
        <v>411</v>
      </c>
      <c r="C233" t="s">
        <v>1241</v>
      </c>
      <c r="D233" t="s">
        <v>1575</v>
      </c>
      <c r="E233" t="s">
        <v>1885</v>
      </c>
      <c r="F233" t="s">
        <v>1583</v>
      </c>
      <c r="I233" t="s">
        <v>1058</v>
      </c>
      <c r="K233" t="s">
        <v>1886</v>
      </c>
      <c r="L233" t="s">
        <v>1886</v>
      </c>
      <c r="M233" t="s">
        <v>203</v>
      </c>
      <c r="N233" t="s">
        <v>203</v>
      </c>
      <c r="Q233" s="2" t="str">
        <f>IF($C233="","",IFERROR(VLOOKUP($C233,sources!$A$2:$N$200,2,FALSE()),"?"))</f>
        <v>Photograph</v>
      </c>
      <c r="R233" s="2" t="str">
        <f t="shared" si="3"/>
        <v>Image</v>
      </c>
      <c r="S233" s="2" t="str">
        <f>IF($C233="","",IFERROR(VLOOKUP($C233,sources!$A$2:$N$200,9,FALSE()),"?"))</f>
        <v>US official</v>
      </c>
      <c r="T233" t="s">
        <v>5692</v>
      </c>
      <c r="U233">
        <f>IF(OR(B233="",C233="",T233="Retracted",LEFT(D233,8)="Negative"),0,IF(COUNTIFS($B$2:B233,B233,$C$2:C233,C233,$D$2:D233,"&lt;&gt;Negative*",$T$2:T233,"&lt;&gt;Retracted")=1,1,0))</f>
        <v>1</v>
      </c>
    </row>
    <row r="234" spans="1:21" x14ac:dyDescent="0.2">
      <c r="A234" t="s">
        <v>1887</v>
      </c>
      <c r="B234" t="s">
        <v>415</v>
      </c>
      <c r="C234" t="s">
        <v>1241</v>
      </c>
      <c r="D234" t="s">
        <v>1575</v>
      </c>
      <c r="E234" t="s">
        <v>1888</v>
      </c>
      <c r="F234" t="s">
        <v>1583</v>
      </c>
      <c r="I234" t="s">
        <v>1058</v>
      </c>
      <c r="K234" t="s">
        <v>1181</v>
      </c>
      <c r="L234" t="s">
        <v>1181</v>
      </c>
      <c r="M234" t="s">
        <v>203</v>
      </c>
      <c r="N234" t="s">
        <v>203</v>
      </c>
      <c r="Q234" s="2" t="str">
        <f>IF($C234="","",IFERROR(VLOOKUP($C234,sources!$A$2:$N$200,2,FALSE()),"?"))</f>
        <v>Photograph</v>
      </c>
      <c r="R234" s="2" t="str">
        <f t="shared" si="3"/>
        <v>Image</v>
      </c>
      <c r="S234" s="2" t="str">
        <f>IF($C234="","",IFERROR(VLOOKUP($C234,sources!$A$2:$N$200,9,FALSE()),"?"))</f>
        <v>US official</v>
      </c>
      <c r="T234" t="s">
        <v>5692</v>
      </c>
      <c r="U234">
        <f>IF(OR(B234="",C234="",T234="Retracted",LEFT(D234,8)="Negative"),0,IF(COUNTIFS($B$2:B234,B234,$C$2:C234,C234,$D$2:D234,"&lt;&gt;Negative*",$T$2:T234,"&lt;&gt;Retracted")=1,1,0))</f>
        <v>1</v>
      </c>
    </row>
    <row r="235" spans="1:21" x14ac:dyDescent="0.2">
      <c r="A235" t="s">
        <v>1889</v>
      </c>
      <c r="B235" t="s">
        <v>420</v>
      </c>
      <c r="C235" t="s">
        <v>1241</v>
      </c>
      <c r="D235" t="s">
        <v>1575</v>
      </c>
      <c r="E235" t="s">
        <v>1890</v>
      </c>
      <c r="F235" t="s">
        <v>1583</v>
      </c>
      <c r="I235" t="s">
        <v>1058</v>
      </c>
      <c r="K235" t="s">
        <v>1891</v>
      </c>
      <c r="L235" t="s">
        <v>1891</v>
      </c>
      <c r="M235" t="s">
        <v>203</v>
      </c>
      <c r="N235" t="s">
        <v>203</v>
      </c>
      <c r="Q235" s="2" t="str">
        <f>IF($C235="","",IFERROR(VLOOKUP($C235,sources!$A$2:$N$200,2,FALSE()),"?"))</f>
        <v>Photograph</v>
      </c>
      <c r="R235" s="2" t="str">
        <f t="shared" si="3"/>
        <v>Image</v>
      </c>
      <c r="S235" s="2" t="str">
        <f>IF($C235="","",IFERROR(VLOOKUP($C235,sources!$A$2:$N$200,9,FALSE()),"?"))</f>
        <v>US official</v>
      </c>
      <c r="T235" t="s">
        <v>5692</v>
      </c>
      <c r="U235">
        <f>IF(OR(B235="",C235="",T235="Retracted",LEFT(D235,8)="Negative"),0,IF(COUNTIFS($B$2:B235,B235,$C$2:C235,C235,$D$2:D235,"&lt;&gt;Negative*",$T$2:T235,"&lt;&gt;Retracted")=1,1,0))</f>
        <v>1</v>
      </c>
    </row>
    <row r="236" spans="1:21" x14ac:dyDescent="0.2">
      <c r="A236" t="s">
        <v>1892</v>
      </c>
      <c r="B236" t="s">
        <v>424</v>
      </c>
      <c r="C236" t="s">
        <v>1241</v>
      </c>
      <c r="D236" t="s">
        <v>1575</v>
      </c>
      <c r="E236" t="s">
        <v>1893</v>
      </c>
      <c r="F236" t="s">
        <v>1583</v>
      </c>
      <c r="I236" t="s">
        <v>1058</v>
      </c>
      <c r="K236" t="s">
        <v>1181</v>
      </c>
      <c r="L236" t="s">
        <v>1181</v>
      </c>
      <c r="M236" t="s">
        <v>203</v>
      </c>
      <c r="N236" t="s">
        <v>203</v>
      </c>
      <c r="Q236" s="2" t="str">
        <f>IF($C236="","",IFERROR(VLOOKUP($C236,sources!$A$2:$N$200,2,FALSE()),"?"))</f>
        <v>Photograph</v>
      </c>
      <c r="R236" s="2" t="str">
        <f t="shared" si="3"/>
        <v>Image</v>
      </c>
      <c r="S236" s="2" t="str">
        <f>IF($C236="","",IFERROR(VLOOKUP($C236,sources!$A$2:$N$200,9,FALSE()),"?"))</f>
        <v>US official</v>
      </c>
      <c r="T236" t="s">
        <v>5692</v>
      </c>
      <c r="U236">
        <f>IF(OR(B236="",C236="",T236="Retracted",LEFT(D236,8)="Negative"),0,IF(COUNTIFS($B$2:B236,B236,$C$2:C236,C236,$D$2:D236,"&lt;&gt;Negative*",$T$2:T236,"&lt;&gt;Retracted")=1,1,0))</f>
        <v>1</v>
      </c>
    </row>
    <row r="237" spans="1:21" x14ac:dyDescent="0.2">
      <c r="A237" t="s">
        <v>1894</v>
      </c>
      <c r="B237" t="s">
        <v>429</v>
      </c>
      <c r="C237" t="s">
        <v>1241</v>
      </c>
      <c r="D237" t="s">
        <v>1575</v>
      </c>
      <c r="E237" t="s">
        <v>1895</v>
      </c>
      <c r="F237" t="s">
        <v>1583</v>
      </c>
      <c r="I237" t="s">
        <v>1058</v>
      </c>
      <c r="K237" t="s">
        <v>1891</v>
      </c>
      <c r="L237" t="s">
        <v>1891</v>
      </c>
      <c r="M237" t="s">
        <v>203</v>
      </c>
      <c r="N237" t="s">
        <v>203</v>
      </c>
      <c r="Q237" s="2" t="str">
        <f>IF($C237="","",IFERROR(VLOOKUP($C237,sources!$A$2:$N$200,2,FALSE()),"?"))</f>
        <v>Photograph</v>
      </c>
      <c r="R237" s="2" t="str">
        <f t="shared" si="3"/>
        <v>Image</v>
      </c>
      <c r="S237" s="2" t="str">
        <f>IF($C237="","",IFERROR(VLOOKUP($C237,sources!$A$2:$N$200,9,FALSE()),"?"))</f>
        <v>US official</v>
      </c>
      <c r="T237" t="s">
        <v>5692</v>
      </c>
      <c r="U237">
        <f>IF(OR(B237="",C237="",T237="Retracted",LEFT(D237,8)="Negative"),0,IF(COUNTIFS($B$2:B237,B237,$C$2:C237,C237,$D$2:D237,"&lt;&gt;Negative*",$T$2:T237,"&lt;&gt;Retracted")=1,1,0))</f>
        <v>1</v>
      </c>
    </row>
    <row r="238" spans="1:21" x14ac:dyDescent="0.2">
      <c r="A238" t="s">
        <v>1896</v>
      </c>
      <c r="B238" t="s">
        <v>433</v>
      </c>
      <c r="C238" t="s">
        <v>1241</v>
      </c>
      <c r="D238" t="s">
        <v>1575</v>
      </c>
      <c r="E238" t="s">
        <v>1897</v>
      </c>
      <c r="F238" t="s">
        <v>1583</v>
      </c>
      <c r="I238" t="s">
        <v>1058</v>
      </c>
      <c r="M238" t="s">
        <v>190</v>
      </c>
      <c r="N238" t="s">
        <v>203</v>
      </c>
      <c r="Q238" s="2" t="str">
        <f>IF($C238="","",IFERROR(VLOOKUP($C238,sources!$A$2:$N$200,2,FALSE()),"?"))</f>
        <v>Photograph</v>
      </c>
      <c r="R238" s="2" t="str">
        <f t="shared" si="3"/>
        <v>Image</v>
      </c>
      <c r="S238" s="2" t="str">
        <f>IF($C238="","",IFERROR(VLOOKUP($C238,sources!$A$2:$N$200,9,FALSE()),"?"))</f>
        <v>US official</v>
      </c>
      <c r="T238" t="s">
        <v>5692</v>
      </c>
      <c r="U238">
        <f>IF(OR(B238="",C238="",T238="Retracted",LEFT(D238,8)="Negative"),0,IF(COUNTIFS($B$2:B238,B238,$C$2:C238,C238,$D$2:D238,"&lt;&gt;Negative*",$T$2:T238,"&lt;&gt;Retracted")=1,1,0))</f>
        <v>1</v>
      </c>
    </row>
    <row r="239" spans="1:21" x14ac:dyDescent="0.2">
      <c r="A239" t="s">
        <v>1898</v>
      </c>
      <c r="B239" t="s">
        <v>439</v>
      </c>
      <c r="C239" t="s">
        <v>1241</v>
      </c>
      <c r="D239" t="s">
        <v>1575</v>
      </c>
      <c r="E239" t="s">
        <v>1899</v>
      </c>
      <c r="F239" t="s">
        <v>1583</v>
      </c>
      <c r="I239" t="s">
        <v>1058</v>
      </c>
      <c r="M239" t="s">
        <v>190</v>
      </c>
      <c r="N239" t="s">
        <v>203</v>
      </c>
      <c r="Q239" s="2" t="str">
        <f>IF($C239="","",IFERROR(VLOOKUP($C239,sources!$A$2:$N$200,2,FALSE()),"?"))</f>
        <v>Photograph</v>
      </c>
      <c r="R239" s="2" t="str">
        <f t="shared" si="3"/>
        <v>Image</v>
      </c>
      <c r="S239" s="2" t="str">
        <f>IF($C239="","",IFERROR(VLOOKUP($C239,sources!$A$2:$N$200,9,FALSE()),"?"))</f>
        <v>US official</v>
      </c>
      <c r="T239" t="s">
        <v>5692</v>
      </c>
      <c r="U239">
        <f>IF(OR(B239="",C239="",T239="Retracted",LEFT(D239,8)="Negative"),0,IF(COUNTIFS($B$2:B239,B239,$C$2:C239,C239,$D$2:D239,"&lt;&gt;Negative*",$T$2:T239,"&lt;&gt;Retracted")=1,1,0))</f>
        <v>1</v>
      </c>
    </row>
    <row r="240" spans="1:21" x14ac:dyDescent="0.2">
      <c r="A240" t="s">
        <v>1900</v>
      </c>
      <c r="B240" t="s">
        <v>443</v>
      </c>
      <c r="C240" t="s">
        <v>1241</v>
      </c>
      <c r="D240" t="s">
        <v>1575</v>
      </c>
      <c r="E240" t="s">
        <v>1835</v>
      </c>
      <c r="F240" t="s">
        <v>1583</v>
      </c>
      <c r="I240" t="s">
        <v>1058</v>
      </c>
      <c r="K240" t="s">
        <v>283</v>
      </c>
      <c r="L240" t="s">
        <v>283</v>
      </c>
      <c r="M240" t="s">
        <v>203</v>
      </c>
      <c r="N240" t="s">
        <v>203</v>
      </c>
      <c r="Q240" s="2" t="str">
        <f>IF($C240="","",IFERROR(VLOOKUP($C240,sources!$A$2:$N$200,2,FALSE()),"?"))</f>
        <v>Photograph</v>
      </c>
      <c r="R240" s="2" t="str">
        <f t="shared" si="3"/>
        <v>Image</v>
      </c>
      <c r="S240" s="2" t="str">
        <f>IF($C240="","",IFERROR(VLOOKUP($C240,sources!$A$2:$N$200,9,FALSE()),"?"))</f>
        <v>US official</v>
      </c>
      <c r="T240" t="s">
        <v>5692</v>
      </c>
      <c r="U240">
        <f>IF(OR(B240="",C240="",T240="Retracted",LEFT(D240,8)="Negative"),0,IF(COUNTIFS($B$2:B240,B240,$C$2:C240,C240,$D$2:D240,"&lt;&gt;Negative*",$T$2:T240,"&lt;&gt;Retracted")=1,1,0))</f>
        <v>1</v>
      </c>
    </row>
    <row r="241" spans="1:21" x14ac:dyDescent="0.2">
      <c r="A241" t="s">
        <v>1901</v>
      </c>
      <c r="B241" t="s">
        <v>447</v>
      </c>
      <c r="C241" t="s">
        <v>1241</v>
      </c>
      <c r="D241" t="s">
        <v>1575</v>
      </c>
      <c r="E241" t="s">
        <v>1902</v>
      </c>
      <c r="F241" t="s">
        <v>1583</v>
      </c>
      <c r="I241" t="s">
        <v>1058</v>
      </c>
      <c r="M241" t="s">
        <v>190</v>
      </c>
      <c r="N241" t="s">
        <v>203</v>
      </c>
      <c r="Q241" s="2" t="str">
        <f>IF($C241="","",IFERROR(VLOOKUP($C241,sources!$A$2:$N$200,2,FALSE()),"?"))</f>
        <v>Photograph</v>
      </c>
      <c r="R241" s="2" t="str">
        <f t="shared" si="3"/>
        <v>Image</v>
      </c>
      <c r="S241" s="2" t="str">
        <f>IF($C241="","",IFERROR(VLOOKUP($C241,sources!$A$2:$N$200,9,FALSE()),"?"))</f>
        <v>US official</v>
      </c>
      <c r="T241" t="s">
        <v>5692</v>
      </c>
      <c r="U241">
        <f>IF(OR(B241="",C241="",T241="Retracted",LEFT(D241,8)="Negative"),0,IF(COUNTIFS($B$2:B241,B241,$C$2:C241,C241,$D$2:D241,"&lt;&gt;Negative*",$T$2:T241,"&lt;&gt;Retracted")=1,1,0))</f>
        <v>1</v>
      </c>
    </row>
    <row r="242" spans="1:21" x14ac:dyDescent="0.2">
      <c r="A242" t="s">
        <v>1903</v>
      </c>
      <c r="B242" t="s">
        <v>452</v>
      </c>
      <c r="C242" t="s">
        <v>1241</v>
      </c>
      <c r="D242" t="s">
        <v>1575</v>
      </c>
      <c r="E242" t="s">
        <v>1904</v>
      </c>
      <c r="F242" t="s">
        <v>1583</v>
      </c>
      <c r="I242" t="s">
        <v>1058</v>
      </c>
      <c r="K242" t="s">
        <v>1810</v>
      </c>
      <c r="L242" t="s">
        <v>1810</v>
      </c>
      <c r="M242" t="s">
        <v>203</v>
      </c>
      <c r="N242" t="s">
        <v>203</v>
      </c>
      <c r="Q242" s="2" t="str">
        <f>IF($C242="","",IFERROR(VLOOKUP($C242,sources!$A$2:$N$200,2,FALSE()),"?"))</f>
        <v>Photograph</v>
      </c>
      <c r="R242" s="2" t="str">
        <f t="shared" si="3"/>
        <v>Image</v>
      </c>
      <c r="S242" s="2" t="str">
        <f>IF($C242="","",IFERROR(VLOOKUP($C242,sources!$A$2:$N$200,9,FALSE()),"?"))</f>
        <v>US official</v>
      </c>
      <c r="T242" t="s">
        <v>5692</v>
      </c>
      <c r="U242">
        <f>IF(OR(B242="",C242="",T242="Retracted",LEFT(D242,8)="Negative"),0,IF(COUNTIFS($B$2:B242,B242,$C$2:C242,C242,$D$2:D242,"&lt;&gt;Negative*",$T$2:T242,"&lt;&gt;Retracted")=1,1,0))</f>
        <v>1</v>
      </c>
    </row>
    <row r="243" spans="1:21" x14ac:dyDescent="0.2">
      <c r="A243" t="s">
        <v>1905</v>
      </c>
      <c r="B243" t="s">
        <v>456</v>
      </c>
      <c r="C243" t="s">
        <v>1241</v>
      </c>
      <c r="D243" t="s">
        <v>1575</v>
      </c>
      <c r="E243" t="s">
        <v>1906</v>
      </c>
      <c r="F243" t="s">
        <v>1583</v>
      </c>
      <c r="I243" t="s">
        <v>1058</v>
      </c>
      <c r="M243" t="s">
        <v>190</v>
      </c>
      <c r="N243" t="s">
        <v>203</v>
      </c>
      <c r="Q243" s="2" t="str">
        <f>IF($C243="","",IFERROR(VLOOKUP($C243,sources!$A$2:$N$200,2,FALSE()),"?"))</f>
        <v>Photograph</v>
      </c>
      <c r="R243" s="2" t="str">
        <f t="shared" si="3"/>
        <v>Image</v>
      </c>
      <c r="S243" s="2" t="str">
        <f>IF($C243="","",IFERROR(VLOOKUP($C243,sources!$A$2:$N$200,9,FALSE()),"?"))</f>
        <v>US official</v>
      </c>
      <c r="T243" t="s">
        <v>5692</v>
      </c>
      <c r="U243">
        <f>IF(OR(B243="",C243="",T243="Retracted",LEFT(D243,8)="Negative"),0,IF(COUNTIFS($B$2:B243,B243,$C$2:C243,C243,$D$2:D243,"&lt;&gt;Negative*",$T$2:T243,"&lt;&gt;Retracted")=1,1,0))</f>
        <v>1</v>
      </c>
    </row>
    <row r="244" spans="1:21" x14ac:dyDescent="0.2">
      <c r="A244" t="s">
        <v>1907</v>
      </c>
      <c r="B244" t="s">
        <v>461</v>
      </c>
      <c r="C244" t="s">
        <v>1241</v>
      </c>
      <c r="D244" t="s">
        <v>1575</v>
      </c>
      <c r="E244" t="s">
        <v>1908</v>
      </c>
      <c r="F244" t="s">
        <v>1583</v>
      </c>
      <c r="I244" t="s">
        <v>1058</v>
      </c>
      <c r="K244" t="s">
        <v>1909</v>
      </c>
      <c r="L244" t="s">
        <v>1909</v>
      </c>
      <c r="M244" t="s">
        <v>203</v>
      </c>
      <c r="N244" t="s">
        <v>203</v>
      </c>
      <c r="Q244" s="2" t="str">
        <f>IF($C244="","",IFERROR(VLOOKUP($C244,sources!$A$2:$N$200,2,FALSE()),"?"))</f>
        <v>Photograph</v>
      </c>
      <c r="R244" s="2" t="str">
        <f t="shared" si="3"/>
        <v>Image</v>
      </c>
      <c r="S244" s="2" t="str">
        <f>IF($C244="","",IFERROR(VLOOKUP($C244,sources!$A$2:$N$200,9,FALSE()),"?"))</f>
        <v>US official</v>
      </c>
      <c r="T244" t="s">
        <v>5692</v>
      </c>
      <c r="U244">
        <f>IF(OR(B244="",C244="",T244="Retracted",LEFT(D244,8)="Negative"),0,IF(COUNTIFS($B$2:B244,B244,$C$2:C244,C244,$D$2:D244,"&lt;&gt;Negative*",$T$2:T244,"&lt;&gt;Retracted")=1,1,0))</f>
        <v>1</v>
      </c>
    </row>
    <row r="245" spans="1:21" x14ac:dyDescent="0.2">
      <c r="A245" t="s">
        <v>1910</v>
      </c>
      <c r="B245" t="s">
        <v>465</v>
      </c>
      <c r="C245" t="s">
        <v>1241</v>
      </c>
      <c r="D245" t="s">
        <v>1575</v>
      </c>
      <c r="E245" t="s">
        <v>1911</v>
      </c>
      <c r="F245" t="s">
        <v>1583</v>
      </c>
      <c r="I245" t="s">
        <v>1058</v>
      </c>
      <c r="K245" t="s">
        <v>283</v>
      </c>
      <c r="L245" t="s">
        <v>283</v>
      </c>
      <c r="M245" t="s">
        <v>203</v>
      </c>
      <c r="N245" t="s">
        <v>203</v>
      </c>
      <c r="Q245" s="2" t="str">
        <f>IF($C245="","",IFERROR(VLOOKUP($C245,sources!$A$2:$N$200,2,FALSE()),"?"))</f>
        <v>Photograph</v>
      </c>
      <c r="R245" s="2" t="str">
        <f t="shared" si="3"/>
        <v>Image</v>
      </c>
      <c r="S245" s="2" t="str">
        <f>IF($C245="","",IFERROR(VLOOKUP($C245,sources!$A$2:$N$200,9,FALSE()),"?"))</f>
        <v>US official</v>
      </c>
      <c r="T245" t="s">
        <v>5692</v>
      </c>
      <c r="U245">
        <f>IF(OR(B245="",C245="",T245="Retracted",LEFT(D245,8)="Negative"),0,IF(COUNTIFS($B$2:B245,B245,$C$2:C245,C245,$D$2:D245,"&lt;&gt;Negative*",$T$2:T245,"&lt;&gt;Retracted")=1,1,0))</f>
        <v>1</v>
      </c>
    </row>
    <row r="246" spans="1:21" x14ac:dyDescent="0.2">
      <c r="A246" t="s">
        <v>1912</v>
      </c>
      <c r="B246" t="s">
        <v>468</v>
      </c>
      <c r="C246" t="s">
        <v>1241</v>
      </c>
      <c r="D246" t="s">
        <v>1575</v>
      </c>
      <c r="E246" t="s">
        <v>1913</v>
      </c>
      <c r="F246" t="s">
        <v>1583</v>
      </c>
      <c r="I246" t="s">
        <v>1058</v>
      </c>
      <c r="K246" t="s">
        <v>231</v>
      </c>
      <c r="L246" t="s">
        <v>231</v>
      </c>
      <c r="M246" t="s">
        <v>203</v>
      </c>
      <c r="N246" t="s">
        <v>203</v>
      </c>
      <c r="Q246" s="2" t="str">
        <f>IF($C246="","",IFERROR(VLOOKUP($C246,sources!$A$2:$N$200,2,FALSE()),"?"))</f>
        <v>Photograph</v>
      </c>
      <c r="R246" s="2" t="str">
        <f t="shared" si="3"/>
        <v>Image</v>
      </c>
      <c r="S246" s="2" t="str">
        <f>IF($C246="","",IFERROR(VLOOKUP($C246,sources!$A$2:$N$200,9,FALSE()),"?"))</f>
        <v>US official</v>
      </c>
      <c r="T246" t="s">
        <v>5692</v>
      </c>
      <c r="U246">
        <f>IF(OR(B246="",C246="",T246="Retracted",LEFT(D246,8)="Negative"),0,IF(COUNTIFS($B$2:B246,B246,$C$2:C246,C246,$D$2:D246,"&lt;&gt;Negative*",$T$2:T246,"&lt;&gt;Retracted")=1,1,0))</f>
        <v>1</v>
      </c>
    </row>
    <row r="247" spans="1:21" x14ac:dyDescent="0.2">
      <c r="A247" t="s">
        <v>1914</v>
      </c>
      <c r="B247" t="s">
        <v>883</v>
      </c>
      <c r="C247" t="s">
        <v>1241</v>
      </c>
      <c r="D247" t="s">
        <v>1575</v>
      </c>
      <c r="E247" t="s">
        <v>1915</v>
      </c>
      <c r="F247" t="s">
        <v>1583</v>
      </c>
      <c r="I247" t="s">
        <v>1058</v>
      </c>
      <c r="M247" t="s">
        <v>190</v>
      </c>
      <c r="N247" t="s">
        <v>203</v>
      </c>
      <c r="Q247" s="2" t="str">
        <f>IF($C247="","",IFERROR(VLOOKUP($C247,sources!$A$2:$N$200,2,FALSE()),"?"))</f>
        <v>Photograph</v>
      </c>
      <c r="R247" s="2" t="str">
        <f t="shared" si="3"/>
        <v>Image</v>
      </c>
      <c r="S247" s="2" t="str">
        <f>IF($C247="","",IFERROR(VLOOKUP($C247,sources!$A$2:$N$200,9,FALSE()),"?"))</f>
        <v>US official</v>
      </c>
      <c r="T247" t="s">
        <v>5692</v>
      </c>
      <c r="U247">
        <f>IF(OR(B247="",C247="",T247="Retracted",LEFT(D247,8)="Negative"),0,IF(COUNTIFS($B$2:B247,B247,$C$2:C247,C247,$D$2:D247,"&lt;&gt;Negative*",$T$2:T247,"&lt;&gt;Retracted")=1,1,0))</f>
        <v>1</v>
      </c>
    </row>
    <row r="248" spans="1:21" x14ac:dyDescent="0.2">
      <c r="A248" t="s">
        <v>1916</v>
      </c>
      <c r="B248" t="s">
        <v>480</v>
      </c>
      <c r="C248" t="s">
        <v>1241</v>
      </c>
      <c r="D248" t="s">
        <v>1575</v>
      </c>
      <c r="E248" t="s">
        <v>1917</v>
      </c>
      <c r="F248" t="s">
        <v>1583</v>
      </c>
      <c r="I248" t="s">
        <v>1058</v>
      </c>
      <c r="K248" t="s">
        <v>1181</v>
      </c>
      <c r="L248" t="s">
        <v>1181</v>
      </c>
      <c r="M248" t="s">
        <v>203</v>
      </c>
      <c r="N248" t="s">
        <v>203</v>
      </c>
      <c r="Q248" s="2" t="str">
        <f>IF($C248="","",IFERROR(VLOOKUP($C248,sources!$A$2:$N$200,2,FALSE()),"?"))</f>
        <v>Photograph</v>
      </c>
      <c r="R248" s="2" t="str">
        <f t="shared" si="3"/>
        <v>Image</v>
      </c>
      <c r="S248" s="2" t="str">
        <f>IF($C248="","",IFERROR(VLOOKUP($C248,sources!$A$2:$N$200,9,FALSE()),"?"))</f>
        <v>US official</v>
      </c>
      <c r="T248" t="s">
        <v>5692</v>
      </c>
      <c r="U248">
        <f>IF(OR(B248="",C248="",T248="Retracted",LEFT(D248,8)="Negative"),0,IF(COUNTIFS($B$2:B248,B248,$C$2:C248,C248,$D$2:D248,"&lt;&gt;Negative*",$T$2:T248,"&lt;&gt;Retracted")=1,1,0))</f>
        <v>1</v>
      </c>
    </row>
    <row r="249" spans="1:21" x14ac:dyDescent="0.2">
      <c r="A249" t="s">
        <v>1918</v>
      </c>
      <c r="B249" t="s">
        <v>179</v>
      </c>
      <c r="C249" t="s">
        <v>1250</v>
      </c>
      <c r="D249" t="s">
        <v>1575</v>
      </c>
      <c r="E249" t="s">
        <v>1919</v>
      </c>
      <c r="F249" t="s">
        <v>1583</v>
      </c>
      <c r="I249" t="s">
        <v>1058</v>
      </c>
      <c r="M249" t="s">
        <v>209</v>
      </c>
      <c r="N249" t="s">
        <v>203</v>
      </c>
      <c r="Q249" s="2" t="str">
        <f>IF($C249="","",IFERROR(VLOOKUP($C249,sources!$A$2:$N$200,2,FALSE()),"?"))</f>
        <v>Map</v>
      </c>
      <c r="R249" s="2" t="str">
        <f t="shared" si="3"/>
        <v>Map</v>
      </c>
      <c r="S249" s="2" t="str">
        <f>IF($C249="","",IFERROR(VLOOKUP($C249,sources!$A$2:$N$200,9,FALSE()),"?"))</f>
        <v>US official</v>
      </c>
      <c r="T249" t="s">
        <v>5692</v>
      </c>
      <c r="U249">
        <f>IF(OR(B249="",C249="",T249="Retracted",LEFT(D249,8)="Negative"),0,IF(COUNTIFS($B$2:B249,B249,$C$2:C249,C249,$D$2:D249,"&lt;&gt;Negative*",$T$2:T249,"&lt;&gt;Retracted")=1,1,0))</f>
        <v>1</v>
      </c>
    </row>
    <row r="250" spans="1:21" x14ac:dyDescent="0.2">
      <c r="A250" t="s">
        <v>1920</v>
      </c>
      <c r="B250" t="s">
        <v>194</v>
      </c>
      <c r="C250" t="s">
        <v>1250</v>
      </c>
      <c r="D250" t="s">
        <v>1575</v>
      </c>
      <c r="E250" t="s">
        <v>1919</v>
      </c>
      <c r="F250" t="s">
        <v>1583</v>
      </c>
      <c r="I250" t="s">
        <v>1058</v>
      </c>
      <c r="M250" t="s">
        <v>209</v>
      </c>
      <c r="N250" t="s">
        <v>203</v>
      </c>
      <c r="Q250" s="2" t="str">
        <f>IF($C250="","",IFERROR(VLOOKUP($C250,sources!$A$2:$N$200,2,FALSE()),"?"))</f>
        <v>Map</v>
      </c>
      <c r="R250" s="2" t="str">
        <f t="shared" si="3"/>
        <v>Map</v>
      </c>
      <c r="S250" s="2" t="str">
        <f>IF($C250="","",IFERROR(VLOOKUP($C250,sources!$A$2:$N$200,9,FALSE()),"?"))</f>
        <v>US official</v>
      </c>
      <c r="T250" t="s">
        <v>5692</v>
      </c>
      <c r="U250">
        <f>IF(OR(B250="",C250="",T250="Retracted",LEFT(D250,8)="Negative"),0,IF(COUNTIFS($B$2:B250,B250,$C$2:C250,C250,$D$2:D250,"&lt;&gt;Negative*",$T$2:T250,"&lt;&gt;Retracted")=1,1,0))</f>
        <v>1</v>
      </c>
    </row>
    <row r="251" spans="1:21" x14ac:dyDescent="0.2">
      <c r="A251" t="s">
        <v>1921</v>
      </c>
      <c r="B251" t="s">
        <v>199</v>
      </c>
      <c r="C251" t="s">
        <v>1250</v>
      </c>
      <c r="D251" t="s">
        <v>1575</v>
      </c>
      <c r="E251" t="s">
        <v>1919</v>
      </c>
      <c r="F251" t="s">
        <v>1583</v>
      </c>
      <c r="I251" t="s">
        <v>1058</v>
      </c>
      <c r="M251" t="s">
        <v>209</v>
      </c>
      <c r="N251" t="s">
        <v>203</v>
      </c>
      <c r="Q251" s="2" t="str">
        <f>IF($C251="","",IFERROR(VLOOKUP($C251,sources!$A$2:$N$200,2,FALSE()),"?"))</f>
        <v>Map</v>
      </c>
      <c r="R251" s="2" t="str">
        <f t="shared" si="3"/>
        <v>Map</v>
      </c>
      <c r="S251" s="2" t="str">
        <f>IF($C251="","",IFERROR(VLOOKUP($C251,sources!$A$2:$N$200,9,FALSE()),"?"))</f>
        <v>US official</v>
      </c>
      <c r="T251" t="s">
        <v>5692</v>
      </c>
      <c r="U251">
        <f>IF(OR(B251="",C251="",T251="Retracted",LEFT(D251,8)="Negative"),0,IF(COUNTIFS($B$2:B251,B251,$C$2:C251,C251,$D$2:D251,"&lt;&gt;Negative*",$T$2:T251,"&lt;&gt;Retracted")=1,1,0))</f>
        <v>1</v>
      </c>
    </row>
    <row r="252" spans="1:21" x14ac:dyDescent="0.2">
      <c r="A252" t="s">
        <v>1922</v>
      </c>
      <c r="B252" t="s">
        <v>211</v>
      </c>
      <c r="C252" t="s">
        <v>1250</v>
      </c>
      <c r="D252" t="s">
        <v>1575</v>
      </c>
      <c r="E252" t="s">
        <v>1919</v>
      </c>
      <c r="F252" t="s">
        <v>1583</v>
      </c>
      <c r="I252" t="s">
        <v>1058</v>
      </c>
      <c r="M252" t="s">
        <v>209</v>
      </c>
      <c r="N252" t="s">
        <v>203</v>
      </c>
      <c r="Q252" s="2" t="str">
        <f>IF($C252="","",IFERROR(VLOOKUP($C252,sources!$A$2:$N$200,2,FALSE()),"?"))</f>
        <v>Map</v>
      </c>
      <c r="R252" s="2" t="str">
        <f t="shared" si="3"/>
        <v>Map</v>
      </c>
      <c r="S252" s="2" t="str">
        <f>IF($C252="","",IFERROR(VLOOKUP($C252,sources!$A$2:$N$200,9,FALSE()),"?"))</f>
        <v>US official</v>
      </c>
      <c r="T252" t="s">
        <v>5692</v>
      </c>
      <c r="U252">
        <f>IF(OR(B252="",C252="",T252="Retracted",LEFT(D252,8)="Negative"),0,IF(COUNTIFS($B$2:B252,B252,$C$2:C252,C252,$D$2:D252,"&lt;&gt;Negative*",$T$2:T252,"&lt;&gt;Retracted")=1,1,0))</f>
        <v>1</v>
      </c>
    </row>
    <row r="253" spans="1:21" x14ac:dyDescent="0.2">
      <c r="A253" t="s">
        <v>1923</v>
      </c>
      <c r="B253" t="s">
        <v>213</v>
      </c>
      <c r="C253" t="s">
        <v>1250</v>
      </c>
      <c r="D253" t="s">
        <v>1575</v>
      </c>
      <c r="E253" t="s">
        <v>1919</v>
      </c>
      <c r="F253" t="s">
        <v>1583</v>
      </c>
      <c r="I253" t="s">
        <v>1058</v>
      </c>
      <c r="M253" t="s">
        <v>209</v>
      </c>
      <c r="N253" t="s">
        <v>203</v>
      </c>
      <c r="Q253" s="2" t="str">
        <f>IF($C253="","",IFERROR(VLOOKUP($C253,sources!$A$2:$N$200,2,FALSE()),"?"))</f>
        <v>Map</v>
      </c>
      <c r="R253" s="2" t="str">
        <f t="shared" si="3"/>
        <v>Map</v>
      </c>
      <c r="S253" s="2" t="str">
        <f>IF($C253="","",IFERROR(VLOOKUP($C253,sources!$A$2:$N$200,9,FALSE()),"?"))</f>
        <v>US official</v>
      </c>
      <c r="T253" t="s">
        <v>5692</v>
      </c>
      <c r="U253">
        <f>IF(OR(B253="",C253="",T253="Retracted",LEFT(D253,8)="Negative"),0,IF(COUNTIFS($B$2:B253,B253,$C$2:C253,C253,$D$2:D253,"&lt;&gt;Negative*",$T$2:T253,"&lt;&gt;Retracted")=1,1,0))</f>
        <v>1</v>
      </c>
    </row>
    <row r="254" spans="1:21" x14ac:dyDescent="0.2">
      <c r="A254" t="s">
        <v>1924</v>
      </c>
      <c r="B254" t="s">
        <v>219</v>
      </c>
      <c r="C254" t="s">
        <v>1250</v>
      </c>
      <c r="D254" t="s">
        <v>1575</v>
      </c>
      <c r="E254" t="s">
        <v>1919</v>
      </c>
      <c r="F254" t="s">
        <v>1583</v>
      </c>
      <c r="I254" t="s">
        <v>1058</v>
      </c>
      <c r="M254" t="s">
        <v>209</v>
      </c>
      <c r="N254" t="s">
        <v>203</v>
      </c>
      <c r="Q254" s="2" t="str">
        <f>IF($C254="","",IFERROR(VLOOKUP($C254,sources!$A$2:$N$200,2,FALSE()),"?"))</f>
        <v>Map</v>
      </c>
      <c r="R254" s="2" t="str">
        <f t="shared" si="3"/>
        <v>Map</v>
      </c>
      <c r="S254" s="2" t="str">
        <f>IF($C254="","",IFERROR(VLOOKUP($C254,sources!$A$2:$N$200,9,FALSE()),"?"))</f>
        <v>US official</v>
      </c>
      <c r="T254" t="s">
        <v>5692</v>
      </c>
      <c r="U254">
        <f>IF(OR(B254="",C254="",T254="Retracted",LEFT(D254,8)="Negative"),0,IF(COUNTIFS($B$2:B254,B254,$C$2:C254,C254,$D$2:D254,"&lt;&gt;Negative*",$T$2:T254,"&lt;&gt;Retracted")=1,1,0))</f>
        <v>1</v>
      </c>
    </row>
    <row r="255" spans="1:21" x14ac:dyDescent="0.2">
      <c r="A255" t="s">
        <v>1925</v>
      </c>
      <c r="B255" t="s">
        <v>233</v>
      </c>
      <c r="C255" t="s">
        <v>1250</v>
      </c>
      <c r="D255" t="s">
        <v>1575</v>
      </c>
      <c r="E255" t="s">
        <v>1919</v>
      </c>
      <c r="F255" t="s">
        <v>1583</v>
      </c>
      <c r="I255" t="s">
        <v>1058</v>
      </c>
      <c r="M255" t="s">
        <v>209</v>
      </c>
      <c r="N255" t="s">
        <v>203</v>
      </c>
      <c r="Q255" s="2" t="str">
        <f>IF($C255="","",IFERROR(VLOOKUP($C255,sources!$A$2:$N$200,2,FALSE()),"?"))</f>
        <v>Map</v>
      </c>
      <c r="R255" s="2" t="str">
        <f t="shared" si="3"/>
        <v>Map</v>
      </c>
      <c r="S255" s="2" t="str">
        <f>IF($C255="","",IFERROR(VLOOKUP($C255,sources!$A$2:$N$200,9,FALSE()),"?"))</f>
        <v>US official</v>
      </c>
      <c r="T255" t="s">
        <v>5692</v>
      </c>
      <c r="U255">
        <f>IF(OR(B255="",C255="",T255="Retracted",LEFT(D255,8)="Negative"),0,IF(COUNTIFS($B$2:B255,B255,$C$2:C255,C255,$D$2:D255,"&lt;&gt;Negative*",$T$2:T255,"&lt;&gt;Retracted")=1,1,0))</f>
        <v>1</v>
      </c>
    </row>
    <row r="256" spans="1:21" x14ac:dyDescent="0.2">
      <c r="A256" t="s">
        <v>1926</v>
      </c>
      <c r="B256" t="s">
        <v>242</v>
      </c>
      <c r="C256" t="s">
        <v>1250</v>
      </c>
      <c r="D256" t="s">
        <v>1575</v>
      </c>
      <c r="E256" t="s">
        <v>1919</v>
      </c>
      <c r="F256" t="s">
        <v>1583</v>
      </c>
      <c r="I256" t="s">
        <v>1058</v>
      </c>
      <c r="M256" t="s">
        <v>209</v>
      </c>
      <c r="N256" t="s">
        <v>203</v>
      </c>
      <c r="Q256" s="2" t="str">
        <f>IF($C256="","",IFERROR(VLOOKUP($C256,sources!$A$2:$N$200,2,FALSE()),"?"))</f>
        <v>Map</v>
      </c>
      <c r="R256" s="2" t="str">
        <f t="shared" si="3"/>
        <v>Map</v>
      </c>
      <c r="S256" s="2" t="str">
        <f>IF($C256="","",IFERROR(VLOOKUP($C256,sources!$A$2:$N$200,9,FALSE()),"?"))</f>
        <v>US official</v>
      </c>
      <c r="T256" t="s">
        <v>5692</v>
      </c>
      <c r="U256">
        <f>IF(OR(B256="",C256="",T256="Retracted",LEFT(D256,8)="Negative"),0,IF(COUNTIFS($B$2:B256,B256,$C$2:C256,C256,$D$2:D256,"&lt;&gt;Negative*",$T$2:T256,"&lt;&gt;Retracted")=1,1,0))</f>
        <v>1</v>
      </c>
    </row>
    <row r="257" spans="1:21" x14ac:dyDescent="0.2">
      <c r="A257" t="s">
        <v>1927</v>
      </c>
      <c r="B257" t="s">
        <v>247</v>
      </c>
      <c r="C257" t="s">
        <v>1250</v>
      </c>
      <c r="D257" t="s">
        <v>1575</v>
      </c>
      <c r="E257" t="s">
        <v>1919</v>
      </c>
      <c r="F257" t="s">
        <v>1583</v>
      </c>
      <c r="I257" t="s">
        <v>1058</v>
      </c>
      <c r="M257" t="s">
        <v>209</v>
      </c>
      <c r="N257" t="s">
        <v>203</v>
      </c>
      <c r="Q257" s="2" t="str">
        <f>IF($C257="","",IFERROR(VLOOKUP($C257,sources!$A$2:$N$200,2,FALSE()),"?"))</f>
        <v>Map</v>
      </c>
      <c r="R257" s="2" t="str">
        <f t="shared" si="3"/>
        <v>Map</v>
      </c>
      <c r="S257" s="2" t="str">
        <f>IF($C257="","",IFERROR(VLOOKUP($C257,sources!$A$2:$N$200,9,FALSE()),"?"))</f>
        <v>US official</v>
      </c>
      <c r="T257" t="s">
        <v>5692</v>
      </c>
      <c r="U257">
        <f>IF(OR(B257="",C257="",T257="Retracted",LEFT(D257,8)="Negative"),0,IF(COUNTIFS($B$2:B257,B257,$C$2:C257,C257,$D$2:D257,"&lt;&gt;Negative*",$T$2:T257,"&lt;&gt;Retracted")=1,1,0))</f>
        <v>1</v>
      </c>
    </row>
    <row r="258" spans="1:21" x14ac:dyDescent="0.2">
      <c r="A258" t="s">
        <v>1928</v>
      </c>
      <c r="B258" t="s">
        <v>253</v>
      </c>
      <c r="C258" t="s">
        <v>1250</v>
      </c>
      <c r="D258" t="s">
        <v>1575</v>
      </c>
      <c r="E258" t="s">
        <v>1919</v>
      </c>
      <c r="F258" t="s">
        <v>1583</v>
      </c>
      <c r="I258" t="s">
        <v>1058</v>
      </c>
      <c r="M258" t="s">
        <v>209</v>
      </c>
      <c r="N258" t="s">
        <v>203</v>
      </c>
      <c r="Q258" s="2" t="str">
        <f>IF($C258="","",IFERROR(VLOOKUP($C258,sources!$A$2:$N$200,2,FALSE()),"?"))</f>
        <v>Map</v>
      </c>
      <c r="R258" s="2" t="str">
        <f t="shared" ref="R258:R321" si="4">IF($Q258="","",IF($Q258="Map","Map",IF(OR($Q258="Photograph",$Q258="Postcard"),"Image",IF(OR($Q258="Census or roll",$Q258="Report",$Q258="Newspaper",$Q258="Letter",$Q258="Memoir",$Q258="Administrative",$Q258="Web compilation"),"Textual",IF($Q258="Legal claim","Legal/admin",IF($Q258="Secondary","Secondary","Other"))))))</f>
        <v>Map</v>
      </c>
      <c r="S258" s="2" t="str">
        <f>IF($C258="","",IFERROR(VLOOKUP($C258,sources!$A$2:$N$200,9,FALSE()),"?"))</f>
        <v>US official</v>
      </c>
      <c r="T258" t="s">
        <v>5692</v>
      </c>
      <c r="U258">
        <f>IF(OR(B258="",C258="",T258="Retracted",LEFT(D258,8)="Negative"),0,IF(COUNTIFS($B$2:B258,B258,$C$2:C258,C258,$D$2:D258,"&lt;&gt;Negative*",$T$2:T258,"&lt;&gt;Retracted")=1,1,0))</f>
        <v>1</v>
      </c>
    </row>
    <row r="259" spans="1:21" x14ac:dyDescent="0.2">
      <c r="A259" t="s">
        <v>1929</v>
      </c>
      <c r="B259" t="s">
        <v>261</v>
      </c>
      <c r="C259" t="s">
        <v>1250</v>
      </c>
      <c r="D259" t="s">
        <v>1575</v>
      </c>
      <c r="E259" t="s">
        <v>1919</v>
      </c>
      <c r="F259" t="s">
        <v>1583</v>
      </c>
      <c r="I259" t="s">
        <v>1058</v>
      </c>
      <c r="M259" t="s">
        <v>209</v>
      </c>
      <c r="N259" t="s">
        <v>203</v>
      </c>
      <c r="Q259" s="2" t="str">
        <f>IF($C259="","",IFERROR(VLOOKUP($C259,sources!$A$2:$N$200,2,FALSE()),"?"))</f>
        <v>Map</v>
      </c>
      <c r="R259" s="2" t="str">
        <f t="shared" si="4"/>
        <v>Map</v>
      </c>
      <c r="S259" s="2" t="str">
        <f>IF($C259="","",IFERROR(VLOOKUP($C259,sources!$A$2:$N$200,9,FALSE()),"?"))</f>
        <v>US official</v>
      </c>
      <c r="T259" t="s">
        <v>5692</v>
      </c>
      <c r="U259">
        <f>IF(OR(B259="",C259="",T259="Retracted",LEFT(D259,8)="Negative"),0,IF(COUNTIFS($B$2:B259,B259,$C$2:C259,C259,$D$2:D259,"&lt;&gt;Negative*",$T$2:T259,"&lt;&gt;Retracted")=1,1,0))</f>
        <v>1</v>
      </c>
    </row>
    <row r="260" spans="1:21" x14ac:dyDescent="0.2">
      <c r="A260" t="s">
        <v>1930</v>
      </c>
      <c r="B260" t="s">
        <v>265</v>
      </c>
      <c r="C260" t="s">
        <v>1250</v>
      </c>
      <c r="D260" t="s">
        <v>1575</v>
      </c>
      <c r="E260" t="s">
        <v>1919</v>
      </c>
      <c r="F260" t="s">
        <v>1583</v>
      </c>
      <c r="I260" t="s">
        <v>1058</v>
      </c>
      <c r="M260" t="s">
        <v>209</v>
      </c>
      <c r="N260" t="s">
        <v>203</v>
      </c>
      <c r="Q260" s="2" t="str">
        <f>IF($C260="","",IFERROR(VLOOKUP($C260,sources!$A$2:$N$200,2,FALSE()),"?"))</f>
        <v>Map</v>
      </c>
      <c r="R260" s="2" t="str">
        <f t="shared" si="4"/>
        <v>Map</v>
      </c>
      <c r="S260" s="2" t="str">
        <f>IF($C260="","",IFERROR(VLOOKUP($C260,sources!$A$2:$N$200,9,FALSE()),"?"))</f>
        <v>US official</v>
      </c>
      <c r="T260" t="s">
        <v>5692</v>
      </c>
      <c r="U260">
        <f>IF(OR(B260="",C260="",T260="Retracted",LEFT(D260,8)="Negative"),0,IF(COUNTIFS($B$2:B260,B260,$C$2:C260,C260,$D$2:D260,"&lt;&gt;Negative*",$T$2:T260,"&lt;&gt;Retracted")=1,1,0))</f>
        <v>1</v>
      </c>
    </row>
    <row r="261" spans="1:21" x14ac:dyDescent="0.2">
      <c r="A261" t="s">
        <v>1931</v>
      </c>
      <c r="B261" t="s">
        <v>330</v>
      </c>
      <c r="C261" t="s">
        <v>1250</v>
      </c>
      <c r="D261" t="s">
        <v>1575</v>
      </c>
      <c r="E261" t="s">
        <v>1919</v>
      </c>
      <c r="F261" t="s">
        <v>1583</v>
      </c>
      <c r="I261" t="s">
        <v>1058</v>
      </c>
      <c r="M261" t="s">
        <v>209</v>
      </c>
      <c r="N261" t="s">
        <v>203</v>
      </c>
      <c r="Q261" s="2" t="str">
        <f>IF($C261="","",IFERROR(VLOOKUP($C261,sources!$A$2:$N$200,2,FALSE()),"?"))</f>
        <v>Map</v>
      </c>
      <c r="R261" s="2" t="str">
        <f t="shared" si="4"/>
        <v>Map</v>
      </c>
      <c r="S261" s="2" t="str">
        <f>IF($C261="","",IFERROR(VLOOKUP($C261,sources!$A$2:$N$200,9,FALSE()),"?"))</f>
        <v>US official</v>
      </c>
      <c r="T261" t="s">
        <v>5692</v>
      </c>
      <c r="U261">
        <f>IF(OR(B261="",C261="",T261="Retracted",LEFT(D261,8)="Negative"),0,IF(COUNTIFS($B$2:B261,B261,$C$2:C261,C261,$D$2:D261,"&lt;&gt;Negative*",$T$2:T261,"&lt;&gt;Retracted")=1,1,0))</f>
        <v>1</v>
      </c>
    </row>
    <row r="262" spans="1:21" x14ac:dyDescent="0.2">
      <c r="A262" t="s">
        <v>1932</v>
      </c>
      <c r="B262" t="s">
        <v>335</v>
      </c>
      <c r="C262" t="s">
        <v>1250</v>
      </c>
      <c r="D262" t="s">
        <v>1575</v>
      </c>
      <c r="E262" t="s">
        <v>1919</v>
      </c>
      <c r="F262" t="s">
        <v>1583</v>
      </c>
      <c r="I262" t="s">
        <v>1058</v>
      </c>
      <c r="M262" t="s">
        <v>209</v>
      </c>
      <c r="N262" t="s">
        <v>203</v>
      </c>
      <c r="Q262" s="2" t="str">
        <f>IF($C262="","",IFERROR(VLOOKUP($C262,sources!$A$2:$N$200,2,FALSE()),"?"))</f>
        <v>Map</v>
      </c>
      <c r="R262" s="2" t="str">
        <f t="shared" si="4"/>
        <v>Map</v>
      </c>
      <c r="S262" s="2" t="str">
        <f>IF($C262="","",IFERROR(VLOOKUP($C262,sources!$A$2:$N$200,9,FALSE()),"?"))</f>
        <v>US official</v>
      </c>
      <c r="T262" t="s">
        <v>5692</v>
      </c>
      <c r="U262">
        <f>IF(OR(B262="",C262="",T262="Retracted",LEFT(D262,8)="Negative"),0,IF(COUNTIFS($B$2:B262,B262,$C$2:C262,C262,$D$2:D262,"&lt;&gt;Negative*",$T$2:T262,"&lt;&gt;Retracted")=1,1,0))</f>
        <v>1</v>
      </c>
    </row>
    <row r="263" spans="1:21" x14ac:dyDescent="0.2">
      <c r="A263" t="s">
        <v>1933</v>
      </c>
      <c r="B263" t="s">
        <v>340</v>
      </c>
      <c r="C263" t="s">
        <v>1250</v>
      </c>
      <c r="D263" t="s">
        <v>1575</v>
      </c>
      <c r="E263" t="s">
        <v>1919</v>
      </c>
      <c r="F263" t="s">
        <v>1583</v>
      </c>
      <c r="I263" t="s">
        <v>1058</v>
      </c>
      <c r="M263" t="s">
        <v>209</v>
      </c>
      <c r="N263" t="s">
        <v>203</v>
      </c>
      <c r="Q263" s="2" t="str">
        <f>IF($C263="","",IFERROR(VLOOKUP($C263,sources!$A$2:$N$200,2,FALSE()),"?"))</f>
        <v>Map</v>
      </c>
      <c r="R263" s="2" t="str">
        <f t="shared" si="4"/>
        <v>Map</v>
      </c>
      <c r="S263" s="2" t="str">
        <f>IF($C263="","",IFERROR(VLOOKUP($C263,sources!$A$2:$N$200,9,FALSE()),"?"))</f>
        <v>US official</v>
      </c>
      <c r="T263" t="s">
        <v>5692</v>
      </c>
      <c r="U263">
        <f>IF(OR(B263="",C263="",T263="Retracted",LEFT(D263,8)="Negative"),0,IF(COUNTIFS($B$2:B263,B263,$C$2:C263,C263,$D$2:D263,"&lt;&gt;Negative*",$T$2:T263,"&lt;&gt;Retracted")=1,1,0))</f>
        <v>1</v>
      </c>
    </row>
    <row r="264" spans="1:21" x14ac:dyDescent="0.2">
      <c r="A264" t="s">
        <v>1934</v>
      </c>
      <c r="B264" t="s">
        <v>344</v>
      </c>
      <c r="C264" t="s">
        <v>1250</v>
      </c>
      <c r="D264" t="s">
        <v>1575</v>
      </c>
      <c r="E264" t="s">
        <v>1919</v>
      </c>
      <c r="F264" t="s">
        <v>1583</v>
      </c>
      <c r="I264" t="s">
        <v>1058</v>
      </c>
      <c r="M264" t="s">
        <v>209</v>
      </c>
      <c r="N264" t="s">
        <v>203</v>
      </c>
      <c r="Q264" s="2" t="str">
        <f>IF($C264="","",IFERROR(VLOOKUP($C264,sources!$A$2:$N$200,2,FALSE()),"?"))</f>
        <v>Map</v>
      </c>
      <c r="R264" s="2" t="str">
        <f t="shared" si="4"/>
        <v>Map</v>
      </c>
      <c r="S264" s="2" t="str">
        <f>IF($C264="","",IFERROR(VLOOKUP($C264,sources!$A$2:$N$200,9,FALSE()),"?"))</f>
        <v>US official</v>
      </c>
      <c r="T264" t="s">
        <v>5692</v>
      </c>
      <c r="U264">
        <f>IF(OR(B264="",C264="",T264="Retracted",LEFT(D264,8)="Negative"),0,IF(COUNTIFS($B$2:B264,B264,$C$2:C264,C264,$D$2:D264,"&lt;&gt;Negative*",$T$2:T264,"&lt;&gt;Retracted")=1,1,0))</f>
        <v>1</v>
      </c>
    </row>
    <row r="265" spans="1:21" x14ac:dyDescent="0.2">
      <c r="A265" t="s">
        <v>1935</v>
      </c>
      <c r="B265" t="s">
        <v>348</v>
      </c>
      <c r="C265" t="s">
        <v>1250</v>
      </c>
      <c r="D265" t="s">
        <v>1575</v>
      </c>
      <c r="E265" t="s">
        <v>1919</v>
      </c>
      <c r="F265" t="s">
        <v>1583</v>
      </c>
      <c r="I265" t="s">
        <v>1058</v>
      </c>
      <c r="M265" t="s">
        <v>209</v>
      </c>
      <c r="N265" t="s">
        <v>203</v>
      </c>
      <c r="Q265" s="2" t="str">
        <f>IF($C265="","",IFERROR(VLOOKUP($C265,sources!$A$2:$N$200,2,FALSE()),"?"))</f>
        <v>Map</v>
      </c>
      <c r="R265" s="2" t="str">
        <f t="shared" si="4"/>
        <v>Map</v>
      </c>
      <c r="S265" s="2" t="str">
        <f>IF($C265="","",IFERROR(VLOOKUP($C265,sources!$A$2:$N$200,9,FALSE()),"?"))</f>
        <v>US official</v>
      </c>
      <c r="T265" t="s">
        <v>5692</v>
      </c>
      <c r="U265">
        <f>IF(OR(B265="",C265="",T265="Retracted",LEFT(D265,8)="Negative"),0,IF(COUNTIFS($B$2:B265,B265,$C$2:C265,C265,$D$2:D265,"&lt;&gt;Negative*",$T$2:T265,"&lt;&gt;Retracted")=1,1,0))</f>
        <v>1</v>
      </c>
    </row>
    <row r="266" spans="1:21" x14ac:dyDescent="0.2">
      <c r="A266" t="s">
        <v>1936</v>
      </c>
      <c r="B266" t="s">
        <v>351</v>
      </c>
      <c r="C266" t="s">
        <v>1250</v>
      </c>
      <c r="D266" t="s">
        <v>1575</v>
      </c>
      <c r="E266" t="s">
        <v>1919</v>
      </c>
      <c r="F266" t="s">
        <v>1583</v>
      </c>
      <c r="I266" t="s">
        <v>1058</v>
      </c>
      <c r="M266" t="s">
        <v>209</v>
      </c>
      <c r="N266" t="s">
        <v>203</v>
      </c>
      <c r="Q266" s="2" t="str">
        <f>IF($C266="","",IFERROR(VLOOKUP($C266,sources!$A$2:$N$200,2,FALSE()),"?"))</f>
        <v>Map</v>
      </c>
      <c r="R266" s="2" t="str">
        <f t="shared" si="4"/>
        <v>Map</v>
      </c>
      <c r="S266" s="2" t="str">
        <f>IF($C266="","",IFERROR(VLOOKUP($C266,sources!$A$2:$N$200,9,FALSE()),"?"))</f>
        <v>US official</v>
      </c>
      <c r="T266" t="s">
        <v>5692</v>
      </c>
      <c r="U266">
        <f>IF(OR(B266="",C266="",T266="Retracted",LEFT(D266,8)="Negative"),0,IF(COUNTIFS($B$2:B266,B266,$C$2:C266,C266,$D$2:D266,"&lt;&gt;Negative*",$T$2:T266,"&lt;&gt;Retracted")=1,1,0))</f>
        <v>1</v>
      </c>
    </row>
    <row r="267" spans="1:21" x14ac:dyDescent="0.2">
      <c r="A267" t="s">
        <v>1937</v>
      </c>
      <c r="B267" t="s">
        <v>354</v>
      </c>
      <c r="C267" t="s">
        <v>1250</v>
      </c>
      <c r="D267" t="s">
        <v>1575</v>
      </c>
      <c r="E267" t="s">
        <v>1919</v>
      </c>
      <c r="F267" t="s">
        <v>1583</v>
      </c>
      <c r="I267" t="s">
        <v>1058</v>
      </c>
      <c r="M267" t="s">
        <v>209</v>
      </c>
      <c r="N267" t="s">
        <v>203</v>
      </c>
      <c r="Q267" s="2" t="str">
        <f>IF($C267="","",IFERROR(VLOOKUP($C267,sources!$A$2:$N$200,2,FALSE()),"?"))</f>
        <v>Map</v>
      </c>
      <c r="R267" s="2" t="str">
        <f t="shared" si="4"/>
        <v>Map</v>
      </c>
      <c r="S267" s="2" t="str">
        <f>IF($C267="","",IFERROR(VLOOKUP($C267,sources!$A$2:$N$200,9,FALSE()),"?"))</f>
        <v>US official</v>
      </c>
      <c r="T267" t="s">
        <v>5692</v>
      </c>
      <c r="U267">
        <f>IF(OR(B267="",C267="",T267="Retracted",LEFT(D267,8)="Negative"),0,IF(COUNTIFS($B$2:B267,B267,$C$2:C267,C267,$D$2:D267,"&lt;&gt;Negative*",$T$2:T267,"&lt;&gt;Retracted")=1,1,0))</f>
        <v>1</v>
      </c>
    </row>
    <row r="268" spans="1:21" x14ac:dyDescent="0.2">
      <c r="A268" t="s">
        <v>1938</v>
      </c>
      <c r="B268" t="s">
        <v>357</v>
      </c>
      <c r="C268" t="s">
        <v>1250</v>
      </c>
      <c r="D268" t="s">
        <v>1575</v>
      </c>
      <c r="E268" t="s">
        <v>1919</v>
      </c>
      <c r="F268" t="s">
        <v>1583</v>
      </c>
      <c r="I268" t="s">
        <v>1058</v>
      </c>
      <c r="M268" t="s">
        <v>209</v>
      </c>
      <c r="N268" t="s">
        <v>203</v>
      </c>
      <c r="Q268" s="2" t="str">
        <f>IF($C268="","",IFERROR(VLOOKUP($C268,sources!$A$2:$N$200,2,FALSE()),"?"))</f>
        <v>Map</v>
      </c>
      <c r="R268" s="2" t="str">
        <f t="shared" si="4"/>
        <v>Map</v>
      </c>
      <c r="S268" s="2" t="str">
        <f>IF($C268="","",IFERROR(VLOOKUP($C268,sources!$A$2:$N$200,9,FALSE()),"?"))</f>
        <v>US official</v>
      </c>
      <c r="T268" t="s">
        <v>5692</v>
      </c>
      <c r="U268">
        <f>IF(OR(B268="",C268="",T268="Retracted",LEFT(D268,8)="Negative"),0,IF(COUNTIFS($B$2:B268,B268,$C$2:C268,C268,$D$2:D268,"&lt;&gt;Negative*",$T$2:T268,"&lt;&gt;Retracted")=1,1,0))</f>
        <v>1</v>
      </c>
    </row>
    <row r="269" spans="1:21" x14ac:dyDescent="0.2">
      <c r="A269" t="s">
        <v>1939</v>
      </c>
      <c r="B269" t="s">
        <v>360</v>
      </c>
      <c r="C269" t="s">
        <v>1250</v>
      </c>
      <c r="D269" t="s">
        <v>1575</v>
      </c>
      <c r="E269" t="s">
        <v>1919</v>
      </c>
      <c r="F269" t="s">
        <v>1583</v>
      </c>
      <c r="I269" t="s">
        <v>1058</v>
      </c>
      <c r="M269" t="s">
        <v>209</v>
      </c>
      <c r="N269" t="s">
        <v>203</v>
      </c>
      <c r="Q269" s="2" t="str">
        <f>IF($C269="","",IFERROR(VLOOKUP($C269,sources!$A$2:$N$200,2,FALSE()),"?"))</f>
        <v>Map</v>
      </c>
      <c r="R269" s="2" t="str">
        <f t="shared" si="4"/>
        <v>Map</v>
      </c>
      <c r="S269" s="2" t="str">
        <f>IF($C269="","",IFERROR(VLOOKUP($C269,sources!$A$2:$N$200,9,FALSE()),"?"))</f>
        <v>US official</v>
      </c>
      <c r="T269" t="s">
        <v>5692</v>
      </c>
      <c r="U269">
        <f>IF(OR(B269="",C269="",T269="Retracted",LEFT(D269,8)="Negative"),0,IF(COUNTIFS($B$2:B269,B269,$C$2:C269,C269,$D$2:D269,"&lt;&gt;Negative*",$T$2:T269,"&lt;&gt;Retracted")=1,1,0))</f>
        <v>1</v>
      </c>
    </row>
    <row r="270" spans="1:21" x14ac:dyDescent="0.2">
      <c r="A270" t="s">
        <v>1940</v>
      </c>
      <c r="B270" t="s">
        <v>363</v>
      </c>
      <c r="C270" t="s">
        <v>1250</v>
      </c>
      <c r="D270" t="s">
        <v>1575</v>
      </c>
      <c r="E270" t="s">
        <v>1919</v>
      </c>
      <c r="F270" t="s">
        <v>1583</v>
      </c>
      <c r="I270" t="s">
        <v>1058</v>
      </c>
      <c r="M270" t="s">
        <v>209</v>
      </c>
      <c r="N270" t="s">
        <v>203</v>
      </c>
      <c r="Q270" s="2" t="str">
        <f>IF($C270="","",IFERROR(VLOOKUP($C270,sources!$A$2:$N$200,2,FALSE()),"?"))</f>
        <v>Map</v>
      </c>
      <c r="R270" s="2" t="str">
        <f t="shared" si="4"/>
        <v>Map</v>
      </c>
      <c r="S270" s="2" t="str">
        <f>IF($C270="","",IFERROR(VLOOKUP($C270,sources!$A$2:$N$200,9,FALSE()),"?"))</f>
        <v>US official</v>
      </c>
      <c r="T270" t="s">
        <v>5692</v>
      </c>
      <c r="U270">
        <f>IF(OR(B270="",C270="",T270="Retracted",LEFT(D270,8)="Negative"),0,IF(COUNTIFS($B$2:B270,B270,$C$2:C270,C270,$D$2:D270,"&lt;&gt;Negative*",$T$2:T270,"&lt;&gt;Retracted")=1,1,0))</f>
        <v>1</v>
      </c>
    </row>
    <row r="271" spans="1:21" x14ac:dyDescent="0.2">
      <c r="A271" t="s">
        <v>1941</v>
      </c>
      <c r="B271" t="s">
        <v>369</v>
      </c>
      <c r="C271" t="s">
        <v>1250</v>
      </c>
      <c r="D271" t="s">
        <v>1575</v>
      </c>
      <c r="E271" t="s">
        <v>1919</v>
      </c>
      <c r="F271" t="s">
        <v>1583</v>
      </c>
      <c r="I271" t="s">
        <v>1058</v>
      </c>
      <c r="M271" t="s">
        <v>209</v>
      </c>
      <c r="N271" t="s">
        <v>203</v>
      </c>
      <c r="Q271" s="2" t="str">
        <f>IF($C271="","",IFERROR(VLOOKUP($C271,sources!$A$2:$N$200,2,FALSE()),"?"))</f>
        <v>Map</v>
      </c>
      <c r="R271" s="2" t="str">
        <f t="shared" si="4"/>
        <v>Map</v>
      </c>
      <c r="S271" s="2" t="str">
        <f>IF($C271="","",IFERROR(VLOOKUP($C271,sources!$A$2:$N$200,9,FALSE()),"?"))</f>
        <v>US official</v>
      </c>
      <c r="T271" t="s">
        <v>5692</v>
      </c>
      <c r="U271">
        <f>IF(OR(B271="",C271="",T271="Retracted",LEFT(D271,8)="Negative"),0,IF(COUNTIFS($B$2:B271,B271,$C$2:C271,C271,$D$2:D271,"&lt;&gt;Negative*",$T$2:T271,"&lt;&gt;Retracted")=1,1,0))</f>
        <v>1</v>
      </c>
    </row>
    <row r="272" spans="1:21" x14ac:dyDescent="0.2">
      <c r="A272" t="s">
        <v>1942</v>
      </c>
      <c r="B272" t="s">
        <v>374</v>
      </c>
      <c r="C272" t="s">
        <v>1250</v>
      </c>
      <c r="D272" t="s">
        <v>1575</v>
      </c>
      <c r="E272" t="s">
        <v>1919</v>
      </c>
      <c r="F272" t="s">
        <v>1583</v>
      </c>
      <c r="I272" t="s">
        <v>1058</v>
      </c>
      <c r="M272" t="s">
        <v>209</v>
      </c>
      <c r="N272" t="s">
        <v>203</v>
      </c>
      <c r="Q272" s="2" t="str">
        <f>IF($C272="","",IFERROR(VLOOKUP($C272,sources!$A$2:$N$200,2,FALSE()),"?"))</f>
        <v>Map</v>
      </c>
      <c r="R272" s="2" t="str">
        <f t="shared" si="4"/>
        <v>Map</v>
      </c>
      <c r="S272" s="2" t="str">
        <f>IF($C272="","",IFERROR(VLOOKUP($C272,sources!$A$2:$N$200,9,FALSE()),"?"))</f>
        <v>US official</v>
      </c>
      <c r="T272" t="s">
        <v>5692</v>
      </c>
      <c r="U272">
        <f>IF(OR(B272="",C272="",T272="Retracted",LEFT(D272,8)="Negative"),0,IF(COUNTIFS($B$2:B272,B272,$C$2:C272,C272,$D$2:D272,"&lt;&gt;Negative*",$T$2:T272,"&lt;&gt;Retracted")=1,1,0))</f>
        <v>1</v>
      </c>
    </row>
    <row r="273" spans="1:21" x14ac:dyDescent="0.2">
      <c r="A273" t="s">
        <v>1943</v>
      </c>
      <c r="B273" t="s">
        <v>378</v>
      </c>
      <c r="C273" t="s">
        <v>1250</v>
      </c>
      <c r="D273" t="s">
        <v>1575</v>
      </c>
      <c r="E273" t="s">
        <v>1919</v>
      </c>
      <c r="F273" t="s">
        <v>1583</v>
      </c>
      <c r="I273" t="s">
        <v>1058</v>
      </c>
      <c r="M273" t="s">
        <v>209</v>
      </c>
      <c r="N273" t="s">
        <v>203</v>
      </c>
      <c r="Q273" s="2" t="str">
        <f>IF($C273="","",IFERROR(VLOOKUP($C273,sources!$A$2:$N$200,2,FALSE()),"?"))</f>
        <v>Map</v>
      </c>
      <c r="R273" s="2" t="str">
        <f t="shared" si="4"/>
        <v>Map</v>
      </c>
      <c r="S273" s="2" t="str">
        <f>IF($C273="","",IFERROR(VLOOKUP($C273,sources!$A$2:$N$200,9,FALSE()),"?"))</f>
        <v>US official</v>
      </c>
      <c r="T273" t="s">
        <v>5692</v>
      </c>
      <c r="U273">
        <f>IF(OR(B273="",C273="",T273="Retracted",LEFT(D273,8)="Negative"),0,IF(COUNTIFS($B$2:B273,B273,$C$2:C273,C273,$D$2:D273,"&lt;&gt;Negative*",$T$2:T273,"&lt;&gt;Retracted")=1,1,0))</f>
        <v>1</v>
      </c>
    </row>
    <row r="274" spans="1:21" x14ac:dyDescent="0.2">
      <c r="A274" t="s">
        <v>1944</v>
      </c>
      <c r="B274" t="s">
        <v>383</v>
      </c>
      <c r="C274" t="s">
        <v>1250</v>
      </c>
      <c r="D274" t="s">
        <v>1575</v>
      </c>
      <c r="E274" t="s">
        <v>1919</v>
      </c>
      <c r="F274" t="s">
        <v>1583</v>
      </c>
      <c r="I274" t="s">
        <v>1058</v>
      </c>
      <c r="M274" t="s">
        <v>209</v>
      </c>
      <c r="N274" t="s">
        <v>203</v>
      </c>
      <c r="Q274" s="2" t="str">
        <f>IF($C274="","",IFERROR(VLOOKUP($C274,sources!$A$2:$N$200,2,FALSE()),"?"))</f>
        <v>Map</v>
      </c>
      <c r="R274" s="2" t="str">
        <f t="shared" si="4"/>
        <v>Map</v>
      </c>
      <c r="S274" s="2" t="str">
        <f>IF($C274="","",IFERROR(VLOOKUP($C274,sources!$A$2:$N$200,9,FALSE()),"?"))</f>
        <v>US official</v>
      </c>
      <c r="T274" t="s">
        <v>5692</v>
      </c>
      <c r="U274">
        <f>IF(OR(B274="",C274="",T274="Retracted",LEFT(D274,8)="Negative"),0,IF(COUNTIFS($B$2:B274,B274,$C$2:C274,C274,$D$2:D274,"&lt;&gt;Negative*",$T$2:T274,"&lt;&gt;Retracted")=1,1,0))</f>
        <v>1</v>
      </c>
    </row>
    <row r="275" spans="1:21" x14ac:dyDescent="0.2">
      <c r="A275" t="s">
        <v>1945</v>
      </c>
      <c r="B275" t="s">
        <v>386</v>
      </c>
      <c r="C275" t="s">
        <v>1250</v>
      </c>
      <c r="D275" t="s">
        <v>1575</v>
      </c>
      <c r="E275" t="s">
        <v>1919</v>
      </c>
      <c r="F275" t="s">
        <v>1583</v>
      </c>
      <c r="I275" t="s">
        <v>1058</v>
      </c>
      <c r="M275" t="s">
        <v>209</v>
      </c>
      <c r="N275" t="s">
        <v>203</v>
      </c>
      <c r="Q275" s="2" t="str">
        <f>IF($C275="","",IFERROR(VLOOKUP($C275,sources!$A$2:$N$200,2,FALSE()),"?"))</f>
        <v>Map</v>
      </c>
      <c r="R275" s="2" t="str">
        <f t="shared" si="4"/>
        <v>Map</v>
      </c>
      <c r="S275" s="2" t="str">
        <f>IF($C275="","",IFERROR(VLOOKUP($C275,sources!$A$2:$N$200,9,FALSE()),"?"))</f>
        <v>US official</v>
      </c>
      <c r="T275" t="s">
        <v>5692</v>
      </c>
      <c r="U275">
        <f>IF(OR(B275="",C275="",T275="Retracted",LEFT(D275,8)="Negative"),0,IF(COUNTIFS($B$2:B275,B275,$C$2:C275,C275,$D$2:D275,"&lt;&gt;Negative*",$T$2:T275,"&lt;&gt;Retracted")=1,1,0))</f>
        <v>1</v>
      </c>
    </row>
    <row r="276" spans="1:21" x14ac:dyDescent="0.2">
      <c r="A276" t="s">
        <v>1946</v>
      </c>
      <c r="B276" t="s">
        <v>389</v>
      </c>
      <c r="C276" t="s">
        <v>1250</v>
      </c>
      <c r="D276" t="s">
        <v>1575</v>
      </c>
      <c r="E276" t="s">
        <v>1919</v>
      </c>
      <c r="F276" t="s">
        <v>1583</v>
      </c>
      <c r="I276" t="s">
        <v>1058</v>
      </c>
      <c r="M276" t="s">
        <v>209</v>
      </c>
      <c r="N276" t="s">
        <v>203</v>
      </c>
      <c r="Q276" s="2" t="str">
        <f>IF($C276="","",IFERROR(VLOOKUP($C276,sources!$A$2:$N$200,2,FALSE()),"?"))</f>
        <v>Map</v>
      </c>
      <c r="R276" s="2" t="str">
        <f t="shared" si="4"/>
        <v>Map</v>
      </c>
      <c r="S276" s="2" t="str">
        <f>IF($C276="","",IFERROR(VLOOKUP($C276,sources!$A$2:$N$200,9,FALSE()),"?"))</f>
        <v>US official</v>
      </c>
      <c r="T276" t="s">
        <v>5692</v>
      </c>
      <c r="U276">
        <f>IF(OR(B276="",C276="",T276="Retracted",LEFT(D276,8)="Negative"),0,IF(COUNTIFS($B$2:B276,B276,$C$2:C276,C276,$D$2:D276,"&lt;&gt;Negative*",$T$2:T276,"&lt;&gt;Retracted")=1,1,0))</f>
        <v>1</v>
      </c>
    </row>
    <row r="277" spans="1:21" x14ac:dyDescent="0.2">
      <c r="A277" t="s">
        <v>1947</v>
      </c>
      <c r="B277" t="s">
        <v>395</v>
      </c>
      <c r="C277" t="s">
        <v>1250</v>
      </c>
      <c r="D277" t="s">
        <v>1575</v>
      </c>
      <c r="E277" t="s">
        <v>1919</v>
      </c>
      <c r="F277" t="s">
        <v>1583</v>
      </c>
      <c r="I277" t="s">
        <v>1058</v>
      </c>
      <c r="M277" t="s">
        <v>209</v>
      </c>
      <c r="N277" t="s">
        <v>203</v>
      </c>
      <c r="Q277" s="2" t="str">
        <f>IF($C277="","",IFERROR(VLOOKUP($C277,sources!$A$2:$N$200,2,FALSE()),"?"))</f>
        <v>Map</v>
      </c>
      <c r="R277" s="2" t="str">
        <f t="shared" si="4"/>
        <v>Map</v>
      </c>
      <c r="S277" s="2" t="str">
        <f>IF($C277="","",IFERROR(VLOOKUP($C277,sources!$A$2:$N$200,9,FALSE()),"?"))</f>
        <v>US official</v>
      </c>
      <c r="T277" t="s">
        <v>5692</v>
      </c>
      <c r="U277">
        <f>IF(OR(B277="",C277="",T277="Retracted",LEFT(D277,8)="Negative"),0,IF(COUNTIFS($B$2:B277,B277,$C$2:C277,C277,$D$2:D277,"&lt;&gt;Negative*",$T$2:T277,"&lt;&gt;Retracted")=1,1,0))</f>
        <v>1</v>
      </c>
    </row>
    <row r="278" spans="1:21" x14ac:dyDescent="0.2">
      <c r="A278" t="s">
        <v>1948</v>
      </c>
      <c r="B278" t="s">
        <v>407</v>
      </c>
      <c r="C278" t="s">
        <v>1250</v>
      </c>
      <c r="D278" t="s">
        <v>1575</v>
      </c>
      <c r="E278" t="s">
        <v>1919</v>
      </c>
      <c r="F278" t="s">
        <v>1583</v>
      </c>
      <c r="I278" t="s">
        <v>1058</v>
      </c>
      <c r="M278" t="s">
        <v>209</v>
      </c>
      <c r="N278" t="s">
        <v>203</v>
      </c>
      <c r="Q278" s="2" t="str">
        <f>IF($C278="","",IFERROR(VLOOKUP($C278,sources!$A$2:$N$200,2,FALSE()),"?"))</f>
        <v>Map</v>
      </c>
      <c r="R278" s="2" t="str">
        <f t="shared" si="4"/>
        <v>Map</v>
      </c>
      <c r="S278" s="2" t="str">
        <f>IF($C278="","",IFERROR(VLOOKUP($C278,sources!$A$2:$N$200,9,FALSE()),"?"))</f>
        <v>US official</v>
      </c>
      <c r="T278" t="s">
        <v>5692</v>
      </c>
      <c r="U278">
        <f>IF(OR(B278="",C278="",T278="Retracted",LEFT(D278,8)="Negative"),0,IF(COUNTIFS($B$2:B278,B278,$C$2:C278,C278,$D$2:D278,"&lt;&gt;Negative*",$T$2:T278,"&lt;&gt;Retracted")=1,1,0))</f>
        <v>1</v>
      </c>
    </row>
    <row r="279" spans="1:21" x14ac:dyDescent="0.2">
      <c r="A279" t="s">
        <v>1949</v>
      </c>
      <c r="B279" t="s">
        <v>415</v>
      </c>
      <c r="C279" t="s">
        <v>1250</v>
      </c>
      <c r="D279" t="s">
        <v>1575</v>
      </c>
      <c r="E279" t="s">
        <v>1919</v>
      </c>
      <c r="F279" t="s">
        <v>1583</v>
      </c>
      <c r="I279" t="s">
        <v>1058</v>
      </c>
      <c r="M279" t="s">
        <v>209</v>
      </c>
      <c r="N279" t="s">
        <v>203</v>
      </c>
      <c r="Q279" s="2" t="str">
        <f>IF($C279="","",IFERROR(VLOOKUP($C279,sources!$A$2:$N$200,2,FALSE()),"?"))</f>
        <v>Map</v>
      </c>
      <c r="R279" s="2" t="str">
        <f t="shared" si="4"/>
        <v>Map</v>
      </c>
      <c r="S279" s="2" t="str">
        <f>IF($C279="","",IFERROR(VLOOKUP($C279,sources!$A$2:$N$200,9,FALSE()),"?"))</f>
        <v>US official</v>
      </c>
      <c r="T279" t="s">
        <v>5692</v>
      </c>
      <c r="U279">
        <f>IF(OR(B279="",C279="",T279="Retracted",LEFT(D279,8)="Negative"),0,IF(COUNTIFS($B$2:B279,B279,$C$2:C279,C279,$D$2:D279,"&lt;&gt;Negative*",$T$2:T279,"&lt;&gt;Retracted")=1,1,0))</f>
        <v>1</v>
      </c>
    </row>
    <row r="280" spans="1:21" x14ac:dyDescent="0.2">
      <c r="A280" t="s">
        <v>1950</v>
      </c>
      <c r="B280" t="s">
        <v>420</v>
      </c>
      <c r="C280" t="s">
        <v>1250</v>
      </c>
      <c r="D280" t="s">
        <v>1575</v>
      </c>
      <c r="E280" t="s">
        <v>1919</v>
      </c>
      <c r="F280" t="s">
        <v>1583</v>
      </c>
      <c r="I280" t="s">
        <v>1058</v>
      </c>
      <c r="M280" t="s">
        <v>209</v>
      </c>
      <c r="N280" t="s">
        <v>203</v>
      </c>
      <c r="Q280" s="2" t="str">
        <f>IF($C280="","",IFERROR(VLOOKUP($C280,sources!$A$2:$N$200,2,FALSE()),"?"))</f>
        <v>Map</v>
      </c>
      <c r="R280" s="2" t="str">
        <f t="shared" si="4"/>
        <v>Map</v>
      </c>
      <c r="S280" s="2" t="str">
        <f>IF($C280="","",IFERROR(VLOOKUP($C280,sources!$A$2:$N$200,9,FALSE()),"?"))</f>
        <v>US official</v>
      </c>
      <c r="T280" t="s">
        <v>5692</v>
      </c>
      <c r="U280">
        <f>IF(OR(B280="",C280="",T280="Retracted",LEFT(D280,8)="Negative"),0,IF(COUNTIFS($B$2:B280,B280,$C$2:C280,C280,$D$2:D280,"&lt;&gt;Negative*",$T$2:T280,"&lt;&gt;Retracted")=1,1,0))</f>
        <v>1</v>
      </c>
    </row>
    <row r="281" spans="1:21" x14ac:dyDescent="0.2">
      <c r="A281" t="s">
        <v>1951</v>
      </c>
      <c r="B281" t="s">
        <v>429</v>
      </c>
      <c r="C281" t="s">
        <v>1250</v>
      </c>
      <c r="D281" t="s">
        <v>1575</v>
      </c>
      <c r="E281" t="s">
        <v>1919</v>
      </c>
      <c r="F281" t="s">
        <v>1583</v>
      </c>
      <c r="I281" t="s">
        <v>1058</v>
      </c>
      <c r="M281" t="s">
        <v>209</v>
      </c>
      <c r="N281" t="s">
        <v>203</v>
      </c>
      <c r="Q281" s="2" t="str">
        <f>IF($C281="","",IFERROR(VLOOKUP($C281,sources!$A$2:$N$200,2,FALSE()),"?"))</f>
        <v>Map</v>
      </c>
      <c r="R281" s="2" t="str">
        <f t="shared" si="4"/>
        <v>Map</v>
      </c>
      <c r="S281" s="2" t="str">
        <f>IF($C281="","",IFERROR(VLOOKUP($C281,sources!$A$2:$N$200,9,FALSE()),"?"))</f>
        <v>US official</v>
      </c>
      <c r="T281" t="s">
        <v>5692</v>
      </c>
      <c r="U281">
        <f>IF(OR(B281="",C281="",T281="Retracted",LEFT(D281,8)="Negative"),0,IF(COUNTIFS($B$2:B281,B281,$C$2:C281,C281,$D$2:D281,"&lt;&gt;Negative*",$T$2:T281,"&lt;&gt;Retracted")=1,1,0))</f>
        <v>1</v>
      </c>
    </row>
    <row r="282" spans="1:21" x14ac:dyDescent="0.2">
      <c r="A282" t="s">
        <v>1952</v>
      </c>
      <c r="B282" t="s">
        <v>433</v>
      </c>
      <c r="C282" t="s">
        <v>1250</v>
      </c>
      <c r="D282" t="s">
        <v>1575</v>
      </c>
      <c r="E282" t="s">
        <v>1919</v>
      </c>
      <c r="F282" t="s">
        <v>1583</v>
      </c>
      <c r="I282" t="s">
        <v>1058</v>
      </c>
      <c r="M282" t="s">
        <v>209</v>
      </c>
      <c r="N282" t="s">
        <v>203</v>
      </c>
      <c r="Q282" s="2" t="str">
        <f>IF($C282="","",IFERROR(VLOOKUP($C282,sources!$A$2:$N$200,2,FALSE()),"?"))</f>
        <v>Map</v>
      </c>
      <c r="R282" s="2" t="str">
        <f t="shared" si="4"/>
        <v>Map</v>
      </c>
      <c r="S282" s="2" t="str">
        <f>IF($C282="","",IFERROR(VLOOKUP($C282,sources!$A$2:$N$200,9,FALSE()),"?"))</f>
        <v>US official</v>
      </c>
      <c r="T282" t="s">
        <v>5692</v>
      </c>
      <c r="U282">
        <f>IF(OR(B282="",C282="",T282="Retracted",LEFT(D282,8)="Negative"),0,IF(COUNTIFS($B$2:B282,B282,$C$2:C282,C282,$D$2:D282,"&lt;&gt;Negative*",$T$2:T282,"&lt;&gt;Retracted")=1,1,0))</f>
        <v>1</v>
      </c>
    </row>
    <row r="283" spans="1:21" x14ac:dyDescent="0.2">
      <c r="A283" t="s">
        <v>1953</v>
      </c>
      <c r="B283" t="s">
        <v>436</v>
      </c>
      <c r="C283" t="s">
        <v>1250</v>
      </c>
      <c r="D283" t="s">
        <v>1575</v>
      </c>
      <c r="E283" t="s">
        <v>1919</v>
      </c>
      <c r="F283" t="s">
        <v>1583</v>
      </c>
      <c r="I283" t="s">
        <v>1058</v>
      </c>
      <c r="M283" t="s">
        <v>209</v>
      </c>
      <c r="N283" t="s">
        <v>203</v>
      </c>
      <c r="Q283" s="2" t="str">
        <f>IF($C283="","",IFERROR(VLOOKUP($C283,sources!$A$2:$N$200,2,FALSE()),"?"))</f>
        <v>Map</v>
      </c>
      <c r="R283" s="2" t="str">
        <f t="shared" si="4"/>
        <v>Map</v>
      </c>
      <c r="S283" s="2" t="str">
        <f>IF($C283="","",IFERROR(VLOOKUP($C283,sources!$A$2:$N$200,9,FALSE()),"?"))</f>
        <v>US official</v>
      </c>
      <c r="T283" t="s">
        <v>5692</v>
      </c>
      <c r="U283">
        <f>IF(OR(B283="",C283="",T283="Retracted",LEFT(D283,8)="Negative"),0,IF(COUNTIFS($B$2:B283,B283,$C$2:C283,C283,$D$2:D283,"&lt;&gt;Negative*",$T$2:T283,"&lt;&gt;Retracted")=1,1,0))</f>
        <v>1</v>
      </c>
    </row>
    <row r="284" spans="1:21" x14ac:dyDescent="0.2">
      <c r="A284" t="s">
        <v>1954</v>
      </c>
      <c r="B284" t="s">
        <v>443</v>
      </c>
      <c r="C284" t="s">
        <v>1250</v>
      </c>
      <c r="D284" t="s">
        <v>1575</v>
      </c>
      <c r="E284" t="s">
        <v>1919</v>
      </c>
      <c r="F284" t="s">
        <v>1583</v>
      </c>
      <c r="I284" t="s">
        <v>1058</v>
      </c>
      <c r="M284" t="s">
        <v>209</v>
      </c>
      <c r="N284" t="s">
        <v>203</v>
      </c>
      <c r="Q284" s="2" t="str">
        <f>IF($C284="","",IFERROR(VLOOKUP($C284,sources!$A$2:$N$200,2,FALSE()),"?"))</f>
        <v>Map</v>
      </c>
      <c r="R284" s="2" t="str">
        <f t="shared" si="4"/>
        <v>Map</v>
      </c>
      <c r="S284" s="2" t="str">
        <f>IF($C284="","",IFERROR(VLOOKUP($C284,sources!$A$2:$N$200,9,FALSE()),"?"))</f>
        <v>US official</v>
      </c>
      <c r="T284" t="s">
        <v>5692</v>
      </c>
      <c r="U284">
        <f>IF(OR(B284="",C284="",T284="Retracted",LEFT(D284,8)="Negative"),0,IF(COUNTIFS($B$2:B284,B284,$C$2:C284,C284,$D$2:D284,"&lt;&gt;Negative*",$T$2:T284,"&lt;&gt;Retracted")=1,1,0))</f>
        <v>1</v>
      </c>
    </row>
    <row r="285" spans="1:21" x14ac:dyDescent="0.2">
      <c r="A285" t="s">
        <v>1955</v>
      </c>
      <c r="B285" t="s">
        <v>465</v>
      </c>
      <c r="C285" t="s">
        <v>1250</v>
      </c>
      <c r="D285" t="s">
        <v>1575</v>
      </c>
      <c r="E285" t="s">
        <v>1919</v>
      </c>
      <c r="F285" t="s">
        <v>1583</v>
      </c>
      <c r="I285" t="s">
        <v>1058</v>
      </c>
      <c r="M285" t="s">
        <v>209</v>
      </c>
      <c r="N285" t="s">
        <v>203</v>
      </c>
      <c r="Q285" s="2" t="str">
        <f>IF($C285="","",IFERROR(VLOOKUP($C285,sources!$A$2:$N$200,2,FALSE()),"?"))</f>
        <v>Map</v>
      </c>
      <c r="R285" s="2" t="str">
        <f t="shared" si="4"/>
        <v>Map</v>
      </c>
      <c r="S285" s="2" t="str">
        <f>IF($C285="","",IFERROR(VLOOKUP($C285,sources!$A$2:$N$200,9,FALSE()),"?"))</f>
        <v>US official</v>
      </c>
      <c r="T285" t="s">
        <v>5692</v>
      </c>
      <c r="U285">
        <f>IF(OR(B285="",C285="",T285="Retracted",LEFT(D285,8)="Negative"),0,IF(COUNTIFS($B$2:B285,B285,$C$2:C285,C285,$D$2:D285,"&lt;&gt;Negative*",$T$2:T285,"&lt;&gt;Retracted")=1,1,0))</f>
        <v>1</v>
      </c>
    </row>
    <row r="286" spans="1:21" x14ac:dyDescent="0.2">
      <c r="A286" t="s">
        <v>1956</v>
      </c>
      <c r="B286" t="s">
        <v>468</v>
      </c>
      <c r="C286" t="s">
        <v>1250</v>
      </c>
      <c r="D286" t="s">
        <v>1575</v>
      </c>
      <c r="E286" t="s">
        <v>1919</v>
      </c>
      <c r="F286" t="s">
        <v>1583</v>
      </c>
      <c r="I286" t="s">
        <v>1058</v>
      </c>
      <c r="M286" t="s">
        <v>209</v>
      </c>
      <c r="N286" t="s">
        <v>203</v>
      </c>
      <c r="Q286" s="2" t="str">
        <f>IF($C286="","",IFERROR(VLOOKUP($C286,sources!$A$2:$N$200,2,FALSE()),"?"))</f>
        <v>Map</v>
      </c>
      <c r="R286" s="2" t="str">
        <f t="shared" si="4"/>
        <v>Map</v>
      </c>
      <c r="S286" s="2" t="str">
        <f>IF($C286="","",IFERROR(VLOOKUP($C286,sources!$A$2:$N$200,9,FALSE()),"?"))</f>
        <v>US official</v>
      </c>
      <c r="T286" t="s">
        <v>5692</v>
      </c>
      <c r="U286">
        <f>IF(OR(B286="",C286="",T286="Retracted",LEFT(D286,8)="Negative"),0,IF(COUNTIFS($B$2:B286,B286,$C$2:C286,C286,$D$2:D286,"&lt;&gt;Negative*",$T$2:T286,"&lt;&gt;Retracted")=1,1,0))</f>
        <v>1</v>
      </c>
    </row>
    <row r="287" spans="1:21" x14ac:dyDescent="0.2">
      <c r="A287" t="s">
        <v>1957</v>
      </c>
      <c r="B287" t="s">
        <v>480</v>
      </c>
      <c r="C287" t="s">
        <v>1250</v>
      </c>
      <c r="D287" t="s">
        <v>1575</v>
      </c>
      <c r="E287" t="s">
        <v>1919</v>
      </c>
      <c r="F287" t="s">
        <v>1583</v>
      </c>
      <c r="I287" t="s">
        <v>1058</v>
      </c>
      <c r="M287" t="s">
        <v>209</v>
      </c>
      <c r="N287" t="s">
        <v>203</v>
      </c>
      <c r="Q287" s="2" t="str">
        <f>IF($C287="","",IFERROR(VLOOKUP($C287,sources!$A$2:$N$200,2,FALSE()),"?"))</f>
        <v>Map</v>
      </c>
      <c r="R287" s="2" t="str">
        <f t="shared" si="4"/>
        <v>Map</v>
      </c>
      <c r="S287" s="2" t="str">
        <f>IF($C287="","",IFERROR(VLOOKUP($C287,sources!$A$2:$N$200,9,FALSE()),"?"))</f>
        <v>US official</v>
      </c>
      <c r="T287" t="s">
        <v>5692</v>
      </c>
      <c r="U287">
        <f>IF(OR(B287="",C287="",T287="Retracted",LEFT(D287,8)="Negative"),0,IF(COUNTIFS($B$2:B287,B287,$C$2:C287,C287,$D$2:D287,"&lt;&gt;Negative*",$T$2:T287,"&lt;&gt;Retracted")=1,1,0))</f>
        <v>1</v>
      </c>
    </row>
    <row r="288" spans="1:21" x14ac:dyDescent="0.2">
      <c r="A288" t="s">
        <v>1958</v>
      </c>
      <c r="B288" t="s">
        <v>484</v>
      </c>
      <c r="C288" t="s">
        <v>1250</v>
      </c>
      <c r="D288" t="s">
        <v>1575</v>
      </c>
      <c r="E288" t="s">
        <v>1919</v>
      </c>
      <c r="F288" t="s">
        <v>1583</v>
      </c>
      <c r="I288" t="s">
        <v>1058</v>
      </c>
      <c r="M288" t="s">
        <v>209</v>
      </c>
      <c r="N288" t="s">
        <v>203</v>
      </c>
      <c r="Q288" s="2" t="str">
        <f>IF($C288="","",IFERROR(VLOOKUP($C288,sources!$A$2:$N$200,2,FALSE()),"?"))</f>
        <v>Map</v>
      </c>
      <c r="R288" s="2" t="str">
        <f t="shared" si="4"/>
        <v>Map</v>
      </c>
      <c r="S288" s="2" t="str">
        <f>IF($C288="","",IFERROR(VLOOKUP($C288,sources!$A$2:$N$200,9,FALSE()),"?"))</f>
        <v>US official</v>
      </c>
      <c r="T288" t="s">
        <v>5692</v>
      </c>
      <c r="U288">
        <f>IF(OR(B288="",C288="",T288="Retracted",LEFT(D288,8)="Negative"),0,IF(COUNTIFS($B$2:B288,B288,$C$2:C288,C288,$D$2:D288,"&lt;&gt;Negative*",$T$2:T288,"&lt;&gt;Retracted")=1,1,0))</f>
        <v>1</v>
      </c>
    </row>
    <row r="289" spans="1:21" x14ac:dyDescent="0.2">
      <c r="A289" t="s">
        <v>1959</v>
      </c>
      <c r="B289" t="s">
        <v>490</v>
      </c>
      <c r="C289" t="s">
        <v>1250</v>
      </c>
      <c r="D289" t="s">
        <v>1575</v>
      </c>
      <c r="E289" t="s">
        <v>1919</v>
      </c>
      <c r="F289" t="s">
        <v>1583</v>
      </c>
      <c r="I289" t="s">
        <v>1058</v>
      </c>
      <c r="M289" t="s">
        <v>209</v>
      </c>
      <c r="N289" t="s">
        <v>203</v>
      </c>
      <c r="Q289" s="2" t="str">
        <f>IF($C289="","",IFERROR(VLOOKUP($C289,sources!$A$2:$N$200,2,FALSE()),"?"))</f>
        <v>Map</v>
      </c>
      <c r="R289" s="2" t="str">
        <f t="shared" si="4"/>
        <v>Map</v>
      </c>
      <c r="S289" s="2" t="str">
        <f>IF($C289="","",IFERROR(VLOOKUP($C289,sources!$A$2:$N$200,9,FALSE()),"?"))</f>
        <v>US official</v>
      </c>
      <c r="T289" t="s">
        <v>5692</v>
      </c>
      <c r="U289">
        <f>IF(OR(B289="",C289="",T289="Retracted",LEFT(D289,8)="Negative"),0,IF(COUNTIFS($B$2:B289,B289,$C$2:C289,C289,$D$2:D289,"&lt;&gt;Negative*",$T$2:T289,"&lt;&gt;Retracted")=1,1,0))</f>
        <v>1</v>
      </c>
    </row>
    <row r="290" spans="1:21" x14ac:dyDescent="0.2">
      <c r="A290" t="s">
        <v>1960</v>
      </c>
      <c r="B290" t="s">
        <v>495</v>
      </c>
      <c r="C290" t="s">
        <v>1250</v>
      </c>
      <c r="D290" t="s">
        <v>1575</v>
      </c>
      <c r="E290" t="s">
        <v>1919</v>
      </c>
      <c r="F290" t="s">
        <v>1583</v>
      </c>
      <c r="I290" t="s">
        <v>1058</v>
      </c>
      <c r="M290" t="s">
        <v>209</v>
      </c>
      <c r="N290" t="s">
        <v>203</v>
      </c>
      <c r="Q290" s="2" t="str">
        <f>IF($C290="","",IFERROR(VLOOKUP($C290,sources!$A$2:$N$200,2,FALSE()),"?"))</f>
        <v>Map</v>
      </c>
      <c r="R290" s="2" t="str">
        <f t="shared" si="4"/>
        <v>Map</v>
      </c>
      <c r="S290" s="2" t="str">
        <f>IF($C290="","",IFERROR(VLOOKUP($C290,sources!$A$2:$N$200,9,FALSE()),"?"))</f>
        <v>US official</v>
      </c>
      <c r="T290" t="s">
        <v>5692</v>
      </c>
      <c r="U290">
        <f>IF(OR(B290="",C290="",T290="Retracted",LEFT(D290,8)="Negative"),0,IF(COUNTIFS($B$2:B290,B290,$C$2:C290,C290,$D$2:D290,"&lt;&gt;Negative*",$T$2:T290,"&lt;&gt;Retracted")=1,1,0))</f>
        <v>1</v>
      </c>
    </row>
    <row r="291" spans="1:21" x14ac:dyDescent="0.2">
      <c r="A291" t="s">
        <v>1961</v>
      </c>
      <c r="B291" t="s">
        <v>498</v>
      </c>
      <c r="C291" t="s">
        <v>1250</v>
      </c>
      <c r="D291" t="s">
        <v>1575</v>
      </c>
      <c r="E291" t="s">
        <v>1919</v>
      </c>
      <c r="F291" t="s">
        <v>1583</v>
      </c>
      <c r="I291" t="s">
        <v>1058</v>
      </c>
      <c r="M291" t="s">
        <v>209</v>
      </c>
      <c r="N291" t="s">
        <v>203</v>
      </c>
      <c r="Q291" s="2" t="str">
        <f>IF($C291="","",IFERROR(VLOOKUP($C291,sources!$A$2:$N$200,2,FALSE()),"?"))</f>
        <v>Map</v>
      </c>
      <c r="R291" s="2" t="str">
        <f t="shared" si="4"/>
        <v>Map</v>
      </c>
      <c r="S291" s="2" t="str">
        <f>IF($C291="","",IFERROR(VLOOKUP($C291,sources!$A$2:$N$200,9,FALSE()),"?"))</f>
        <v>US official</v>
      </c>
      <c r="T291" t="s">
        <v>5692</v>
      </c>
      <c r="U291">
        <f>IF(OR(B291="",C291="",T291="Retracted",LEFT(D291,8)="Negative"),0,IF(COUNTIFS($B$2:B291,B291,$C$2:C291,C291,$D$2:D291,"&lt;&gt;Negative*",$T$2:T291,"&lt;&gt;Retracted")=1,1,0))</f>
        <v>1</v>
      </c>
    </row>
    <row r="292" spans="1:21" x14ac:dyDescent="0.2">
      <c r="A292" t="s">
        <v>1962</v>
      </c>
      <c r="B292" t="s">
        <v>503</v>
      </c>
      <c r="C292" t="s">
        <v>1250</v>
      </c>
      <c r="D292" t="s">
        <v>1575</v>
      </c>
      <c r="E292" t="s">
        <v>1919</v>
      </c>
      <c r="F292" t="s">
        <v>1583</v>
      </c>
      <c r="I292" t="s">
        <v>1058</v>
      </c>
      <c r="M292" t="s">
        <v>209</v>
      </c>
      <c r="N292" t="s">
        <v>203</v>
      </c>
      <c r="Q292" s="2" t="str">
        <f>IF($C292="","",IFERROR(VLOOKUP($C292,sources!$A$2:$N$200,2,FALSE()),"?"))</f>
        <v>Map</v>
      </c>
      <c r="R292" s="2" t="str">
        <f t="shared" si="4"/>
        <v>Map</v>
      </c>
      <c r="S292" s="2" t="str">
        <f>IF($C292="","",IFERROR(VLOOKUP($C292,sources!$A$2:$N$200,9,FALSE()),"?"))</f>
        <v>US official</v>
      </c>
      <c r="T292" t="s">
        <v>5692</v>
      </c>
      <c r="U292">
        <f>IF(OR(B292="",C292="",T292="Retracted",LEFT(D292,8)="Negative"),0,IF(COUNTIFS($B$2:B292,B292,$C$2:C292,C292,$D$2:D292,"&lt;&gt;Negative*",$T$2:T292,"&lt;&gt;Retracted")=1,1,0))</f>
        <v>1</v>
      </c>
    </row>
    <row r="293" spans="1:21" x14ac:dyDescent="0.2">
      <c r="A293" t="s">
        <v>1963</v>
      </c>
      <c r="B293" t="s">
        <v>507</v>
      </c>
      <c r="C293" t="s">
        <v>1250</v>
      </c>
      <c r="D293" t="s">
        <v>1575</v>
      </c>
      <c r="E293" t="s">
        <v>1919</v>
      </c>
      <c r="F293" t="s">
        <v>1583</v>
      </c>
      <c r="I293" t="s">
        <v>1058</v>
      </c>
      <c r="M293" t="s">
        <v>209</v>
      </c>
      <c r="N293" t="s">
        <v>203</v>
      </c>
      <c r="Q293" s="2" t="str">
        <f>IF($C293="","",IFERROR(VLOOKUP($C293,sources!$A$2:$N$200,2,FALSE()),"?"))</f>
        <v>Map</v>
      </c>
      <c r="R293" s="2" t="str">
        <f t="shared" si="4"/>
        <v>Map</v>
      </c>
      <c r="S293" s="2" t="str">
        <f>IF($C293="","",IFERROR(VLOOKUP($C293,sources!$A$2:$N$200,9,FALSE()),"?"))</f>
        <v>US official</v>
      </c>
      <c r="T293" t="s">
        <v>5692</v>
      </c>
      <c r="U293">
        <f>IF(OR(B293="",C293="",T293="Retracted",LEFT(D293,8)="Negative"),0,IF(COUNTIFS($B$2:B293,B293,$C$2:C293,C293,$D$2:D293,"&lt;&gt;Negative*",$T$2:T293,"&lt;&gt;Retracted")=1,1,0))</f>
        <v>1</v>
      </c>
    </row>
    <row r="294" spans="1:21" x14ac:dyDescent="0.2">
      <c r="A294" t="s">
        <v>1964</v>
      </c>
      <c r="B294" t="s">
        <v>510</v>
      </c>
      <c r="C294" t="s">
        <v>1250</v>
      </c>
      <c r="D294" t="s">
        <v>1575</v>
      </c>
      <c r="E294" t="s">
        <v>1919</v>
      </c>
      <c r="F294" t="s">
        <v>1583</v>
      </c>
      <c r="I294" t="s">
        <v>1058</v>
      </c>
      <c r="M294" t="s">
        <v>209</v>
      </c>
      <c r="N294" t="s">
        <v>203</v>
      </c>
      <c r="Q294" s="2" t="str">
        <f>IF($C294="","",IFERROR(VLOOKUP($C294,sources!$A$2:$N$200,2,FALSE()),"?"))</f>
        <v>Map</v>
      </c>
      <c r="R294" s="2" t="str">
        <f t="shared" si="4"/>
        <v>Map</v>
      </c>
      <c r="S294" s="2" t="str">
        <f>IF($C294="","",IFERROR(VLOOKUP($C294,sources!$A$2:$N$200,9,FALSE()),"?"))</f>
        <v>US official</v>
      </c>
      <c r="T294" t="s">
        <v>5692</v>
      </c>
      <c r="U294">
        <f>IF(OR(B294="",C294="",T294="Retracted",LEFT(D294,8)="Negative"),0,IF(COUNTIFS($B$2:B294,B294,$C$2:C294,C294,$D$2:D294,"&lt;&gt;Negative*",$T$2:T294,"&lt;&gt;Retracted")=1,1,0))</f>
        <v>1</v>
      </c>
    </row>
    <row r="295" spans="1:21" x14ac:dyDescent="0.2">
      <c r="A295" t="s">
        <v>1965</v>
      </c>
      <c r="B295" t="s">
        <v>217</v>
      </c>
      <c r="C295" t="s">
        <v>1241</v>
      </c>
      <c r="D295" t="s">
        <v>1613</v>
      </c>
      <c r="E295" t="s">
        <v>218</v>
      </c>
      <c r="F295" t="s">
        <v>1583</v>
      </c>
      <c r="I295" t="s">
        <v>1058</v>
      </c>
      <c r="M295" t="s">
        <v>203</v>
      </c>
      <c r="N295" t="s">
        <v>203</v>
      </c>
      <c r="Q295" s="2" t="str">
        <f>IF($C295="","",IFERROR(VLOOKUP($C295,sources!$A$2:$N$200,2,FALSE()),"?"))</f>
        <v>Photograph</v>
      </c>
      <c r="R295" s="2" t="str">
        <f t="shared" si="4"/>
        <v>Image</v>
      </c>
      <c r="S295" s="2" t="str">
        <f>IF($C295="","",IFERROR(VLOOKUP($C295,sources!$A$2:$N$200,9,FALSE()),"?"))</f>
        <v>US official</v>
      </c>
      <c r="T295" t="s">
        <v>5692</v>
      </c>
      <c r="U295">
        <f>IF(OR(B295="",C295="",T295="Retracted",LEFT(D295,8)="Negative"),0,IF(COUNTIFS($B$2:B295,B295,$C$2:C295,C295,$D$2:D295,"&lt;&gt;Negative*",$T$2:T295,"&lt;&gt;Retracted")=1,1,0))</f>
        <v>0</v>
      </c>
    </row>
    <row r="296" spans="1:21" x14ac:dyDescent="0.2">
      <c r="A296" t="s">
        <v>1966</v>
      </c>
      <c r="B296" t="s">
        <v>179</v>
      </c>
      <c r="C296" t="s">
        <v>1258</v>
      </c>
      <c r="D296" t="s">
        <v>1575</v>
      </c>
      <c r="E296" t="s">
        <v>180</v>
      </c>
      <c r="F296" t="s">
        <v>1583</v>
      </c>
      <c r="I296" t="s">
        <v>1058</v>
      </c>
      <c r="M296" t="s">
        <v>190</v>
      </c>
      <c r="N296" t="s">
        <v>203</v>
      </c>
      <c r="Q296" s="2" t="str">
        <f>IF($C296="","",IFERROR(VLOOKUP($C296,sources!$A$2:$N$200,2,FALSE()),"?"))</f>
        <v>Administrative</v>
      </c>
      <c r="R296" s="2" t="str">
        <f t="shared" si="4"/>
        <v>Textual</v>
      </c>
      <c r="S296" s="2" t="str">
        <f>IF($C296="","",IFERROR(VLOOKUP($C296,sources!$A$2:$N$200,9,FALSE()),"?"))</f>
        <v>US official</v>
      </c>
      <c r="T296" t="s">
        <v>5692</v>
      </c>
      <c r="U296">
        <f>IF(OR(B296="",C296="",T296="Retracted",LEFT(D296,8)="Negative"),0,IF(COUNTIFS($B$2:B296,B296,$C$2:C296,C296,$D$2:D296,"&lt;&gt;Negative*",$T$2:T296,"&lt;&gt;Retracted")=1,1,0))</f>
        <v>1</v>
      </c>
    </row>
    <row r="297" spans="1:21" x14ac:dyDescent="0.2">
      <c r="A297" t="s">
        <v>1967</v>
      </c>
      <c r="B297" t="s">
        <v>199</v>
      </c>
      <c r="C297" t="s">
        <v>1258</v>
      </c>
      <c r="D297" t="s">
        <v>1575</v>
      </c>
      <c r="E297" t="s">
        <v>200</v>
      </c>
      <c r="F297" t="s">
        <v>1583</v>
      </c>
      <c r="I297" t="s">
        <v>1058</v>
      </c>
      <c r="M297" t="s">
        <v>190</v>
      </c>
      <c r="N297" t="s">
        <v>203</v>
      </c>
      <c r="Q297" s="2" t="str">
        <f>IF($C297="","",IFERROR(VLOOKUP($C297,sources!$A$2:$N$200,2,FALSE()),"?"))</f>
        <v>Administrative</v>
      </c>
      <c r="R297" s="2" t="str">
        <f t="shared" si="4"/>
        <v>Textual</v>
      </c>
      <c r="S297" s="2" t="str">
        <f>IF($C297="","",IFERROR(VLOOKUP($C297,sources!$A$2:$N$200,9,FALSE()),"?"))</f>
        <v>US official</v>
      </c>
      <c r="T297" t="s">
        <v>5692</v>
      </c>
      <c r="U297">
        <f>IF(OR(B297="",C297="",T297="Retracted",LEFT(D297,8)="Negative"),0,IF(COUNTIFS($B$2:B297,B297,$C$2:C297,C297,$D$2:D297,"&lt;&gt;Negative*",$T$2:T297,"&lt;&gt;Retracted")=1,1,0))</f>
        <v>1</v>
      </c>
    </row>
    <row r="298" spans="1:21" x14ac:dyDescent="0.2">
      <c r="A298" t="s">
        <v>1968</v>
      </c>
      <c r="B298" t="s">
        <v>211</v>
      </c>
      <c r="C298" t="s">
        <v>1258</v>
      </c>
      <c r="D298" t="s">
        <v>1575</v>
      </c>
      <c r="E298" t="s">
        <v>212</v>
      </c>
      <c r="F298" t="s">
        <v>1583</v>
      </c>
      <c r="I298" t="s">
        <v>1058</v>
      </c>
      <c r="M298" t="s">
        <v>190</v>
      </c>
      <c r="N298" t="s">
        <v>203</v>
      </c>
      <c r="Q298" s="2" t="str">
        <f>IF($C298="","",IFERROR(VLOOKUP($C298,sources!$A$2:$N$200,2,FALSE()),"?"))</f>
        <v>Administrative</v>
      </c>
      <c r="R298" s="2" t="str">
        <f t="shared" si="4"/>
        <v>Textual</v>
      </c>
      <c r="S298" s="2" t="str">
        <f>IF($C298="","",IFERROR(VLOOKUP($C298,sources!$A$2:$N$200,9,FALSE()),"?"))</f>
        <v>US official</v>
      </c>
      <c r="T298" t="s">
        <v>5692</v>
      </c>
      <c r="U298">
        <f>IF(OR(B298="",C298="",T298="Retracted",LEFT(D298,8)="Negative"),0,IF(COUNTIFS($B$2:B298,B298,$C$2:C298,C298,$D$2:D298,"&lt;&gt;Negative*",$T$2:T298,"&lt;&gt;Retracted")=1,1,0))</f>
        <v>1</v>
      </c>
    </row>
    <row r="299" spans="1:21" x14ac:dyDescent="0.2">
      <c r="A299" t="s">
        <v>1969</v>
      </c>
      <c r="B299" t="s">
        <v>213</v>
      </c>
      <c r="C299" t="s">
        <v>1258</v>
      </c>
      <c r="D299" t="s">
        <v>1575</v>
      </c>
      <c r="E299" t="s">
        <v>214</v>
      </c>
      <c r="F299" t="s">
        <v>1583</v>
      </c>
      <c r="I299" t="s">
        <v>1058</v>
      </c>
      <c r="M299" t="s">
        <v>190</v>
      </c>
      <c r="N299" t="s">
        <v>203</v>
      </c>
      <c r="Q299" s="2" t="str">
        <f>IF($C299="","",IFERROR(VLOOKUP($C299,sources!$A$2:$N$200,2,FALSE()),"?"))</f>
        <v>Administrative</v>
      </c>
      <c r="R299" s="2" t="str">
        <f t="shared" si="4"/>
        <v>Textual</v>
      </c>
      <c r="S299" s="2" t="str">
        <f>IF($C299="","",IFERROR(VLOOKUP($C299,sources!$A$2:$N$200,9,FALSE()),"?"))</f>
        <v>US official</v>
      </c>
      <c r="T299" t="s">
        <v>5692</v>
      </c>
      <c r="U299">
        <f>IF(OR(B299="",C299="",T299="Retracted",LEFT(D299,8)="Negative"),0,IF(COUNTIFS($B$2:B299,B299,$C$2:C299,C299,$D$2:D299,"&lt;&gt;Negative*",$T$2:T299,"&lt;&gt;Retracted")=1,1,0))</f>
        <v>1</v>
      </c>
    </row>
    <row r="300" spans="1:21" x14ac:dyDescent="0.2">
      <c r="A300" t="s">
        <v>1970</v>
      </c>
      <c r="B300" t="s">
        <v>219</v>
      </c>
      <c r="C300" t="s">
        <v>1258</v>
      </c>
      <c r="D300" t="s">
        <v>1575</v>
      </c>
      <c r="E300" t="s">
        <v>1580</v>
      </c>
      <c r="F300" t="s">
        <v>1583</v>
      </c>
      <c r="I300" t="s">
        <v>1058</v>
      </c>
      <c r="M300" t="s">
        <v>190</v>
      </c>
      <c r="N300" t="s">
        <v>203</v>
      </c>
      <c r="Q300" s="2" t="str">
        <f>IF($C300="","",IFERROR(VLOOKUP($C300,sources!$A$2:$N$200,2,FALSE()),"?"))</f>
        <v>Administrative</v>
      </c>
      <c r="R300" s="2" t="str">
        <f t="shared" si="4"/>
        <v>Textual</v>
      </c>
      <c r="S300" s="2" t="str">
        <f>IF($C300="","",IFERROR(VLOOKUP($C300,sources!$A$2:$N$200,9,FALSE()),"?"))</f>
        <v>US official</v>
      </c>
      <c r="T300" t="s">
        <v>5692</v>
      </c>
      <c r="U300">
        <f>IF(OR(B300="",C300="",T300="Retracted",LEFT(D300,8)="Negative"),0,IF(COUNTIFS($B$2:B300,B300,$C$2:C300,C300,$D$2:D300,"&lt;&gt;Negative*",$T$2:T300,"&lt;&gt;Retracted")=1,1,0))</f>
        <v>1</v>
      </c>
    </row>
    <row r="301" spans="1:21" x14ac:dyDescent="0.2">
      <c r="A301" t="s">
        <v>1971</v>
      </c>
      <c r="B301" t="s">
        <v>226</v>
      </c>
      <c r="C301" t="s">
        <v>1258</v>
      </c>
      <c r="D301" t="s">
        <v>1575</v>
      </c>
      <c r="E301" t="s">
        <v>227</v>
      </c>
      <c r="F301" t="s">
        <v>1583</v>
      </c>
      <c r="I301" t="s">
        <v>1058</v>
      </c>
      <c r="M301" t="s">
        <v>190</v>
      </c>
      <c r="N301" t="s">
        <v>203</v>
      </c>
      <c r="Q301" s="2" t="str">
        <f>IF($C301="","",IFERROR(VLOOKUP($C301,sources!$A$2:$N$200,2,FALSE()),"?"))</f>
        <v>Administrative</v>
      </c>
      <c r="R301" s="2" t="str">
        <f t="shared" si="4"/>
        <v>Textual</v>
      </c>
      <c r="S301" s="2" t="str">
        <f>IF($C301="","",IFERROR(VLOOKUP($C301,sources!$A$2:$N$200,9,FALSE()),"?"))</f>
        <v>US official</v>
      </c>
      <c r="T301" t="s">
        <v>5692</v>
      </c>
      <c r="U301">
        <f>IF(OR(B301="",C301="",T301="Retracted",LEFT(D301,8)="Negative"),0,IF(COUNTIFS($B$2:B301,B301,$C$2:C301,C301,$D$2:D301,"&lt;&gt;Negative*",$T$2:T301,"&lt;&gt;Retracted")=1,1,0))</f>
        <v>1</v>
      </c>
    </row>
    <row r="302" spans="1:21" x14ac:dyDescent="0.2">
      <c r="A302" t="s">
        <v>1972</v>
      </c>
      <c r="B302" t="s">
        <v>233</v>
      </c>
      <c r="C302" t="s">
        <v>1258</v>
      </c>
      <c r="D302" t="s">
        <v>1575</v>
      </c>
      <c r="E302" t="s">
        <v>234</v>
      </c>
      <c r="F302" t="s">
        <v>1583</v>
      </c>
      <c r="I302" t="s">
        <v>1058</v>
      </c>
      <c r="M302" t="s">
        <v>190</v>
      </c>
      <c r="N302" t="s">
        <v>203</v>
      </c>
      <c r="Q302" s="2" t="str">
        <f>IF($C302="","",IFERROR(VLOOKUP($C302,sources!$A$2:$N$200,2,FALSE()),"?"))</f>
        <v>Administrative</v>
      </c>
      <c r="R302" s="2" t="str">
        <f t="shared" si="4"/>
        <v>Textual</v>
      </c>
      <c r="S302" s="2" t="str">
        <f>IF($C302="","",IFERROR(VLOOKUP($C302,sources!$A$2:$N$200,9,FALSE()),"?"))</f>
        <v>US official</v>
      </c>
      <c r="T302" t="s">
        <v>5692</v>
      </c>
      <c r="U302">
        <f>IF(OR(B302="",C302="",T302="Retracted",LEFT(D302,8)="Negative"),0,IF(COUNTIFS($B$2:B302,B302,$C$2:C302,C302,$D$2:D302,"&lt;&gt;Negative*",$T$2:T302,"&lt;&gt;Retracted")=1,1,0))</f>
        <v>1</v>
      </c>
    </row>
    <row r="303" spans="1:21" x14ac:dyDescent="0.2">
      <c r="A303" t="s">
        <v>1973</v>
      </c>
      <c r="B303" t="s">
        <v>233</v>
      </c>
      <c r="C303" t="s">
        <v>1258</v>
      </c>
      <c r="D303" t="s">
        <v>1575</v>
      </c>
      <c r="E303" t="s">
        <v>305</v>
      </c>
      <c r="F303" t="s">
        <v>1583</v>
      </c>
      <c r="I303" t="s">
        <v>1058</v>
      </c>
      <c r="M303" t="s">
        <v>190</v>
      </c>
      <c r="N303" t="s">
        <v>203</v>
      </c>
      <c r="Q303" s="2" t="str">
        <f>IF($C303="","",IFERROR(VLOOKUP($C303,sources!$A$2:$N$200,2,FALSE()),"?"))</f>
        <v>Administrative</v>
      </c>
      <c r="R303" s="2" t="str">
        <f t="shared" si="4"/>
        <v>Textual</v>
      </c>
      <c r="S303" s="2" t="str">
        <f>IF($C303="","",IFERROR(VLOOKUP($C303,sources!$A$2:$N$200,9,FALSE()),"?"))</f>
        <v>US official</v>
      </c>
      <c r="T303" t="s">
        <v>5692</v>
      </c>
      <c r="U303">
        <f>IF(OR(B303="",C303="",T303="Retracted",LEFT(D303,8)="Negative"),0,IF(COUNTIFS($B$2:B303,B303,$C$2:C303,C303,$D$2:D303,"&lt;&gt;Negative*",$T$2:T303,"&lt;&gt;Retracted")=1,1,0))</f>
        <v>0</v>
      </c>
    </row>
    <row r="304" spans="1:21" x14ac:dyDescent="0.2">
      <c r="A304" t="s">
        <v>1974</v>
      </c>
      <c r="B304" t="s">
        <v>242</v>
      </c>
      <c r="C304" t="s">
        <v>1258</v>
      </c>
      <c r="D304" t="s">
        <v>1575</v>
      </c>
      <c r="E304" t="s">
        <v>243</v>
      </c>
      <c r="F304" t="s">
        <v>1583</v>
      </c>
      <c r="I304" t="s">
        <v>1058</v>
      </c>
      <c r="M304" t="s">
        <v>190</v>
      </c>
      <c r="N304" t="s">
        <v>203</v>
      </c>
      <c r="Q304" s="2" t="str">
        <f>IF($C304="","",IFERROR(VLOOKUP($C304,sources!$A$2:$N$200,2,FALSE()),"?"))</f>
        <v>Administrative</v>
      </c>
      <c r="R304" s="2" t="str">
        <f t="shared" si="4"/>
        <v>Textual</v>
      </c>
      <c r="S304" s="2" t="str">
        <f>IF($C304="","",IFERROR(VLOOKUP($C304,sources!$A$2:$N$200,9,FALSE()),"?"))</f>
        <v>US official</v>
      </c>
      <c r="T304" t="s">
        <v>5692</v>
      </c>
      <c r="U304">
        <f>IF(OR(B304="",C304="",T304="Retracted",LEFT(D304,8)="Negative"),0,IF(COUNTIFS($B$2:B304,B304,$C$2:C304,C304,$D$2:D304,"&lt;&gt;Negative*",$T$2:T304,"&lt;&gt;Retracted")=1,1,0))</f>
        <v>1</v>
      </c>
    </row>
    <row r="305" spans="1:21" x14ac:dyDescent="0.2">
      <c r="A305" t="s">
        <v>1975</v>
      </c>
      <c r="B305" t="s">
        <v>247</v>
      </c>
      <c r="C305" t="s">
        <v>1258</v>
      </c>
      <c r="D305" t="s">
        <v>1575</v>
      </c>
      <c r="E305" t="s">
        <v>248</v>
      </c>
      <c r="F305" t="s">
        <v>1583</v>
      </c>
      <c r="I305" t="s">
        <v>1058</v>
      </c>
      <c r="M305" t="s">
        <v>190</v>
      </c>
      <c r="N305" t="s">
        <v>203</v>
      </c>
      <c r="Q305" s="2" t="str">
        <f>IF($C305="","",IFERROR(VLOOKUP($C305,sources!$A$2:$N$200,2,FALSE()),"?"))</f>
        <v>Administrative</v>
      </c>
      <c r="R305" s="2" t="str">
        <f t="shared" si="4"/>
        <v>Textual</v>
      </c>
      <c r="S305" s="2" t="str">
        <f>IF($C305="","",IFERROR(VLOOKUP($C305,sources!$A$2:$N$200,9,FALSE()),"?"))</f>
        <v>US official</v>
      </c>
      <c r="T305" t="s">
        <v>5692</v>
      </c>
      <c r="U305">
        <f>IF(OR(B305="",C305="",T305="Retracted",LEFT(D305,8)="Negative"),0,IF(COUNTIFS($B$2:B305,B305,$C$2:C305,C305,$D$2:D305,"&lt;&gt;Negative*",$T$2:T305,"&lt;&gt;Retracted")=1,1,0))</f>
        <v>1</v>
      </c>
    </row>
    <row r="306" spans="1:21" x14ac:dyDescent="0.2">
      <c r="A306" t="s">
        <v>1976</v>
      </c>
      <c r="B306" t="s">
        <v>253</v>
      </c>
      <c r="C306" t="s">
        <v>1258</v>
      </c>
      <c r="D306" t="s">
        <v>1575</v>
      </c>
      <c r="E306" t="s">
        <v>254</v>
      </c>
      <c r="F306" t="s">
        <v>1583</v>
      </c>
      <c r="I306" t="s">
        <v>1058</v>
      </c>
      <c r="M306" t="s">
        <v>190</v>
      </c>
      <c r="N306" t="s">
        <v>203</v>
      </c>
      <c r="Q306" s="2" t="str">
        <f>IF($C306="","",IFERROR(VLOOKUP($C306,sources!$A$2:$N$200,2,FALSE()),"?"))</f>
        <v>Administrative</v>
      </c>
      <c r="R306" s="2" t="str">
        <f t="shared" si="4"/>
        <v>Textual</v>
      </c>
      <c r="S306" s="2" t="str">
        <f>IF($C306="","",IFERROR(VLOOKUP($C306,sources!$A$2:$N$200,9,FALSE()),"?"))</f>
        <v>US official</v>
      </c>
      <c r="T306" t="s">
        <v>5692</v>
      </c>
      <c r="U306">
        <f>IF(OR(B306="",C306="",T306="Retracted",LEFT(D306,8)="Negative"),0,IF(COUNTIFS($B$2:B306,B306,$C$2:C306,C306,$D$2:D306,"&lt;&gt;Negative*",$T$2:T306,"&lt;&gt;Retracted")=1,1,0))</f>
        <v>1</v>
      </c>
    </row>
    <row r="307" spans="1:21" x14ac:dyDescent="0.2">
      <c r="A307" t="s">
        <v>1977</v>
      </c>
      <c r="B307" t="s">
        <v>261</v>
      </c>
      <c r="C307" t="s">
        <v>1258</v>
      </c>
      <c r="D307" t="s">
        <v>1575</v>
      </c>
      <c r="E307" t="s">
        <v>262</v>
      </c>
      <c r="F307" t="s">
        <v>1583</v>
      </c>
      <c r="I307" t="s">
        <v>1058</v>
      </c>
      <c r="M307" t="s">
        <v>190</v>
      </c>
      <c r="N307" t="s">
        <v>203</v>
      </c>
      <c r="Q307" s="2" t="str">
        <f>IF($C307="","",IFERROR(VLOOKUP($C307,sources!$A$2:$N$200,2,FALSE()),"?"))</f>
        <v>Administrative</v>
      </c>
      <c r="R307" s="2" t="str">
        <f t="shared" si="4"/>
        <v>Textual</v>
      </c>
      <c r="S307" s="2" t="str">
        <f>IF($C307="","",IFERROR(VLOOKUP($C307,sources!$A$2:$N$200,9,FALSE()),"?"))</f>
        <v>US official</v>
      </c>
      <c r="T307" t="s">
        <v>5692</v>
      </c>
      <c r="U307">
        <f>IF(OR(B307="",C307="",T307="Retracted",LEFT(D307,8)="Negative"),0,IF(COUNTIFS($B$2:B307,B307,$C$2:C307,C307,$D$2:D307,"&lt;&gt;Negative*",$T$2:T307,"&lt;&gt;Retracted")=1,1,0))</f>
        <v>1</v>
      </c>
    </row>
    <row r="308" spans="1:21" x14ac:dyDescent="0.2">
      <c r="A308" t="s">
        <v>1978</v>
      </c>
      <c r="B308" t="s">
        <v>265</v>
      </c>
      <c r="C308" t="s">
        <v>1258</v>
      </c>
      <c r="D308" t="s">
        <v>1575</v>
      </c>
      <c r="E308" t="s">
        <v>266</v>
      </c>
      <c r="F308" t="s">
        <v>1583</v>
      </c>
      <c r="I308" t="s">
        <v>1058</v>
      </c>
      <c r="M308" t="s">
        <v>190</v>
      </c>
      <c r="N308" t="s">
        <v>203</v>
      </c>
      <c r="Q308" s="2" t="str">
        <f>IF($C308="","",IFERROR(VLOOKUP($C308,sources!$A$2:$N$200,2,FALSE()),"?"))</f>
        <v>Administrative</v>
      </c>
      <c r="R308" s="2" t="str">
        <f t="shared" si="4"/>
        <v>Textual</v>
      </c>
      <c r="S308" s="2" t="str">
        <f>IF($C308="","",IFERROR(VLOOKUP($C308,sources!$A$2:$N$200,9,FALSE()),"?"))</f>
        <v>US official</v>
      </c>
      <c r="T308" t="s">
        <v>5692</v>
      </c>
      <c r="U308">
        <f>IF(OR(B308="",C308="",T308="Retracted",LEFT(D308,8)="Negative"),0,IF(COUNTIFS($B$2:B308,B308,$C$2:C308,C308,$D$2:D308,"&lt;&gt;Negative*",$T$2:T308,"&lt;&gt;Retracted")=1,1,0))</f>
        <v>1</v>
      </c>
    </row>
    <row r="309" spans="1:21" x14ac:dyDescent="0.2">
      <c r="A309" t="s">
        <v>1979</v>
      </c>
      <c r="B309" t="s">
        <v>330</v>
      </c>
      <c r="C309" t="s">
        <v>1258</v>
      </c>
      <c r="D309" t="s">
        <v>1575</v>
      </c>
      <c r="E309" t="s">
        <v>331</v>
      </c>
      <c r="F309" t="s">
        <v>1583</v>
      </c>
      <c r="I309" t="s">
        <v>1058</v>
      </c>
      <c r="M309" t="s">
        <v>190</v>
      </c>
      <c r="N309" t="s">
        <v>203</v>
      </c>
      <c r="Q309" s="2" t="str">
        <f>IF($C309="","",IFERROR(VLOOKUP($C309,sources!$A$2:$N$200,2,FALSE()),"?"))</f>
        <v>Administrative</v>
      </c>
      <c r="R309" s="2" t="str">
        <f t="shared" si="4"/>
        <v>Textual</v>
      </c>
      <c r="S309" s="2" t="str">
        <f>IF($C309="","",IFERROR(VLOOKUP($C309,sources!$A$2:$N$200,9,FALSE()),"?"))</f>
        <v>US official</v>
      </c>
      <c r="T309" t="s">
        <v>5692</v>
      </c>
      <c r="U309">
        <f>IF(OR(B309="",C309="",T309="Retracted",LEFT(D309,8)="Negative"),0,IF(COUNTIFS($B$2:B309,B309,$C$2:C309,C309,$D$2:D309,"&lt;&gt;Negative*",$T$2:T309,"&lt;&gt;Retracted")=1,1,0))</f>
        <v>1</v>
      </c>
    </row>
    <row r="310" spans="1:21" x14ac:dyDescent="0.2">
      <c r="A310" t="s">
        <v>1980</v>
      </c>
      <c r="B310" t="s">
        <v>335</v>
      </c>
      <c r="C310" t="s">
        <v>1258</v>
      </c>
      <c r="D310" t="s">
        <v>1575</v>
      </c>
      <c r="E310" t="s">
        <v>336</v>
      </c>
      <c r="F310" t="s">
        <v>1583</v>
      </c>
      <c r="I310" t="s">
        <v>1058</v>
      </c>
      <c r="M310" t="s">
        <v>190</v>
      </c>
      <c r="N310" t="s">
        <v>203</v>
      </c>
      <c r="Q310" s="2" t="str">
        <f>IF($C310="","",IFERROR(VLOOKUP($C310,sources!$A$2:$N$200,2,FALSE()),"?"))</f>
        <v>Administrative</v>
      </c>
      <c r="R310" s="2" t="str">
        <f t="shared" si="4"/>
        <v>Textual</v>
      </c>
      <c r="S310" s="2" t="str">
        <f>IF($C310="","",IFERROR(VLOOKUP($C310,sources!$A$2:$N$200,9,FALSE()),"?"))</f>
        <v>US official</v>
      </c>
      <c r="T310" t="s">
        <v>5692</v>
      </c>
      <c r="U310">
        <f>IF(OR(B310="",C310="",T310="Retracted",LEFT(D310,8)="Negative"),0,IF(COUNTIFS($B$2:B310,B310,$C$2:C310,C310,$D$2:D310,"&lt;&gt;Negative*",$T$2:T310,"&lt;&gt;Retracted")=1,1,0))</f>
        <v>1</v>
      </c>
    </row>
    <row r="311" spans="1:21" x14ac:dyDescent="0.2">
      <c r="A311" t="s">
        <v>1981</v>
      </c>
      <c r="B311" t="s">
        <v>340</v>
      </c>
      <c r="C311" t="s">
        <v>1258</v>
      </c>
      <c r="D311" t="s">
        <v>1575</v>
      </c>
      <c r="E311" t="s">
        <v>341</v>
      </c>
      <c r="F311" t="s">
        <v>1583</v>
      </c>
      <c r="I311" t="s">
        <v>1058</v>
      </c>
      <c r="M311" t="s">
        <v>190</v>
      </c>
      <c r="N311" t="s">
        <v>203</v>
      </c>
      <c r="Q311" s="2" t="str">
        <f>IF($C311="","",IFERROR(VLOOKUP($C311,sources!$A$2:$N$200,2,FALSE()),"?"))</f>
        <v>Administrative</v>
      </c>
      <c r="R311" s="2" t="str">
        <f t="shared" si="4"/>
        <v>Textual</v>
      </c>
      <c r="S311" s="2" t="str">
        <f>IF($C311="","",IFERROR(VLOOKUP($C311,sources!$A$2:$N$200,9,FALSE()),"?"))</f>
        <v>US official</v>
      </c>
      <c r="T311" t="s">
        <v>5692</v>
      </c>
      <c r="U311">
        <f>IF(OR(B311="",C311="",T311="Retracted",LEFT(D311,8)="Negative"),0,IF(COUNTIFS($B$2:B311,B311,$C$2:C311,C311,$D$2:D311,"&lt;&gt;Negative*",$T$2:T311,"&lt;&gt;Retracted")=1,1,0))</f>
        <v>1</v>
      </c>
    </row>
    <row r="312" spans="1:21" x14ac:dyDescent="0.2">
      <c r="A312" t="s">
        <v>1982</v>
      </c>
      <c r="B312" t="s">
        <v>344</v>
      </c>
      <c r="C312" t="s">
        <v>1258</v>
      </c>
      <c r="D312" t="s">
        <v>1575</v>
      </c>
      <c r="E312" t="s">
        <v>345</v>
      </c>
      <c r="F312" t="s">
        <v>1583</v>
      </c>
      <c r="I312" t="s">
        <v>1058</v>
      </c>
      <c r="M312" t="s">
        <v>190</v>
      </c>
      <c r="N312" t="s">
        <v>203</v>
      </c>
      <c r="Q312" s="2" t="str">
        <f>IF($C312="","",IFERROR(VLOOKUP($C312,sources!$A$2:$N$200,2,FALSE()),"?"))</f>
        <v>Administrative</v>
      </c>
      <c r="R312" s="2" t="str">
        <f t="shared" si="4"/>
        <v>Textual</v>
      </c>
      <c r="S312" s="2" t="str">
        <f>IF($C312="","",IFERROR(VLOOKUP($C312,sources!$A$2:$N$200,9,FALSE()),"?"))</f>
        <v>US official</v>
      </c>
      <c r="T312" t="s">
        <v>5692</v>
      </c>
      <c r="U312">
        <f>IF(OR(B312="",C312="",T312="Retracted",LEFT(D312,8)="Negative"),0,IF(COUNTIFS($B$2:B312,B312,$C$2:C312,C312,$D$2:D312,"&lt;&gt;Negative*",$T$2:T312,"&lt;&gt;Retracted")=1,1,0))</f>
        <v>1</v>
      </c>
    </row>
    <row r="313" spans="1:21" x14ac:dyDescent="0.2">
      <c r="A313" t="s">
        <v>1983</v>
      </c>
      <c r="B313" t="s">
        <v>348</v>
      </c>
      <c r="C313" t="s">
        <v>1258</v>
      </c>
      <c r="D313" t="s">
        <v>1575</v>
      </c>
      <c r="E313" t="s">
        <v>349</v>
      </c>
      <c r="F313" t="s">
        <v>1583</v>
      </c>
      <c r="I313" t="s">
        <v>1058</v>
      </c>
      <c r="M313" t="s">
        <v>190</v>
      </c>
      <c r="N313" t="s">
        <v>203</v>
      </c>
      <c r="Q313" s="2" t="str">
        <f>IF($C313="","",IFERROR(VLOOKUP($C313,sources!$A$2:$N$200,2,FALSE()),"?"))</f>
        <v>Administrative</v>
      </c>
      <c r="R313" s="2" t="str">
        <f t="shared" si="4"/>
        <v>Textual</v>
      </c>
      <c r="S313" s="2" t="str">
        <f>IF($C313="","",IFERROR(VLOOKUP($C313,sources!$A$2:$N$200,9,FALSE()),"?"))</f>
        <v>US official</v>
      </c>
      <c r="T313" t="s">
        <v>5692</v>
      </c>
      <c r="U313">
        <f>IF(OR(B313="",C313="",T313="Retracted",LEFT(D313,8)="Negative"),0,IF(COUNTIFS($B$2:B313,B313,$C$2:C313,C313,$D$2:D313,"&lt;&gt;Negative*",$T$2:T313,"&lt;&gt;Retracted")=1,1,0))</f>
        <v>1</v>
      </c>
    </row>
    <row r="314" spans="1:21" x14ac:dyDescent="0.2">
      <c r="A314" t="s">
        <v>1984</v>
      </c>
      <c r="B314" t="s">
        <v>351</v>
      </c>
      <c r="C314" t="s">
        <v>1258</v>
      </c>
      <c r="D314" t="s">
        <v>1575</v>
      </c>
      <c r="E314" t="s">
        <v>352</v>
      </c>
      <c r="F314" t="s">
        <v>1583</v>
      </c>
      <c r="I314" t="s">
        <v>1058</v>
      </c>
      <c r="M314" t="s">
        <v>190</v>
      </c>
      <c r="N314" t="s">
        <v>203</v>
      </c>
      <c r="Q314" s="2" t="str">
        <f>IF($C314="","",IFERROR(VLOOKUP($C314,sources!$A$2:$N$200,2,FALSE()),"?"))</f>
        <v>Administrative</v>
      </c>
      <c r="R314" s="2" t="str">
        <f t="shared" si="4"/>
        <v>Textual</v>
      </c>
      <c r="S314" s="2" t="str">
        <f>IF($C314="","",IFERROR(VLOOKUP($C314,sources!$A$2:$N$200,9,FALSE()),"?"))</f>
        <v>US official</v>
      </c>
      <c r="T314" t="s">
        <v>5692</v>
      </c>
      <c r="U314">
        <f>IF(OR(B314="",C314="",T314="Retracted",LEFT(D314,8)="Negative"),0,IF(COUNTIFS($B$2:B314,B314,$C$2:C314,C314,$D$2:D314,"&lt;&gt;Negative*",$T$2:T314,"&lt;&gt;Retracted")=1,1,0))</f>
        <v>1</v>
      </c>
    </row>
    <row r="315" spans="1:21" x14ac:dyDescent="0.2">
      <c r="A315" t="s">
        <v>1985</v>
      </c>
      <c r="B315" t="s">
        <v>354</v>
      </c>
      <c r="C315" t="s">
        <v>1258</v>
      </c>
      <c r="D315" t="s">
        <v>1575</v>
      </c>
      <c r="E315" t="s">
        <v>355</v>
      </c>
      <c r="F315" t="s">
        <v>1583</v>
      </c>
      <c r="I315" t="s">
        <v>1058</v>
      </c>
      <c r="M315" t="s">
        <v>190</v>
      </c>
      <c r="N315" t="s">
        <v>203</v>
      </c>
      <c r="Q315" s="2" t="str">
        <f>IF($C315="","",IFERROR(VLOOKUP($C315,sources!$A$2:$N$200,2,FALSE()),"?"))</f>
        <v>Administrative</v>
      </c>
      <c r="R315" s="2" t="str">
        <f t="shared" si="4"/>
        <v>Textual</v>
      </c>
      <c r="S315" s="2" t="str">
        <f>IF($C315="","",IFERROR(VLOOKUP($C315,sources!$A$2:$N$200,9,FALSE()),"?"))</f>
        <v>US official</v>
      </c>
      <c r="T315" t="s">
        <v>5692</v>
      </c>
      <c r="U315">
        <f>IF(OR(B315="",C315="",T315="Retracted",LEFT(D315,8)="Negative"),0,IF(COUNTIFS($B$2:B315,B315,$C$2:C315,C315,$D$2:D315,"&lt;&gt;Negative*",$T$2:T315,"&lt;&gt;Retracted")=1,1,0))</f>
        <v>1</v>
      </c>
    </row>
    <row r="316" spans="1:21" x14ac:dyDescent="0.2">
      <c r="A316" t="s">
        <v>1986</v>
      </c>
      <c r="B316" t="s">
        <v>357</v>
      </c>
      <c r="C316" t="s">
        <v>1258</v>
      </c>
      <c r="D316" t="s">
        <v>1575</v>
      </c>
      <c r="E316" t="s">
        <v>358</v>
      </c>
      <c r="F316" t="s">
        <v>1583</v>
      </c>
      <c r="I316" t="s">
        <v>1058</v>
      </c>
      <c r="M316" t="s">
        <v>190</v>
      </c>
      <c r="N316" t="s">
        <v>203</v>
      </c>
      <c r="Q316" s="2" t="str">
        <f>IF($C316="","",IFERROR(VLOOKUP($C316,sources!$A$2:$N$200,2,FALSE()),"?"))</f>
        <v>Administrative</v>
      </c>
      <c r="R316" s="2" t="str">
        <f t="shared" si="4"/>
        <v>Textual</v>
      </c>
      <c r="S316" s="2" t="str">
        <f>IF($C316="","",IFERROR(VLOOKUP($C316,sources!$A$2:$N$200,9,FALSE()),"?"))</f>
        <v>US official</v>
      </c>
      <c r="T316" t="s">
        <v>5692</v>
      </c>
      <c r="U316">
        <f>IF(OR(B316="",C316="",T316="Retracted",LEFT(D316,8)="Negative"),0,IF(COUNTIFS($B$2:B316,B316,$C$2:C316,C316,$D$2:D316,"&lt;&gt;Negative*",$T$2:T316,"&lt;&gt;Retracted")=1,1,0))</f>
        <v>1</v>
      </c>
    </row>
    <row r="317" spans="1:21" x14ac:dyDescent="0.2">
      <c r="A317" t="s">
        <v>1987</v>
      </c>
      <c r="B317" t="s">
        <v>360</v>
      </c>
      <c r="C317" t="s">
        <v>1258</v>
      </c>
      <c r="D317" t="s">
        <v>1575</v>
      </c>
      <c r="E317" t="s">
        <v>361</v>
      </c>
      <c r="F317" t="s">
        <v>1583</v>
      </c>
      <c r="I317" t="s">
        <v>1058</v>
      </c>
      <c r="M317" t="s">
        <v>190</v>
      </c>
      <c r="N317" t="s">
        <v>203</v>
      </c>
      <c r="Q317" s="2" t="str">
        <f>IF($C317="","",IFERROR(VLOOKUP($C317,sources!$A$2:$N$200,2,FALSE()),"?"))</f>
        <v>Administrative</v>
      </c>
      <c r="R317" s="2" t="str">
        <f t="shared" si="4"/>
        <v>Textual</v>
      </c>
      <c r="S317" s="2" t="str">
        <f>IF($C317="","",IFERROR(VLOOKUP($C317,sources!$A$2:$N$200,9,FALSE()),"?"))</f>
        <v>US official</v>
      </c>
      <c r="T317" t="s">
        <v>5692</v>
      </c>
      <c r="U317">
        <f>IF(OR(B317="",C317="",T317="Retracted",LEFT(D317,8)="Negative"),0,IF(COUNTIFS($B$2:B317,B317,$C$2:C317,C317,$D$2:D317,"&lt;&gt;Negative*",$T$2:T317,"&lt;&gt;Retracted")=1,1,0))</f>
        <v>1</v>
      </c>
    </row>
    <row r="318" spans="1:21" x14ac:dyDescent="0.2">
      <c r="A318" t="s">
        <v>1988</v>
      </c>
      <c r="B318" t="s">
        <v>363</v>
      </c>
      <c r="C318" t="s">
        <v>1258</v>
      </c>
      <c r="D318" t="s">
        <v>1575</v>
      </c>
      <c r="E318" t="s">
        <v>364</v>
      </c>
      <c r="F318" t="s">
        <v>1583</v>
      </c>
      <c r="I318" t="s">
        <v>1058</v>
      </c>
      <c r="M318" t="s">
        <v>190</v>
      </c>
      <c r="N318" t="s">
        <v>203</v>
      </c>
      <c r="Q318" s="2" t="str">
        <f>IF($C318="","",IFERROR(VLOOKUP($C318,sources!$A$2:$N$200,2,FALSE()),"?"))</f>
        <v>Administrative</v>
      </c>
      <c r="R318" s="2" t="str">
        <f t="shared" si="4"/>
        <v>Textual</v>
      </c>
      <c r="S318" s="2" t="str">
        <f>IF($C318="","",IFERROR(VLOOKUP($C318,sources!$A$2:$N$200,9,FALSE()),"?"))</f>
        <v>US official</v>
      </c>
      <c r="T318" t="s">
        <v>5692</v>
      </c>
      <c r="U318">
        <f>IF(OR(B318="",C318="",T318="Retracted",LEFT(D318,8)="Negative"),0,IF(COUNTIFS($B$2:B318,B318,$C$2:C318,C318,$D$2:D318,"&lt;&gt;Negative*",$T$2:T318,"&lt;&gt;Retracted")=1,1,0))</f>
        <v>1</v>
      </c>
    </row>
    <row r="319" spans="1:21" x14ac:dyDescent="0.2">
      <c r="A319" t="s">
        <v>1989</v>
      </c>
      <c r="B319" t="s">
        <v>369</v>
      </c>
      <c r="C319" t="s">
        <v>1258</v>
      </c>
      <c r="D319" t="s">
        <v>1575</v>
      </c>
      <c r="E319" t="s">
        <v>370</v>
      </c>
      <c r="F319" t="s">
        <v>1583</v>
      </c>
      <c r="I319" t="s">
        <v>1058</v>
      </c>
      <c r="M319" t="s">
        <v>190</v>
      </c>
      <c r="N319" t="s">
        <v>203</v>
      </c>
      <c r="Q319" s="2" t="str">
        <f>IF($C319="","",IFERROR(VLOOKUP($C319,sources!$A$2:$N$200,2,FALSE()),"?"))</f>
        <v>Administrative</v>
      </c>
      <c r="R319" s="2" t="str">
        <f t="shared" si="4"/>
        <v>Textual</v>
      </c>
      <c r="S319" s="2" t="str">
        <f>IF($C319="","",IFERROR(VLOOKUP($C319,sources!$A$2:$N$200,9,FALSE()),"?"))</f>
        <v>US official</v>
      </c>
      <c r="T319" t="s">
        <v>5692</v>
      </c>
      <c r="U319">
        <f>IF(OR(B319="",C319="",T319="Retracted",LEFT(D319,8)="Negative"),0,IF(COUNTIFS($B$2:B319,B319,$C$2:C319,C319,$D$2:D319,"&lt;&gt;Negative*",$T$2:T319,"&lt;&gt;Retracted")=1,1,0))</f>
        <v>1</v>
      </c>
    </row>
    <row r="320" spans="1:21" x14ac:dyDescent="0.2">
      <c r="A320" t="s">
        <v>1990</v>
      </c>
      <c r="B320" t="s">
        <v>374</v>
      </c>
      <c r="C320" t="s">
        <v>1258</v>
      </c>
      <c r="D320" t="s">
        <v>1575</v>
      </c>
      <c r="E320" t="s">
        <v>375</v>
      </c>
      <c r="F320" t="s">
        <v>1583</v>
      </c>
      <c r="I320" t="s">
        <v>1058</v>
      </c>
      <c r="M320" t="s">
        <v>190</v>
      </c>
      <c r="N320" t="s">
        <v>203</v>
      </c>
      <c r="Q320" s="2" t="str">
        <f>IF($C320="","",IFERROR(VLOOKUP($C320,sources!$A$2:$N$200,2,FALSE()),"?"))</f>
        <v>Administrative</v>
      </c>
      <c r="R320" s="2" t="str">
        <f t="shared" si="4"/>
        <v>Textual</v>
      </c>
      <c r="S320" s="2" t="str">
        <f>IF($C320="","",IFERROR(VLOOKUP($C320,sources!$A$2:$N$200,9,FALSE()),"?"))</f>
        <v>US official</v>
      </c>
      <c r="T320" t="s">
        <v>5692</v>
      </c>
      <c r="U320">
        <f>IF(OR(B320="",C320="",T320="Retracted",LEFT(D320,8)="Negative"),0,IF(COUNTIFS($B$2:B320,B320,$C$2:C320,C320,$D$2:D320,"&lt;&gt;Negative*",$T$2:T320,"&lt;&gt;Retracted")=1,1,0))</f>
        <v>1</v>
      </c>
    </row>
    <row r="321" spans="1:21" x14ac:dyDescent="0.2">
      <c r="A321" t="s">
        <v>1991</v>
      </c>
      <c r="B321" t="s">
        <v>378</v>
      </c>
      <c r="C321" t="s">
        <v>1258</v>
      </c>
      <c r="D321" t="s">
        <v>1575</v>
      </c>
      <c r="E321" t="s">
        <v>379</v>
      </c>
      <c r="F321" t="s">
        <v>1583</v>
      </c>
      <c r="I321" t="s">
        <v>1058</v>
      </c>
      <c r="M321" t="s">
        <v>190</v>
      </c>
      <c r="N321" t="s">
        <v>203</v>
      </c>
      <c r="Q321" s="2" t="str">
        <f>IF($C321="","",IFERROR(VLOOKUP($C321,sources!$A$2:$N$200,2,FALSE()),"?"))</f>
        <v>Administrative</v>
      </c>
      <c r="R321" s="2" t="str">
        <f t="shared" si="4"/>
        <v>Textual</v>
      </c>
      <c r="S321" s="2" t="str">
        <f>IF($C321="","",IFERROR(VLOOKUP($C321,sources!$A$2:$N$200,9,FALSE()),"?"))</f>
        <v>US official</v>
      </c>
      <c r="T321" t="s">
        <v>5692</v>
      </c>
      <c r="U321">
        <f>IF(OR(B321="",C321="",T321="Retracted",LEFT(D321,8)="Negative"),0,IF(COUNTIFS($B$2:B321,B321,$C$2:C321,C321,$D$2:D321,"&lt;&gt;Negative*",$T$2:T321,"&lt;&gt;Retracted")=1,1,0))</f>
        <v>1</v>
      </c>
    </row>
    <row r="322" spans="1:21" x14ac:dyDescent="0.2">
      <c r="A322" t="s">
        <v>1992</v>
      </c>
      <c r="B322" t="s">
        <v>383</v>
      </c>
      <c r="C322" t="s">
        <v>1258</v>
      </c>
      <c r="D322" t="s">
        <v>1575</v>
      </c>
      <c r="E322" t="s">
        <v>384</v>
      </c>
      <c r="F322" t="s">
        <v>1583</v>
      </c>
      <c r="I322" t="s">
        <v>1058</v>
      </c>
      <c r="M322" t="s">
        <v>190</v>
      </c>
      <c r="N322" t="s">
        <v>203</v>
      </c>
      <c r="Q322" s="2" t="str">
        <f>IF($C322="","",IFERROR(VLOOKUP($C322,sources!$A$2:$N$200,2,FALSE()),"?"))</f>
        <v>Administrative</v>
      </c>
      <c r="R322" s="2" t="str">
        <f t="shared" ref="R322:R385" si="5">IF($Q322="","",IF($Q322="Map","Map",IF(OR($Q322="Photograph",$Q322="Postcard"),"Image",IF(OR($Q322="Census or roll",$Q322="Report",$Q322="Newspaper",$Q322="Letter",$Q322="Memoir",$Q322="Administrative",$Q322="Web compilation"),"Textual",IF($Q322="Legal claim","Legal/admin",IF($Q322="Secondary","Secondary","Other"))))))</f>
        <v>Textual</v>
      </c>
      <c r="S322" s="2" t="str">
        <f>IF($C322="","",IFERROR(VLOOKUP($C322,sources!$A$2:$N$200,9,FALSE()),"?"))</f>
        <v>US official</v>
      </c>
      <c r="T322" t="s">
        <v>5692</v>
      </c>
      <c r="U322">
        <f>IF(OR(B322="",C322="",T322="Retracted",LEFT(D322,8)="Negative"),0,IF(COUNTIFS($B$2:B322,B322,$C$2:C322,C322,$D$2:D322,"&lt;&gt;Negative*",$T$2:T322,"&lt;&gt;Retracted")=1,1,0))</f>
        <v>1</v>
      </c>
    </row>
    <row r="323" spans="1:21" x14ac:dyDescent="0.2">
      <c r="A323" t="s">
        <v>1993</v>
      </c>
      <c r="B323" t="s">
        <v>386</v>
      </c>
      <c r="C323" t="s">
        <v>1258</v>
      </c>
      <c r="D323" t="s">
        <v>1575</v>
      </c>
      <c r="E323" t="s">
        <v>387</v>
      </c>
      <c r="F323" t="s">
        <v>1583</v>
      </c>
      <c r="I323" t="s">
        <v>1058</v>
      </c>
      <c r="M323" t="s">
        <v>190</v>
      </c>
      <c r="N323" t="s">
        <v>203</v>
      </c>
      <c r="Q323" s="2" t="str">
        <f>IF($C323="","",IFERROR(VLOOKUP($C323,sources!$A$2:$N$200,2,FALSE()),"?"))</f>
        <v>Administrative</v>
      </c>
      <c r="R323" s="2" t="str">
        <f t="shared" si="5"/>
        <v>Textual</v>
      </c>
      <c r="S323" s="2" t="str">
        <f>IF($C323="","",IFERROR(VLOOKUP($C323,sources!$A$2:$N$200,9,FALSE()),"?"))</f>
        <v>US official</v>
      </c>
      <c r="T323" t="s">
        <v>5692</v>
      </c>
      <c r="U323">
        <f>IF(OR(B323="",C323="",T323="Retracted",LEFT(D323,8)="Negative"),0,IF(COUNTIFS($B$2:B323,B323,$C$2:C323,C323,$D$2:D323,"&lt;&gt;Negative*",$T$2:T323,"&lt;&gt;Retracted")=1,1,0))</f>
        <v>1</v>
      </c>
    </row>
    <row r="324" spans="1:21" x14ac:dyDescent="0.2">
      <c r="A324" t="s">
        <v>1994</v>
      </c>
      <c r="B324" t="s">
        <v>389</v>
      </c>
      <c r="C324" t="s">
        <v>1258</v>
      </c>
      <c r="D324" t="s">
        <v>1575</v>
      </c>
      <c r="E324" t="s">
        <v>390</v>
      </c>
      <c r="F324" t="s">
        <v>1583</v>
      </c>
      <c r="I324" t="s">
        <v>1058</v>
      </c>
      <c r="M324" t="s">
        <v>190</v>
      </c>
      <c r="N324" t="s">
        <v>203</v>
      </c>
      <c r="Q324" s="2" t="str">
        <f>IF($C324="","",IFERROR(VLOOKUP($C324,sources!$A$2:$N$200,2,FALSE()),"?"))</f>
        <v>Administrative</v>
      </c>
      <c r="R324" s="2" t="str">
        <f t="shared" si="5"/>
        <v>Textual</v>
      </c>
      <c r="S324" s="2" t="str">
        <f>IF($C324="","",IFERROR(VLOOKUP($C324,sources!$A$2:$N$200,9,FALSE()),"?"))</f>
        <v>US official</v>
      </c>
      <c r="T324" t="s">
        <v>5692</v>
      </c>
      <c r="U324">
        <f>IF(OR(B324="",C324="",T324="Retracted",LEFT(D324,8)="Negative"),0,IF(COUNTIFS($B$2:B324,B324,$C$2:C324,C324,$D$2:D324,"&lt;&gt;Negative*",$T$2:T324,"&lt;&gt;Retracted")=1,1,0))</f>
        <v>1</v>
      </c>
    </row>
    <row r="325" spans="1:21" x14ac:dyDescent="0.2">
      <c r="A325" t="s">
        <v>1995</v>
      </c>
      <c r="B325" t="s">
        <v>392</v>
      </c>
      <c r="C325" t="s">
        <v>1258</v>
      </c>
      <c r="D325" t="s">
        <v>1575</v>
      </c>
      <c r="E325" t="s">
        <v>393</v>
      </c>
      <c r="F325" t="s">
        <v>1583</v>
      </c>
      <c r="I325" t="s">
        <v>1058</v>
      </c>
      <c r="M325" t="s">
        <v>190</v>
      </c>
      <c r="N325" t="s">
        <v>203</v>
      </c>
      <c r="Q325" s="2" t="str">
        <f>IF($C325="","",IFERROR(VLOOKUP($C325,sources!$A$2:$N$200,2,FALSE()),"?"))</f>
        <v>Administrative</v>
      </c>
      <c r="R325" s="2" t="str">
        <f t="shared" si="5"/>
        <v>Textual</v>
      </c>
      <c r="S325" s="2" t="str">
        <f>IF($C325="","",IFERROR(VLOOKUP($C325,sources!$A$2:$N$200,9,FALSE()),"?"))</f>
        <v>US official</v>
      </c>
      <c r="T325" t="s">
        <v>5692</v>
      </c>
      <c r="U325">
        <f>IF(OR(B325="",C325="",T325="Retracted",LEFT(D325,8)="Negative"),0,IF(COUNTIFS($B$2:B325,B325,$C$2:C325,C325,$D$2:D325,"&lt;&gt;Negative*",$T$2:T325,"&lt;&gt;Retracted")=1,1,0))</f>
        <v>1</v>
      </c>
    </row>
    <row r="326" spans="1:21" x14ac:dyDescent="0.2">
      <c r="A326" t="s">
        <v>1996</v>
      </c>
      <c r="B326" t="s">
        <v>395</v>
      </c>
      <c r="C326" t="s">
        <v>1258</v>
      </c>
      <c r="D326" t="s">
        <v>1575</v>
      </c>
      <c r="E326" t="s">
        <v>396</v>
      </c>
      <c r="F326" t="s">
        <v>1583</v>
      </c>
      <c r="I326" t="s">
        <v>1058</v>
      </c>
      <c r="M326" t="s">
        <v>190</v>
      </c>
      <c r="N326" t="s">
        <v>203</v>
      </c>
      <c r="Q326" s="2" t="str">
        <f>IF($C326="","",IFERROR(VLOOKUP($C326,sources!$A$2:$N$200,2,FALSE()),"?"))</f>
        <v>Administrative</v>
      </c>
      <c r="R326" s="2" t="str">
        <f t="shared" si="5"/>
        <v>Textual</v>
      </c>
      <c r="S326" s="2" t="str">
        <f>IF($C326="","",IFERROR(VLOOKUP($C326,sources!$A$2:$N$200,9,FALSE()),"?"))</f>
        <v>US official</v>
      </c>
      <c r="T326" t="s">
        <v>5692</v>
      </c>
      <c r="U326">
        <f>IF(OR(B326="",C326="",T326="Retracted",LEFT(D326,8)="Negative"),0,IF(COUNTIFS($B$2:B326,B326,$C$2:C326,C326,$D$2:D326,"&lt;&gt;Negative*",$T$2:T326,"&lt;&gt;Retracted")=1,1,0))</f>
        <v>1</v>
      </c>
    </row>
    <row r="327" spans="1:21" x14ac:dyDescent="0.2">
      <c r="A327" t="s">
        <v>1997</v>
      </c>
      <c r="B327" t="s">
        <v>403</v>
      </c>
      <c r="C327" t="s">
        <v>1258</v>
      </c>
      <c r="D327" t="s">
        <v>1575</v>
      </c>
      <c r="E327" t="s">
        <v>404</v>
      </c>
      <c r="F327" t="s">
        <v>1583</v>
      </c>
      <c r="I327" t="s">
        <v>1058</v>
      </c>
      <c r="M327" t="s">
        <v>190</v>
      </c>
      <c r="N327" t="s">
        <v>203</v>
      </c>
      <c r="Q327" s="2" t="str">
        <f>IF($C327="","",IFERROR(VLOOKUP($C327,sources!$A$2:$N$200,2,FALSE()),"?"))</f>
        <v>Administrative</v>
      </c>
      <c r="R327" s="2" t="str">
        <f t="shared" si="5"/>
        <v>Textual</v>
      </c>
      <c r="S327" s="2" t="str">
        <f>IF($C327="","",IFERROR(VLOOKUP($C327,sources!$A$2:$N$200,9,FALSE()),"?"))</f>
        <v>US official</v>
      </c>
      <c r="T327" t="s">
        <v>5692</v>
      </c>
      <c r="U327">
        <f>IF(OR(B327="",C327="",T327="Retracted",LEFT(D327,8)="Negative"),0,IF(COUNTIFS($B$2:B327,B327,$C$2:C327,C327,$D$2:D327,"&lt;&gt;Negative*",$T$2:T327,"&lt;&gt;Retracted")=1,1,0))</f>
        <v>1</v>
      </c>
    </row>
    <row r="328" spans="1:21" x14ac:dyDescent="0.2">
      <c r="A328" t="s">
        <v>1998</v>
      </c>
      <c r="B328" t="s">
        <v>407</v>
      </c>
      <c r="C328" t="s">
        <v>1258</v>
      </c>
      <c r="D328" t="s">
        <v>1575</v>
      </c>
      <c r="E328" t="s">
        <v>408</v>
      </c>
      <c r="F328" t="s">
        <v>1583</v>
      </c>
      <c r="I328" t="s">
        <v>1058</v>
      </c>
      <c r="M328" t="s">
        <v>190</v>
      </c>
      <c r="N328" t="s">
        <v>203</v>
      </c>
      <c r="Q328" s="2" t="str">
        <f>IF($C328="","",IFERROR(VLOOKUP($C328,sources!$A$2:$N$200,2,FALSE()),"?"))</f>
        <v>Administrative</v>
      </c>
      <c r="R328" s="2" t="str">
        <f t="shared" si="5"/>
        <v>Textual</v>
      </c>
      <c r="S328" s="2" t="str">
        <f>IF($C328="","",IFERROR(VLOOKUP($C328,sources!$A$2:$N$200,9,FALSE()),"?"))</f>
        <v>US official</v>
      </c>
      <c r="T328" t="s">
        <v>5692</v>
      </c>
      <c r="U328">
        <f>IF(OR(B328="",C328="",T328="Retracted",LEFT(D328,8)="Negative"),0,IF(COUNTIFS($B$2:B328,B328,$C$2:C328,C328,$D$2:D328,"&lt;&gt;Negative*",$T$2:T328,"&lt;&gt;Retracted")=1,1,0))</f>
        <v>1</v>
      </c>
    </row>
    <row r="329" spans="1:21" x14ac:dyDescent="0.2">
      <c r="A329" t="s">
        <v>1999</v>
      </c>
      <c r="B329" t="s">
        <v>411</v>
      </c>
      <c r="C329" t="s">
        <v>1258</v>
      </c>
      <c r="D329" t="s">
        <v>1575</v>
      </c>
      <c r="E329" t="s">
        <v>412</v>
      </c>
      <c r="F329" t="s">
        <v>1583</v>
      </c>
      <c r="I329" t="s">
        <v>1058</v>
      </c>
      <c r="M329" t="s">
        <v>190</v>
      </c>
      <c r="N329" t="s">
        <v>203</v>
      </c>
      <c r="Q329" s="2" t="str">
        <f>IF($C329="","",IFERROR(VLOOKUP($C329,sources!$A$2:$N$200,2,FALSE()),"?"))</f>
        <v>Administrative</v>
      </c>
      <c r="R329" s="2" t="str">
        <f t="shared" si="5"/>
        <v>Textual</v>
      </c>
      <c r="S329" s="2" t="str">
        <f>IF($C329="","",IFERROR(VLOOKUP($C329,sources!$A$2:$N$200,9,FALSE()),"?"))</f>
        <v>US official</v>
      </c>
      <c r="T329" t="s">
        <v>5692</v>
      </c>
      <c r="U329">
        <f>IF(OR(B329="",C329="",T329="Retracted",LEFT(D329,8)="Negative"),0,IF(COUNTIFS($B$2:B329,B329,$C$2:C329,C329,$D$2:D329,"&lt;&gt;Negative*",$T$2:T329,"&lt;&gt;Retracted")=1,1,0))</f>
        <v>1</v>
      </c>
    </row>
    <row r="330" spans="1:21" x14ac:dyDescent="0.2">
      <c r="A330" t="s">
        <v>2000</v>
      </c>
      <c r="B330" t="s">
        <v>415</v>
      </c>
      <c r="C330" t="s">
        <v>1258</v>
      </c>
      <c r="D330" t="s">
        <v>1575</v>
      </c>
      <c r="E330" t="s">
        <v>416</v>
      </c>
      <c r="F330" t="s">
        <v>1583</v>
      </c>
      <c r="I330" t="s">
        <v>1058</v>
      </c>
      <c r="M330" t="s">
        <v>190</v>
      </c>
      <c r="N330" t="s">
        <v>203</v>
      </c>
      <c r="Q330" s="2" t="str">
        <f>IF($C330="","",IFERROR(VLOOKUP($C330,sources!$A$2:$N$200,2,FALSE()),"?"))</f>
        <v>Administrative</v>
      </c>
      <c r="R330" s="2" t="str">
        <f t="shared" si="5"/>
        <v>Textual</v>
      </c>
      <c r="S330" s="2" t="str">
        <f>IF($C330="","",IFERROR(VLOOKUP($C330,sources!$A$2:$N$200,9,FALSE()),"?"))</f>
        <v>US official</v>
      </c>
      <c r="T330" t="s">
        <v>5692</v>
      </c>
      <c r="U330">
        <f>IF(OR(B330="",C330="",T330="Retracted",LEFT(D330,8)="Negative"),0,IF(COUNTIFS($B$2:B330,B330,$C$2:C330,C330,$D$2:D330,"&lt;&gt;Negative*",$T$2:T330,"&lt;&gt;Retracted")=1,1,0))</f>
        <v>1</v>
      </c>
    </row>
    <row r="331" spans="1:21" x14ac:dyDescent="0.2">
      <c r="A331" t="s">
        <v>2001</v>
      </c>
      <c r="B331" t="s">
        <v>420</v>
      </c>
      <c r="C331" t="s">
        <v>1258</v>
      </c>
      <c r="D331" t="s">
        <v>1575</v>
      </c>
      <c r="E331" t="s">
        <v>421</v>
      </c>
      <c r="F331" t="s">
        <v>1583</v>
      </c>
      <c r="I331" t="s">
        <v>1058</v>
      </c>
      <c r="M331" t="s">
        <v>190</v>
      </c>
      <c r="N331" t="s">
        <v>203</v>
      </c>
      <c r="Q331" s="2" t="str">
        <f>IF($C331="","",IFERROR(VLOOKUP($C331,sources!$A$2:$N$200,2,FALSE()),"?"))</f>
        <v>Administrative</v>
      </c>
      <c r="R331" s="2" t="str">
        <f t="shared" si="5"/>
        <v>Textual</v>
      </c>
      <c r="S331" s="2" t="str">
        <f>IF($C331="","",IFERROR(VLOOKUP($C331,sources!$A$2:$N$200,9,FALSE()),"?"))</f>
        <v>US official</v>
      </c>
      <c r="T331" t="s">
        <v>5692</v>
      </c>
      <c r="U331">
        <f>IF(OR(B331="",C331="",T331="Retracted",LEFT(D331,8)="Negative"),0,IF(COUNTIFS($B$2:B331,B331,$C$2:C331,C331,$D$2:D331,"&lt;&gt;Negative*",$T$2:T331,"&lt;&gt;Retracted")=1,1,0))</f>
        <v>1</v>
      </c>
    </row>
    <row r="332" spans="1:21" x14ac:dyDescent="0.2">
      <c r="A332" t="s">
        <v>2002</v>
      </c>
      <c r="B332" t="s">
        <v>424</v>
      </c>
      <c r="C332" t="s">
        <v>1258</v>
      </c>
      <c r="D332" t="s">
        <v>1575</v>
      </c>
      <c r="E332" t="s">
        <v>425</v>
      </c>
      <c r="F332" t="s">
        <v>1583</v>
      </c>
      <c r="I332" t="s">
        <v>1058</v>
      </c>
      <c r="M332" t="s">
        <v>190</v>
      </c>
      <c r="N332" t="s">
        <v>203</v>
      </c>
      <c r="Q332" s="2" t="str">
        <f>IF($C332="","",IFERROR(VLOOKUP($C332,sources!$A$2:$N$200,2,FALSE()),"?"))</f>
        <v>Administrative</v>
      </c>
      <c r="R332" s="2" t="str">
        <f t="shared" si="5"/>
        <v>Textual</v>
      </c>
      <c r="S332" s="2" t="str">
        <f>IF($C332="","",IFERROR(VLOOKUP($C332,sources!$A$2:$N$200,9,FALSE()),"?"))</f>
        <v>US official</v>
      </c>
      <c r="T332" t="s">
        <v>5692</v>
      </c>
      <c r="U332">
        <f>IF(OR(B332="",C332="",T332="Retracted",LEFT(D332,8)="Negative"),0,IF(COUNTIFS($B$2:B332,B332,$C$2:C332,C332,$D$2:D332,"&lt;&gt;Negative*",$T$2:T332,"&lt;&gt;Retracted")=1,1,0))</f>
        <v>1</v>
      </c>
    </row>
    <row r="333" spans="1:21" x14ac:dyDescent="0.2">
      <c r="A333" t="s">
        <v>2003</v>
      </c>
      <c r="B333" t="s">
        <v>429</v>
      </c>
      <c r="C333" t="s">
        <v>1258</v>
      </c>
      <c r="D333" t="s">
        <v>1575</v>
      </c>
      <c r="E333" t="s">
        <v>430</v>
      </c>
      <c r="F333" t="s">
        <v>1583</v>
      </c>
      <c r="I333" t="s">
        <v>1058</v>
      </c>
      <c r="M333" t="s">
        <v>190</v>
      </c>
      <c r="N333" t="s">
        <v>203</v>
      </c>
      <c r="Q333" s="2" t="str">
        <f>IF($C333="","",IFERROR(VLOOKUP($C333,sources!$A$2:$N$200,2,FALSE()),"?"))</f>
        <v>Administrative</v>
      </c>
      <c r="R333" s="2" t="str">
        <f t="shared" si="5"/>
        <v>Textual</v>
      </c>
      <c r="S333" s="2" t="str">
        <f>IF($C333="","",IFERROR(VLOOKUP($C333,sources!$A$2:$N$200,9,FALSE()),"?"))</f>
        <v>US official</v>
      </c>
      <c r="T333" t="s">
        <v>5692</v>
      </c>
      <c r="U333">
        <f>IF(OR(B333="",C333="",T333="Retracted",LEFT(D333,8)="Negative"),0,IF(COUNTIFS($B$2:B333,B333,$C$2:C333,C333,$D$2:D333,"&lt;&gt;Negative*",$T$2:T333,"&lt;&gt;Retracted")=1,1,0))</f>
        <v>1</v>
      </c>
    </row>
    <row r="334" spans="1:21" x14ac:dyDescent="0.2">
      <c r="A334" t="s">
        <v>2004</v>
      </c>
      <c r="B334" t="s">
        <v>433</v>
      </c>
      <c r="C334" t="s">
        <v>1258</v>
      </c>
      <c r="D334" t="s">
        <v>1575</v>
      </c>
      <c r="E334" t="s">
        <v>434</v>
      </c>
      <c r="F334" t="s">
        <v>1583</v>
      </c>
      <c r="I334" t="s">
        <v>1058</v>
      </c>
      <c r="M334" t="s">
        <v>190</v>
      </c>
      <c r="N334" t="s">
        <v>203</v>
      </c>
      <c r="Q334" s="2" t="str">
        <f>IF($C334="","",IFERROR(VLOOKUP($C334,sources!$A$2:$N$200,2,FALSE()),"?"))</f>
        <v>Administrative</v>
      </c>
      <c r="R334" s="2" t="str">
        <f t="shared" si="5"/>
        <v>Textual</v>
      </c>
      <c r="S334" s="2" t="str">
        <f>IF($C334="","",IFERROR(VLOOKUP($C334,sources!$A$2:$N$200,9,FALSE()),"?"))</f>
        <v>US official</v>
      </c>
      <c r="T334" t="s">
        <v>5692</v>
      </c>
      <c r="U334">
        <f>IF(OR(B334="",C334="",T334="Retracted",LEFT(D334,8)="Negative"),0,IF(COUNTIFS($B$2:B334,B334,$C$2:C334,C334,$D$2:D334,"&lt;&gt;Negative*",$T$2:T334,"&lt;&gt;Retracted")=1,1,0))</f>
        <v>1</v>
      </c>
    </row>
    <row r="335" spans="1:21" x14ac:dyDescent="0.2">
      <c r="A335" t="s">
        <v>2005</v>
      </c>
      <c r="B335" t="s">
        <v>436</v>
      </c>
      <c r="C335" t="s">
        <v>1258</v>
      </c>
      <c r="D335" t="s">
        <v>1575</v>
      </c>
      <c r="E335" t="s">
        <v>437</v>
      </c>
      <c r="F335" t="s">
        <v>1583</v>
      </c>
      <c r="I335" t="s">
        <v>1058</v>
      </c>
      <c r="M335" t="s">
        <v>190</v>
      </c>
      <c r="N335" t="s">
        <v>203</v>
      </c>
      <c r="Q335" s="2" t="str">
        <f>IF($C335="","",IFERROR(VLOOKUP($C335,sources!$A$2:$N$200,2,FALSE()),"?"))</f>
        <v>Administrative</v>
      </c>
      <c r="R335" s="2" t="str">
        <f t="shared" si="5"/>
        <v>Textual</v>
      </c>
      <c r="S335" s="2" t="str">
        <f>IF($C335="","",IFERROR(VLOOKUP($C335,sources!$A$2:$N$200,9,FALSE()),"?"))</f>
        <v>US official</v>
      </c>
      <c r="T335" t="s">
        <v>5692</v>
      </c>
      <c r="U335">
        <f>IF(OR(B335="",C335="",T335="Retracted",LEFT(D335,8)="Negative"),0,IF(COUNTIFS($B$2:B335,B335,$C$2:C335,C335,$D$2:D335,"&lt;&gt;Negative*",$T$2:T335,"&lt;&gt;Retracted")=1,1,0))</f>
        <v>1</v>
      </c>
    </row>
    <row r="336" spans="1:21" x14ac:dyDescent="0.2">
      <c r="A336" t="s">
        <v>2006</v>
      </c>
      <c r="B336" t="s">
        <v>439</v>
      </c>
      <c r="C336" t="s">
        <v>1258</v>
      </c>
      <c r="D336" t="s">
        <v>1575</v>
      </c>
      <c r="E336" t="s">
        <v>440</v>
      </c>
      <c r="F336" t="s">
        <v>1583</v>
      </c>
      <c r="I336" t="s">
        <v>1058</v>
      </c>
      <c r="M336" t="s">
        <v>190</v>
      </c>
      <c r="N336" t="s">
        <v>203</v>
      </c>
      <c r="Q336" s="2" t="str">
        <f>IF($C336="","",IFERROR(VLOOKUP($C336,sources!$A$2:$N$200,2,FALSE()),"?"))</f>
        <v>Administrative</v>
      </c>
      <c r="R336" s="2" t="str">
        <f t="shared" si="5"/>
        <v>Textual</v>
      </c>
      <c r="S336" s="2" t="str">
        <f>IF($C336="","",IFERROR(VLOOKUP($C336,sources!$A$2:$N$200,9,FALSE()),"?"))</f>
        <v>US official</v>
      </c>
      <c r="T336" t="s">
        <v>5692</v>
      </c>
      <c r="U336">
        <f>IF(OR(B336="",C336="",T336="Retracted",LEFT(D336,8)="Negative"),0,IF(COUNTIFS($B$2:B336,B336,$C$2:C336,C336,$D$2:D336,"&lt;&gt;Negative*",$T$2:T336,"&lt;&gt;Retracted")=1,1,0))</f>
        <v>1</v>
      </c>
    </row>
    <row r="337" spans="1:21" x14ac:dyDescent="0.2">
      <c r="A337" t="s">
        <v>2007</v>
      </c>
      <c r="B337" t="s">
        <v>443</v>
      </c>
      <c r="C337" t="s">
        <v>1258</v>
      </c>
      <c r="D337" t="s">
        <v>1575</v>
      </c>
      <c r="E337" t="s">
        <v>444</v>
      </c>
      <c r="F337" t="s">
        <v>1583</v>
      </c>
      <c r="I337" t="s">
        <v>1058</v>
      </c>
      <c r="M337" t="s">
        <v>190</v>
      </c>
      <c r="N337" t="s">
        <v>203</v>
      </c>
      <c r="Q337" s="2" t="str">
        <f>IF($C337="","",IFERROR(VLOOKUP($C337,sources!$A$2:$N$200,2,FALSE()),"?"))</f>
        <v>Administrative</v>
      </c>
      <c r="R337" s="2" t="str">
        <f t="shared" si="5"/>
        <v>Textual</v>
      </c>
      <c r="S337" s="2" t="str">
        <f>IF($C337="","",IFERROR(VLOOKUP($C337,sources!$A$2:$N$200,9,FALSE()),"?"))</f>
        <v>US official</v>
      </c>
      <c r="T337" t="s">
        <v>5692</v>
      </c>
      <c r="U337">
        <f>IF(OR(B337="",C337="",T337="Retracted",LEFT(D337,8)="Negative"),0,IF(COUNTIFS($B$2:B337,B337,$C$2:C337,C337,$D$2:D337,"&lt;&gt;Negative*",$T$2:T337,"&lt;&gt;Retracted")=1,1,0))</f>
        <v>1</v>
      </c>
    </row>
    <row r="338" spans="1:21" x14ac:dyDescent="0.2">
      <c r="A338" t="s">
        <v>2008</v>
      </c>
      <c r="B338" t="s">
        <v>447</v>
      </c>
      <c r="C338" t="s">
        <v>1258</v>
      </c>
      <c r="D338" t="s">
        <v>1575</v>
      </c>
      <c r="E338" t="s">
        <v>448</v>
      </c>
      <c r="F338" t="s">
        <v>1583</v>
      </c>
      <c r="I338" t="s">
        <v>1058</v>
      </c>
      <c r="M338" t="s">
        <v>190</v>
      </c>
      <c r="N338" t="s">
        <v>203</v>
      </c>
      <c r="Q338" s="2" t="str">
        <f>IF($C338="","",IFERROR(VLOOKUP($C338,sources!$A$2:$N$200,2,FALSE()),"?"))</f>
        <v>Administrative</v>
      </c>
      <c r="R338" s="2" t="str">
        <f t="shared" si="5"/>
        <v>Textual</v>
      </c>
      <c r="S338" s="2" t="str">
        <f>IF($C338="","",IFERROR(VLOOKUP($C338,sources!$A$2:$N$200,9,FALSE()),"?"))</f>
        <v>US official</v>
      </c>
      <c r="T338" t="s">
        <v>5692</v>
      </c>
      <c r="U338">
        <f>IF(OR(B338="",C338="",T338="Retracted",LEFT(D338,8)="Negative"),0,IF(COUNTIFS($B$2:B338,B338,$C$2:C338,C338,$D$2:D338,"&lt;&gt;Negative*",$T$2:T338,"&lt;&gt;Retracted")=1,1,0))</f>
        <v>1</v>
      </c>
    </row>
    <row r="339" spans="1:21" x14ac:dyDescent="0.2">
      <c r="A339" t="s">
        <v>2009</v>
      </c>
      <c r="B339" t="s">
        <v>452</v>
      </c>
      <c r="C339" t="s">
        <v>1258</v>
      </c>
      <c r="D339" t="s">
        <v>1575</v>
      </c>
      <c r="E339" t="s">
        <v>453</v>
      </c>
      <c r="F339" t="s">
        <v>1583</v>
      </c>
      <c r="I339" t="s">
        <v>1058</v>
      </c>
      <c r="M339" t="s">
        <v>190</v>
      </c>
      <c r="N339" t="s">
        <v>203</v>
      </c>
      <c r="Q339" s="2" t="str">
        <f>IF($C339="","",IFERROR(VLOOKUP($C339,sources!$A$2:$N$200,2,FALSE()),"?"))</f>
        <v>Administrative</v>
      </c>
      <c r="R339" s="2" t="str">
        <f t="shared" si="5"/>
        <v>Textual</v>
      </c>
      <c r="S339" s="2" t="str">
        <f>IF($C339="","",IFERROR(VLOOKUP($C339,sources!$A$2:$N$200,9,FALSE()),"?"))</f>
        <v>US official</v>
      </c>
      <c r="T339" t="s">
        <v>5692</v>
      </c>
      <c r="U339">
        <f>IF(OR(B339="",C339="",T339="Retracted",LEFT(D339,8)="Negative"),0,IF(COUNTIFS($B$2:B339,B339,$C$2:C339,C339,$D$2:D339,"&lt;&gt;Negative*",$T$2:T339,"&lt;&gt;Retracted")=1,1,0))</f>
        <v>1</v>
      </c>
    </row>
    <row r="340" spans="1:21" x14ac:dyDescent="0.2">
      <c r="A340" t="s">
        <v>2010</v>
      </c>
      <c r="B340" t="s">
        <v>456</v>
      </c>
      <c r="C340" t="s">
        <v>1258</v>
      </c>
      <c r="D340" t="s">
        <v>1575</v>
      </c>
      <c r="E340" t="s">
        <v>457</v>
      </c>
      <c r="F340" t="s">
        <v>1583</v>
      </c>
      <c r="I340" t="s">
        <v>1058</v>
      </c>
      <c r="M340" t="s">
        <v>190</v>
      </c>
      <c r="N340" t="s">
        <v>203</v>
      </c>
      <c r="Q340" s="2" t="str">
        <f>IF($C340="","",IFERROR(VLOOKUP($C340,sources!$A$2:$N$200,2,FALSE()),"?"))</f>
        <v>Administrative</v>
      </c>
      <c r="R340" s="2" t="str">
        <f t="shared" si="5"/>
        <v>Textual</v>
      </c>
      <c r="S340" s="2" t="str">
        <f>IF($C340="","",IFERROR(VLOOKUP($C340,sources!$A$2:$N$200,9,FALSE()),"?"))</f>
        <v>US official</v>
      </c>
      <c r="T340" t="s">
        <v>5692</v>
      </c>
      <c r="U340">
        <f>IF(OR(B340="",C340="",T340="Retracted",LEFT(D340,8)="Negative"),0,IF(COUNTIFS($B$2:B340,B340,$C$2:C340,C340,$D$2:D340,"&lt;&gt;Negative*",$T$2:T340,"&lt;&gt;Retracted")=1,1,0))</f>
        <v>1</v>
      </c>
    </row>
    <row r="341" spans="1:21" x14ac:dyDescent="0.2">
      <c r="A341" t="s">
        <v>2011</v>
      </c>
      <c r="B341" t="s">
        <v>461</v>
      </c>
      <c r="C341" t="s">
        <v>1258</v>
      </c>
      <c r="D341" t="s">
        <v>1575</v>
      </c>
      <c r="E341" t="s">
        <v>462</v>
      </c>
      <c r="F341" t="s">
        <v>1583</v>
      </c>
      <c r="I341" t="s">
        <v>1058</v>
      </c>
      <c r="M341" t="s">
        <v>190</v>
      </c>
      <c r="N341" t="s">
        <v>203</v>
      </c>
      <c r="Q341" s="2" t="str">
        <f>IF($C341="","",IFERROR(VLOOKUP($C341,sources!$A$2:$N$200,2,FALSE()),"?"))</f>
        <v>Administrative</v>
      </c>
      <c r="R341" s="2" t="str">
        <f t="shared" si="5"/>
        <v>Textual</v>
      </c>
      <c r="S341" s="2" t="str">
        <f>IF($C341="","",IFERROR(VLOOKUP($C341,sources!$A$2:$N$200,9,FALSE()),"?"))</f>
        <v>US official</v>
      </c>
      <c r="T341" t="s">
        <v>5692</v>
      </c>
      <c r="U341">
        <f>IF(OR(B341="",C341="",T341="Retracted",LEFT(D341,8)="Negative"),0,IF(COUNTIFS($B$2:B341,B341,$C$2:C341,C341,$D$2:D341,"&lt;&gt;Negative*",$T$2:T341,"&lt;&gt;Retracted")=1,1,0))</f>
        <v>1</v>
      </c>
    </row>
    <row r="342" spans="1:21" x14ac:dyDescent="0.2">
      <c r="A342" t="s">
        <v>2012</v>
      </c>
      <c r="B342" t="s">
        <v>468</v>
      </c>
      <c r="C342" t="s">
        <v>1258</v>
      </c>
      <c r="D342" t="s">
        <v>1575</v>
      </c>
      <c r="E342" t="s">
        <v>469</v>
      </c>
      <c r="F342" t="s">
        <v>1583</v>
      </c>
      <c r="I342" t="s">
        <v>1058</v>
      </c>
      <c r="M342" t="s">
        <v>190</v>
      </c>
      <c r="N342" t="s">
        <v>203</v>
      </c>
      <c r="Q342" s="2" t="str">
        <f>IF($C342="","",IFERROR(VLOOKUP($C342,sources!$A$2:$N$200,2,FALSE()),"?"))</f>
        <v>Administrative</v>
      </c>
      <c r="R342" s="2" t="str">
        <f t="shared" si="5"/>
        <v>Textual</v>
      </c>
      <c r="S342" s="2" t="str">
        <f>IF($C342="","",IFERROR(VLOOKUP($C342,sources!$A$2:$N$200,9,FALSE()),"?"))</f>
        <v>US official</v>
      </c>
      <c r="T342" t="s">
        <v>5692</v>
      </c>
      <c r="U342">
        <f>IF(OR(B342="",C342="",T342="Retracted",LEFT(D342,8)="Negative"),0,IF(COUNTIFS($B$2:B342,B342,$C$2:C342,C342,$D$2:D342,"&lt;&gt;Negative*",$T$2:T342,"&lt;&gt;Retracted")=1,1,0))</f>
        <v>1</v>
      </c>
    </row>
    <row r="343" spans="1:21" x14ac:dyDescent="0.2">
      <c r="A343" t="s">
        <v>2013</v>
      </c>
      <c r="B343" t="s">
        <v>472</v>
      </c>
      <c r="C343" t="s">
        <v>1258</v>
      </c>
      <c r="D343" t="s">
        <v>1575</v>
      </c>
      <c r="E343" t="s">
        <v>473</v>
      </c>
      <c r="F343" t="s">
        <v>1583</v>
      </c>
      <c r="I343" t="s">
        <v>1058</v>
      </c>
      <c r="M343" t="s">
        <v>190</v>
      </c>
      <c r="N343" t="s">
        <v>203</v>
      </c>
      <c r="Q343" s="2" t="str">
        <f>IF($C343="","",IFERROR(VLOOKUP($C343,sources!$A$2:$N$200,2,FALSE()),"?"))</f>
        <v>Administrative</v>
      </c>
      <c r="R343" s="2" t="str">
        <f t="shared" si="5"/>
        <v>Textual</v>
      </c>
      <c r="S343" s="2" t="str">
        <f>IF($C343="","",IFERROR(VLOOKUP($C343,sources!$A$2:$N$200,9,FALSE()),"?"))</f>
        <v>US official</v>
      </c>
      <c r="T343" t="s">
        <v>5692</v>
      </c>
      <c r="U343">
        <f>IF(OR(B343="",C343="",T343="Retracted",LEFT(D343,8)="Negative"),0,IF(COUNTIFS($B$2:B343,B343,$C$2:C343,C343,$D$2:D343,"&lt;&gt;Negative*",$T$2:T343,"&lt;&gt;Retracted")=1,1,0))</f>
        <v>1</v>
      </c>
    </row>
    <row r="344" spans="1:21" x14ac:dyDescent="0.2">
      <c r="A344" t="s">
        <v>2014</v>
      </c>
      <c r="B344" t="s">
        <v>475</v>
      </c>
      <c r="C344" t="s">
        <v>1258</v>
      </c>
      <c r="D344" t="s">
        <v>1575</v>
      </c>
      <c r="E344" t="s">
        <v>476</v>
      </c>
      <c r="F344" t="s">
        <v>1583</v>
      </c>
      <c r="I344" t="s">
        <v>1058</v>
      </c>
      <c r="M344" t="s">
        <v>190</v>
      </c>
      <c r="N344" t="s">
        <v>203</v>
      </c>
      <c r="Q344" s="2" t="str">
        <f>IF($C344="","",IFERROR(VLOOKUP($C344,sources!$A$2:$N$200,2,FALSE()),"?"))</f>
        <v>Administrative</v>
      </c>
      <c r="R344" s="2" t="str">
        <f t="shared" si="5"/>
        <v>Textual</v>
      </c>
      <c r="S344" s="2" t="str">
        <f>IF($C344="","",IFERROR(VLOOKUP($C344,sources!$A$2:$N$200,9,FALSE()),"?"))</f>
        <v>US official</v>
      </c>
      <c r="T344" t="s">
        <v>5692</v>
      </c>
      <c r="U344">
        <f>IF(OR(B344="",C344="",T344="Retracted",LEFT(D344,8)="Negative"),0,IF(COUNTIFS($B$2:B344,B344,$C$2:C344,C344,$D$2:D344,"&lt;&gt;Negative*",$T$2:T344,"&lt;&gt;Retracted")=1,1,0))</f>
        <v>1</v>
      </c>
    </row>
    <row r="345" spans="1:21" x14ac:dyDescent="0.2">
      <c r="A345" t="s">
        <v>2015</v>
      </c>
      <c r="B345" t="s">
        <v>480</v>
      </c>
      <c r="C345" t="s">
        <v>1258</v>
      </c>
      <c r="D345" t="s">
        <v>1575</v>
      </c>
      <c r="E345" t="s">
        <v>481</v>
      </c>
      <c r="F345" t="s">
        <v>1583</v>
      </c>
      <c r="I345" t="s">
        <v>1058</v>
      </c>
      <c r="M345" t="s">
        <v>190</v>
      </c>
      <c r="N345" t="s">
        <v>203</v>
      </c>
      <c r="Q345" s="2" t="str">
        <f>IF($C345="","",IFERROR(VLOOKUP($C345,sources!$A$2:$N$200,2,FALSE()),"?"))</f>
        <v>Administrative</v>
      </c>
      <c r="R345" s="2" t="str">
        <f t="shared" si="5"/>
        <v>Textual</v>
      </c>
      <c r="S345" s="2" t="str">
        <f>IF($C345="","",IFERROR(VLOOKUP($C345,sources!$A$2:$N$200,9,FALSE()),"?"))</f>
        <v>US official</v>
      </c>
      <c r="T345" t="s">
        <v>5692</v>
      </c>
      <c r="U345">
        <f>IF(OR(B345="",C345="",T345="Retracted",LEFT(D345,8)="Negative"),0,IF(COUNTIFS($B$2:B345,B345,$C$2:C345,C345,$D$2:D345,"&lt;&gt;Negative*",$T$2:T345,"&lt;&gt;Retracted")=1,1,0))</f>
        <v>1</v>
      </c>
    </row>
    <row r="346" spans="1:21" x14ac:dyDescent="0.2">
      <c r="A346" t="s">
        <v>2016</v>
      </c>
      <c r="B346" t="s">
        <v>484</v>
      </c>
      <c r="C346" t="s">
        <v>1258</v>
      </c>
      <c r="D346" t="s">
        <v>1575</v>
      </c>
      <c r="E346" t="s">
        <v>485</v>
      </c>
      <c r="F346" t="s">
        <v>1583</v>
      </c>
      <c r="I346" t="s">
        <v>1058</v>
      </c>
      <c r="M346" t="s">
        <v>190</v>
      </c>
      <c r="N346" t="s">
        <v>203</v>
      </c>
      <c r="Q346" s="2" t="str">
        <f>IF($C346="","",IFERROR(VLOOKUP($C346,sources!$A$2:$N$200,2,FALSE()),"?"))</f>
        <v>Administrative</v>
      </c>
      <c r="R346" s="2" t="str">
        <f t="shared" si="5"/>
        <v>Textual</v>
      </c>
      <c r="S346" s="2" t="str">
        <f>IF($C346="","",IFERROR(VLOOKUP($C346,sources!$A$2:$N$200,9,FALSE()),"?"))</f>
        <v>US official</v>
      </c>
      <c r="T346" t="s">
        <v>5692</v>
      </c>
      <c r="U346">
        <f>IF(OR(B346="",C346="",T346="Retracted",LEFT(D346,8)="Negative"),0,IF(COUNTIFS($B$2:B346,B346,$C$2:C346,C346,$D$2:D346,"&lt;&gt;Negative*",$T$2:T346,"&lt;&gt;Retracted")=1,1,0))</f>
        <v>1</v>
      </c>
    </row>
    <row r="347" spans="1:21" x14ac:dyDescent="0.2">
      <c r="A347" t="s">
        <v>2017</v>
      </c>
      <c r="B347" t="s">
        <v>487</v>
      </c>
      <c r="C347" t="s">
        <v>1258</v>
      </c>
      <c r="D347" t="s">
        <v>1575</v>
      </c>
      <c r="E347" t="s">
        <v>488</v>
      </c>
      <c r="F347" t="s">
        <v>1583</v>
      </c>
      <c r="I347" t="s">
        <v>1058</v>
      </c>
      <c r="M347" t="s">
        <v>190</v>
      </c>
      <c r="N347" t="s">
        <v>203</v>
      </c>
      <c r="Q347" s="2" t="str">
        <f>IF($C347="","",IFERROR(VLOOKUP($C347,sources!$A$2:$N$200,2,FALSE()),"?"))</f>
        <v>Administrative</v>
      </c>
      <c r="R347" s="2" t="str">
        <f t="shared" si="5"/>
        <v>Textual</v>
      </c>
      <c r="S347" s="2" t="str">
        <f>IF($C347="","",IFERROR(VLOOKUP($C347,sources!$A$2:$N$200,9,FALSE()),"?"))</f>
        <v>US official</v>
      </c>
      <c r="T347" t="s">
        <v>5692</v>
      </c>
      <c r="U347">
        <f>IF(OR(B347="",C347="",T347="Retracted",LEFT(D347,8)="Negative"),0,IF(COUNTIFS($B$2:B347,B347,$C$2:C347,C347,$D$2:D347,"&lt;&gt;Negative*",$T$2:T347,"&lt;&gt;Retracted")=1,1,0))</f>
        <v>1</v>
      </c>
    </row>
    <row r="348" spans="1:21" x14ac:dyDescent="0.2">
      <c r="A348" t="s">
        <v>2018</v>
      </c>
      <c r="B348" t="s">
        <v>498</v>
      </c>
      <c r="C348" t="s">
        <v>1258</v>
      </c>
      <c r="D348" t="s">
        <v>1575</v>
      </c>
      <c r="E348" t="s">
        <v>499</v>
      </c>
      <c r="F348" t="s">
        <v>1583</v>
      </c>
      <c r="I348" t="s">
        <v>1058</v>
      </c>
      <c r="M348" t="s">
        <v>190</v>
      </c>
      <c r="N348" t="s">
        <v>203</v>
      </c>
      <c r="Q348" s="2" t="str">
        <f>IF($C348="","",IFERROR(VLOOKUP($C348,sources!$A$2:$N$200,2,FALSE()),"?"))</f>
        <v>Administrative</v>
      </c>
      <c r="R348" s="2" t="str">
        <f t="shared" si="5"/>
        <v>Textual</v>
      </c>
      <c r="S348" s="2" t="str">
        <f>IF($C348="","",IFERROR(VLOOKUP($C348,sources!$A$2:$N$200,9,FALSE()),"?"))</f>
        <v>US official</v>
      </c>
      <c r="T348" t="s">
        <v>5692</v>
      </c>
      <c r="U348">
        <f>IF(OR(B348="",C348="",T348="Retracted",LEFT(D348,8)="Negative"),0,IF(COUNTIFS($B$2:B348,B348,$C$2:C348,C348,$D$2:D348,"&lt;&gt;Negative*",$T$2:T348,"&lt;&gt;Retracted")=1,1,0))</f>
        <v>1</v>
      </c>
    </row>
    <row r="349" spans="1:21" x14ac:dyDescent="0.2">
      <c r="A349" t="s">
        <v>2019</v>
      </c>
      <c r="B349" t="s">
        <v>510</v>
      </c>
      <c r="C349" t="s">
        <v>1258</v>
      </c>
      <c r="D349" t="s">
        <v>1575</v>
      </c>
      <c r="E349" t="s">
        <v>511</v>
      </c>
      <c r="F349" t="s">
        <v>1583</v>
      </c>
      <c r="I349" t="s">
        <v>1058</v>
      </c>
      <c r="M349" t="s">
        <v>190</v>
      </c>
      <c r="N349" t="s">
        <v>203</v>
      </c>
      <c r="Q349" s="2" t="str">
        <f>IF($C349="","",IFERROR(VLOOKUP($C349,sources!$A$2:$N$200,2,FALSE()),"?"))</f>
        <v>Administrative</v>
      </c>
      <c r="R349" s="2" t="str">
        <f t="shared" si="5"/>
        <v>Textual</v>
      </c>
      <c r="S349" s="2" t="str">
        <f>IF($C349="","",IFERROR(VLOOKUP($C349,sources!$A$2:$N$200,9,FALSE()),"?"))</f>
        <v>US official</v>
      </c>
      <c r="T349" t="s">
        <v>5692</v>
      </c>
      <c r="U349">
        <f>IF(OR(B349="",C349="",T349="Retracted",LEFT(D349,8)="Negative"),0,IF(COUNTIFS($B$2:B349,B349,$C$2:C349,C349,$D$2:D349,"&lt;&gt;Negative*",$T$2:T349,"&lt;&gt;Retracted")=1,1,0))</f>
        <v>1</v>
      </c>
    </row>
    <row r="350" spans="1:21" x14ac:dyDescent="0.2">
      <c r="A350" t="s">
        <v>2020</v>
      </c>
      <c r="B350" t="s">
        <v>194</v>
      </c>
      <c r="C350" t="s">
        <v>1258</v>
      </c>
      <c r="D350" t="s">
        <v>1613</v>
      </c>
      <c r="E350" t="s">
        <v>195</v>
      </c>
      <c r="F350" t="s">
        <v>1583</v>
      </c>
      <c r="I350" t="s">
        <v>1058</v>
      </c>
      <c r="M350" t="s">
        <v>203</v>
      </c>
      <c r="N350" t="s">
        <v>203</v>
      </c>
      <c r="Q350" s="2" t="str">
        <f>IF($C350="","",IFERROR(VLOOKUP($C350,sources!$A$2:$N$200,2,FALSE()),"?"))</f>
        <v>Administrative</v>
      </c>
      <c r="R350" s="2" t="str">
        <f t="shared" si="5"/>
        <v>Textual</v>
      </c>
      <c r="S350" s="2" t="str">
        <f>IF($C350="","",IFERROR(VLOOKUP($C350,sources!$A$2:$N$200,9,FALSE()),"?"))</f>
        <v>US official</v>
      </c>
      <c r="T350" t="s">
        <v>5692</v>
      </c>
      <c r="U350">
        <f>IF(OR(B350="",C350="",T350="Retracted",LEFT(D350,8)="Negative"),0,IF(COUNTIFS($B$2:B350,B350,$C$2:C350,C350,$D$2:D350,"&lt;&gt;Negative*",$T$2:T350,"&lt;&gt;Retracted")=1,1,0))</f>
        <v>0</v>
      </c>
    </row>
    <row r="351" spans="1:21" x14ac:dyDescent="0.2">
      <c r="A351" t="s">
        <v>2021</v>
      </c>
      <c r="B351" t="s">
        <v>205</v>
      </c>
      <c r="C351" t="s">
        <v>1258</v>
      </c>
      <c r="D351" t="s">
        <v>1613</v>
      </c>
      <c r="E351" t="s">
        <v>206</v>
      </c>
      <c r="F351" t="s">
        <v>1583</v>
      </c>
      <c r="I351" t="s">
        <v>1058</v>
      </c>
      <c r="M351" t="s">
        <v>203</v>
      </c>
      <c r="N351" t="s">
        <v>203</v>
      </c>
      <c r="Q351" s="2" t="str">
        <f>IF($C351="","",IFERROR(VLOOKUP($C351,sources!$A$2:$N$200,2,FALSE()),"?"))</f>
        <v>Administrative</v>
      </c>
      <c r="R351" s="2" t="str">
        <f t="shared" si="5"/>
        <v>Textual</v>
      </c>
      <c r="S351" s="2" t="str">
        <f>IF($C351="","",IFERROR(VLOOKUP($C351,sources!$A$2:$N$200,9,FALSE()),"?"))</f>
        <v>US official</v>
      </c>
      <c r="T351" t="s">
        <v>5692</v>
      </c>
      <c r="U351">
        <f>IF(OR(B351="",C351="",T351="Retracted",LEFT(D351,8)="Negative"),0,IF(COUNTIFS($B$2:B351,B351,$C$2:C351,C351,$D$2:D351,"&lt;&gt;Negative*",$T$2:T351,"&lt;&gt;Retracted")=1,1,0))</f>
        <v>0</v>
      </c>
    </row>
    <row r="352" spans="1:21" x14ac:dyDescent="0.2">
      <c r="A352" t="s">
        <v>2022</v>
      </c>
      <c r="B352" t="s">
        <v>215</v>
      </c>
      <c r="C352" t="s">
        <v>1258</v>
      </c>
      <c r="D352" t="s">
        <v>1613</v>
      </c>
      <c r="E352" t="s">
        <v>216</v>
      </c>
      <c r="F352" t="s">
        <v>1583</v>
      </c>
      <c r="I352" t="s">
        <v>1058</v>
      </c>
      <c r="M352" t="s">
        <v>203</v>
      </c>
      <c r="N352" t="s">
        <v>203</v>
      </c>
      <c r="Q352" s="2" t="str">
        <f>IF($C352="","",IFERROR(VLOOKUP($C352,sources!$A$2:$N$200,2,FALSE()),"?"))</f>
        <v>Administrative</v>
      </c>
      <c r="R352" s="2" t="str">
        <f t="shared" si="5"/>
        <v>Textual</v>
      </c>
      <c r="S352" s="2" t="str">
        <f>IF($C352="","",IFERROR(VLOOKUP($C352,sources!$A$2:$N$200,9,FALSE()),"?"))</f>
        <v>US official</v>
      </c>
      <c r="T352" t="s">
        <v>5692</v>
      </c>
      <c r="U352">
        <f>IF(OR(B352="",C352="",T352="Retracted",LEFT(D352,8)="Negative"),0,IF(COUNTIFS($B$2:B352,B352,$C$2:C352,C352,$D$2:D352,"&lt;&gt;Negative*",$T$2:T352,"&lt;&gt;Retracted")=1,1,0))</f>
        <v>0</v>
      </c>
    </row>
    <row r="353" spans="1:21" x14ac:dyDescent="0.2">
      <c r="A353" t="s">
        <v>2023</v>
      </c>
      <c r="B353" t="s">
        <v>217</v>
      </c>
      <c r="C353" t="s">
        <v>1258</v>
      </c>
      <c r="D353" t="s">
        <v>1613</v>
      </c>
      <c r="E353" t="s">
        <v>218</v>
      </c>
      <c r="F353" t="s">
        <v>1583</v>
      </c>
      <c r="I353" t="s">
        <v>1058</v>
      </c>
      <c r="M353" t="s">
        <v>203</v>
      </c>
      <c r="N353" t="s">
        <v>203</v>
      </c>
      <c r="Q353" s="2" t="str">
        <f>IF($C353="","",IFERROR(VLOOKUP($C353,sources!$A$2:$N$200,2,FALSE()),"?"))</f>
        <v>Administrative</v>
      </c>
      <c r="R353" s="2" t="str">
        <f t="shared" si="5"/>
        <v>Textual</v>
      </c>
      <c r="S353" s="2" t="str">
        <f>IF($C353="","",IFERROR(VLOOKUP($C353,sources!$A$2:$N$200,9,FALSE()),"?"))</f>
        <v>US official</v>
      </c>
      <c r="T353" t="s">
        <v>5692</v>
      </c>
      <c r="U353">
        <f>IF(OR(B353="",C353="",T353="Retracted",LEFT(D353,8)="Negative"),0,IF(COUNTIFS($B$2:B353,B353,$C$2:C353,C353,$D$2:D353,"&lt;&gt;Negative*",$T$2:T353,"&lt;&gt;Retracted")=1,1,0))</f>
        <v>0</v>
      </c>
    </row>
    <row r="354" spans="1:21" x14ac:dyDescent="0.2">
      <c r="A354" t="s">
        <v>2024</v>
      </c>
      <c r="B354" t="s">
        <v>398</v>
      </c>
      <c r="C354" t="s">
        <v>1258</v>
      </c>
      <c r="D354" t="s">
        <v>1613</v>
      </c>
      <c r="E354" t="s">
        <v>399</v>
      </c>
      <c r="F354" t="s">
        <v>1583</v>
      </c>
      <c r="I354" t="s">
        <v>1058</v>
      </c>
      <c r="M354" t="s">
        <v>203</v>
      </c>
      <c r="N354" t="s">
        <v>203</v>
      </c>
      <c r="Q354" s="2" t="str">
        <f>IF($C354="","",IFERROR(VLOOKUP($C354,sources!$A$2:$N$200,2,FALSE()),"?"))</f>
        <v>Administrative</v>
      </c>
      <c r="R354" s="2" t="str">
        <f t="shared" si="5"/>
        <v>Textual</v>
      </c>
      <c r="S354" s="2" t="str">
        <f>IF($C354="","",IFERROR(VLOOKUP($C354,sources!$A$2:$N$200,9,FALSE()),"?"))</f>
        <v>US official</v>
      </c>
      <c r="T354" t="s">
        <v>5692</v>
      </c>
      <c r="U354">
        <f>IF(OR(B354="",C354="",T354="Retracted",LEFT(D354,8)="Negative"),0,IF(COUNTIFS($B$2:B354,B354,$C$2:C354,C354,$D$2:D354,"&lt;&gt;Negative*",$T$2:T354,"&lt;&gt;Retracted")=1,1,0))</f>
        <v>0</v>
      </c>
    </row>
    <row r="355" spans="1:21" x14ac:dyDescent="0.2">
      <c r="A355" t="s">
        <v>2025</v>
      </c>
      <c r="B355" t="s">
        <v>465</v>
      </c>
      <c r="C355" t="s">
        <v>1258</v>
      </c>
      <c r="D355" t="s">
        <v>1613</v>
      </c>
      <c r="E355" t="s">
        <v>466</v>
      </c>
      <c r="F355" t="s">
        <v>1583</v>
      </c>
      <c r="I355" t="s">
        <v>1058</v>
      </c>
      <c r="M355" t="s">
        <v>203</v>
      </c>
      <c r="N355" t="s">
        <v>203</v>
      </c>
      <c r="Q355" s="2" t="str">
        <f>IF($C355="","",IFERROR(VLOOKUP($C355,sources!$A$2:$N$200,2,FALSE()),"?"))</f>
        <v>Administrative</v>
      </c>
      <c r="R355" s="2" t="str">
        <f t="shared" si="5"/>
        <v>Textual</v>
      </c>
      <c r="S355" s="2" t="str">
        <f>IF($C355="","",IFERROR(VLOOKUP($C355,sources!$A$2:$N$200,9,FALSE()),"?"))</f>
        <v>US official</v>
      </c>
      <c r="T355" t="s">
        <v>5692</v>
      </c>
      <c r="U355">
        <f>IF(OR(B355="",C355="",T355="Retracted",LEFT(D355,8)="Negative"),0,IF(COUNTIFS($B$2:B355,B355,$C$2:C355,C355,$D$2:D355,"&lt;&gt;Negative*",$T$2:T355,"&lt;&gt;Retracted")=1,1,0))</f>
        <v>0</v>
      </c>
    </row>
    <row r="356" spans="1:21" x14ac:dyDescent="0.2">
      <c r="A356" t="s">
        <v>2026</v>
      </c>
      <c r="B356" t="s">
        <v>490</v>
      </c>
      <c r="C356" t="s">
        <v>1258</v>
      </c>
      <c r="D356" t="s">
        <v>1613</v>
      </c>
      <c r="E356" t="s">
        <v>491</v>
      </c>
      <c r="F356" t="s">
        <v>1583</v>
      </c>
      <c r="I356" t="s">
        <v>1058</v>
      </c>
      <c r="M356" t="s">
        <v>203</v>
      </c>
      <c r="N356" t="s">
        <v>203</v>
      </c>
      <c r="Q356" s="2" t="str">
        <f>IF($C356="","",IFERROR(VLOOKUP($C356,sources!$A$2:$N$200,2,FALSE()),"?"))</f>
        <v>Administrative</v>
      </c>
      <c r="R356" s="2" t="str">
        <f t="shared" si="5"/>
        <v>Textual</v>
      </c>
      <c r="S356" s="2" t="str">
        <f>IF($C356="","",IFERROR(VLOOKUP($C356,sources!$A$2:$N$200,9,FALSE()),"?"))</f>
        <v>US official</v>
      </c>
      <c r="T356" t="s">
        <v>5692</v>
      </c>
      <c r="U356">
        <f>IF(OR(B356="",C356="",T356="Retracted",LEFT(D356,8)="Negative"),0,IF(COUNTIFS($B$2:B356,B356,$C$2:C356,C356,$D$2:D356,"&lt;&gt;Negative*",$T$2:T356,"&lt;&gt;Retracted")=1,1,0))</f>
        <v>0</v>
      </c>
    </row>
    <row r="357" spans="1:21" x14ac:dyDescent="0.2">
      <c r="A357" t="s">
        <v>2027</v>
      </c>
      <c r="B357" t="s">
        <v>495</v>
      </c>
      <c r="C357" t="s">
        <v>1258</v>
      </c>
      <c r="D357" t="s">
        <v>1613</v>
      </c>
      <c r="E357" t="s">
        <v>496</v>
      </c>
      <c r="F357" t="s">
        <v>1583</v>
      </c>
      <c r="I357" t="s">
        <v>1058</v>
      </c>
      <c r="M357" t="s">
        <v>203</v>
      </c>
      <c r="N357" t="s">
        <v>203</v>
      </c>
      <c r="Q357" s="2" t="str">
        <f>IF($C357="","",IFERROR(VLOOKUP($C357,sources!$A$2:$N$200,2,FALSE()),"?"))</f>
        <v>Administrative</v>
      </c>
      <c r="R357" s="2" t="str">
        <f t="shared" si="5"/>
        <v>Textual</v>
      </c>
      <c r="S357" s="2" t="str">
        <f>IF($C357="","",IFERROR(VLOOKUP($C357,sources!$A$2:$N$200,9,FALSE()),"?"))</f>
        <v>US official</v>
      </c>
      <c r="T357" t="s">
        <v>5692</v>
      </c>
      <c r="U357">
        <f>IF(OR(B357="",C357="",T357="Retracted",LEFT(D357,8)="Negative"),0,IF(COUNTIFS($B$2:B357,B357,$C$2:C357,C357,$D$2:D357,"&lt;&gt;Negative*",$T$2:T357,"&lt;&gt;Retracted")=1,1,0))</f>
        <v>0</v>
      </c>
    </row>
    <row r="358" spans="1:21" x14ac:dyDescent="0.2">
      <c r="A358" t="s">
        <v>2028</v>
      </c>
      <c r="B358" t="s">
        <v>503</v>
      </c>
      <c r="C358" t="s">
        <v>1258</v>
      </c>
      <c r="D358" t="s">
        <v>1613</v>
      </c>
      <c r="E358" t="s">
        <v>504</v>
      </c>
      <c r="F358" t="s">
        <v>1583</v>
      </c>
      <c r="I358" t="s">
        <v>1058</v>
      </c>
      <c r="M358" t="s">
        <v>203</v>
      </c>
      <c r="N358" t="s">
        <v>203</v>
      </c>
      <c r="Q358" s="2" t="str">
        <f>IF($C358="","",IFERROR(VLOOKUP($C358,sources!$A$2:$N$200,2,FALSE()),"?"))</f>
        <v>Administrative</v>
      </c>
      <c r="R358" s="2" t="str">
        <f t="shared" si="5"/>
        <v>Textual</v>
      </c>
      <c r="S358" s="2" t="str">
        <f>IF($C358="","",IFERROR(VLOOKUP($C358,sources!$A$2:$N$200,9,FALSE()),"?"))</f>
        <v>US official</v>
      </c>
      <c r="T358" t="s">
        <v>5692</v>
      </c>
      <c r="U358">
        <f>IF(OR(B358="",C358="",T358="Retracted",LEFT(D358,8)="Negative"),0,IF(COUNTIFS($B$2:B358,B358,$C$2:C358,C358,$D$2:D358,"&lt;&gt;Negative*",$T$2:T358,"&lt;&gt;Retracted")=1,1,0))</f>
        <v>0</v>
      </c>
    </row>
    <row r="359" spans="1:21" x14ac:dyDescent="0.2">
      <c r="A359" t="s">
        <v>2029</v>
      </c>
      <c r="B359" t="s">
        <v>507</v>
      </c>
      <c r="C359" t="s">
        <v>1258</v>
      </c>
      <c r="D359" t="s">
        <v>1613</v>
      </c>
      <c r="E359" t="s">
        <v>508</v>
      </c>
      <c r="F359" t="s">
        <v>1583</v>
      </c>
      <c r="I359" t="s">
        <v>1058</v>
      </c>
      <c r="M359" t="s">
        <v>203</v>
      </c>
      <c r="N359" t="s">
        <v>203</v>
      </c>
      <c r="Q359" s="2" t="str">
        <f>IF($C359="","",IFERROR(VLOOKUP($C359,sources!$A$2:$N$200,2,FALSE()),"?"))</f>
        <v>Administrative</v>
      </c>
      <c r="R359" s="2" t="str">
        <f t="shared" si="5"/>
        <v>Textual</v>
      </c>
      <c r="S359" s="2" t="str">
        <f>IF($C359="","",IFERROR(VLOOKUP($C359,sources!$A$2:$N$200,9,FALSE()),"?"))</f>
        <v>US official</v>
      </c>
      <c r="T359" t="s">
        <v>5692</v>
      </c>
      <c r="U359">
        <f>IF(OR(B359="",C359="",T359="Retracted",LEFT(D359,8)="Negative"),0,IF(COUNTIFS($B$2:B359,B359,$C$2:C359,C359,$D$2:D359,"&lt;&gt;Negative*",$T$2:T359,"&lt;&gt;Retracted")=1,1,0))</f>
        <v>0</v>
      </c>
    </row>
    <row r="360" spans="1:21" x14ac:dyDescent="0.2">
      <c r="A360" t="s">
        <v>2030</v>
      </c>
      <c r="B360" t="s">
        <v>219</v>
      </c>
      <c r="C360" t="s">
        <v>1267</v>
      </c>
      <c r="D360" t="s">
        <v>1575</v>
      </c>
      <c r="E360" t="s">
        <v>2031</v>
      </c>
      <c r="F360" t="s">
        <v>1583</v>
      </c>
      <c r="I360" t="s">
        <v>1058</v>
      </c>
      <c r="K360" t="s">
        <v>283</v>
      </c>
      <c r="L360" t="s">
        <v>283</v>
      </c>
      <c r="M360" t="s">
        <v>203</v>
      </c>
      <c r="N360" t="s">
        <v>203</v>
      </c>
      <c r="Q360" s="2" t="str">
        <f>IF($C360="","",IFERROR(VLOOKUP($C360,sources!$A$2:$N$200,2,FALSE()),"?"))</f>
        <v>Photograph</v>
      </c>
      <c r="R360" s="2" t="str">
        <f t="shared" si="5"/>
        <v>Image</v>
      </c>
      <c r="S360" s="2" t="str">
        <f>IF($C360="","",IFERROR(VLOOKUP($C360,sources!$A$2:$N$200,9,FALSE()),"?"))</f>
        <v>US press</v>
      </c>
      <c r="T360" t="s">
        <v>5692</v>
      </c>
      <c r="U360">
        <f>IF(OR(B360="",C360="",T360="Retracted",LEFT(D360,8)="Negative"),0,IF(COUNTIFS($B$2:B360,B360,$C$2:C360,C360,$D$2:D360,"&lt;&gt;Negative*",$T$2:T360,"&lt;&gt;Retracted")=1,1,0))</f>
        <v>1</v>
      </c>
    </row>
    <row r="361" spans="1:21" x14ac:dyDescent="0.2">
      <c r="A361" t="s">
        <v>2032</v>
      </c>
      <c r="B361" t="s">
        <v>219</v>
      </c>
      <c r="C361" t="s">
        <v>1267</v>
      </c>
      <c r="D361" t="s">
        <v>1575</v>
      </c>
      <c r="E361" t="s">
        <v>2033</v>
      </c>
      <c r="F361" t="s">
        <v>1583</v>
      </c>
      <c r="I361" t="s">
        <v>1058</v>
      </c>
      <c r="K361" t="s">
        <v>283</v>
      </c>
      <c r="L361" t="s">
        <v>283</v>
      </c>
      <c r="M361" t="s">
        <v>203</v>
      </c>
      <c r="N361" t="s">
        <v>203</v>
      </c>
      <c r="Q361" s="2" t="str">
        <f>IF($C361="","",IFERROR(VLOOKUP($C361,sources!$A$2:$N$200,2,FALSE()),"?"))</f>
        <v>Photograph</v>
      </c>
      <c r="R361" s="2" t="str">
        <f t="shared" si="5"/>
        <v>Image</v>
      </c>
      <c r="S361" s="2" t="str">
        <f>IF($C361="","",IFERROR(VLOOKUP($C361,sources!$A$2:$N$200,9,FALSE()),"?"))</f>
        <v>US press</v>
      </c>
      <c r="T361" t="s">
        <v>5692</v>
      </c>
      <c r="U361">
        <f>IF(OR(B361="",C361="",T361="Retracted",LEFT(D361,8)="Negative"),0,IF(COUNTIFS($B$2:B361,B361,$C$2:C361,C361,$D$2:D361,"&lt;&gt;Negative*",$T$2:T361,"&lt;&gt;Retracted")=1,1,0))</f>
        <v>0</v>
      </c>
    </row>
    <row r="362" spans="1:21" x14ac:dyDescent="0.2">
      <c r="A362" t="s">
        <v>2034</v>
      </c>
      <c r="B362" t="s">
        <v>233</v>
      </c>
      <c r="C362" t="s">
        <v>1267</v>
      </c>
      <c r="D362" t="s">
        <v>1575</v>
      </c>
      <c r="E362" t="s">
        <v>2035</v>
      </c>
      <c r="F362" t="s">
        <v>1583</v>
      </c>
      <c r="I362" t="s">
        <v>1058</v>
      </c>
      <c r="K362" t="s">
        <v>291</v>
      </c>
      <c r="L362" t="s">
        <v>291</v>
      </c>
      <c r="M362" t="s">
        <v>203</v>
      </c>
      <c r="N362" t="s">
        <v>203</v>
      </c>
      <c r="Q362" s="2" t="str">
        <f>IF($C362="","",IFERROR(VLOOKUP($C362,sources!$A$2:$N$200,2,FALSE()),"?"))</f>
        <v>Photograph</v>
      </c>
      <c r="R362" s="2" t="str">
        <f t="shared" si="5"/>
        <v>Image</v>
      </c>
      <c r="S362" s="2" t="str">
        <f>IF($C362="","",IFERROR(VLOOKUP($C362,sources!$A$2:$N$200,9,FALSE()),"?"))</f>
        <v>US press</v>
      </c>
      <c r="T362" t="s">
        <v>5692</v>
      </c>
      <c r="U362">
        <f>IF(OR(B362="",C362="",T362="Retracted",LEFT(D362,8)="Negative"),0,IF(COUNTIFS($B$2:B362,B362,$C$2:C362,C362,$D$2:D362,"&lt;&gt;Negative*",$T$2:T362,"&lt;&gt;Retracted")=1,1,0))</f>
        <v>1</v>
      </c>
    </row>
    <row r="363" spans="1:21" x14ac:dyDescent="0.2">
      <c r="A363" t="s">
        <v>2036</v>
      </c>
      <c r="B363" t="s">
        <v>233</v>
      </c>
      <c r="C363" t="s">
        <v>1267</v>
      </c>
      <c r="D363" t="s">
        <v>1575</v>
      </c>
      <c r="E363" t="s">
        <v>2037</v>
      </c>
      <c r="F363" t="s">
        <v>1583</v>
      </c>
      <c r="I363" t="s">
        <v>1058</v>
      </c>
      <c r="K363" t="s">
        <v>283</v>
      </c>
      <c r="L363" t="s">
        <v>283</v>
      </c>
      <c r="M363" t="s">
        <v>203</v>
      </c>
      <c r="N363" t="s">
        <v>203</v>
      </c>
      <c r="Q363" s="2" t="str">
        <f>IF($C363="","",IFERROR(VLOOKUP($C363,sources!$A$2:$N$200,2,FALSE()),"?"))</f>
        <v>Photograph</v>
      </c>
      <c r="R363" s="2" t="str">
        <f t="shared" si="5"/>
        <v>Image</v>
      </c>
      <c r="S363" s="2" t="str">
        <f>IF($C363="","",IFERROR(VLOOKUP($C363,sources!$A$2:$N$200,9,FALSE()),"?"))</f>
        <v>US press</v>
      </c>
      <c r="T363" t="s">
        <v>5692</v>
      </c>
      <c r="U363">
        <f>IF(OR(B363="",C363="",T363="Retracted",LEFT(D363,8)="Negative"),0,IF(COUNTIFS($B$2:B363,B363,$C$2:C363,C363,$D$2:D363,"&lt;&gt;Negative*",$T$2:T363,"&lt;&gt;Retracted")=1,1,0))</f>
        <v>0</v>
      </c>
    </row>
    <row r="364" spans="1:21" x14ac:dyDescent="0.2">
      <c r="A364" t="s">
        <v>2038</v>
      </c>
      <c r="B364" t="s">
        <v>233</v>
      </c>
      <c r="C364" t="s">
        <v>1267</v>
      </c>
      <c r="D364" t="s">
        <v>1575</v>
      </c>
      <c r="E364" t="s">
        <v>2039</v>
      </c>
      <c r="F364" t="s">
        <v>1583</v>
      </c>
      <c r="I364" t="s">
        <v>1058</v>
      </c>
      <c r="K364" t="s">
        <v>291</v>
      </c>
      <c r="L364" t="s">
        <v>231</v>
      </c>
      <c r="M364" t="s">
        <v>203</v>
      </c>
      <c r="N364" t="s">
        <v>203</v>
      </c>
      <c r="Q364" s="2" t="str">
        <f>IF($C364="","",IFERROR(VLOOKUP($C364,sources!$A$2:$N$200,2,FALSE()),"?"))</f>
        <v>Photograph</v>
      </c>
      <c r="R364" s="2" t="str">
        <f t="shared" si="5"/>
        <v>Image</v>
      </c>
      <c r="S364" s="2" t="str">
        <f>IF($C364="","",IFERROR(VLOOKUP($C364,sources!$A$2:$N$200,9,FALSE()),"?"))</f>
        <v>US press</v>
      </c>
      <c r="T364" t="s">
        <v>5692</v>
      </c>
      <c r="U364">
        <f>IF(OR(B364="",C364="",T364="Retracted",LEFT(D364,8)="Negative"),0,IF(COUNTIFS($B$2:B364,B364,$C$2:C364,C364,$D$2:D364,"&lt;&gt;Negative*",$T$2:T364,"&lt;&gt;Retracted")=1,1,0))</f>
        <v>0</v>
      </c>
    </row>
    <row r="365" spans="1:21" x14ac:dyDescent="0.2">
      <c r="A365" t="s">
        <v>2040</v>
      </c>
      <c r="B365" t="s">
        <v>253</v>
      </c>
      <c r="C365" t="s">
        <v>1267</v>
      </c>
      <c r="D365" t="s">
        <v>1575</v>
      </c>
      <c r="E365" t="s">
        <v>2041</v>
      </c>
      <c r="F365" t="s">
        <v>1583</v>
      </c>
      <c r="I365" t="s">
        <v>1058</v>
      </c>
      <c r="K365" t="s">
        <v>283</v>
      </c>
      <c r="L365" t="s">
        <v>283</v>
      </c>
      <c r="M365" t="s">
        <v>203</v>
      </c>
      <c r="N365" t="s">
        <v>203</v>
      </c>
      <c r="Q365" s="2" t="str">
        <f>IF($C365="","",IFERROR(VLOOKUP($C365,sources!$A$2:$N$200,2,FALSE()),"?"))</f>
        <v>Photograph</v>
      </c>
      <c r="R365" s="2" t="str">
        <f t="shared" si="5"/>
        <v>Image</v>
      </c>
      <c r="S365" s="2" t="str">
        <f>IF($C365="","",IFERROR(VLOOKUP($C365,sources!$A$2:$N$200,9,FALSE()),"?"))</f>
        <v>US press</v>
      </c>
      <c r="T365" t="s">
        <v>5692</v>
      </c>
      <c r="U365">
        <f>IF(OR(B365="",C365="",T365="Retracted",LEFT(D365,8)="Negative"),0,IF(COUNTIFS($B$2:B365,B365,$C$2:C365,C365,$D$2:D365,"&lt;&gt;Negative*",$T$2:T365,"&lt;&gt;Retracted")=1,1,0))</f>
        <v>1</v>
      </c>
    </row>
    <row r="366" spans="1:21" x14ac:dyDescent="0.2">
      <c r="A366" t="s">
        <v>2042</v>
      </c>
      <c r="B366" t="s">
        <v>242</v>
      </c>
      <c r="C366" t="s">
        <v>1267</v>
      </c>
      <c r="D366" t="s">
        <v>1575</v>
      </c>
      <c r="E366" t="s">
        <v>2043</v>
      </c>
      <c r="F366" t="s">
        <v>1583</v>
      </c>
      <c r="I366" t="s">
        <v>1058</v>
      </c>
      <c r="K366" t="s">
        <v>283</v>
      </c>
      <c r="L366" t="s">
        <v>283</v>
      </c>
      <c r="M366" t="s">
        <v>203</v>
      </c>
      <c r="N366" t="s">
        <v>203</v>
      </c>
      <c r="Q366" s="2" t="str">
        <f>IF($C366="","",IFERROR(VLOOKUP($C366,sources!$A$2:$N$200,2,FALSE()),"?"))</f>
        <v>Photograph</v>
      </c>
      <c r="R366" s="2" t="str">
        <f t="shared" si="5"/>
        <v>Image</v>
      </c>
      <c r="S366" s="2" t="str">
        <f>IF($C366="","",IFERROR(VLOOKUP($C366,sources!$A$2:$N$200,9,FALSE()),"?"))</f>
        <v>US press</v>
      </c>
      <c r="T366" t="s">
        <v>5692</v>
      </c>
      <c r="U366">
        <f>IF(OR(B366="",C366="",T366="Retracted",LEFT(D366,8)="Negative"),0,IF(COUNTIFS($B$2:B366,B366,$C$2:C366,C366,$D$2:D366,"&lt;&gt;Negative*",$T$2:T366,"&lt;&gt;Retracted")=1,1,0))</f>
        <v>1</v>
      </c>
    </row>
    <row r="367" spans="1:21" x14ac:dyDescent="0.2">
      <c r="A367" t="s">
        <v>2044</v>
      </c>
      <c r="B367" t="s">
        <v>330</v>
      </c>
      <c r="C367" t="s">
        <v>1267</v>
      </c>
      <c r="D367" t="s">
        <v>1575</v>
      </c>
      <c r="E367" t="s">
        <v>2045</v>
      </c>
      <c r="F367" t="s">
        <v>1583</v>
      </c>
      <c r="I367" t="s">
        <v>1058</v>
      </c>
      <c r="K367" t="s">
        <v>283</v>
      </c>
      <c r="L367" t="s">
        <v>283</v>
      </c>
      <c r="M367" t="s">
        <v>203</v>
      </c>
      <c r="N367" t="s">
        <v>203</v>
      </c>
      <c r="Q367" s="2" t="str">
        <f>IF($C367="","",IFERROR(VLOOKUP($C367,sources!$A$2:$N$200,2,FALSE()),"?"))</f>
        <v>Photograph</v>
      </c>
      <c r="R367" s="2" t="str">
        <f t="shared" si="5"/>
        <v>Image</v>
      </c>
      <c r="S367" s="2" t="str">
        <f>IF($C367="","",IFERROR(VLOOKUP($C367,sources!$A$2:$N$200,9,FALSE()),"?"))</f>
        <v>US press</v>
      </c>
      <c r="T367" t="s">
        <v>5692</v>
      </c>
      <c r="U367">
        <f>IF(OR(B367="",C367="",T367="Retracted",LEFT(D367,8)="Negative"),0,IF(COUNTIFS($B$2:B367,B367,$C$2:C367,C367,$D$2:D367,"&lt;&gt;Negative*",$T$2:T367,"&lt;&gt;Retracted")=1,1,0))</f>
        <v>1</v>
      </c>
    </row>
    <row r="368" spans="1:21" x14ac:dyDescent="0.2">
      <c r="A368" t="s">
        <v>2046</v>
      </c>
      <c r="B368" t="s">
        <v>330</v>
      </c>
      <c r="C368" t="s">
        <v>1267</v>
      </c>
      <c r="D368" t="s">
        <v>1575</v>
      </c>
      <c r="E368" t="s">
        <v>2047</v>
      </c>
      <c r="F368" t="s">
        <v>1583</v>
      </c>
      <c r="I368" t="s">
        <v>1058</v>
      </c>
      <c r="K368" t="s">
        <v>283</v>
      </c>
      <c r="L368" t="s">
        <v>283</v>
      </c>
      <c r="M368" t="s">
        <v>203</v>
      </c>
      <c r="N368" t="s">
        <v>203</v>
      </c>
      <c r="Q368" s="2" t="str">
        <f>IF($C368="","",IFERROR(VLOOKUP($C368,sources!$A$2:$N$200,2,FALSE()),"?"))</f>
        <v>Photograph</v>
      </c>
      <c r="R368" s="2" t="str">
        <f t="shared" si="5"/>
        <v>Image</v>
      </c>
      <c r="S368" s="2" t="str">
        <f>IF($C368="","",IFERROR(VLOOKUP($C368,sources!$A$2:$N$200,9,FALSE()),"?"))</f>
        <v>US press</v>
      </c>
      <c r="T368" t="s">
        <v>5692</v>
      </c>
      <c r="U368">
        <f>IF(OR(B368="",C368="",T368="Retracted",LEFT(D368,8)="Negative"),0,IF(COUNTIFS($B$2:B368,B368,$C$2:C368,C368,$D$2:D368,"&lt;&gt;Negative*",$T$2:T368,"&lt;&gt;Retracted")=1,1,0))</f>
        <v>0</v>
      </c>
    </row>
    <row r="369" spans="1:21" x14ac:dyDescent="0.2">
      <c r="A369" t="s">
        <v>2048</v>
      </c>
      <c r="B369" t="s">
        <v>420</v>
      </c>
      <c r="C369" t="s">
        <v>1267</v>
      </c>
      <c r="D369" t="s">
        <v>1575</v>
      </c>
      <c r="E369" t="s">
        <v>2049</v>
      </c>
      <c r="F369" t="s">
        <v>1583</v>
      </c>
      <c r="I369" t="s">
        <v>1058</v>
      </c>
      <c r="K369" t="s">
        <v>283</v>
      </c>
      <c r="L369" t="s">
        <v>283</v>
      </c>
      <c r="M369" t="s">
        <v>203</v>
      </c>
      <c r="N369" t="s">
        <v>203</v>
      </c>
      <c r="Q369" s="2" t="str">
        <f>IF($C369="","",IFERROR(VLOOKUP($C369,sources!$A$2:$N$200,2,FALSE()),"?"))</f>
        <v>Photograph</v>
      </c>
      <c r="R369" s="2" t="str">
        <f t="shared" si="5"/>
        <v>Image</v>
      </c>
      <c r="S369" s="2" t="str">
        <f>IF($C369="","",IFERROR(VLOOKUP($C369,sources!$A$2:$N$200,9,FALSE()),"?"))</f>
        <v>US press</v>
      </c>
      <c r="T369" t="s">
        <v>5692</v>
      </c>
      <c r="U369">
        <f>IF(OR(B369="",C369="",T369="Retracted",LEFT(D369,8)="Negative"),0,IF(COUNTIFS($B$2:B369,B369,$C$2:C369,C369,$D$2:D369,"&lt;&gt;Negative*",$T$2:T369,"&lt;&gt;Retracted")=1,1,0))</f>
        <v>1</v>
      </c>
    </row>
    <row r="370" spans="1:21" x14ac:dyDescent="0.2">
      <c r="A370" t="s">
        <v>2050</v>
      </c>
      <c r="B370" t="s">
        <v>219</v>
      </c>
      <c r="C370" t="s">
        <v>1275</v>
      </c>
      <c r="D370" t="s">
        <v>1575</v>
      </c>
      <c r="E370" t="s">
        <v>1580</v>
      </c>
      <c r="F370" t="s">
        <v>1583</v>
      </c>
      <c r="I370" t="s">
        <v>1058</v>
      </c>
      <c r="K370" t="s">
        <v>1172</v>
      </c>
      <c r="L370" t="s">
        <v>1172</v>
      </c>
      <c r="M370" t="s">
        <v>209</v>
      </c>
      <c r="N370" t="s">
        <v>203</v>
      </c>
      <c r="Q370" s="2" t="str">
        <f>IF($C370="","",IFERROR(VLOOKUP($C370,sources!$A$2:$N$200,2,FALSE()),"?"))</f>
        <v>Map</v>
      </c>
      <c r="R370" s="2" t="str">
        <f t="shared" si="5"/>
        <v>Map</v>
      </c>
      <c r="S370" s="2" t="str">
        <f>IF($C370="","",IFERROR(VLOOKUP($C370,sources!$A$2:$N$200,9,FALSE()),"?"))</f>
        <v>Secondary</v>
      </c>
      <c r="T370" t="s">
        <v>5692</v>
      </c>
      <c r="U370">
        <f>IF(OR(B370="",C370="",T370="Retracted",LEFT(D370,8)="Negative"),0,IF(COUNTIFS($B$2:B370,B370,$C$2:C370,C370,$D$2:D370,"&lt;&gt;Negative*",$T$2:T370,"&lt;&gt;Retracted")=1,1,0))</f>
        <v>1</v>
      </c>
    </row>
    <row r="371" spans="1:21" x14ac:dyDescent="0.2">
      <c r="A371" t="s">
        <v>2051</v>
      </c>
      <c r="B371" t="s">
        <v>383</v>
      </c>
      <c r="C371" t="s">
        <v>1275</v>
      </c>
      <c r="D371" t="s">
        <v>1575</v>
      </c>
      <c r="E371" t="s">
        <v>384</v>
      </c>
      <c r="F371" t="s">
        <v>1583</v>
      </c>
      <c r="I371" t="s">
        <v>1058</v>
      </c>
      <c r="K371" t="s">
        <v>1172</v>
      </c>
      <c r="L371" t="s">
        <v>1172</v>
      </c>
      <c r="M371" t="s">
        <v>209</v>
      </c>
      <c r="N371" t="s">
        <v>203</v>
      </c>
      <c r="Q371" s="2" t="str">
        <f>IF($C371="","",IFERROR(VLOOKUP($C371,sources!$A$2:$N$200,2,FALSE()),"?"))</f>
        <v>Map</v>
      </c>
      <c r="R371" s="2" t="str">
        <f t="shared" si="5"/>
        <v>Map</v>
      </c>
      <c r="S371" s="2" t="str">
        <f>IF($C371="","",IFERROR(VLOOKUP($C371,sources!$A$2:$N$200,9,FALSE()),"?"))</f>
        <v>Secondary</v>
      </c>
      <c r="T371" t="s">
        <v>5692</v>
      </c>
      <c r="U371">
        <f>IF(OR(B371="",C371="",T371="Retracted",LEFT(D371,8)="Negative"),0,IF(COUNTIFS($B$2:B371,B371,$C$2:C371,C371,$D$2:D371,"&lt;&gt;Negative*",$T$2:T371,"&lt;&gt;Retracted")=1,1,0))</f>
        <v>1</v>
      </c>
    </row>
    <row r="372" spans="1:21" x14ac:dyDescent="0.2">
      <c r="A372" t="s">
        <v>2052</v>
      </c>
      <c r="B372" t="s">
        <v>392</v>
      </c>
      <c r="C372" t="s">
        <v>1275</v>
      </c>
      <c r="D372" t="s">
        <v>1575</v>
      </c>
      <c r="E372" t="s">
        <v>393</v>
      </c>
      <c r="F372" t="s">
        <v>1583</v>
      </c>
      <c r="I372" t="s">
        <v>1058</v>
      </c>
      <c r="K372" t="s">
        <v>1172</v>
      </c>
      <c r="L372" t="s">
        <v>1172</v>
      </c>
      <c r="M372" t="s">
        <v>209</v>
      </c>
      <c r="N372" t="s">
        <v>203</v>
      </c>
      <c r="Q372" s="2" t="str">
        <f>IF($C372="","",IFERROR(VLOOKUP($C372,sources!$A$2:$N$200,2,FALSE()),"?"))</f>
        <v>Map</v>
      </c>
      <c r="R372" s="2" t="str">
        <f t="shared" si="5"/>
        <v>Map</v>
      </c>
      <c r="S372" s="2" t="str">
        <f>IF($C372="","",IFERROR(VLOOKUP($C372,sources!$A$2:$N$200,9,FALSE()),"?"))</f>
        <v>Secondary</v>
      </c>
      <c r="T372" t="s">
        <v>5692</v>
      </c>
      <c r="U372">
        <f>IF(OR(B372="",C372="",T372="Retracted",LEFT(D372,8)="Negative"),0,IF(COUNTIFS($B$2:B372,B372,$C$2:C372,C372,$D$2:D372,"&lt;&gt;Negative*",$T$2:T372,"&lt;&gt;Retracted")=1,1,0))</f>
        <v>1</v>
      </c>
    </row>
    <row r="373" spans="1:21" x14ac:dyDescent="0.2">
      <c r="A373" t="s">
        <v>2053</v>
      </c>
      <c r="B373" t="s">
        <v>389</v>
      </c>
      <c r="C373" t="s">
        <v>1275</v>
      </c>
      <c r="D373" t="s">
        <v>1575</v>
      </c>
      <c r="E373" t="s">
        <v>390</v>
      </c>
      <c r="F373" t="s">
        <v>1583</v>
      </c>
      <c r="I373" t="s">
        <v>1058</v>
      </c>
      <c r="K373" t="s">
        <v>1172</v>
      </c>
      <c r="L373" t="s">
        <v>1172</v>
      </c>
      <c r="M373" t="s">
        <v>209</v>
      </c>
      <c r="N373" t="s">
        <v>203</v>
      </c>
      <c r="Q373" s="2" t="str">
        <f>IF($C373="","",IFERROR(VLOOKUP($C373,sources!$A$2:$N$200,2,FALSE()),"?"))</f>
        <v>Map</v>
      </c>
      <c r="R373" s="2" t="str">
        <f t="shared" si="5"/>
        <v>Map</v>
      </c>
      <c r="S373" s="2" t="str">
        <f>IF($C373="","",IFERROR(VLOOKUP($C373,sources!$A$2:$N$200,9,FALSE()),"?"))</f>
        <v>Secondary</v>
      </c>
      <c r="T373" t="s">
        <v>5692</v>
      </c>
      <c r="U373">
        <f>IF(OR(B373="",C373="",T373="Retracted",LEFT(D373,8)="Negative"),0,IF(COUNTIFS($B$2:B373,B373,$C$2:C373,C373,$D$2:D373,"&lt;&gt;Negative*",$T$2:T373,"&lt;&gt;Retracted")=1,1,0))</f>
        <v>1</v>
      </c>
    </row>
    <row r="374" spans="1:21" x14ac:dyDescent="0.2">
      <c r="A374" t="s">
        <v>2054</v>
      </c>
      <c r="B374" t="s">
        <v>205</v>
      </c>
      <c r="C374" t="s">
        <v>1275</v>
      </c>
      <c r="D374" t="s">
        <v>1575</v>
      </c>
      <c r="E374" t="s">
        <v>206</v>
      </c>
      <c r="F374" t="s">
        <v>1583</v>
      </c>
      <c r="I374" t="s">
        <v>1058</v>
      </c>
      <c r="K374" t="s">
        <v>1172</v>
      </c>
      <c r="L374" t="s">
        <v>1172</v>
      </c>
      <c r="M374" t="s">
        <v>209</v>
      </c>
      <c r="N374" t="s">
        <v>203</v>
      </c>
      <c r="Q374" s="2" t="str">
        <f>IF($C374="","",IFERROR(VLOOKUP($C374,sources!$A$2:$N$200,2,FALSE()),"?"))</f>
        <v>Map</v>
      </c>
      <c r="R374" s="2" t="str">
        <f t="shared" si="5"/>
        <v>Map</v>
      </c>
      <c r="S374" s="2" t="str">
        <f>IF($C374="","",IFERROR(VLOOKUP($C374,sources!$A$2:$N$200,9,FALSE()),"?"))</f>
        <v>Secondary</v>
      </c>
      <c r="T374" t="s">
        <v>5692</v>
      </c>
      <c r="U374">
        <f>IF(OR(B374="",C374="",T374="Retracted",LEFT(D374,8)="Negative"),0,IF(COUNTIFS($B$2:B374,B374,$C$2:C374,C374,$D$2:D374,"&lt;&gt;Negative*",$T$2:T374,"&lt;&gt;Retracted")=1,1,0))</f>
        <v>1</v>
      </c>
    </row>
    <row r="375" spans="1:21" x14ac:dyDescent="0.2">
      <c r="A375" t="s">
        <v>2055</v>
      </c>
      <c r="B375" t="s">
        <v>265</v>
      </c>
      <c r="C375" t="s">
        <v>1275</v>
      </c>
      <c r="D375" t="s">
        <v>1575</v>
      </c>
      <c r="E375" t="s">
        <v>266</v>
      </c>
      <c r="F375" t="s">
        <v>1583</v>
      </c>
      <c r="I375" t="s">
        <v>1058</v>
      </c>
      <c r="K375" t="s">
        <v>1172</v>
      </c>
      <c r="L375" t="s">
        <v>1172</v>
      </c>
      <c r="M375" t="s">
        <v>209</v>
      </c>
      <c r="N375" t="s">
        <v>203</v>
      </c>
      <c r="Q375" s="2" t="str">
        <f>IF($C375="","",IFERROR(VLOOKUP($C375,sources!$A$2:$N$200,2,FALSE()),"?"))</f>
        <v>Map</v>
      </c>
      <c r="R375" s="2" t="str">
        <f t="shared" si="5"/>
        <v>Map</v>
      </c>
      <c r="S375" s="2" t="str">
        <f>IF($C375="","",IFERROR(VLOOKUP($C375,sources!$A$2:$N$200,9,FALSE()),"?"))</f>
        <v>Secondary</v>
      </c>
      <c r="T375" t="s">
        <v>5692</v>
      </c>
      <c r="U375">
        <f>IF(OR(B375="",C375="",T375="Retracted",LEFT(D375,8)="Negative"),0,IF(COUNTIFS($B$2:B375,B375,$C$2:C375,C375,$D$2:D375,"&lt;&gt;Negative*",$T$2:T375,"&lt;&gt;Retracted")=1,1,0))</f>
        <v>1</v>
      </c>
    </row>
    <row r="376" spans="1:21" x14ac:dyDescent="0.2">
      <c r="A376" t="s">
        <v>2056</v>
      </c>
      <c r="B376" t="s">
        <v>354</v>
      </c>
      <c r="C376" t="s">
        <v>1275</v>
      </c>
      <c r="D376" t="s">
        <v>1575</v>
      </c>
      <c r="E376" t="s">
        <v>355</v>
      </c>
      <c r="F376" t="s">
        <v>1583</v>
      </c>
      <c r="I376" t="s">
        <v>1058</v>
      </c>
      <c r="K376" t="s">
        <v>1172</v>
      </c>
      <c r="L376" t="s">
        <v>1172</v>
      </c>
      <c r="M376" t="s">
        <v>209</v>
      </c>
      <c r="N376" t="s">
        <v>203</v>
      </c>
      <c r="Q376" s="2" t="str">
        <f>IF($C376="","",IFERROR(VLOOKUP($C376,sources!$A$2:$N$200,2,FALSE()),"?"))</f>
        <v>Map</v>
      </c>
      <c r="R376" s="2" t="str">
        <f t="shared" si="5"/>
        <v>Map</v>
      </c>
      <c r="S376" s="2" t="str">
        <f>IF($C376="","",IFERROR(VLOOKUP($C376,sources!$A$2:$N$200,9,FALSE()),"?"))</f>
        <v>Secondary</v>
      </c>
      <c r="T376" t="s">
        <v>5692</v>
      </c>
      <c r="U376">
        <f>IF(OR(B376="",C376="",T376="Retracted",LEFT(D376,8)="Negative"),0,IF(COUNTIFS($B$2:B376,B376,$C$2:C376,C376,$D$2:D376,"&lt;&gt;Negative*",$T$2:T376,"&lt;&gt;Retracted")=1,1,0))</f>
        <v>1</v>
      </c>
    </row>
    <row r="377" spans="1:21" x14ac:dyDescent="0.2">
      <c r="A377" t="s">
        <v>2057</v>
      </c>
      <c r="B377" t="s">
        <v>363</v>
      </c>
      <c r="C377" t="s">
        <v>1275</v>
      </c>
      <c r="D377" t="s">
        <v>1575</v>
      </c>
      <c r="E377" t="s">
        <v>364</v>
      </c>
      <c r="F377" t="s">
        <v>1583</v>
      </c>
      <c r="I377" t="s">
        <v>1058</v>
      </c>
      <c r="K377" t="s">
        <v>1172</v>
      </c>
      <c r="L377" t="s">
        <v>1172</v>
      </c>
      <c r="M377" t="s">
        <v>209</v>
      </c>
      <c r="N377" t="s">
        <v>203</v>
      </c>
      <c r="Q377" s="2" t="str">
        <f>IF($C377="","",IFERROR(VLOOKUP($C377,sources!$A$2:$N$200,2,FALSE()),"?"))</f>
        <v>Map</v>
      </c>
      <c r="R377" s="2" t="str">
        <f t="shared" si="5"/>
        <v>Map</v>
      </c>
      <c r="S377" s="2" t="str">
        <f>IF($C377="","",IFERROR(VLOOKUP($C377,sources!$A$2:$N$200,9,FALSE()),"?"))</f>
        <v>Secondary</v>
      </c>
      <c r="T377" t="s">
        <v>5692</v>
      </c>
      <c r="U377">
        <f>IF(OR(B377="",C377="",T377="Retracted",LEFT(D377,8)="Negative"),0,IF(COUNTIFS($B$2:B377,B377,$C$2:C377,C377,$D$2:D377,"&lt;&gt;Negative*",$T$2:T377,"&lt;&gt;Retracted")=1,1,0))</f>
        <v>1</v>
      </c>
    </row>
    <row r="378" spans="1:21" x14ac:dyDescent="0.2">
      <c r="A378" t="s">
        <v>2058</v>
      </c>
      <c r="B378" t="s">
        <v>360</v>
      </c>
      <c r="C378" t="s">
        <v>1275</v>
      </c>
      <c r="D378" t="s">
        <v>1575</v>
      </c>
      <c r="E378" t="s">
        <v>361</v>
      </c>
      <c r="F378" t="s">
        <v>1583</v>
      </c>
      <c r="I378" t="s">
        <v>1058</v>
      </c>
      <c r="K378" t="s">
        <v>1172</v>
      </c>
      <c r="L378" t="s">
        <v>1172</v>
      </c>
      <c r="M378" t="s">
        <v>209</v>
      </c>
      <c r="N378" t="s">
        <v>203</v>
      </c>
      <c r="Q378" s="2" t="str">
        <f>IF($C378="","",IFERROR(VLOOKUP($C378,sources!$A$2:$N$200,2,FALSE()),"?"))</f>
        <v>Map</v>
      </c>
      <c r="R378" s="2" t="str">
        <f t="shared" si="5"/>
        <v>Map</v>
      </c>
      <c r="S378" s="2" t="str">
        <f>IF($C378="","",IFERROR(VLOOKUP($C378,sources!$A$2:$N$200,9,FALSE()),"?"))</f>
        <v>Secondary</v>
      </c>
      <c r="T378" t="s">
        <v>5692</v>
      </c>
      <c r="U378">
        <f>IF(OR(B378="",C378="",T378="Retracted",LEFT(D378,8)="Negative"),0,IF(COUNTIFS($B$2:B378,B378,$C$2:C378,C378,$D$2:D378,"&lt;&gt;Negative*",$T$2:T378,"&lt;&gt;Retracted")=1,1,0))</f>
        <v>1</v>
      </c>
    </row>
    <row r="379" spans="1:21" x14ac:dyDescent="0.2">
      <c r="A379" t="s">
        <v>2059</v>
      </c>
      <c r="B379" t="s">
        <v>395</v>
      </c>
      <c r="C379" t="s">
        <v>1275</v>
      </c>
      <c r="D379" t="s">
        <v>1575</v>
      </c>
      <c r="E379" t="s">
        <v>396</v>
      </c>
      <c r="F379" t="s">
        <v>1583</v>
      </c>
      <c r="I379" t="s">
        <v>1058</v>
      </c>
      <c r="K379" t="s">
        <v>1172</v>
      </c>
      <c r="L379" t="s">
        <v>1172</v>
      </c>
      <c r="M379" t="s">
        <v>209</v>
      </c>
      <c r="N379" t="s">
        <v>203</v>
      </c>
      <c r="Q379" s="2" t="str">
        <f>IF($C379="","",IFERROR(VLOOKUP($C379,sources!$A$2:$N$200,2,FALSE()),"?"))</f>
        <v>Map</v>
      </c>
      <c r="R379" s="2" t="str">
        <f t="shared" si="5"/>
        <v>Map</v>
      </c>
      <c r="S379" s="2" t="str">
        <f>IF($C379="","",IFERROR(VLOOKUP($C379,sources!$A$2:$N$200,9,FALSE()),"?"))</f>
        <v>Secondary</v>
      </c>
      <c r="T379" t="s">
        <v>5692</v>
      </c>
      <c r="U379">
        <f>IF(OR(B379="",C379="",T379="Retracted",LEFT(D379,8)="Negative"),0,IF(COUNTIFS($B$2:B379,B379,$C$2:C379,C379,$D$2:D379,"&lt;&gt;Negative*",$T$2:T379,"&lt;&gt;Retracted")=1,1,0))</f>
        <v>1</v>
      </c>
    </row>
    <row r="380" spans="1:21" x14ac:dyDescent="0.2">
      <c r="A380" t="s">
        <v>2060</v>
      </c>
      <c r="B380" t="s">
        <v>242</v>
      </c>
      <c r="C380" t="s">
        <v>1275</v>
      </c>
      <c r="D380" t="s">
        <v>1575</v>
      </c>
      <c r="E380" t="s">
        <v>243</v>
      </c>
      <c r="F380" t="s">
        <v>1583</v>
      </c>
      <c r="I380" t="s">
        <v>1058</v>
      </c>
      <c r="K380" t="s">
        <v>1172</v>
      </c>
      <c r="L380" t="s">
        <v>1172</v>
      </c>
      <c r="M380" t="s">
        <v>209</v>
      </c>
      <c r="N380" t="s">
        <v>203</v>
      </c>
      <c r="Q380" s="2" t="str">
        <f>IF($C380="","",IFERROR(VLOOKUP($C380,sources!$A$2:$N$200,2,FALSE()),"?"))</f>
        <v>Map</v>
      </c>
      <c r="R380" s="2" t="str">
        <f t="shared" si="5"/>
        <v>Map</v>
      </c>
      <c r="S380" s="2" t="str">
        <f>IF($C380="","",IFERROR(VLOOKUP($C380,sources!$A$2:$N$200,9,FALSE()),"?"))</f>
        <v>Secondary</v>
      </c>
      <c r="T380" t="s">
        <v>5692</v>
      </c>
      <c r="U380">
        <f>IF(OR(B380="",C380="",T380="Retracted",LEFT(D380,8)="Negative"),0,IF(COUNTIFS($B$2:B380,B380,$C$2:C380,C380,$D$2:D380,"&lt;&gt;Negative*",$T$2:T380,"&lt;&gt;Retracted")=1,1,0))</f>
        <v>1</v>
      </c>
    </row>
    <row r="381" spans="1:21" x14ac:dyDescent="0.2">
      <c r="A381" t="s">
        <v>2061</v>
      </c>
      <c r="B381" t="s">
        <v>179</v>
      </c>
      <c r="C381" t="s">
        <v>1275</v>
      </c>
      <c r="D381" t="s">
        <v>1575</v>
      </c>
      <c r="E381" t="s">
        <v>180</v>
      </c>
      <c r="F381" t="s">
        <v>1583</v>
      </c>
      <c r="I381" t="s">
        <v>1058</v>
      </c>
      <c r="K381" t="s">
        <v>1172</v>
      </c>
      <c r="L381" t="s">
        <v>1172</v>
      </c>
      <c r="M381" t="s">
        <v>209</v>
      </c>
      <c r="N381" t="s">
        <v>203</v>
      </c>
      <c r="Q381" s="2" t="str">
        <f>IF($C381="","",IFERROR(VLOOKUP($C381,sources!$A$2:$N$200,2,FALSE()),"?"))</f>
        <v>Map</v>
      </c>
      <c r="R381" s="2" t="str">
        <f t="shared" si="5"/>
        <v>Map</v>
      </c>
      <c r="S381" s="2" t="str">
        <f>IF($C381="","",IFERROR(VLOOKUP($C381,sources!$A$2:$N$200,9,FALSE()),"?"))</f>
        <v>Secondary</v>
      </c>
      <c r="T381" t="s">
        <v>5692</v>
      </c>
      <c r="U381">
        <f>IF(OR(B381="",C381="",T381="Retracted",LEFT(D381,8)="Negative"),0,IF(COUNTIFS($B$2:B381,B381,$C$2:C381,C381,$D$2:D381,"&lt;&gt;Negative*",$T$2:T381,"&lt;&gt;Retracted")=1,1,0))</f>
        <v>1</v>
      </c>
    </row>
    <row r="382" spans="1:21" x14ac:dyDescent="0.2">
      <c r="A382" t="s">
        <v>2062</v>
      </c>
      <c r="B382" t="s">
        <v>253</v>
      </c>
      <c r="C382" t="s">
        <v>1275</v>
      </c>
      <c r="D382" t="s">
        <v>1575</v>
      </c>
      <c r="E382" t="s">
        <v>2063</v>
      </c>
      <c r="F382" t="s">
        <v>1583</v>
      </c>
      <c r="I382" t="s">
        <v>1058</v>
      </c>
      <c r="K382" t="s">
        <v>1172</v>
      </c>
      <c r="L382" t="s">
        <v>1172</v>
      </c>
      <c r="M382" t="s">
        <v>209</v>
      </c>
      <c r="N382" t="s">
        <v>203</v>
      </c>
      <c r="Q382" s="2" t="str">
        <f>IF($C382="","",IFERROR(VLOOKUP($C382,sources!$A$2:$N$200,2,FALSE()),"?"))</f>
        <v>Map</v>
      </c>
      <c r="R382" s="2" t="str">
        <f t="shared" si="5"/>
        <v>Map</v>
      </c>
      <c r="S382" s="2" t="str">
        <f>IF($C382="","",IFERROR(VLOOKUP($C382,sources!$A$2:$N$200,9,FALSE()),"?"))</f>
        <v>Secondary</v>
      </c>
      <c r="T382" t="s">
        <v>5692</v>
      </c>
      <c r="U382">
        <f>IF(OR(B382="",C382="",T382="Retracted",LEFT(D382,8)="Negative"),0,IF(COUNTIFS($B$2:B382,B382,$C$2:C382,C382,$D$2:D382,"&lt;&gt;Negative*",$T$2:T382,"&lt;&gt;Retracted")=1,1,0))</f>
        <v>1</v>
      </c>
    </row>
    <row r="383" spans="1:21" x14ac:dyDescent="0.2">
      <c r="A383" t="s">
        <v>2064</v>
      </c>
      <c r="B383" t="s">
        <v>261</v>
      </c>
      <c r="C383" t="s">
        <v>1275</v>
      </c>
      <c r="D383" t="s">
        <v>1575</v>
      </c>
      <c r="E383" t="s">
        <v>262</v>
      </c>
      <c r="F383" t="s">
        <v>1583</v>
      </c>
      <c r="I383" t="s">
        <v>1058</v>
      </c>
      <c r="K383" t="s">
        <v>1172</v>
      </c>
      <c r="L383" t="s">
        <v>1172</v>
      </c>
      <c r="M383" t="s">
        <v>209</v>
      </c>
      <c r="N383" t="s">
        <v>203</v>
      </c>
      <c r="Q383" s="2" t="str">
        <f>IF($C383="","",IFERROR(VLOOKUP($C383,sources!$A$2:$N$200,2,FALSE()),"?"))</f>
        <v>Map</v>
      </c>
      <c r="R383" s="2" t="str">
        <f t="shared" si="5"/>
        <v>Map</v>
      </c>
      <c r="S383" s="2" t="str">
        <f>IF($C383="","",IFERROR(VLOOKUP($C383,sources!$A$2:$N$200,9,FALSE()),"?"))</f>
        <v>Secondary</v>
      </c>
      <c r="T383" t="s">
        <v>5692</v>
      </c>
      <c r="U383">
        <f>IF(OR(B383="",C383="",T383="Retracted",LEFT(D383,8)="Negative"),0,IF(COUNTIFS($B$2:B383,B383,$C$2:C383,C383,$D$2:D383,"&lt;&gt;Negative*",$T$2:T383,"&lt;&gt;Retracted")=1,1,0))</f>
        <v>1</v>
      </c>
    </row>
    <row r="384" spans="1:21" x14ac:dyDescent="0.2">
      <c r="A384" t="s">
        <v>2065</v>
      </c>
      <c r="B384" t="s">
        <v>233</v>
      </c>
      <c r="C384" t="s">
        <v>1275</v>
      </c>
      <c r="D384" t="s">
        <v>1575</v>
      </c>
      <c r="E384" t="s">
        <v>305</v>
      </c>
      <c r="F384" t="s">
        <v>1583</v>
      </c>
      <c r="I384" t="s">
        <v>1058</v>
      </c>
      <c r="K384" t="s">
        <v>1172</v>
      </c>
      <c r="L384" t="s">
        <v>1172</v>
      </c>
      <c r="M384" t="s">
        <v>209</v>
      </c>
      <c r="N384" t="s">
        <v>203</v>
      </c>
      <c r="Q384" s="2" t="str">
        <f>IF($C384="","",IFERROR(VLOOKUP($C384,sources!$A$2:$N$200,2,FALSE()),"?"))</f>
        <v>Map</v>
      </c>
      <c r="R384" s="2" t="str">
        <f t="shared" si="5"/>
        <v>Map</v>
      </c>
      <c r="S384" s="2" t="str">
        <f>IF($C384="","",IFERROR(VLOOKUP($C384,sources!$A$2:$N$200,9,FALSE()),"?"))</f>
        <v>Secondary</v>
      </c>
      <c r="T384" t="s">
        <v>5692</v>
      </c>
      <c r="U384">
        <f>IF(OR(B384="",C384="",T384="Retracted",LEFT(D384,8)="Negative"),0,IF(COUNTIFS($B$2:B384,B384,$C$2:C384,C384,$D$2:D384,"&lt;&gt;Negative*",$T$2:T384,"&lt;&gt;Retracted")=1,1,0))</f>
        <v>1</v>
      </c>
    </row>
    <row r="385" spans="1:21" x14ac:dyDescent="0.2">
      <c r="A385" t="s">
        <v>2066</v>
      </c>
      <c r="B385" t="s">
        <v>247</v>
      </c>
      <c r="C385" t="s">
        <v>1275</v>
      </c>
      <c r="D385" t="s">
        <v>1575</v>
      </c>
      <c r="E385" t="s">
        <v>248</v>
      </c>
      <c r="F385" t="s">
        <v>1583</v>
      </c>
      <c r="I385" t="s">
        <v>1058</v>
      </c>
      <c r="K385" t="s">
        <v>1172</v>
      </c>
      <c r="L385" t="s">
        <v>1172</v>
      </c>
      <c r="M385" t="s">
        <v>209</v>
      </c>
      <c r="N385" t="s">
        <v>203</v>
      </c>
      <c r="Q385" s="2" t="str">
        <f>IF($C385="","",IFERROR(VLOOKUP($C385,sources!$A$2:$N$200,2,FALSE()),"?"))</f>
        <v>Map</v>
      </c>
      <c r="R385" s="2" t="str">
        <f t="shared" si="5"/>
        <v>Map</v>
      </c>
      <c r="S385" s="2" t="str">
        <f>IF($C385="","",IFERROR(VLOOKUP($C385,sources!$A$2:$N$200,9,FALSE()),"?"))</f>
        <v>Secondary</v>
      </c>
      <c r="T385" t="s">
        <v>5692</v>
      </c>
      <c r="U385">
        <f>IF(OR(B385="",C385="",T385="Retracted",LEFT(D385,8)="Negative"),0,IF(COUNTIFS($B$2:B385,B385,$C$2:C385,C385,$D$2:D385,"&lt;&gt;Negative*",$T$2:T385,"&lt;&gt;Retracted")=1,1,0))</f>
        <v>1</v>
      </c>
    </row>
    <row r="386" spans="1:21" x14ac:dyDescent="0.2">
      <c r="A386" t="s">
        <v>2067</v>
      </c>
      <c r="B386" t="s">
        <v>357</v>
      </c>
      <c r="C386" t="s">
        <v>1275</v>
      </c>
      <c r="D386" t="s">
        <v>1575</v>
      </c>
      <c r="E386" t="s">
        <v>358</v>
      </c>
      <c r="F386" t="s">
        <v>1583</v>
      </c>
      <c r="I386" t="s">
        <v>1058</v>
      </c>
      <c r="K386" t="s">
        <v>1172</v>
      </c>
      <c r="L386" t="s">
        <v>1172</v>
      </c>
      <c r="M386" t="s">
        <v>209</v>
      </c>
      <c r="N386" t="s">
        <v>203</v>
      </c>
      <c r="Q386" s="2" t="str">
        <f>IF($C386="","",IFERROR(VLOOKUP($C386,sources!$A$2:$N$200,2,FALSE()),"?"))</f>
        <v>Map</v>
      </c>
      <c r="R386" s="2" t="str">
        <f t="shared" ref="R386:R449" si="6">IF($Q386="","",IF($Q386="Map","Map",IF(OR($Q386="Photograph",$Q386="Postcard"),"Image",IF(OR($Q386="Census or roll",$Q386="Report",$Q386="Newspaper",$Q386="Letter",$Q386="Memoir",$Q386="Administrative",$Q386="Web compilation"),"Textual",IF($Q386="Legal claim","Legal/admin",IF($Q386="Secondary","Secondary","Other"))))))</f>
        <v>Map</v>
      </c>
      <c r="S386" s="2" t="str">
        <f>IF($C386="","",IFERROR(VLOOKUP($C386,sources!$A$2:$N$200,9,FALSE()),"?"))</f>
        <v>Secondary</v>
      </c>
      <c r="T386" t="s">
        <v>5692</v>
      </c>
      <c r="U386">
        <f>IF(OR(B386="",C386="",T386="Retracted",LEFT(D386,8)="Negative"),0,IF(COUNTIFS($B$2:B386,B386,$C$2:C386,C386,$D$2:D386,"&lt;&gt;Negative*",$T$2:T386,"&lt;&gt;Retracted")=1,1,0))</f>
        <v>1</v>
      </c>
    </row>
    <row r="387" spans="1:21" x14ac:dyDescent="0.2">
      <c r="A387" t="s">
        <v>2068</v>
      </c>
      <c r="B387" t="s">
        <v>344</v>
      </c>
      <c r="C387" t="s">
        <v>1275</v>
      </c>
      <c r="D387" t="s">
        <v>1575</v>
      </c>
      <c r="E387" t="s">
        <v>345</v>
      </c>
      <c r="F387" t="s">
        <v>1583</v>
      </c>
      <c r="I387" t="s">
        <v>1058</v>
      </c>
      <c r="K387" t="s">
        <v>1172</v>
      </c>
      <c r="L387" t="s">
        <v>1172</v>
      </c>
      <c r="M387" t="s">
        <v>209</v>
      </c>
      <c r="N387" t="s">
        <v>203</v>
      </c>
      <c r="Q387" s="2" t="str">
        <f>IF($C387="","",IFERROR(VLOOKUP($C387,sources!$A$2:$N$200,2,FALSE()),"?"))</f>
        <v>Map</v>
      </c>
      <c r="R387" s="2" t="str">
        <f t="shared" si="6"/>
        <v>Map</v>
      </c>
      <c r="S387" s="2" t="str">
        <f>IF($C387="","",IFERROR(VLOOKUP($C387,sources!$A$2:$N$200,9,FALSE()),"?"))</f>
        <v>Secondary</v>
      </c>
      <c r="T387" t="s">
        <v>5692</v>
      </c>
      <c r="U387">
        <f>IF(OR(B387="",C387="",T387="Retracted",LEFT(D387,8)="Negative"),0,IF(COUNTIFS($B$2:B387,B387,$C$2:C387,C387,$D$2:D387,"&lt;&gt;Negative*",$T$2:T387,"&lt;&gt;Retracted")=1,1,0))</f>
        <v>1</v>
      </c>
    </row>
    <row r="388" spans="1:21" x14ac:dyDescent="0.2">
      <c r="A388" t="s">
        <v>2069</v>
      </c>
      <c r="B388" t="s">
        <v>374</v>
      </c>
      <c r="C388" t="s">
        <v>1275</v>
      </c>
      <c r="D388" t="s">
        <v>1575</v>
      </c>
      <c r="E388" t="s">
        <v>375</v>
      </c>
      <c r="F388" t="s">
        <v>1583</v>
      </c>
      <c r="I388" t="s">
        <v>1058</v>
      </c>
      <c r="K388" t="s">
        <v>1172</v>
      </c>
      <c r="L388" t="s">
        <v>1172</v>
      </c>
      <c r="M388" t="s">
        <v>209</v>
      </c>
      <c r="N388" t="s">
        <v>203</v>
      </c>
      <c r="Q388" s="2" t="str">
        <f>IF($C388="","",IFERROR(VLOOKUP($C388,sources!$A$2:$N$200,2,FALSE()),"?"))</f>
        <v>Map</v>
      </c>
      <c r="R388" s="2" t="str">
        <f t="shared" si="6"/>
        <v>Map</v>
      </c>
      <c r="S388" s="2" t="str">
        <f>IF($C388="","",IFERROR(VLOOKUP($C388,sources!$A$2:$N$200,9,FALSE()),"?"))</f>
        <v>Secondary</v>
      </c>
      <c r="T388" t="s">
        <v>5692</v>
      </c>
      <c r="U388">
        <f>IF(OR(B388="",C388="",T388="Retracted",LEFT(D388,8)="Negative"),0,IF(COUNTIFS($B$2:B388,B388,$C$2:C388,C388,$D$2:D388,"&lt;&gt;Negative*",$T$2:T388,"&lt;&gt;Retracted")=1,1,0))</f>
        <v>1</v>
      </c>
    </row>
    <row r="389" spans="1:21" x14ac:dyDescent="0.2">
      <c r="A389" t="s">
        <v>2070</v>
      </c>
      <c r="B389" t="s">
        <v>351</v>
      </c>
      <c r="C389" t="s">
        <v>1275</v>
      </c>
      <c r="D389" t="s">
        <v>1575</v>
      </c>
      <c r="E389" t="s">
        <v>352</v>
      </c>
      <c r="F389" t="s">
        <v>1583</v>
      </c>
      <c r="I389" t="s">
        <v>1058</v>
      </c>
      <c r="K389" t="s">
        <v>1172</v>
      </c>
      <c r="L389" t="s">
        <v>1172</v>
      </c>
      <c r="M389" t="s">
        <v>209</v>
      </c>
      <c r="N389" t="s">
        <v>203</v>
      </c>
      <c r="Q389" s="2" t="str">
        <f>IF($C389="","",IFERROR(VLOOKUP($C389,sources!$A$2:$N$200,2,FALSE()),"?"))</f>
        <v>Map</v>
      </c>
      <c r="R389" s="2" t="str">
        <f t="shared" si="6"/>
        <v>Map</v>
      </c>
      <c r="S389" s="2" t="str">
        <f>IF($C389="","",IFERROR(VLOOKUP($C389,sources!$A$2:$N$200,9,FALSE()),"?"))</f>
        <v>Secondary</v>
      </c>
      <c r="T389" t="s">
        <v>5692</v>
      </c>
      <c r="U389">
        <f>IF(OR(B389="",C389="",T389="Retracted",LEFT(D389,8)="Negative"),0,IF(COUNTIFS($B$2:B389,B389,$C$2:C389,C389,$D$2:D389,"&lt;&gt;Negative*",$T$2:T389,"&lt;&gt;Retracted")=1,1,0))</f>
        <v>1</v>
      </c>
    </row>
    <row r="390" spans="1:21" x14ac:dyDescent="0.2">
      <c r="A390" t="s">
        <v>2071</v>
      </c>
      <c r="B390" t="s">
        <v>348</v>
      </c>
      <c r="C390" t="s">
        <v>1275</v>
      </c>
      <c r="D390" t="s">
        <v>1575</v>
      </c>
      <c r="E390" t="s">
        <v>349</v>
      </c>
      <c r="F390" t="s">
        <v>1583</v>
      </c>
      <c r="I390" t="s">
        <v>1058</v>
      </c>
      <c r="M390" t="s">
        <v>209</v>
      </c>
      <c r="N390" t="s">
        <v>203</v>
      </c>
      <c r="Q390" s="2" t="str">
        <f>IF($C390="","",IFERROR(VLOOKUP($C390,sources!$A$2:$N$200,2,FALSE()),"?"))</f>
        <v>Map</v>
      </c>
      <c r="R390" s="2" t="str">
        <f t="shared" si="6"/>
        <v>Map</v>
      </c>
      <c r="S390" s="2" t="str">
        <f>IF($C390="","",IFERROR(VLOOKUP($C390,sources!$A$2:$N$200,9,FALSE()),"?"))</f>
        <v>Secondary</v>
      </c>
      <c r="T390" t="s">
        <v>5692</v>
      </c>
      <c r="U390">
        <f>IF(OR(B390="",C390="",T390="Retracted",LEFT(D390,8)="Negative"),0,IF(COUNTIFS($B$2:B390,B390,$C$2:C390,C390,$D$2:D390,"&lt;&gt;Negative*",$T$2:T390,"&lt;&gt;Retracted")=1,1,0))</f>
        <v>1</v>
      </c>
    </row>
    <row r="391" spans="1:21" x14ac:dyDescent="0.2">
      <c r="A391" t="s">
        <v>2072</v>
      </c>
      <c r="B391" t="s">
        <v>199</v>
      </c>
      <c r="C391" t="s">
        <v>1275</v>
      </c>
      <c r="D391" t="s">
        <v>1575</v>
      </c>
      <c r="E391" t="s">
        <v>1568</v>
      </c>
      <c r="F391" t="s">
        <v>1583</v>
      </c>
      <c r="I391" t="s">
        <v>1058</v>
      </c>
      <c r="K391" t="s">
        <v>1172</v>
      </c>
      <c r="L391" t="s">
        <v>1172</v>
      </c>
      <c r="M391" t="s">
        <v>209</v>
      </c>
      <c r="N391" t="s">
        <v>203</v>
      </c>
      <c r="Q391" s="2" t="str">
        <f>IF($C391="","",IFERROR(VLOOKUP($C391,sources!$A$2:$N$200,2,FALSE()),"?"))</f>
        <v>Map</v>
      </c>
      <c r="R391" s="2" t="str">
        <f t="shared" si="6"/>
        <v>Map</v>
      </c>
      <c r="S391" s="2" t="str">
        <f>IF($C391="","",IFERROR(VLOOKUP($C391,sources!$A$2:$N$200,9,FALSE()),"?"))</f>
        <v>Secondary</v>
      </c>
      <c r="T391" t="s">
        <v>5692</v>
      </c>
      <c r="U391">
        <f>IF(OR(B391="",C391="",T391="Retracted",LEFT(D391,8)="Negative"),0,IF(COUNTIFS($B$2:B391,B391,$C$2:C391,C391,$D$2:D391,"&lt;&gt;Negative*",$T$2:T391,"&lt;&gt;Retracted")=1,1,0))</f>
        <v>1</v>
      </c>
    </row>
    <row r="392" spans="1:21" x14ac:dyDescent="0.2">
      <c r="A392" t="s">
        <v>2073</v>
      </c>
      <c r="B392" t="s">
        <v>443</v>
      </c>
      <c r="C392" t="s">
        <v>1275</v>
      </c>
      <c r="D392" t="s">
        <v>1575</v>
      </c>
      <c r="E392" t="s">
        <v>444</v>
      </c>
      <c r="F392" t="s">
        <v>1583</v>
      </c>
      <c r="I392" t="s">
        <v>1058</v>
      </c>
      <c r="K392" t="s">
        <v>1172</v>
      </c>
      <c r="L392" t="s">
        <v>1172</v>
      </c>
      <c r="M392" t="s">
        <v>209</v>
      </c>
      <c r="N392" t="s">
        <v>203</v>
      </c>
      <c r="Q392" s="2" t="str">
        <f>IF($C392="","",IFERROR(VLOOKUP($C392,sources!$A$2:$N$200,2,FALSE()),"?"))</f>
        <v>Map</v>
      </c>
      <c r="R392" s="2" t="str">
        <f t="shared" si="6"/>
        <v>Map</v>
      </c>
      <c r="S392" s="2" t="str">
        <f>IF($C392="","",IFERROR(VLOOKUP($C392,sources!$A$2:$N$200,9,FALSE()),"?"))</f>
        <v>Secondary</v>
      </c>
      <c r="T392" t="s">
        <v>5692</v>
      </c>
      <c r="U392">
        <f>IF(OR(B392="",C392="",T392="Retracted",LEFT(D392,8)="Negative"),0,IF(COUNTIFS($B$2:B392,B392,$C$2:C392,C392,$D$2:D392,"&lt;&gt;Negative*",$T$2:T392,"&lt;&gt;Retracted")=1,1,0))</f>
        <v>1</v>
      </c>
    </row>
    <row r="393" spans="1:21" x14ac:dyDescent="0.2">
      <c r="A393" t="s">
        <v>2074</v>
      </c>
      <c r="B393" t="s">
        <v>415</v>
      </c>
      <c r="C393" t="s">
        <v>1275</v>
      </c>
      <c r="D393" t="s">
        <v>1575</v>
      </c>
      <c r="E393" t="s">
        <v>2075</v>
      </c>
      <c r="F393" t="s">
        <v>1583</v>
      </c>
      <c r="I393" t="s">
        <v>1058</v>
      </c>
      <c r="K393" t="s">
        <v>1172</v>
      </c>
      <c r="L393" t="s">
        <v>1172</v>
      </c>
      <c r="M393" t="s">
        <v>209</v>
      </c>
      <c r="N393" t="s">
        <v>203</v>
      </c>
      <c r="Q393" s="2" t="str">
        <f>IF($C393="","",IFERROR(VLOOKUP($C393,sources!$A$2:$N$200,2,FALSE()),"?"))</f>
        <v>Map</v>
      </c>
      <c r="R393" s="2" t="str">
        <f t="shared" si="6"/>
        <v>Map</v>
      </c>
      <c r="S393" s="2" t="str">
        <f>IF($C393="","",IFERROR(VLOOKUP($C393,sources!$A$2:$N$200,9,FALSE()),"?"))</f>
        <v>Secondary</v>
      </c>
      <c r="T393" t="s">
        <v>5692</v>
      </c>
      <c r="U393">
        <f>IF(OR(B393="",C393="",T393="Retracted",LEFT(D393,8)="Negative"),0,IF(COUNTIFS($B$2:B393,B393,$C$2:C393,C393,$D$2:D393,"&lt;&gt;Negative*",$T$2:T393,"&lt;&gt;Retracted")=1,1,0))</f>
        <v>1</v>
      </c>
    </row>
    <row r="394" spans="1:21" x14ac:dyDescent="0.2">
      <c r="A394" t="s">
        <v>2076</v>
      </c>
      <c r="B394" t="s">
        <v>468</v>
      </c>
      <c r="C394" t="s">
        <v>1275</v>
      </c>
      <c r="D394" t="s">
        <v>1575</v>
      </c>
      <c r="E394" t="s">
        <v>2077</v>
      </c>
      <c r="F394" t="s">
        <v>1583</v>
      </c>
      <c r="I394" t="s">
        <v>1058</v>
      </c>
      <c r="K394" t="s">
        <v>1172</v>
      </c>
      <c r="L394" t="s">
        <v>1172</v>
      </c>
      <c r="M394" t="s">
        <v>209</v>
      </c>
      <c r="N394" t="s">
        <v>203</v>
      </c>
      <c r="Q394" s="2" t="str">
        <f>IF($C394="","",IFERROR(VLOOKUP($C394,sources!$A$2:$N$200,2,FALSE()),"?"))</f>
        <v>Map</v>
      </c>
      <c r="R394" s="2" t="str">
        <f t="shared" si="6"/>
        <v>Map</v>
      </c>
      <c r="S394" s="2" t="str">
        <f>IF($C394="","",IFERROR(VLOOKUP($C394,sources!$A$2:$N$200,9,FALSE()),"?"))</f>
        <v>Secondary</v>
      </c>
      <c r="T394" t="s">
        <v>5692</v>
      </c>
      <c r="U394">
        <f>IF(OR(B394="",C394="",T394="Retracted",LEFT(D394,8)="Negative"),0,IF(COUNTIFS($B$2:B394,B394,$C$2:C394,C394,$D$2:D394,"&lt;&gt;Negative*",$T$2:T394,"&lt;&gt;Retracted")=1,1,0))</f>
        <v>1</v>
      </c>
    </row>
    <row r="395" spans="1:21" x14ac:dyDescent="0.2">
      <c r="A395" t="s">
        <v>2078</v>
      </c>
      <c r="B395" t="s">
        <v>219</v>
      </c>
      <c r="C395" t="s">
        <v>1284</v>
      </c>
      <c r="D395" t="s">
        <v>1577</v>
      </c>
      <c r="E395" t="s">
        <v>1580</v>
      </c>
      <c r="F395" t="s">
        <v>1583</v>
      </c>
      <c r="K395" t="s">
        <v>2079</v>
      </c>
      <c r="M395" t="s">
        <v>203</v>
      </c>
      <c r="N395" t="s">
        <v>203</v>
      </c>
      <c r="Q395" s="2" t="str">
        <f>IF($C395="","",IFERROR(VLOOKUP($C395,sources!$A$2:$N$200,2,FALSE()),"?"))</f>
        <v>Newspaper</v>
      </c>
      <c r="R395" s="2" t="str">
        <f t="shared" si="6"/>
        <v>Textual</v>
      </c>
      <c r="S395" s="2" t="str">
        <f>IF($C395="","",IFERROR(VLOOKUP($C395,sources!$A$2:$N$200,9,FALSE()),"?"))</f>
        <v>US press</v>
      </c>
      <c r="T395" t="s">
        <v>5692</v>
      </c>
      <c r="U395">
        <f>IF(OR(B395="",C395="",T395="Retracted",LEFT(D395,8)="Negative"),0,IF(COUNTIFS($B$2:B395,B395,$C$2:C395,C395,$D$2:D395,"&lt;&gt;Negative*",$T$2:T395,"&lt;&gt;Retracted")=1,1,0))</f>
        <v>1</v>
      </c>
    </row>
    <row r="396" spans="1:21" x14ac:dyDescent="0.2">
      <c r="A396" t="s">
        <v>2080</v>
      </c>
      <c r="B396" t="s">
        <v>265</v>
      </c>
      <c r="C396" t="s">
        <v>1284</v>
      </c>
      <c r="D396" t="s">
        <v>1575</v>
      </c>
      <c r="E396" t="s">
        <v>331</v>
      </c>
      <c r="F396" t="s">
        <v>1583</v>
      </c>
      <c r="K396" t="s">
        <v>2081</v>
      </c>
      <c r="M396" t="s">
        <v>203</v>
      </c>
      <c r="N396" t="s">
        <v>203</v>
      </c>
      <c r="Q396" s="2" t="str">
        <f>IF($C396="","",IFERROR(VLOOKUP($C396,sources!$A$2:$N$200,2,FALSE()),"?"))</f>
        <v>Newspaper</v>
      </c>
      <c r="R396" s="2" t="str">
        <f t="shared" si="6"/>
        <v>Textual</v>
      </c>
      <c r="S396" s="2" t="str">
        <f>IF($C396="","",IFERROR(VLOOKUP($C396,sources!$A$2:$N$200,9,FALSE()),"?"))</f>
        <v>US press</v>
      </c>
      <c r="T396" t="s">
        <v>5692</v>
      </c>
      <c r="U396">
        <f>IF(OR(B396="",C396="",T396="Retracted",LEFT(D396,8)="Negative"),0,IF(COUNTIFS($B$2:B396,B396,$C$2:C396,C396,$D$2:D396,"&lt;&gt;Negative*",$T$2:T396,"&lt;&gt;Retracted")=1,1,0))</f>
        <v>1</v>
      </c>
    </row>
    <row r="397" spans="1:21" x14ac:dyDescent="0.2">
      <c r="A397" t="s">
        <v>2082</v>
      </c>
      <c r="B397" t="s">
        <v>265</v>
      </c>
      <c r="C397" t="s">
        <v>1284</v>
      </c>
      <c r="D397" t="s">
        <v>1575</v>
      </c>
      <c r="E397" t="s">
        <v>331</v>
      </c>
      <c r="F397" t="s">
        <v>1583</v>
      </c>
      <c r="K397" t="s">
        <v>2083</v>
      </c>
      <c r="M397" t="s">
        <v>203</v>
      </c>
      <c r="N397" t="s">
        <v>203</v>
      </c>
      <c r="Q397" s="2" t="str">
        <f>IF($C397="","",IFERROR(VLOOKUP($C397,sources!$A$2:$N$200,2,FALSE()),"?"))</f>
        <v>Newspaper</v>
      </c>
      <c r="R397" s="2" t="str">
        <f t="shared" si="6"/>
        <v>Textual</v>
      </c>
      <c r="S397" s="2" t="str">
        <f>IF($C397="","",IFERROR(VLOOKUP($C397,sources!$A$2:$N$200,9,FALSE()),"?"))</f>
        <v>US press</v>
      </c>
      <c r="T397" t="s">
        <v>5692</v>
      </c>
      <c r="U397">
        <f>IF(OR(B397="",C397="",T397="Retracted",LEFT(D397,8)="Negative"),0,IF(COUNTIFS($B$2:B397,B397,$C$2:C397,C397,$D$2:D397,"&lt;&gt;Negative*",$T$2:T397,"&lt;&gt;Retracted")=1,1,0))</f>
        <v>0</v>
      </c>
    </row>
    <row r="398" spans="1:21" x14ac:dyDescent="0.2">
      <c r="A398" t="s">
        <v>2084</v>
      </c>
      <c r="B398" t="s">
        <v>360</v>
      </c>
      <c r="C398" t="s">
        <v>1292</v>
      </c>
      <c r="D398" t="s">
        <v>1575</v>
      </c>
      <c r="E398" t="s">
        <v>345</v>
      </c>
      <c r="F398" t="s">
        <v>1583</v>
      </c>
      <c r="M398" t="s">
        <v>209</v>
      </c>
      <c r="N398" t="s">
        <v>203</v>
      </c>
      <c r="Q398" s="2" t="str">
        <f>IF($C398="","",IFERROR(VLOOKUP($C398,sources!$A$2:$N$200,2,FALSE()),"?"))</f>
        <v>Web compilation</v>
      </c>
      <c r="R398" s="2" t="str">
        <f t="shared" si="6"/>
        <v>Textual</v>
      </c>
      <c r="S398" s="2" t="str">
        <f>IF($C398="","",IFERROR(VLOOKUP($C398,sources!$A$2:$N$200,9,FALSE()),"?"))</f>
        <v>US press</v>
      </c>
      <c r="T398" t="s">
        <v>5692</v>
      </c>
      <c r="U398">
        <f>IF(OR(B398="",C398="",T398="Retracted",LEFT(D398,8)="Negative"),0,IF(COUNTIFS($B$2:B398,B398,$C$2:C398,C398,$D$2:D398,"&lt;&gt;Negative*",$T$2:T398,"&lt;&gt;Retracted")=1,1,0))</f>
        <v>1</v>
      </c>
    </row>
    <row r="399" spans="1:21" x14ac:dyDescent="0.2">
      <c r="A399" t="s">
        <v>2085</v>
      </c>
      <c r="B399" t="s">
        <v>219</v>
      </c>
      <c r="C399" t="s">
        <v>1292</v>
      </c>
      <c r="D399" t="s">
        <v>1575</v>
      </c>
      <c r="E399" t="s">
        <v>2086</v>
      </c>
      <c r="F399" t="s">
        <v>1583</v>
      </c>
      <c r="M399" t="s">
        <v>209</v>
      </c>
      <c r="N399" t="s">
        <v>203</v>
      </c>
      <c r="Q399" s="2" t="str">
        <f>IF($C399="","",IFERROR(VLOOKUP($C399,sources!$A$2:$N$200,2,FALSE()),"?"))</f>
        <v>Web compilation</v>
      </c>
      <c r="R399" s="2" t="str">
        <f t="shared" si="6"/>
        <v>Textual</v>
      </c>
      <c r="S399" s="2" t="str">
        <f>IF($C399="","",IFERROR(VLOOKUP($C399,sources!$A$2:$N$200,9,FALSE()),"?"))</f>
        <v>US press</v>
      </c>
      <c r="T399" t="s">
        <v>5692</v>
      </c>
      <c r="U399">
        <f>IF(OR(B399="",C399="",T399="Retracted",LEFT(D399,8)="Negative"),0,IF(COUNTIFS($B$2:B399,B399,$C$2:C399,C399,$D$2:D399,"&lt;&gt;Negative*",$T$2:T399,"&lt;&gt;Retracted")=1,1,0))</f>
        <v>1</v>
      </c>
    </row>
    <row r="400" spans="1:21" x14ac:dyDescent="0.2">
      <c r="A400" t="s">
        <v>2087</v>
      </c>
      <c r="B400" t="s">
        <v>369</v>
      </c>
      <c r="C400" t="s">
        <v>1292</v>
      </c>
      <c r="D400" t="s">
        <v>1575</v>
      </c>
      <c r="E400" t="s">
        <v>370</v>
      </c>
      <c r="F400" t="s">
        <v>1583</v>
      </c>
      <c r="K400" t="s">
        <v>2088</v>
      </c>
      <c r="M400" t="s">
        <v>203</v>
      </c>
      <c r="N400" t="s">
        <v>203</v>
      </c>
      <c r="Q400" s="2" t="str">
        <f>IF($C400="","",IFERROR(VLOOKUP($C400,sources!$A$2:$N$200,2,FALSE()),"?"))</f>
        <v>Web compilation</v>
      </c>
      <c r="R400" s="2" t="str">
        <f t="shared" si="6"/>
        <v>Textual</v>
      </c>
      <c r="S400" s="2" t="str">
        <f>IF($C400="","",IFERROR(VLOOKUP($C400,sources!$A$2:$N$200,9,FALSE()),"?"))</f>
        <v>US press</v>
      </c>
      <c r="T400" t="s">
        <v>5692</v>
      </c>
      <c r="U400">
        <f>IF(OR(B400="",C400="",T400="Retracted",LEFT(D400,8)="Negative"),0,IF(COUNTIFS($B$2:B400,B400,$C$2:C400,C400,$D$2:D400,"&lt;&gt;Negative*",$T$2:T400,"&lt;&gt;Retracted")=1,1,0))</f>
        <v>1</v>
      </c>
    </row>
    <row r="401" spans="1:21" x14ac:dyDescent="0.2">
      <c r="A401" t="s">
        <v>2089</v>
      </c>
      <c r="B401" t="s">
        <v>480</v>
      </c>
      <c r="C401" t="s">
        <v>1296</v>
      </c>
      <c r="D401" t="s">
        <v>1575</v>
      </c>
      <c r="E401" t="s">
        <v>481</v>
      </c>
      <c r="F401" t="s">
        <v>1583</v>
      </c>
      <c r="K401" t="s">
        <v>1411</v>
      </c>
      <c r="M401" t="s">
        <v>209</v>
      </c>
      <c r="N401" t="s">
        <v>203</v>
      </c>
      <c r="Q401" s="2" t="str">
        <f>IF($C401="","",IFERROR(VLOOKUP($C401,sources!$A$2:$N$200,2,FALSE()),"?"))</f>
        <v>Web compilation</v>
      </c>
      <c r="R401" s="2" t="str">
        <f t="shared" si="6"/>
        <v>Textual</v>
      </c>
      <c r="S401" s="2" t="str">
        <f>IF($C401="","",IFERROR(VLOOKUP($C401,sources!$A$2:$N$200,9,FALSE()),"?"))</f>
        <v>Mixed</v>
      </c>
      <c r="T401" t="s">
        <v>5692</v>
      </c>
      <c r="U401">
        <f>IF(OR(B401="",C401="",T401="Retracted",LEFT(D401,8)="Negative"),0,IF(COUNTIFS($B$2:B401,B401,$C$2:C401,C401,$D$2:D401,"&lt;&gt;Negative*",$T$2:T401,"&lt;&gt;Retracted")=1,1,0))</f>
        <v>1</v>
      </c>
    </row>
    <row r="402" spans="1:21" x14ac:dyDescent="0.2">
      <c r="A402" t="s">
        <v>2090</v>
      </c>
      <c r="B402" t="s">
        <v>205</v>
      </c>
      <c r="C402" t="s">
        <v>1296</v>
      </c>
      <c r="D402" t="s">
        <v>1575</v>
      </c>
      <c r="E402" t="s">
        <v>206</v>
      </c>
      <c r="F402" t="s">
        <v>1583</v>
      </c>
      <c r="K402" t="s">
        <v>1591</v>
      </c>
      <c r="M402" t="s">
        <v>209</v>
      </c>
      <c r="N402" t="s">
        <v>203</v>
      </c>
      <c r="Q402" s="2" t="str">
        <f>IF($C402="","",IFERROR(VLOOKUP($C402,sources!$A$2:$N$200,2,FALSE()),"?"))</f>
        <v>Web compilation</v>
      </c>
      <c r="R402" s="2" t="str">
        <f t="shared" si="6"/>
        <v>Textual</v>
      </c>
      <c r="S402" s="2" t="str">
        <f>IF($C402="","",IFERROR(VLOOKUP($C402,sources!$A$2:$N$200,9,FALSE()),"?"))</f>
        <v>Mixed</v>
      </c>
      <c r="T402" t="s">
        <v>5692</v>
      </c>
      <c r="U402">
        <f>IF(OR(B402="",C402="",T402="Retracted",LEFT(D402,8)="Negative"),0,IF(COUNTIFS($B$2:B402,B402,$C$2:C402,C402,$D$2:D402,"&lt;&gt;Negative*",$T$2:T402,"&lt;&gt;Retracted")=1,1,0))</f>
        <v>1</v>
      </c>
    </row>
    <row r="403" spans="1:21" x14ac:dyDescent="0.2">
      <c r="A403" t="s">
        <v>2091</v>
      </c>
      <c r="B403" t="s">
        <v>429</v>
      </c>
      <c r="C403" t="s">
        <v>1296</v>
      </c>
      <c r="D403" t="s">
        <v>1575</v>
      </c>
      <c r="E403" t="s">
        <v>430</v>
      </c>
      <c r="F403" t="s">
        <v>1583</v>
      </c>
      <c r="K403" t="s">
        <v>283</v>
      </c>
      <c r="M403" t="s">
        <v>209</v>
      </c>
      <c r="N403" t="s">
        <v>203</v>
      </c>
      <c r="Q403" s="2" t="str">
        <f>IF($C403="","",IFERROR(VLOOKUP($C403,sources!$A$2:$N$200,2,FALSE()),"?"))</f>
        <v>Web compilation</v>
      </c>
      <c r="R403" s="2" t="str">
        <f t="shared" si="6"/>
        <v>Textual</v>
      </c>
      <c r="S403" s="2" t="str">
        <f>IF($C403="","",IFERROR(VLOOKUP($C403,sources!$A$2:$N$200,9,FALSE()),"?"))</f>
        <v>Mixed</v>
      </c>
      <c r="T403" t="s">
        <v>5692</v>
      </c>
      <c r="U403">
        <f>IF(OR(B403="",C403="",T403="Retracted",LEFT(D403,8)="Negative"),0,IF(COUNTIFS($B$2:B403,B403,$C$2:C403,C403,$D$2:D403,"&lt;&gt;Negative*",$T$2:T403,"&lt;&gt;Retracted")=1,1,0))</f>
        <v>1</v>
      </c>
    </row>
    <row r="404" spans="1:21" x14ac:dyDescent="0.2">
      <c r="A404" t="s">
        <v>2092</v>
      </c>
      <c r="B404" t="s">
        <v>335</v>
      </c>
      <c r="C404" t="s">
        <v>1296</v>
      </c>
      <c r="D404" t="s">
        <v>1575</v>
      </c>
      <c r="E404" t="s">
        <v>336</v>
      </c>
      <c r="F404" t="s">
        <v>1583</v>
      </c>
      <c r="K404" t="s">
        <v>1591</v>
      </c>
      <c r="M404" t="s">
        <v>209</v>
      </c>
      <c r="N404" t="s">
        <v>203</v>
      </c>
      <c r="Q404" s="2" t="str">
        <f>IF($C404="","",IFERROR(VLOOKUP($C404,sources!$A$2:$N$200,2,FALSE()),"?"))</f>
        <v>Web compilation</v>
      </c>
      <c r="R404" s="2" t="str">
        <f t="shared" si="6"/>
        <v>Textual</v>
      </c>
      <c r="S404" s="2" t="str">
        <f>IF($C404="","",IFERROR(VLOOKUP($C404,sources!$A$2:$N$200,9,FALSE()),"?"))</f>
        <v>Mixed</v>
      </c>
      <c r="T404" t="s">
        <v>5692</v>
      </c>
      <c r="U404">
        <f>IF(OR(B404="",C404="",T404="Retracted",LEFT(D404,8)="Negative"),0,IF(COUNTIFS($B$2:B404,B404,$C$2:C404,C404,$D$2:D404,"&lt;&gt;Negative*",$T$2:T404,"&lt;&gt;Retracted")=1,1,0))</f>
        <v>1</v>
      </c>
    </row>
    <row r="405" spans="1:21" x14ac:dyDescent="0.2">
      <c r="A405" t="s">
        <v>2093</v>
      </c>
      <c r="B405" t="s">
        <v>215</v>
      </c>
      <c r="C405" t="s">
        <v>1296</v>
      </c>
      <c r="D405" t="s">
        <v>1575</v>
      </c>
      <c r="E405" t="s">
        <v>2094</v>
      </c>
      <c r="F405" t="s">
        <v>1583</v>
      </c>
      <c r="K405" t="s">
        <v>272</v>
      </c>
      <c r="M405" t="s">
        <v>209</v>
      </c>
      <c r="N405" t="s">
        <v>203</v>
      </c>
      <c r="Q405" s="2" t="str">
        <f>IF($C405="","",IFERROR(VLOOKUP($C405,sources!$A$2:$N$200,2,FALSE()),"?"))</f>
        <v>Web compilation</v>
      </c>
      <c r="R405" s="2" t="str">
        <f t="shared" si="6"/>
        <v>Textual</v>
      </c>
      <c r="S405" s="2" t="str">
        <f>IF($C405="","",IFERROR(VLOOKUP($C405,sources!$A$2:$N$200,9,FALSE()),"?"))</f>
        <v>Mixed</v>
      </c>
      <c r="T405" t="s">
        <v>5692</v>
      </c>
      <c r="U405">
        <f>IF(OR(B405="",C405="",T405="Retracted",LEFT(D405,8)="Negative"),0,IF(COUNTIFS($B$2:B405,B405,$C$2:C405,C405,$D$2:D405,"&lt;&gt;Negative*",$T$2:T405,"&lt;&gt;Retracted")=1,1,0))</f>
        <v>1</v>
      </c>
    </row>
    <row r="406" spans="1:21" x14ac:dyDescent="0.2">
      <c r="A406" t="s">
        <v>2095</v>
      </c>
      <c r="B406" t="s">
        <v>215</v>
      </c>
      <c r="C406" t="s">
        <v>1296</v>
      </c>
      <c r="D406" t="s">
        <v>1575</v>
      </c>
      <c r="E406" t="s">
        <v>216</v>
      </c>
      <c r="F406" t="s">
        <v>1583</v>
      </c>
      <c r="K406" t="s">
        <v>231</v>
      </c>
      <c r="M406" t="s">
        <v>209</v>
      </c>
      <c r="N406" t="s">
        <v>203</v>
      </c>
      <c r="Q406" s="2" t="str">
        <f>IF($C406="","",IFERROR(VLOOKUP($C406,sources!$A$2:$N$200,2,FALSE()),"?"))</f>
        <v>Web compilation</v>
      </c>
      <c r="R406" s="2" t="str">
        <f t="shared" si="6"/>
        <v>Textual</v>
      </c>
      <c r="S406" s="2" t="str">
        <f>IF($C406="","",IFERROR(VLOOKUP($C406,sources!$A$2:$N$200,9,FALSE()),"?"))</f>
        <v>Mixed</v>
      </c>
      <c r="T406" t="s">
        <v>5692</v>
      </c>
      <c r="U406">
        <f>IF(OR(B406="",C406="",T406="Retracted",LEFT(D406,8)="Negative"),0,IF(COUNTIFS($B$2:B406,B406,$C$2:C406,C406,$D$2:D406,"&lt;&gt;Negative*",$T$2:T406,"&lt;&gt;Retracted")=1,1,0))</f>
        <v>0</v>
      </c>
    </row>
    <row r="407" spans="1:21" x14ac:dyDescent="0.2">
      <c r="A407" t="s">
        <v>2096</v>
      </c>
      <c r="B407" t="s">
        <v>439</v>
      </c>
      <c r="C407" t="s">
        <v>1296</v>
      </c>
      <c r="D407" t="s">
        <v>1575</v>
      </c>
      <c r="E407" t="s">
        <v>440</v>
      </c>
      <c r="F407" t="s">
        <v>1583</v>
      </c>
      <c r="K407" t="s">
        <v>1591</v>
      </c>
      <c r="M407" t="s">
        <v>209</v>
      </c>
      <c r="N407" t="s">
        <v>203</v>
      </c>
      <c r="Q407" s="2" t="str">
        <f>IF($C407="","",IFERROR(VLOOKUP($C407,sources!$A$2:$N$200,2,FALSE()),"?"))</f>
        <v>Web compilation</v>
      </c>
      <c r="R407" s="2" t="str">
        <f t="shared" si="6"/>
        <v>Textual</v>
      </c>
      <c r="S407" s="2" t="str">
        <f>IF($C407="","",IFERROR(VLOOKUP($C407,sources!$A$2:$N$200,9,FALSE()),"?"))</f>
        <v>Mixed</v>
      </c>
      <c r="T407" t="s">
        <v>5692</v>
      </c>
      <c r="U407">
        <f>IF(OR(B407="",C407="",T407="Retracted",LEFT(D407,8)="Negative"),0,IF(COUNTIFS($B$2:B407,B407,$C$2:C407,C407,$D$2:D407,"&lt;&gt;Negative*",$T$2:T407,"&lt;&gt;Retracted")=1,1,0))</f>
        <v>1</v>
      </c>
    </row>
    <row r="408" spans="1:21" x14ac:dyDescent="0.2">
      <c r="A408" t="s">
        <v>2097</v>
      </c>
      <c r="B408" t="s">
        <v>194</v>
      </c>
      <c r="C408" t="s">
        <v>1296</v>
      </c>
      <c r="D408" t="s">
        <v>1575</v>
      </c>
      <c r="E408" t="s">
        <v>195</v>
      </c>
      <c r="F408" t="s">
        <v>1583</v>
      </c>
      <c r="K408" t="s">
        <v>272</v>
      </c>
      <c r="M408" t="s">
        <v>209</v>
      </c>
      <c r="N408" t="s">
        <v>203</v>
      </c>
      <c r="Q408" s="2" t="str">
        <f>IF($C408="","",IFERROR(VLOOKUP($C408,sources!$A$2:$N$200,2,FALSE()),"?"))</f>
        <v>Web compilation</v>
      </c>
      <c r="R408" s="2" t="str">
        <f t="shared" si="6"/>
        <v>Textual</v>
      </c>
      <c r="S408" s="2" t="str">
        <f>IF($C408="","",IFERROR(VLOOKUP($C408,sources!$A$2:$N$200,9,FALSE()),"?"))</f>
        <v>Mixed</v>
      </c>
      <c r="T408" t="s">
        <v>5692</v>
      </c>
      <c r="U408">
        <f>IF(OR(B408="",C408="",T408="Retracted",LEFT(D408,8)="Negative"),0,IF(COUNTIFS($B$2:B408,B408,$C$2:C408,C408,$D$2:D408,"&lt;&gt;Negative*",$T$2:T408,"&lt;&gt;Retracted")=1,1,0))</f>
        <v>1</v>
      </c>
    </row>
    <row r="409" spans="1:21" x14ac:dyDescent="0.2">
      <c r="A409" t="s">
        <v>2098</v>
      </c>
      <c r="B409" t="s">
        <v>253</v>
      </c>
      <c r="C409" t="s">
        <v>1296</v>
      </c>
      <c r="D409" t="s">
        <v>1575</v>
      </c>
      <c r="E409" t="s">
        <v>254</v>
      </c>
      <c r="F409" t="s">
        <v>1583</v>
      </c>
      <c r="K409" t="s">
        <v>283</v>
      </c>
      <c r="M409" t="s">
        <v>209</v>
      </c>
      <c r="N409" t="s">
        <v>203</v>
      </c>
      <c r="Q409" s="2" t="str">
        <f>IF($C409="","",IFERROR(VLOOKUP($C409,sources!$A$2:$N$200,2,FALSE()),"?"))</f>
        <v>Web compilation</v>
      </c>
      <c r="R409" s="2" t="str">
        <f t="shared" si="6"/>
        <v>Textual</v>
      </c>
      <c r="S409" s="2" t="str">
        <f>IF($C409="","",IFERROR(VLOOKUP($C409,sources!$A$2:$N$200,9,FALSE()),"?"))</f>
        <v>Mixed</v>
      </c>
      <c r="T409" t="s">
        <v>5692</v>
      </c>
      <c r="U409">
        <f>IF(OR(B409="",C409="",T409="Retracted",LEFT(D409,8)="Negative"),0,IF(COUNTIFS($B$2:B409,B409,$C$2:C409,C409,$D$2:D409,"&lt;&gt;Negative*",$T$2:T409,"&lt;&gt;Retracted")=1,1,0))</f>
        <v>1</v>
      </c>
    </row>
    <row r="410" spans="1:21" x14ac:dyDescent="0.2">
      <c r="A410" t="s">
        <v>2099</v>
      </c>
      <c r="B410" t="s">
        <v>265</v>
      </c>
      <c r="C410" t="s">
        <v>1296</v>
      </c>
      <c r="D410" t="s">
        <v>1575</v>
      </c>
      <c r="E410" t="s">
        <v>266</v>
      </c>
      <c r="F410" t="s">
        <v>1583</v>
      </c>
      <c r="K410" t="s">
        <v>272</v>
      </c>
      <c r="M410" t="s">
        <v>209</v>
      </c>
      <c r="N410" t="s">
        <v>203</v>
      </c>
      <c r="Q410" s="2" t="str">
        <f>IF($C410="","",IFERROR(VLOOKUP($C410,sources!$A$2:$N$200,2,FALSE()),"?"))</f>
        <v>Web compilation</v>
      </c>
      <c r="R410" s="2" t="str">
        <f t="shared" si="6"/>
        <v>Textual</v>
      </c>
      <c r="S410" s="2" t="str">
        <f>IF($C410="","",IFERROR(VLOOKUP($C410,sources!$A$2:$N$200,9,FALSE()),"?"))</f>
        <v>Mixed</v>
      </c>
      <c r="T410" t="s">
        <v>5692</v>
      </c>
      <c r="U410">
        <f>IF(OR(B410="",C410="",T410="Retracted",LEFT(D410,8)="Negative"),0,IF(COUNTIFS($B$2:B410,B410,$C$2:C410,C410,$D$2:D410,"&lt;&gt;Negative*",$T$2:T410,"&lt;&gt;Retracted")=1,1,0))</f>
        <v>1</v>
      </c>
    </row>
    <row r="411" spans="1:21" x14ac:dyDescent="0.2">
      <c r="A411" t="s">
        <v>2100</v>
      </c>
      <c r="B411" t="s">
        <v>211</v>
      </c>
      <c r="C411" t="s">
        <v>1296</v>
      </c>
      <c r="D411" t="s">
        <v>1575</v>
      </c>
      <c r="E411" t="s">
        <v>212</v>
      </c>
      <c r="F411" t="s">
        <v>1583</v>
      </c>
      <c r="M411" t="s">
        <v>190</v>
      </c>
      <c r="N411" t="s">
        <v>203</v>
      </c>
      <c r="Q411" s="2" t="str">
        <f>IF($C411="","",IFERROR(VLOOKUP($C411,sources!$A$2:$N$200,2,FALSE()),"?"))</f>
        <v>Web compilation</v>
      </c>
      <c r="R411" s="2" t="str">
        <f t="shared" si="6"/>
        <v>Textual</v>
      </c>
      <c r="S411" s="2" t="str">
        <f>IF($C411="","",IFERROR(VLOOKUP($C411,sources!$A$2:$N$200,9,FALSE()),"?"))</f>
        <v>Mixed</v>
      </c>
      <c r="T411" t="s">
        <v>5692</v>
      </c>
      <c r="U411">
        <f>IF(OR(B411="",C411="",T411="Retracted",LEFT(D411,8)="Negative"),0,IF(COUNTIFS($B$2:B411,B411,$C$2:C411,C411,$D$2:D411,"&lt;&gt;Negative*",$T$2:T411,"&lt;&gt;Retracted")=1,1,0))</f>
        <v>1</v>
      </c>
    </row>
    <row r="412" spans="1:21" x14ac:dyDescent="0.2">
      <c r="A412" t="s">
        <v>2101</v>
      </c>
      <c r="B412" t="s">
        <v>465</v>
      </c>
      <c r="C412" t="s">
        <v>1296</v>
      </c>
      <c r="D412" t="s">
        <v>1575</v>
      </c>
      <c r="E412" t="s">
        <v>466</v>
      </c>
      <c r="F412" t="s">
        <v>1583</v>
      </c>
      <c r="K412" t="s">
        <v>1040</v>
      </c>
      <c r="M412" t="s">
        <v>209</v>
      </c>
      <c r="N412" t="s">
        <v>203</v>
      </c>
      <c r="Q412" s="2" t="str">
        <f>IF($C412="","",IFERROR(VLOOKUP($C412,sources!$A$2:$N$200,2,FALSE()),"?"))</f>
        <v>Web compilation</v>
      </c>
      <c r="R412" s="2" t="str">
        <f t="shared" si="6"/>
        <v>Textual</v>
      </c>
      <c r="S412" s="2" t="str">
        <f>IF($C412="","",IFERROR(VLOOKUP($C412,sources!$A$2:$N$200,9,FALSE()),"?"))</f>
        <v>Mixed</v>
      </c>
      <c r="T412" t="s">
        <v>5692</v>
      </c>
      <c r="U412">
        <f>IF(OR(B412="",C412="",T412="Retracted",LEFT(D412,8)="Negative"),0,IF(COUNTIFS($B$2:B412,B412,$C$2:C412,C412,$D$2:D412,"&lt;&gt;Negative*",$T$2:T412,"&lt;&gt;Retracted")=1,1,0))</f>
        <v>1</v>
      </c>
    </row>
    <row r="413" spans="1:21" x14ac:dyDescent="0.2">
      <c r="A413" t="s">
        <v>2102</v>
      </c>
      <c r="B413" t="s">
        <v>398</v>
      </c>
      <c r="C413" t="s">
        <v>1296</v>
      </c>
      <c r="D413" t="s">
        <v>1575</v>
      </c>
      <c r="E413" t="s">
        <v>399</v>
      </c>
      <c r="F413" t="s">
        <v>1583</v>
      </c>
      <c r="K413" t="s">
        <v>1172</v>
      </c>
      <c r="M413" t="s">
        <v>209</v>
      </c>
      <c r="N413" t="s">
        <v>203</v>
      </c>
      <c r="Q413" s="2" t="str">
        <f>IF($C413="","",IFERROR(VLOOKUP($C413,sources!$A$2:$N$200,2,FALSE()),"?"))</f>
        <v>Web compilation</v>
      </c>
      <c r="R413" s="2" t="str">
        <f t="shared" si="6"/>
        <v>Textual</v>
      </c>
      <c r="S413" s="2" t="str">
        <f>IF($C413="","",IFERROR(VLOOKUP($C413,sources!$A$2:$N$200,9,FALSE()),"?"))</f>
        <v>Mixed</v>
      </c>
      <c r="T413" t="s">
        <v>5692</v>
      </c>
      <c r="U413">
        <f>IF(OR(B413="",C413="",T413="Retracted",LEFT(D413,8)="Negative"),0,IF(COUNTIFS($B$2:B413,B413,$C$2:C413,C413,$D$2:D413,"&lt;&gt;Negative*",$T$2:T413,"&lt;&gt;Retracted")=1,1,0))</f>
        <v>1</v>
      </c>
    </row>
    <row r="414" spans="1:21" x14ac:dyDescent="0.2">
      <c r="A414" t="s">
        <v>2103</v>
      </c>
      <c r="B414" t="s">
        <v>503</v>
      </c>
      <c r="C414" t="s">
        <v>1296</v>
      </c>
      <c r="D414" t="s">
        <v>1575</v>
      </c>
      <c r="E414" t="s">
        <v>504</v>
      </c>
      <c r="F414" t="s">
        <v>1583</v>
      </c>
      <c r="K414" t="s">
        <v>231</v>
      </c>
      <c r="M414" t="s">
        <v>209</v>
      </c>
      <c r="N414" t="s">
        <v>203</v>
      </c>
      <c r="Q414" s="2" t="str">
        <f>IF($C414="","",IFERROR(VLOOKUP($C414,sources!$A$2:$N$200,2,FALSE()),"?"))</f>
        <v>Web compilation</v>
      </c>
      <c r="R414" s="2" t="str">
        <f t="shared" si="6"/>
        <v>Textual</v>
      </c>
      <c r="S414" s="2" t="str">
        <f>IF($C414="","",IFERROR(VLOOKUP($C414,sources!$A$2:$N$200,9,FALSE()),"?"))</f>
        <v>Mixed</v>
      </c>
      <c r="T414" t="s">
        <v>5692</v>
      </c>
      <c r="U414">
        <f>IF(OR(B414="",C414="",T414="Retracted",LEFT(D414,8)="Negative"),0,IF(COUNTIFS($B$2:B414,B414,$C$2:C414,C414,$D$2:D414,"&lt;&gt;Negative*",$T$2:T414,"&lt;&gt;Retracted")=1,1,0))</f>
        <v>1</v>
      </c>
    </row>
    <row r="415" spans="1:21" x14ac:dyDescent="0.2">
      <c r="A415" t="s">
        <v>2104</v>
      </c>
      <c r="B415" t="s">
        <v>443</v>
      </c>
      <c r="C415" t="s">
        <v>1296</v>
      </c>
      <c r="D415" t="s">
        <v>1575</v>
      </c>
      <c r="E415" t="s">
        <v>444</v>
      </c>
      <c r="F415" t="s">
        <v>1583</v>
      </c>
      <c r="K415" t="s">
        <v>272</v>
      </c>
      <c r="M415" t="s">
        <v>209</v>
      </c>
      <c r="N415" t="s">
        <v>203</v>
      </c>
      <c r="Q415" s="2" t="str">
        <f>IF($C415="","",IFERROR(VLOOKUP($C415,sources!$A$2:$N$200,2,FALSE()),"?"))</f>
        <v>Web compilation</v>
      </c>
      <c r="R415" s="2" t="str">
        <f t="shared" si="6"/>
        <v>Textual</v>
      </c>
      <c r="S415" s="2" t="str">
        <f>IF($C415="","",IFERROR(VLOOKUP($C415,sources!$A$2:$N$200,9,FALSE()),"?"))</f>
        <v>Mixed</v>
      </c>
      <c r="T415" t="s">
        <v>5692</v>
      </c>
      <c r="U415">
        <f>IF(OR(B415="",C415="",T415="Retracted",LEFT(D415,8)="Negative"),0,IF(COUNTIFS($B$2:B415,B415,$C$2:C415,C415,$D$2:D415,"&lt;&gt;Negative*",$T$2:T415,"&lt;&gt;Retracted")=1,1,0))</f>
        <v>1</v>
      </c>
    </row>
    <row r="416" spans="1:21" x14ac:dyDescent="0.2">
      <c r="A416" t="s">
        <v>2105</v>
      </c>
      <c r="B416" t="s">
        <v>520</v>
      </c>
      <c r="C416" t="s">
        <v>1296</v>
      </c>
      <c r="D416" t="s">
        <v>1575</v>
      </c>
      <c r="E416" t="s">
        <v>521</v>
      </c>
      <c r="F416" t="s">
        <v>1583</v>
      </c>
      <c r="M416" t="s">
        <v>190</v>
      </c>
      <c r="N416" t="s">
        <v>203</v>
      </c>
      <c r="Q416" s="2" t="str">
        <f>IF($C416="","",IFERROR(VLOOKUP($C416,sources!$A$2:$N$200,2,FALSE()),"?"))</f>
        <v>Web compilation</v>
      </c>
      <c r="R416" s="2" t="str">
        <f t="shared" si="6"/>
        <v>Textual</v>
      </c>
      <c r="S416" s="2" t="str">
        <f>IF($C416="","",IFERROR(VLOOKUP($C416,sources!$A$2:$N$200,9,FALSE()),"?"))</f>
        <v>Mixed</v>
      </c>
      <c r="T416" t="s">
        <v>5692</v>
      </c>
      <c r="U416">
        <f>IF(OR(B416="",C416="",T416="Retracted",LEFT(D416,8)="Negative"),0,IF(COUNTIFS($B$2:B416,B416,$C$2:C416,C416,$D$2:D416,"&lt;&gt;Negative*",$T$2:T416,"&lt;&gt;Retracted")=1,1,0))</f>
        <v>1</v>
      </c>
    </row>
    <row r="417" spans="1:21" x14ac:dyDescent="0.2">
      <c r="A417" t="s">
        <v>2106</v>
      </c>
      <c r="B417" t="s">
        <v>510</v>
      </c>
      <c r="C417" t="s">
        <v>1296</v>
      </c>
      <c r="D417" t="s">
        <v>1575</v>
      </c>
      <c r="E417" t="s">
        <v>511</v>
      </c>
      <c r="F417" t="s">
        <v>1583</v>
      </c>
      <c r="K417" t="s">
        <v>1591</v>
      </c>
      <c r="M417" t="s">
        <v>209</v>
      </c>
      <c r="N417" t="s">
        <v>203</v>
      </c>
      <c r="Q417" s="2" t="str">
        <f>IF($C417="","",IFERROR(VLOOKUP($C417,sources!$A$2:$N$200,2,FALSE()),"?"))</f>
        <v>Web compilation</v>
      </c>
      <c r="R417" s="2" t="str">
        <f t="shared" si="6"/>
        <v>Textual</v>
      </c>
      <c r="S417" s="2" t="str">
        <f>IF($C417="","",IFERROR(VLOOKUP($C417,sources!$A$2:$N$200,9,FALSE()),"?"))</f>
        <v>Mixed</v>
      </c>
      <c r="T417" t="s">
        <v>5692</v>
      </c>
      <c r="U417">
        <f>IF(OR(B417="",C417="",T417="Retracted",LEFT(D417,8)="Negative"),0,IF(COUNTIFS($B$2:B417,B417,$C$2:C417,C417,$D$2:D417,"&lt;&gt;Negative*",$T$2:T417,"&lt;&gt;Retracted")=1,1,0))</f>
        <v>1</v>
      </c>
    </row>
    <row r="418" spans="1:21" x14ac:dyDescent="0.2">
      <c r="A418" t="s">
        <v>2107</v>
      </c>
      <c r="B418" t="s">
        <v>351</v>
      </c>
      <c r="C418" t="s">
        <v>1296</v>
      </c>
      <c r="D418" t="s">
        <v>1575</v>
      </c>
      <c r="E418" t="s">
        <v>352</v>
      </c>
      <c r="F418" t="s">
        <v>1583</v>
      </c>
      <c r="K418" t="s">
        <v>1782</v>
      </c>
      <c r="M418" t="s">
        <v>209</v>
      </c>
      <c r="N418" t="s">
        <v>203</v>
      </c>
      <c r="Q418" s="2" t="str">
        <f>IF($C418="","",IFERROR(VLOOKUP($C418,sources!$A$2:$N$200,2,FALSE()),"?"))</f>
        <v>Web compilation</v>
      </c>
      <c r="R418" s="2" t="str">
        <f t="shared" si="6"/>
        <v>Textual</v>
      </c>
      <c r="S418" s="2" t="str">
        <f>IF($C418="","",IFERROR(VLOOKUP($C418,sources!$A$2:$N$200,9,FALSE()),"?"))</f>
        <v>Mixed</v>
      </c>
      <c r="T418" t="s">
        <v>5692</v>
      </c>
      <c r="U418">
        <f>IF(OR(B418="",C418="",T418="Retracted",LEFT(D418,8)="Negative"),0,IF(COUNTIFS($B$2:B418,B418,$C$2:C418,C418,$D$2:D418,"&lt;&gt;Negative*",$T$2:T418,"&lt;&gt;Retracted")=1,1,0))</f>
        <v>1</v>
      </c>
    </row>
    <row r="419" spans="1:21" x14ac:dyDescent="0.2">
      <c r="A419" t="s">
        <v>2108</v>
      </c>
      <c r="B419" t="s">
        <v>330</v>
      </c>
      <c r="C419" t="s">
        <v>1296</v>
      </c>
      <c r="D419" t="s">
        <v>1575</v>
      </c>
      <c r="E419" t="s">
        <v>331</v>
      </c>
      <c r="F419" t="s">
        <v>1583</v>
      </c>
      <c r="K419" t="s">
        <v>1591</v>
      </c>
      <c r="M419" t="s">
        <v>209</v>
      </c>
      <c r="N419" t="s">
        <v>203</v>
      </c>
      <c r="Q419" s="2" t="str">
        <f>IF($C419="","",IFERROR(VLOOKUP($C419,sources!$A$2:$N$200,2,FALSE()),"?"))</f>
        <v>Web compilation</v>
      </c>
      <c r="R419" s="2" t="str">
        <f t="shared" si="6"/>
        <v>Textual</v>
      </c>
      <c r="S419" s="2" t="str">
        <f>IF($C419="","",IFERROR(VLOOKUP($C419,sources!$A$2:$N$200,9,FALSE()),"?"))</f>
        <v>Mixed</v>
      </c>
      <c r="T419" t="s">
        <v>5692</v>
      </c>
      <c r="U419">
        <f>IF(OR(B419="",C419="",T419="Retracted",LEFT(D419,8)="Negative"),0,IF(COUNTIFS($B$2:B419,B419,$C$2:C419,C419,$D$2:D419,"&lt;&gt;Negative*",$T$2:T419,"&lt;&gt;Retracted")=1,1,0))</f>
        <v>1</v>
      </c>
    </row>
    <row r="420" spans="1:21" x14ac:dyDescent="0.2">
      <c r="A420" t="s">
        <v>2109</v>
      </c>
      <c r="B420" t="s">
        <v>199</v>
      </c>
      <c r="C420" t="s">
        <v>1296</v>
      </c>
      <c r="D420" t="s">
        <v>1575</v>
      </c>
      <c r="E420" t="s">
        <v>200</v>
      </c>
      <c r="F420" t="s">
        <v>1583</v>
      </c>
      <c r="K420" t="s">
        <v>1172</v>
      </c>
      <c r="M420" t="s">
        <v>209</v>
      </c>
      <c r="N420" t="s">
        <v>203</v>
      </c>
      <c r="Q420" s="2" t="str">
        <f>IF($C420="","",IFERROR(VLOOKUP($C420,sources!$A$2:$N$200,2,FALSE()),"?"))</f>
        <v>Web compilation</v>
      </c>
      <c r="R420" s="2" t="str">
        <f t="shared" si="6"/>
        <v>Textual</v>
      </c>
      <c r="S420" s="2" t="str">
        <f>IF($C420="","",IFERROR(VLOOKUP($C420,sources!$A$2:$N$200,9,FALSE()),"?"))</f>
        <v>Mixed</v>
      </c>
      <c r="T420" t="s">
        <v>5692</v>
      </c>
      <c r="U420">
        <f>IF(OR(B420="",C420="",T420="Retracted",LEFT(D420,8)="Negative"),0,IF(COUNTIFS($B$2:B420,B420,$C$2:C420,C420,$D$2:D420,"&lt;&gt;Negative*",$T$2:T420,"&lt;&gt;Retracted")=1,1,0))</f>
        <v>1</v>
      </c>
    </row>
    <row r="421" spans="1:21" x14ac:dyDescent="0.2">
      <c r="A421" t="s">
        <v>2110</v>
      </c>
      <c r="B421" t="s">
        <v>378</v>
      </c>
      <c r="C421" t="s">
        <v>1296</v>
      </c>
      <c r="D421" t="s">
        <v>1575</v>
      </c>
      <c r="E421" t="s">
        <v>379</v>
      </c>
      <c r="F421" t="s">
        <v>1583</v>
      </c>
      <c r="K421" t="s">
        <v>1040</v>
      </c>
      <c r="M421" t="s">
        <v>209</v>
      </c>
      <c r="N421" t="s">
        <v>203</v>
      </c>
      <c r="Q421" s="2" t="str">
        <f>IF($C421="","",IFERROR(VLOOKUP($C421,sources!$A$2:$N$200,2,FALSE()),"?"))</f>
        <v>Web compilation</v>
      </c>
      <c r="R421" s="2" t="str">
        <f t="shared" si="6"/>
        <v>Textual</v>
      </c>
      <c r="S421" s="2" t="str">
        <f>IF($C421="","",IFERROR(VLOOKUP($C421,sources!$A$2:$N$200,9,FALSE()),"?"))</f>
        <v>Mixed</v>
      </c>
      <c r="T421" t="s">
        <v>5692</v>
      </c>
      <c r="U421">
        <f>IF(OR(B421="",C421="",T421="Retracted",LEFT(D421,8)="Negative"),0,IF(COUNTIFS($B$2:B421,B421,$C$2:C421,C421,$D$2:D421,"&lt;&gt;Negative*",$T$2:T421,"&lt;&gt;Retracted")=1,1,0))</f>
        <v>1</v>
      </c>
    </row>
    <row r="422" spans="1:21" x14ac:dyDescent="0.2">
      <c r="A422" t="s">
        <v>2111</v>
      </c>
      <c r="B422" t="s">
        <v>247</v>
      </c>
      <c r="C422" t="s">
        <v>1296</v>
      </c>
      <c r="D422" t="s">
        <v>1575</v>
      </c>
      <c r="E422" t="s">
        <v>248</v>
      </c>
      <c r="F422" t="s">
        <v>1583</v>
      </c>
      <c r="K422" t="s">
        <v>272</v>
      </c>
      <c r="M422" t="s">
        <v>209</v>
      </c>
      <c r="N422" t="s">
        <v>203</v>
      </c>
      <c r="Q422" s="2" t="str">
        <f>IF($C422="","",IFERROR(VLOOKUP($C422,sources!$A$2:$N$200,2,FALSE()),"?"))</f>
        <v>Web compilation</v>
      </c>
      <c r="R422" s="2" t="str">
        <f t="shared" si="6"/>
        <v>Textual</v>
      </c>
      <c r="S422" s="2" t="str">
        <f>IF($C422="","",IFERROR(VLOOKUP($C422,sources!$A$2:$N$200,9,FALSE()),"?"))</f>
        <v>Mixed</v>
      </c>
      <c r="T422" t="s">
        <v>5692</v>
      </c>
      <c r="U422">
        <f>IF(OR(B422="",C422="",T422="Retracted",LEFT(D422,8)="Negative"),0,IF(COUNTIFS($B$2:B422,B422,$C$2:C422,C422,$D$2:D422,"&lt;&gt;Negative*",$T$2:T422,"&lt;&gt;Retracted")=1,1,0))</f>
        <v>1</v>
      </c>
    </row>
    <row r="423" spans="1:21" x14ac:dyDescent="0.2">
      <c r="A423" t="s">
        <v>2112</v>
      </c>
      <c r="B423" t="s">
        <v>472</v>
      </c>
      <c r="C423" t="s">
        <v>1296</v>
      </c>
      <c r="D423" t="s">
        <v>1575</v>
      </c>
      <c r="E423" t="s">
        <v>473</v>
      </c>
      <c r="F423" t="s">
        <v>1583</v>
      </c>
      <c r="K423" t="s">
        <v>1040</v>
      </c>
      <c r="M423" t="s">
        <v>209</v>
      </c>
      <c r="N423" t="s">
        <v>203</v>
      </c>
      <c r="Q423" s="2" t="str">
        <f>IF($C423="","",IFERROR(VLOOKUP($C423,sources!$A$2:$N$200,2,FALSE()),"?"))</f>
        <v>Web compilation</v>
      </c>
      <c r="R423" s="2" t="str">
        <f t="shared" si="6"/>
        <v>Textual</v>
      </c>
      <c r="S423" s="2" t="str">
        <f>IF($C423="","",IFERROR(VLOOKUP($C423,sources!$A$2:$N$200,9,FALSE()),"?"))</f>
        <v>Mixed</v>
      </c>
      <c r="T423" t="s">
        <v>5692</v>
      </c>
      <c r="U423">
        <f>IF(OR(B423="",C423="",T423="Retracted",LEFT(D423,8)="Negative"),0,IF(COUNTIFS($B$2:B423,B423,$C$2:C423,C423,$D$2:D423,"&lt;&gt;Negative*",$T$2:T423,"&lt;&gt;Retracted")=1,1,0))</f>
        <v>1</v>
      </c>
    </row>
    <row r="424" spans="1:21" x14ac:dyDescent="0.2">
      <c r="A424" t="s">
        <v>2113</v>
      </c>
      <c r="B424" t="s">
        <v>233</v>
      </c>
      <c r="C424" t="s">
        <v>1296</v>
      </c>
      <c r="D424" t="s">
        <v>1575</v>
      </c>
      <c r="E424" t="s">
        <v>305</v>
      </c>
      <c r="F424" t="s">
        <v>1583</v>
      </c>
      <c r="M424" t="s">
        <v>190</v>
      </c>
      <c r="N424" t="s">
        <v>203</v>
      </c>
      <c r="Q424" s="2" t="str">
        <f>IF($C424="","",IFERROR(VLOOKUP($C424,sources!$A$2:$N$200,2,FALSE()),"?"))</f>
        <v>Web compilation</v>
      </c>
      <c r="R424" s="2" t="str">
        <f t="shared" si="6"/>
        <v>Textual</v>
      </c>
      <c r="S424" s="2" t="str">
        <f>IF($C424="","",IFERROR(VLOOKUP($C424,sources!$A$2:$N$200,9,FALSE()),"?"))</f>
        <v>Mixed</v>
      </c>
      <c r="T424" t="s">
        <v>5692</v>
      </c>
      <c r="U424">
        <f>IF(OR(B424="",C424="",T424="Retracted",LEFT(D424,8)="Negative"),0,IF(COUNTIFS($B$2:B424,B424,$C$2:C424,C424,$D$2:D424,"&lt;&gt;Negative*",$T$2:T424,"&lt;&gt;Retracted")=1,1,0))</f>
        <v>1</v>
      </c>
    </row>
    <row r="425" spans="1:21" x14ac:dyDescent="0.2">
      <c r="A425" t="s">
        <v>2114</v>
      </c>
      <c r="B425" t="s">
        <v>233</v>
      </c>
      <c r="C425" t="s">
        <v>1296</v>
      </c>
      <c r="D425" t="s">
        <v>1575</v>
      </c>
      <c r="E425" t="s">
        <v>234</v>
      </c>
      <c r="F425" t="s">
        <v>1583</v>
      </c>
      <c r="M425" t="s">
        <v>190</v>
      </c>
      <c r="N425" t="s">
        <v>203</v>
      </c>
      <c r="Q425" s="2" t="str">
        <f>IF($C425="","",IFERROR(VLOOKUP($C425,sources!$A$2:$N$200,2,FALSE()),"?"))</f>
        <v>Web compilation</v>
      </c>
      <c r="R425" s="2" t="str">
        <f t="shared" si="6"/>
        <v>Textual</v>
      </c>
      <c r="S425" s="2" t="str">
        <f>IF($C425="","",IFERROR(VLOOKUP($C425,sources!$A$2:$N$200,9,FALSE()),"?"))</f>
        <v>Mixed</v>
      </c>
      <c r="T425" t="s">
        <v>5692</v>
      </c>
      <c r="U425">
        <f>IF(OR(B425="",C425="",T425="Retracted",LEFT(D425,8)="Negative"),0,IF(COUNTIFS($B$2:B425,B425,$C$2:C425,C425,$D$2:D425,"&lt;&gt;Negative*",$T$2:T425,"&lt;&gt;Retracted")=1,1,0))</f>
        <v>0</v>
      </c>
    </row>
    <row r="426" spans="1:21" x14ac:dyDescent="0.2">
      <c r="A426" t="s">
        <v>2115</v>
      </c>
      <c r="B426" t="s">
        <v>847</v>
      </c>
      <c r="C426" t="s">
        <v>1296</v>
      </c>
      <c r="D426" t="s">
        <v>1575</v>
      </c>
      <c r="E426" t="s">
        <v>355</v>
      </c>
      <c r="F426" t="s">
        <v>1583</v>
      </c>
      <c r="M426" t="s">
        <v>190</v>
      </c>
      <c r="N426" t="s">
        <v>203</v>
      </c>
      <c r="Q426" s="2" t="str">
        <f>IF($C426="","",IFERROR(VLOOKUP($C426,sources!$A$2:$N$200,2,FALSE()),"?"))</f>
        <v>Web compilation</v>
      </c>
      <c r="R426" s="2" t="str">
        <f t="shared" si="6"/>
        <v>Textual</v>
      </c>
      <c r="S426" s="2" t="str">
        <f>IF($C426="","",IFERROR(VLOOKUP($C426,sources!$A$2:$N$200,9,FALSE()),"?"))</f>
        <v>Mixed</v>
      </c>
      <c r="T426" t="s">
        <v>5692</v>
      </c>
      <c r="U426">
        <f>IF(OR(B426="",C426="",T426="Retracted",LEFT(D426,8)="Negative"),0,IF(COUNTIFS($B$2:B426,B426,$C$2:C426,C426,$D$2:D426,"&lt;&gt;Negative*",$T$2:T426,"&lt;&gt;Retracted")=1,1,0))</f>
        <v>1</v>
      </c>
    </row>
    <row r="427" spans="1:21" x14ac:dyDescent="0.2">
      <c r="A427" t="s">
        <v>2116</v>
      </c>
      <c r="B427" t="s">
        <v>369</v>
      </c>
      <c r="C427" t="s">
        <v>1296</v>
      </c>
      <c r="D427" t="s">
        <v>1575</v>
      </c>
      <c r="E427" t="s">
        <v>370</v>
      </c>
      <c r="F427" t="s">
        <v>1583</v>
      </c>
      <c r="K427" t="s">
        <v>272</v>
      </c>
      <c r="M427" t="s">
        <v>209</v>
      </c>
      <c r="N427" t="s">
        <v>203</v>
      </c>
      <c r="Q427" s="2" t="str">
        <f>IF($C427="","",IFERROR(VLOOKUP($C427,sources!$A$2:$N$200,2,FALSE()),"?"))</f>
        <v>Web compilation</v>
      </c>
      <c r="R427" s="2" t="str">
        <f t="shared" si="6"/>
        <v>Textual</v>
      </c>
      <c r="S427" s="2" t="str">
        <f>IF($C427="","",IFERROR(VLOOKUP($C427,sources!$A$2:$N$200,9,FALSE()),"?"))</f>
        <v>Mixed</v>
      </c>
      <c r="T427" t="s">
        <v>5692</v>
      </c>
      <c r="U427">
        <f>IF(OR(B427="",C427="",T427="Retracted",LEFT(D427,8)="Negative"),0,IF(COUNTIFS($B$2:B427,B427,$C$2:C427,C427,$D$2:D427,"&lt;&gt;Negative*",$T$2:T427,"&lt;&gt;Retracted")=1,1,0))</f>
        <v>1</v>
      </c>
    </row>
    <row r="428" spans="1:21" x14ac:dyDescent="0.2">
      <c r="A428" t="s">
        <v>2117</v>
      </c>
      <c r="B428" t="s">
        <v>219</v>
      </c>
      <c r="C428" t="s">
        <v>1296</v>
      </c>
      <c r="D428" t="s">
        <v>1575</v>
      </c>
      <c r="E428" t="s">
        <v>1580</v>
      </c>
      <c r="F428" t="s">
        <v>1583</v>
      </c>
      <c r="K428" t="s">
        <v>272</v>
      </c>
      <c r="M428" t="s">
        <v>209</v>
      </c>
      <c r="N428" t="s">
        <v>203</v>
      </c>
      <c r="Q428" s="2" t="str">
        <f>IF($C428="","",IFERROR(VLOOKUP($C428,sources!$A$2:$N$200,2,FALSE()),"?"))</f>
        <v>Web compilation</v>
      </c>
      <c r="R428" s="2" t="str">
        <f t="shared" si="6"/>
        <v>Textual</v>
      </c>
      <c r="S428" s="2" t="str">
        <f>IF($C428="","",IFERROR(VLOOKUP($C428,sources!$A$2:$N$200,9,FALSE()),"?"))</f>
        <v>Mixed</v>
      </c>
      <c r="T428" t="s">
        <v>5692</v>
      </c>
      <c r="U428">
        <f>IF(OR(B428="",C428="",T428="Retracted",LEFT(D428,8)="Negative"),0,IF(COUNTIFS($B$2:B428,B428,$C$2:C428,C428,$D$2:D428,"&lt;&gt;Negative*",$T$2:T428,"&lt;&gt;Retracted")=1,1,0))</f>
        <v>1</v>
      </c>
    </row>
    <row r="429" spans="1:21" x14ac:dyDescent="0.2">
      <c r="A429" t="s">
        <v>2118</v>
      </c>
      <c r="B429" t="s">
        <v>436</v>
      </c>
      <c r="C429" t="s">
        <v>1296</v>
      </c>
      <c r="D429" t="s">
        <v>1575</v>
      </c>
      <c r="E429" t="s">
        <v>437</v>
      </c>
      <c r="F429" t="s">
        <v>1583</v>
      </c>
      <c r="K429" t="s">
        <v>272</v>
      </c>
      <c r="M429" t="s">
        <v>209</v>
      </c>
      <c r="N429" t="s">
        <v>203</v>
      </c>
      <c r="Q429" s="2" t="str">
        <f>IF($C429="","",IFERROR(VLOOKUP($C429,sources!$A$2:$N$200,2,FALSE()),"?"))</f>
        <v>Web compilation</v>
      </c>
      <c r="R429" s="2" t="str">
        <f t="shared" si="6"/>
        <v>Textual</v>
      </c>
      <c r="S429" s="2" t="str">
        <f>IF($C429="","",IFERROR(VLOOKUP($C429,sources!$A$2:$N$200,9,FALSE()),"?"))</f>
        <v>Mixed</v>
      </c>
      <c r="T429" t="s">
        <v>5692</v>
      </c>
      <c r="U429">
        <f>IF(OR(B429="",C429="",T429="Retracted",LEFT(D429,8)="Negative"),0,IF(COUNTIFS($B$2:B429,B429,$C$2:C429,C429,$D$2:D429,"&lt;&gt;Negative*",$T$2:T429,"&lt;&gt;Retracted")=1,1,0))</f>
        <v>1</v>
      </c>
    </row>
    <row r="430" spans="1:21" x14ac:dyDescent="0.2">
      <c r="A430" t="s">
        <v>2119</v>
      </c>
      <c r="B430" t="s">
        <v>242</v>
      </c>
      <c r="C430" t="s">
        <v>1296</v>
      </c>
      <c r="D430" t="s">
        <v>1575</v>
      </c>
      <c r="E430" t="s">
        <v>243</v>
      </c>
      <c r="F430" t="s">
        <v>1583</v>
      </c>
      <c r="K430" t="s">
        <v>231</v>
      </c>
      <c r="M430" t="s">
        <v>209</v>
      </c>
      <c r="N430" t="s">
        <v>203</v>
      </c>
      <c r="Q430" s="2" t="str">
        <f>IF($C430="","",IFERROR(VLOOKUP($C430,sources!$A$2:$N$200,2,FALSE()),"?"))</f>
        <v>Web compilation</v>
      </c>
      <c r="R430" s="2" t="str">
        <f t="shared" si="6"/>
        <v>Textual</v>
      </c>
      <c r="S430" s="2" t="str">
        <f>IF($C430="","",IFERROR(VLOOKUP($C430,sources!$A$2:$N$200,9,FALSE()),"?"))</f>
        <v>Mixed</v>
      </c>
      <c r="T430" t="s">
        <v>5692</v>
      </c>
      <c r="U430">
        <f>IF(OR(B430="",C430="",T430="Retracted",LEFT(D430,8)="Negative"),0,IF(COUNTIFS($B$2:B430,B430,$C$2:C430,C430,$D$2:D430,"&lt;&gt;Negative*",$T$2:T430,"&lt;&gt;Retracted")=1,1,0))</f>
        <v>1</v>
      </c>
    </row>
    <row r="431" spans="1:21" x14ac:dyDescent="0.2">
      <c r="A431" t="s">
        <v>2120</v>
      </c>
      <c r="B431" t="s">
        <v>433</v>
      </c>
      <c r="C431" t="s">
        <v>1296</v>
      </c>
      <c r="D431" t="s">
        <v>1575</v>
      </c>
      <c r="E431" t="s">
        <v>434</v>
      </c>
      <c r="F431" t="s">
        <v>1583</v>
      </c>
      <c r="K431" t="s">
        <v>272</v>
      </c>
      <c r="M431" t="s">
        <v>209</v>
      </c>
      <c r="N431" t="s">
        <v>203</v>
      </c>
      <c r="Q431" s="2" t="str">
        <f>IF($C431="","",IFERROR(VLOOKUP($C431,sources!$A$2:$N$200,2,FALSE()),"?"))</f>
        <v>Web compilation</v>
      </c>
      <c r="R431" s="2" t="str">
        <f t="shared" si="6"/>
        <v>Textual</v>
      </c>
      <c r="S431" s="2" t="str">
        <f>IF($C431="","",IFERROR(VLOOKUP($C431,sources!$A$2:$N$200,9,FALSE()),"?"))</f>
        <v>Mixed</v>
      </c>
      <c r="T431" t="s">
        <v>5692</v>
      </c>
      <c r="U431">
        <f>IF(OR(B431="",C431="",T431="Retracted",LEFT(D431,8)="Negative"),0,IF(COUNTIFS($B$2:B431,B431,$C$2:C431,C431,$D$2:D431,"&lt;&gt;Negative*",$T$2:T431,"&lt;&gt;Retracted")=1,1,0))</f>
        <v>1</v>
      </c>
    </row>
    <row r="432" spans="1:21" x14ac:dyDescent="0.2">
      <c r="A432" t="s">
        <v>2121</v>
      </c>
      <c r="B432" t="s">
        <v>484</v>
      </c>
      <c r="C432" t="s">
        <v>1296</v>
      </c>
      <c r="D432" t="s">
        <v>1575</v>
      </c>
      <c r="E432" t="s">
        <v>485</v>
      </c>
      <c r="F432" t="s">
        <v>1583</v>
      </c>
      <c r="K432" t="s">
        <v>1591</v>
      </c>
      <c r="M432" t="s">
        <v>209</v>
      </c>
      <c r="N432" t="s">
        <v>203</v>
      </c>
      <c r="Q432" s="2" t="str">
        <f>IF($C432="","",IFERROR(VLOOKUP($C432,sources!$A$2:$N$200,2,FALSE()),"?"))</f>
        <v>Web compilation</v>
      </c>
      <c r="R432" s="2" t="str">
        <f t="shared" si="6"/>
        <v>Textual</v>
      </c>
      <c r="S432" s="2" t="str">
        <f>IF($C432="","",IFERROR(VLOOKUP($C432,sources!$A$2:$N$200,9,FALSE()),"?"))</f>
        <v>Mixed</v>
      </c>
      <c r="T432" t="s">
        <v>5692</v>
      </c>
      <c r="U432">
        <f>IF(OR(B432="",C432="",T432="Retracted",LEFT(D432,8)="Negative"),0,IF(COUNTIFS($B$2:B432,B432,$C$2:C432,C432,$D$2:D432,"&lt;&gt;Negative*",$T$2:T432,"&lt;&gt;Retracted")=1,1,0))</f>
        <v>1</v>
      </c>
    </row>
    <row r="433" spans="1:21" x14ac:dyDescent="0.2">
      <c r="A433" t="s">
        <v>2122</v>
      </c>
      <c r="B433" t="s">
        <v>348</v>
      </c>
      <c r="C433" t="s">
        <v>1296</v>
      </c>
      <c r="D433" t="s">
        <v>1575</v>
      </c>
      <c r="E433" t="s">
        <v>349</v>
      </c>
      <c r="F433" t="s">
        <v>1583</v>
      </c>
      <c r="K433" t="s">
        <v>283</v>
      </c>
      <c r="M433" t="s">
        <v>209</v>
      </c>
      <c r="N433" t="s">
        <v>203</v>
      </c>
      <c r="Q433" s="2" t="str">
        <f>IF($C433="","",IFERROR(VLOOKUP($C433,sources!$A$2:$N$200,2,FALSE()),"?"))</f>
        <v>Web compilation</v>
      </c>
      <c r="R433" s="2" t="str">
        <f t="shared" si="6"/>
        <v>Textual</v>
      </c>
      <c r="S433" s="2" t="str">
        <f>IF($C433="","",IFERROR(VLOOKUP($C433,sources!$A$2:$N$200,9,FALSE()),"?"))</f>
        <v>Mixed</v>
      </c>
      <c r="T433" t="s">
        <v>5692</v>
      </c>
      <c r="U433">
        <f>IF(OR(B433="",C433="",T433="Retracted",LEFT(D433,8)="Negative"),0,IF(COUNTIFS($B$2:B433,B433,$C$2:C433,C433,$D$2:D433,"&lt;&gt;Negative*",$T$2:T433,"&lt;&gt;Retracted")=1,1,0))</f>
        <v>1</v>
      </c>
    </row>
    <row r="434" spans="1:21" x14ac:dyDescent="0.2">
      <c r="A434" t="s">
        <v>2123</v>
      </c>
      <c r="B434" t="s">
        <v>261</v>
      </c>
      <c r="C434" t="s">
        <v>1296</v>
      </c>
      <c r="D434" t="s">
        <v>1575</v>
      </c>
      <c r="E434" t="s">
        <v>262</v>
      </c>
      <c r="F434" t="s">
        <v>1583</v>
      </c>
      <c r="K434" t="s">
        <v>1723</v>
      </c>
      <c r="M434" t="s">
        <v>209</v>
      </c>
      <c r="N434" t="s">
        <v>203</v>
      </c>
      <c r="Q434" s="2" t="str">
        <f>IF($C434="","",IFERROR(VLOOKUP($C434,sources!$A$2:$N$200,2,FALSE()),"?"))</f>
        <v>Web compilation</v>
      </c>
      <c r="R434" s="2" t="str">
        <f t="shared" si="6"/>
        <v>Textual</v>
      </c>
      <c r="S434" s="2" t="str">
        <f>IF($C434="","",IFERROR(VLOOKUP($C434,sources!$A$2:$N$200,9,FALSE()),"?"))</f>
        <v>Mixed</v>
      </c>
      <c r="T434" t="s">
        <v>5692</v>
      </c>
      <c r="U434">
        <f>IF(OR(B434="",C434="",T434="Retracted",LEFT(D434,8)="Negative"),0,IF(COUNTIFS($B$2:B434,B434,$C$2:C434,C434,$D$2:D434,"&lt;&gt;Negative*",$T$2:T434,"&lt;&gt;Retracted")=1,1,0))</f>
        <v>1</v>
      </c>
    </row>
    <row r="435" spans="1:21" x14ac:dyDescent="0.2">
      <c r="A435" t="s">
        <v>2124</v>
      </c>
      <c r="B435" t="s">
        <v>389</v>
      </c>
      <c r="C435" t="s">
        <v>1296</v>
      </c>
      <c r="D435" t="s">
        <v>1575</v>
      </c>
      <c r="E435" t="s">
        <v>390</v>
      </c>
      <c r="F435" t="s">
        <v>1583</v>
      </c>
      <c r="K435" t="s">
        <v>2125</v>
      </c>
      <c r="M435" t="s">
        <v>209</v>
      </c>
      <c r="N435" t="s">
        <v>203</v>
      </c>
      <c r="Q435" s="2" t="str">
        <f>IF($C435="","",IFERROR(VLOOKUP($C435,sources!$A$2:$N$200,2,FALSE()),"?"))</f>
        <v>Web compilation</v>
      </c>
      <c r="R435" s="2" t="str">
        <f t="shared" si="6"/>
        <v>Textual</v>
      </c>
      <c r="S435" s="2" t="str">
        <f>IF($C435="","",IFERROR(VLOOKUP($C435,sources!$A$2:$N$200,9,FALSE()),"?"))</f>
        <v>Mixed</v>
      </c>
      <c r="T435" t="s">
        <v>5692</v>
      </c>
      <c r="U435">
        <f>IF(OR(B435="",C435="",T435="Retracted",LEFT(D435,8)="Negative"),0,IF(COUNTIFS($B$2:B435,B435,$C$2:C435,C435,$D$2:D435,"&lt;&gt;Negative*",$T$2:T435,"&lt;&gt;Retracted")=1,1,0))</f>
        <v>1</v>
      </c>
    </row>
    <row r="436" spans="1:21" x14ac:dyDescent="0.2">
      <c r="A436" t="s">
        <v>2126</v>
      </c>
      <c r="B436" t="s">
        <v>395</v>
      </c>
      <c r="C436" t="s">
        <v>1296</v>
      </c>
      <c r="D436" t="s">
        <v>1575</v>
      </c>
      <c r="E436" t="s">
        <v>396</v>
      </c>
      <c r="F436" t="s">
        <v>1583</v>
      </c>
      <c r="K436" t="s">
        <v>2127</v>
      </c>
      <c r="M436" t="s">
        <v>209</v>
      </c>
      <c r="N436" t="s">
        <v>203</v>
      </c>
      <c r="Q436" s="2" t="str">
        <f>IF($C436="","",IFERROR(VLOOKUP($C436,sources!$A$2:$N$200,2,FALSE()),"?"))</f>
        <v>Web compilation</v>
      </c>
      <c r="R436" s="2" t="str">
        <f t="shared" si="6"/>
        <v>Textual</v>
      </c>
      <c r="S436" s="2" t="str">
        <f>IF($C436="","",IFERROR(VLOOKUP($C436,sources!$A$2:$N$200,9,FALSE()),"?"))</f>
        <v>Mixed</v>
      </c>
      <c r="T436" t="s">
        <v>5692</v>
      </c>
      <c r="U436">
        <f>IF(OR(B436="",C436="",T436="Retracted",LEFT(D436,8)="Negative"),0,IF(COUNTIFS($B$2:B436,B436,$C$2:C436,C436,$D$2:D436,"&lt;&gt;Negative*",$T$2:T436,"&lt;&gt;Retracted")=1,1,0))</f>
        <v>1</v>
      </c>
    </row>
    <row r="437" spans="1:21" x14ac:dyDescent="0.2">
      <c r="A437" t="s">
        <v>2128</v>
      </c>
      <c r="B437" t="s">
        <v>179</v>
      </c>
      <c r="C437" t="s">
        <v>1296</v>
      </c>
      <c r="D437" t="s">
        <v>1575</v>
      </c>
      <c r="E437" t="s">
        <v>180</v>
      </c>
      <c r="F437" t="s">
        <v>1583</v>
      </c>
      <c r="K437" t="s">
        <v>272</v>
      </c>
      <c r="M437" t="s">
        <v>209</v>
      </c>
      <c r="N437" t="s">
        <v>203</v>
      </c>
      <c r="Q437" s="2" t="str">
        <f>IF($C437="","",IFERROR(VLOOKUP($C437,sources!$A$2:$N$200,2,FALSE()),"?"))</f>
        <v>Web compilation</v>
      </c>
      <c r="R437" s="2" t="str">
        <f t="shared" si="6"/>
        <v>Textual</v>
      </c>
      <c r="S437" s="2" t="str">
        <f>IF($C437="","",IFERROR(VLOOKUP($C437,sources!$A$2:$N$200,9,FALSE()),"?"))</f>
        <v>Mixed</v>
      </c>
      <c r="T437" t="s">
        <v>5692</v>
      </c>
      <c r="U437">
        <f>IF(OR(B437="",C437="",T437="Retracted",LEFT(D437,8)="Negative"),0,IF(COUNTIFS($B$2:B437,B437,$C$2:C437,C437,$D$2:D437,"&lt;&gt;Negative*",$T$2:T437,"&lt;&gt;Retracted")=1,1,0))</f>
        <v>1</v>
      </c>
    </row>
    <row r="438" spans="1:21" x14ac:dyDescent="0.2">
      <c r="A438" t="s">
        <v>2129</v>
      </c>
      <c r="B438" t="s">
        <v>383</v>
      </c>
      <c r="C438" t="s">
        <v>1296</v>
      </c>
      <c r="D438" t="s">
        <v>1575</v>
      </c>
      <c r="E438" t="s">
        <v>384</v>
      </c>
      <c r="F438" t="s">
        <v>1583</v>
      </c>
      <c r="K438" t="s">
        <v>272</v>
      </c>
      <c r="M438" t="s">
        <v>209</v>
      </c>
      <c r="N438" t="s">
        <v>203</v>
      </c>
      <c r="Q438" s="2" t="str">
        <f>IF($C438="","",IFERROR(VLOOKUP($C438,sources!$A$2:$N$200,2,FALSE()),"?"))</f>
        <v>Web compilation</v>
      </c>
      <c r="R438" s="2" t="str">
        <f t="shared" si="6"/>
        <v>Textual</v>
      </c>
      <c r="S438" s="2" t="str">
        <f>IF($C438="","",IFERROR(VLOOKUP($C438,sources!$A$2:$N$200,9,FALSE()),"?"))</f>
        <v>Mixed</v>
      </c>
      <c r="T438" t="s">
        <v>5692</v>
      </c>
      <c r="U438">
        <f>IF(OR(B438="",C438="",T438="Retracted",LEFT(D438,8)="Negative"),0,IF(COUNTIFS($B$2:B438,B438,$C$2:C438,C438,$D$2:D438,"&lt;&gt;Negative*",$T$2:T438,"&lt;&gt;Retracted")=1,1,0))</f>
        <v>1</v>
      </c>
    </row>
    <row r="439" spans="1:21" x14ac:dyDescent="0.2">
      <c r="A439" t="s">
        <v>2130</v>
      </c>
      <c r="B439" t="s">
        <v>374</v>
      </c>
      <c r="C439" t="s">
        <v>1296</v>
      </c>
      <c r="D439" t="s">
        <v>1575</v>
      </c>
      <c r="E439" t="s">
        <v>375</v>
      </c>
      <c r="F439" t="s">
        <v>1583</v>
      </c>
      <c r="M439" t="s">
        <v>190</v>
      </c>
      <c r="N439" t="s">
        <v>203</v>
      </c>
      <c r="Q439" s="2" t="str">
        <f>IF($C439="","",IFERROR(VLOOKUP($C439,sources!$A$2:$N$200,2,FALSE()),"?"))</f>
        <v>Web compilation</v>
      </c>
      <c r="R439" s="2" t="str">
        <f t="shared" si="6"/>
        <v>Textual</v>
      </c>
      <c r="S439" s="2" t="str">
        <f>IF($C439="","",IFERROR(VLOOKUP($C439,sources!$A$2:$N$200,9,FALSE()),"?"))</f>
        <v>Mixed</v>
      </c>
      <c r="T439" t="s">
        <v>5692</v>
      </c>
      <c r="U439">
        <f>IF(OR(B439="",C439="",T439="Retracted",LEFT(D439,8)="Negative"),0,IF(COUNTIFS($B$2:B439,B439,$C$2:C439,C439,$D$2:D439,"&lt;&gt;Negative*",$T$2:T439,"&lt;&gt;Retracted")=1,1,0))</f>
        <v>1</v>
      </c>
    </row>
    <row r="440" spans="1:21" x14ac:dyDescent="0.2">
      <c r="A440" t="s">
        <v>2131</v>
      </c>
      <c r="B440" t="s">
        <v>403</v>
      </c>
      <c r="C440" t="s">
        <v>1296</v>
      </c>
      <c r="D440" t="s">
        <v>1575</v>
      </c>
      <c r="E440" t="s">
        <v>404</v>
      </c>
      <c r="F440" t="s">
        <v>1583</v>
      </c>
      <c r="K440" t="s">
        <v>1723</v>
      </c>
      <c r="M440" t="s">
        <v>209</v>
      </c>
      <c r="N440" t="s">
        <v>203</v>
      </c>
      <c r="Q440" s="2" t="str">
        <f>IF($C440="","",IFERROR(VLOOKUP($C440,sources!$A$2:$N$200,2,FALSE()),"?"))</f>
        <v>Web compilation</v>
      </c>
      <c r="R440" s="2" t="str">
        <f t="shared" si="6"/>
        <v>Textual</v>
      </c>
      <c r="S440" s="2" t="str">
        <f>IF($C440="","",IFERROR(VLOOKUP($C440,sources!$A$2:$N$200,9,FALSE()),"?"))</f>
        <v>Mixed</v>
      </c>
      <c r="T440" t="s">
        <v>5692</v>
      </c>
      <c r="U440">
        <f>IF(OR(B440="",C440="",T440="Retracted",LEFT(D440,8)="Negative"),0,IF(COUNTIFS($B$2:B440,B440,$C$2:C440,C440,$D$2:D440,"&lt;&gt;Negative*",$T$2:T440,"&lt;&gt;Retracted")=1,1,0))</f>
        <v>1</v>
      </c>
    </row>
    <row r="441" spans="1:21" x14ac:dyDescent="0.2">
      <c r="A441" t="s">
        <v>2132</v>
      </c>
      <c r="B441" t="s">
        <v>415</v>
      </c>
      <c r="C441" t="s">
        <v>1296</v>
      </c>
      <c r="D441" t="s">
        <v>1575</v>
      </c>
      <c r="E441" t="s">
        <v>416</v>
      </c>
      <c r="F441" t="s">
        <v>1583</v>
      </c>
      <c r="K441" t="s">
        <v>1723</v>
      </c>
      <c r="M441" t="s">
        <v>209</v>
      </c>
      <c r="N441" t="s">
        <v>203</v>
      </c>
      <c r="Q441" s="2" t="str">
        <f>IF($C441="","",IFERROR(VLOOKUP($C441,sources!$A$2:$N$200,2,FALSE()),"?"))</f>
        <v>Web compilation</v>
      </c>
      <c r="R441" s="2" t="str">
        <f t="shared" si="6"/>
        <v>Textual</v>
      </c>
      <c r="S441" s="2" t="str">
        <f>IF($C441="","",IFERROR(VLOOKUP($C441,sources!$A$2:$N$200,9,FALSE()),"?"))</f>
        <v>Mixed</v>
      </c>
      <c r="T441" t="s">
        <v>5692</v>
      </c>
      <c r="U441">
        <f>IF(OR(B441="",C441="",T441="Retracted",LEFT(D441,8)="Negative"),0,IF(COUNTIFS($B$2:B441,B441,$C$2:C441,C441,$D$2:D441,"&lt;&gt;Negative*",$T$2:T441,"&lt;&gt;Retracted")=1,1,0))</f>
        <v>1</v>
      </c>
    </row>
    <row r="442" spans="1:21" x14ac:dyDescent="0.2">
      <c r="A442" t="s">
        <v>2133</v>
      </c>
      <c r="B442" t="s">
        <v>468</v>
      </c>
      <c r="C442" t="s">
        <v>1296</v>
      </c>
      <c r="D442" t="s">
        <v>1575</v>
      </c>
      <c r="E442" t="s">
        <v>469</v>
      </c>
      <c r="F442" t="s">
        <v>1583</v>
      </c>
      <c r="K442" t="s">
        <v>273</v>
      </c>
      <c r="M442" t="s">
        <v>209</v>
      </c>
      <c r="N442" t="s">
        <v>203</v>
      </c>
      <c r="Q442" s="2" t="str">
        <f>IF($C442="","",IFERROR(VLOOKUP($C442,sources!$A$2:$N$200,2,FALSE()),"?"))</f>
        <v>Web compilation</v>
      </c>
      <c r="R442" s="2" t="str">
        <f t="shared" si="6"/>
        <v>Textual</v>
      </c>
      <c r="S442" s="2" t="str">
        <f>IF($C442="","",IFERROR(VLOOKUP($C442,sources!$A$2:$N$200,9,FALSE()),"?"))</f>
        <v>Mixed</v>
      </c>
      <c r="T442" t="s">
        <v>5692</v>
      </c>
      <c r="U442">
        <f>IF(OR(B442="",C442="",T442="Retracted",LEFT(D442,8)="Negative"),0,IF(COUNTIFS($B$2:B442,B442,$C$2:C442,C442,$D$2:D442,"&lt;&gt;Negative*",$T$2:T442,"&lt;&gt;Retracted")=1,1,0))</f>
        <v>1</v>
      </c>
    </row>
    <row r="443" spans="1:21" x14ac:dyDescent="0.2">
      <c r="A443" t="s">
        <v>2134</v>
      </c>
      <c r="B443" t="s">
        <v>226</v>
      </c>
      <c r="C443" t="s">
        <v>1296</v>
      </c>
      <c r="D443" t="s">
        <v>1575</v>
      </c>
      <c r="E443" t="s">
        <v>227</v>
      </c>
      <c r="F443" t="s">
        <v>1583</v>
      </c>
      <c r="K443" t="s">
        <v>1040</v>
      </c>
      <c r="M443" t="s">
        <v>209</v>
      </c>
      <c r="N443" t="s">
        <v>203</v>
      </c>
      <c r="Q443" s="2" t="str">
        <f>IF($C443="","",IFERROR(VLOOKUP($C443,sources!$A$2:$N$200,2,FALSE()),"?"))</f>
        <v>Web compilation</v>
      </c>
      <c r="R443" s="2" t="str">
        <f t="shared" si="6"/>
        <v>Textual</v>
      </c>
      <c r="S443" s="2" t="str">
        <f>IF($C443="","",IFERROR(VLOOKUP($C443,sources!$A$2:$N$200,9,FALSE()),"?"))</f>
        <v>Mixed</v>
      </c>
      <c r="T443" t="s">
        <v>5692</v>
      </c>
      <c r="U443">
        <f>IF(OR(B443="",C443="",T443="Retracted",LEFT(D443,8)="Negative"),0,IF(COUNTIFS($B$2:B443,B443,$C$2:C443,C443,$D$2:D443,"&lt;&gt;Negative*",$T$2:T443,"&lt;&gt;Retracted")=1,1,0))</f>
        <v>1</v>
      </c>
    </row>
    <row r="444" spans="1:21" x14ac:dyDescent="0.2">
      <c r="A444" t="s">
        <v>2135</v>
      </c>
      <c r="B444" t="s">
        <v>219</v>
      </c>
      <c r="C444" t="s">
        <v>1296</v>
      </c>
      <c r="D444" t="s">
        <v>1575</v>
      </c>
      <c r="E444" t="s">
        <v>220</v>
      </c>
      <c r="F444" t="s">
        <v>1583</v>
      </c>
      <c r="K444" t="s">
        <v>231</v>
      </c>
      <c r="M444" t="s">
        <v>209</v>
      </c>
      <c r="N444" t="s">
        <v>203</v>
      </c>
      <c r="Q444" s="2" t="str">
        <f>IF($C444="","",IFERROR(VLOOKUP($C444,sources!$A$2:$N$200,2,FALSE()),"?"))</f>
        <v>Web compilation</v>
      </c>
      <c r="R444" s="2" t="str">
        <f t="shared" si="6"/>
        <v>Textual</v>
      </c>
      <c r="S444" s="2" t="str">
        <f>IF($C444="","",IFERROR(VLOOKUP($C444,sources!$A$2:$N$200,9,FALSE()),"?"))</f>
        <v>Mixed</v>
      </c>
      <c r="T444" t="s">
        <v>5692</v>
      </c>
      <c r="U444">
        <f>IF(OR(B444="",C444="",T444="Retracted",LEFT(D444,8)="Negative"),0,IF(COUNTIFS($B$2:B444,B444,$C$2:C444,C444,$D$2:D444,"&lt;&gt;Negative*",$T$2:T444,"&lt;&gt;Retracted")=1,1,0))</f>
        <v>0</v>
      </c>
    </row>
    <row r="445" spans="1:21" x14ac:dyDescent="0.2">
      <c r="A445" t="s">
        <v>2136</v>
      </c>
      <c r="B445" t="s">
        <v>507</v>
      </c>
      <c r="C445" t="s">
        <v>1296</v>
      </c>
      <c r="D445" t="s">
        <v>1575</v>
      </c>
      <c r="E445" t="s">
        <v>508</v>
      </c>
      <c r="F445" t="s">
        <v>1583</v>
      </c>
      <c r="K445" t="s">
        <v>1721</v>
      </c>
      <c r="M445" t="s">
        <v>209</v>
      </c>
      <c r="N445" t="s">
        <v>203</v>
      </c>
      <c r="Q445" s="2" t="str">
        <f>IF($C445="","",IFERROR(VLOOKUP($C445,sources!$A$2:$N$200,2,FALSE()),"?"))</f>
        <v>Web compilation</v>
      </c>
      <c r="R445" s="2" t="str">
        <f t="shared" si="6"/>
        <v>Textual</v>
      </c>
      <c r="S445" s="2" t="str">
        <f>IF($C445="","",IFERROR(VLOOKUP($C445,sources!$A$2:$N$200,9,FALSE()),"?"))</f>
        <v>Mixed</v>
      </c>
      <c r="T445" t="s">
        <v>5692</v>
      </c>
      <c r="U445">
        <f>IF(OR(B445="",C445="",T445="Retracted",LEFT(D445,8)="Negative"),0,IF(COUNTIFS($B$2:B445,B445,$C$2:C445,C445,$D$2:D445,"&lt;&gt;Negative*",$T$2:T445,"&lt;&gt;Retracted")=1,1,0))</f>
        <v>1</v>
      </c>
    </row>
    <row r="446" spans="1:21" x14ac:dyDescent="0.2">
      <c r="A446" t="s">
        <v>2137</v>
      </c>
      <c r="B446" t="s">
        <v>447</v>
      </c>
      <c r="C446" t="s">
        <v>1296</v>
      </c>
      <c r="D446" t="s">
        <v>1575</v>
      </c>
      <c r="E446" t="s">
        <v>448</v>
      </c>
      <c r="F446" t="s">
        <v>1583</v>
      </c>
      <c r="K446" t="s">
        <v>1591</v>
      </c>
      <c r="M446" t="s">
        <v>209</v>
      </c>
      <c r="N446" t="s">
        <v>203</v>
      </c>
      <c r="Q446" s="2" t="str">
        <f>IF($C446="","",IFERROR(VLOOKUP($C446,sources!$A$2:$N$200,2,FALSE()),"?"))</f>
        <v>Web compilation</v>
      </c>
      <c r="R446" s="2" t="str">
        <f t="shared" si="6"/>
        <v>Textual</v>
      </c>
      <c r="S446" s="2" t="str">
        <f>IF($C446="","",IFERROR(VLOOKUP($C446,sources!$A$2:$N$200,9,FALSE()),"?"))</f>
        <v>Mixed</v>
      </c>
      <c r="T446" t="s">
        <v>5692</v>
      </c>
      <c r="U446">
        <f>IF(OR(B446="",C446="",T446="Retracted",LEFT(D446,8)="Negative"),0,IF(COUNTIFS($B$2:B446,B446,$C$2:C446,C446,$D$2:D446,"&lt;&gt;Negative*",$T$2:T446,"&lt;&gt;Retracted")=1,1,0))</f>
        <v>1</v>
      </c>
    </row>
    <row r="447" spans="1:21" x14ac:dyDescent="0.2">
      <c r="A447" t="s">
        <v>2138</v>
      </c>
      <c r="B447" t="s">
        <v>357</v>
      </c>
      <c r="C447" t="s">
        <v>1296</v>
      </c>
      <c r="D447" t="s">
        <v>1575</v>
      </c>
      <c r="E447" t="s">
        <v>358</v>
      </c>
      <c r="F447" t="s">
        <v>1583</v>
      </c>
      <c r="K447" t="s">
        <v>1782</v>
      </c>
      <c r="M447" t="s">
        <v>209</v>
      </c>
      <c r="N447" t="s">
        <v>203</v>
      </c>
      <c r="Q447" s="2" t="str">
        <f>IF($C447="","",IFERROR(VLOOKUP($C447,sources!$A$2:$N$200,2,FALSE()),"?"))</f>
        <v>Web compilation</v>
      </c>
      <c r="R447" s="2" t="str">
        <f t="shared" si="6"/>
        <v>Textual</v>
      </c>
      <c r="S447" s="2" t="str">
        <f>IF($C447="","",IFERROR(VLOOKUP($C447,sources!$A$2:$N$200,9,FALSE()),"?"))</f>
        <v>Mixed</v>
      </c>
      <c r="T447" t="s">
        <v>5692</v>
      </c>
      <c r="U447">
        <f>IF(OR(B447="",C447="",T447="Retracted",LEFT(D447,8)="Negative"),0,IF(COUNTIFS($B$2:B447,B447,$C$2:C447,C447,$D$2:D447,"&lt;&gt;Negative*",$T$2:T447,"&lt;&gt;Retracted")=1,1,0))</f>
        <v>1</v>
      </c>
    </row>
    <row r="448" spans="1:21" x14ac:dyDescent="0.2">
      <c r="A448" t="s">
        <v>2139</v>
      </c>
      <c r="B448" t="s">
        <v>344</v>
      </c>
      <c r="C448" t="s">
        <v>1296</v>
      </c>
      <c r="D448" t="s">
        <v>1575</v>
      </c>
      <c r="E448" t="s">
        <v>345</v>
      </c>
      <c r="F448" t="s">
        <v>1583</v>
      </c>
      <c r="K448" t="s">
        <v>273</v>
      </c>
      <c r="M448" t="s">
        <v>209</v>
      </c>
      <c r="N448" t="s">
        <v>203</v>
      </c>
      <c r="Q448" s="2" t="str">
        <f>IF($C448="","",IFERROR(VLOOKUP($C448,sources!$A$2:$N$200,2,FALSE()),"?"))</f>
        <v>Web compilation</v>
      </c>
      <c r="R448" s="2" t="str">
        <f t="shared" si="6"/>
        <v>Textual</v>
      </c>
      <c r="S448" s="2" t="str">
        <f>IF($C448="","",IFERROR(VLOOKUP($C448,sources!$A$2:$N$200,9,FALSE()),"?"))</f>
        <v>Mixed</v>
      </c>
      <c r="T448" t="s">
        <v>5692</v>
      </c>
      <c r="U448">
        <f>IF(OR(B448="",C448="",T448="Retracted",LEFT(D448,8)="Negative"),0,IF(COUNTIFS($B$2:B448,B448,$C$2:C448,C448,$D$2:D448,"&lt;&gt;Negative*",$T$2:T448,"&lt;&gt;Retracted")=1,1,0))</f>
        <v>1</v>
      </c>
    </row>
    <row r="449" spans="1:21" x14ac:dyDescent="0.2">
      <c r="A449" t="s">
        <v>2140</v>
      </c>
      <c r="B449" t="s">
        <v>498</v>
      </c>
      <c r="C449" t="s">
        <v>1296</v>
      </c>
      <c r="D449" t="s">
        <v>1575</v>
      </c>
      <c r="E449" t="s">
        <v>499</v>
      </c>
      <c r="F449" t="s">
        <v>1583</v>
      </c>
      <c r="K449" t="s">
        <v>272</v>
      </c>
      <c r="M449" t="s">
        <v>209</v>
      </c>
      <c r="N449" t="s">
        <v>203</v>
      </c>
      <c r="Q449" s="2" t="str">
        <f>IF($C449="","",IFERROR(VLOOKUP($C449,sources!$A$2:$N$200,2,FALSE()),"?"))</f>
        <v>Web compilation</v>
      </c>
      <c r="R449" s="2" t="str">
        <f t="shared" si="6"/>
        <v>Textual</v>
      </c>
      <c r="S449" s="2" t="str">
        <f>IF($C449="","",IFERROR(VLOOKUP($C449,sources!$A$2:$N$200,9,FALSE()),"?"))</f>
        <v>Mixed</v>
      </c>
      <c r="T449" t="s">
        <v>5692</v>
      </c>
      <c r="U449">
        <f>IF(OR(B449="",C449="",T449="Retracted",LEFT(D449,8)="Negative"),0,IF(COUNTIFS($B$2:B449,B449,$C$2:C449,C449,$D$2:D449,"&lt;&gt;Negative*",$T$2:T449,"&lt;&gt;Retracted")=1,1,0))</f>
        <v>1</v>
      </c>
    </row>
    <row r="450" spans="1:21" x14ac:dyDescent="0.2">
      <c r="A450" t="s">
        <v>2141</v>
      </c>
      <c r="B450" t="s">
        <v>424</v>
      </c>
      <c r="C450" t="s">
        <v>1296</v>
      </c>
      <c r="D450" t="s">
        <v>1575</v>
      </c>
      <c r="E450" t="s">
        <v>425</v>
      </c>
      <c r="F450" t="s">
        <v>1583</v>
      </c>
      <c r="K450" t="s">
        <v>1782</v>
      </c>
      <c r="M450" t="s">
        <v>209</v>
      </c>
      <c r="N450" t="s">
        <v>203</v>
      </c>
      <c r="Q450" s="2" t="str">
        <f>IF($C450="","",IFERROR(VLOOKUP($C450,sources!$A$2:$N$200,2,FALSE()),"?"))</f>
        <v>Web compilation</v>
      </c>
      <c r="R450" s="2" t="str">
        <f t="shared" ref="R450:R513" si="7">IF($Q450="","",IF($Q450="Map","Map",IF(OR($Q450="Photograph",$Q450="Postcard"),"Image",IF(OR($Q450="Census or roll",$Q450="Report",$Q450="Newspaper",$Q450="Letter",$Q450="Memoir",$Q450="Administrative",$Q450="Web compilation"),"Textual",IF($Q450="Legal claim","Legal/admin",IF($Q450="Secondary","Secondary","Other"))))))</f>
        <v>Textual</v>
      </c>
      <c r="S450" s="2" t="str">
        <f>IF($C450="","",IFERROR(VLOOKUP($C450,sources!$A$2:$N$200,9,FALSE()),"?"))</f>
        <v>Mixed</v>
      </c>
      <c r="T450" t="s">
        <v>5692</v>
      </c>
      <c r="U450">
        <f>IF(OR(B450="",C450="",T450="Retracted",LEFT(D450,8)="Negative"),0,IF(COUNTIFS($B$2:B450,B450,$C$2:C450,C450,$D$2:D450,"&lt;&gt;Negative*",$T$2:T450,"&lt;&gt;Retracted")=1,1,0))</f>
        <v>1</v>
      </c>
    </row>
    <row r="451" spans="1:21" x14ac:dyDescent="0.2">
      <c r="A451" t="s">
        <v>2142</v>
      </c>
      <c r="B451" t="s">
        <v>461</v>
      </c>
      <c r="C451" t="s">
        <v>1296</v>
      </c>
      <c r="D451" t="s">
        <v>1575</v>
      </c>
      <c r="E451" t="s">
        <v>462</v>
      </c>
      <c r="F451" t="s">
        <v>1583</v>
      </c>
      <c r="K451" t="s">
        <v>1909</v>
      </c>
      <c r="M451" t="s">
        <v>209</v>
      </c>
      <c r="N451" t="s">
        <v>203</v>
      </c>
      <c r="Q451" s="2" t="str">
        <f>IF($C451="","",IFERROR(VLOOKUP($C451,sources!$A$2:$N$200,2,FALSE()),"?"))</f>
        <v>Web compilation</v>
      </c>
      <c r="R451" s="2" t="str">
        <f t="shared" si="7"/>
        <v>Textual</v>
      </c>
      <c r="S451" s="2" t="str">
        <f>IF($C451="","",IFERROR(VLOOKUP($C451,sources!$A$2:$N$200,9,FALSE()),"?"))</f>
        <v>Mixed</v>
      </c>
      <c r="T451" t="s">
        <v>5692</v>
      </c>
      <c r="U451">
        <f>IF(OR(B451="",C451="",T451="Retracted",LEFT(D451,8)="Negative"),0,IF(COUNTIFS($B$2:B451,B451,$C$2:C451,C451,$D$2:D451,"&lt;&gt;Negative*",$T$2:T451,"&lt;&gt;Retracted")=1,1,0))</f>
        <v>1</v>
      </c>
    </row>
    <row r="452" spans="1:21" x14ac:dyDescent="0.2">
      <c r="A452" t="s">
        <v>2143</v>
      </c>
      <c r="B452" t="s">
        <v>360</v>
      </c>
      <c r="C452" t="s">
        <v>1296</v>
      </c>
      <c r="D452" t="s">
        <v>1575</v>
      </c>
      <c r="E452" t="s">
        <v>361</v>
      </c>
      <c r="F452" t="s">
        <v>1583</v>
      </c>
      <c r="K452" t="s">
        <v>272</v>
      </c>
      <c r="M452" t="s">
        <v>209</v>
      </c>
      <c r="N452" t="s">
        <v>203</v>
      </c>
      <c r="Q452" s="2" t="str">
        <f>IF($C452="","",IFERROR(VLOOKUP($C452,sources!$A$2:$N$200,2,FALSE()),"?"))</f>
        <v>Web compilation</v>
      </c>
      <c r="R452" s="2" t="str">
        <f t="shared" si="7"/>
        <v>Textual</v>
      </c>
      <c r="S452" s="2" t="str">
        <f>IF($C452="","",IFERROR(VLOOKUP($C452,sources!$A$2:$N$200,9,FALSE()),"?"))</f>
        <v>Mixed</v>
      </c>
      <c r="T452" t="s">
        <v>5692</v>
      </c>
      <c r="U452">
        <f>IF(OR(B452="",C452="",T452="Retracted",LEFT(D452,8)="Negative"),0,IF(COUNTIFS($B$2:B452,B452,$C$2:C452,C452,$D$2:D452,"&lt;&gt;Negative*",$T$2:T452,"&lt;&gt;Retracted")=1,1,0))</f>
        <v>1</v>
      </c>
    </row>
    <row r="453" spans="1:21" x14ac:dyDescent="0.2">
      <c r="A453" t="s">
        <v>2144</v>
      </c>
      <c r="B453" t="s">
        <v>363</v>
      </c>
      <c r="C453" t="s">
        <v>1296</v>
      </c>
      <c r="D453" t="s">
        <v>1575</v>
      </c>
      <c r="E453" t="s">
        <v>364</v>
      </c>
      <c r="F453" t="s">
        <v>1583</v>
      </c>
      <c r="M453" t="s">
        <v>190</v>
      </c>
      <c r="N453" t="s">
        <v>203</v>
      </c>
      <c r="Q453" s="2" t="str">
        <f>IF($C453="","",IFERROR(VLOOKUP($C453,sources!$A$2:$N$200,2,FALSE()),"?"))</f>
        <v>Web compilation</v>
      </c>
      <c r="R453" s="2" t="str">
        <f t="shared" si="7"/>
        <v>Textual</v>
      </c>
      <c r="S453" s="2" t="str">
        <f>IF($C453="","",IFERROR(VLOOKUP($C453,sources!$A$2:$N$200,9,FALSE()),"?"))</f>
        <v>Mixed</v>
      </c>
      <c r="T453" t="s">
        <v>5692</v>
      </c>
      <c r="U453">
        <f>IF(OR(B453="",C453="",T453="Retracted",LEFT(D453,8)="Negative"),0,IF(COUNTIFS($B$2:B453,B453,$C$2:C453,C453,$D$2:D453,"&lt;&gt;Negative*",$T$2:T453,"&lt;&gt;Retracted")=1,1,0))</f>
        <v>1</v>
      </c>
    </row>
    <row r="454" spans="1:21" x14ac:dyDescent="0.2">
      <c r="A454" t="s">
        <v>2145</v>
      </c>
      <c r="B454" t="s">
        <v>420</v>
      </c>
      <c r="C454" t="s">
        <v>1296</v>
      </c>
      <c r="D454" t="s">
        <v>1575</v>
      </c>
      <c r="E454" t="s">
        <v>421</v>
      </c>
      <c r="F454" t="s">
        <v>1583</v>
      </c>
      <c r="K454" t="s">
        <v>1782</v>
      </c>
      <c r="M454" t="s">
        <v>209</v>
      </c>
      <c r="N454" t="s">
        <v>203</v>
      </c>
      <c r="Q454" s="2" t="str">
        <f>IF($C454="","",IFERROR(VLOOKUP($C454,sources!$A$2:$N$200,2,FALSE()),"?"))</f>
        <v>Web compilation</v>
      </c>
      <c r="R454" s="2" t="str">
        <f t="shared" si="7"/>
        <v>Textual</v>
      </c>
      <c r="S454" s="2" t="str">
        <f>IF($C454="","",IFERROR(VLOOKUP($C454,sources!$A$2:$N$200,9,FALSE()),"?"))</f>
        <v>Mixed</v>
      </c>
      <c r="T454" t="s">
        <v>5692</v>
      </c>
      <c r="U454">
        <f>IF(OR(B454="",C454="",T454="Retracted",LEFT(D454,8)="Negative"),0,IF(COUNTIFS($B$2:B454,B454,$C$2:C454,C454,$D$2:D454,"&lt;&gt;Negative*",$T$2:T454,"&lt;&gt;Retracted")=1,1,0))</f>
        <v>1</v>
      </c>
    </row>
    <row r="455" spans="1:21" x14ac:dyDescent="0.2">
      <c r="A455" t="s">
        <v>2146</v>
      </c>
      <c r="B455" t="s">
        <v>392</v>
      </c>
      <c r="C455" t="s">
        <v>1296</v>
      </c>
      <c r="D455" t="s">
        <v>1575</v>
      </c>
      <c r="E455" t="s">
        <v>393</v>
      </c>
      <c r="F455" t="s">
        <v>1583</v>
      </c>
      <c r="M455" t="s">
        <v>190</v>
      </c>
      <c r="N455" t="s">
        <v>203</v>
      </c>
      <c r="Q455" s="2" t="str">
        <f>IF($C455="","",IFERROR(VLOOKUP($C455,sources!$A$2:$N$200,2,FALSE()),"?"))</f>
        <v>Web compilation</v>
      </c>
      <c r="R455" s="2" t="str">
        <f t="shared" si="7"/>
        <v>Textual</v>
      </c>
      <c r="S455" s="2" t="str">
        <f>IF($C455="","",IFERROR(VLOOKUP($C455,sources!$A$2:$N$200,9,FALSE()),"?"))</f>
        <v>Mixed</v>
      </c>
      <c r="T455" t="s">
        <v>5692</v>
      </c>
      <c r="U455">
        <f>IF(OR(B455="",C455="",T455="Retracted",LEFT(D455,8)="Negative"),0,IF(COUNTIFS($B$2:B455,B455,$C$2:C455,C455,$D$2:D455,"&lt;&gt;Negative*",$T$2:T455,"&lt;&gt;Retracted")=1,1,0))</f>
        <v>1</v>
      </c>
    </row>
    <row r="456" spans="1:21" x14ac:dyDescent="0.2">
      <c r="A456" t="s">
        <v>2147</v>
      </c>
      <c r="B456" t="s">
        <v>407</v>
      </c>
      <c r="C456" t="s">
        <v>1296</v>
      </c>
      <c r="D456" t="s">
        <v>1575</v>
      </c>
      <c r="E456" t="s">
        <v>408</v>
      </c>
      <c r="F456" t="s">
        <v>1583</v>
      </c>
      <c r="K456" t="s">
        <v>1591</v>
      </c>
      <c r="M456" t="s">
        <v>209</v>
      </c>
      <c r="N456" t="s">
        <v>203</v>
      </c>
      <c r="Q456" s="2" t="str">
        <f>IF($C456="","",IFERROR(VLOOKUP($C456,sources!$A$2:$N$200,2,FALSE()),"?"))</f>
        <v>Web compilation</v>
      </c>
      <c r="R456" s="2" t="str">
        <f t="shared" si="7"/>
        <v>Textual</v>
      </c>
      <c r="S456" s="2" t="str">
        <f>IF($C456="","",IFERROR(VLOOKUP($C456,sources!$A$2:$N$200,9,FALSE()),"?"))</f>
        <v>Mixed</v>
      </c>
      <c r="T456" t="s">
        <v>5692</v>
      </c>
      <c r="U456">
        <f>IF(OR(B456="",C456="",T456="Retracted",LEFT(D456,8)="Negative"),0,IF(COUNTIFS($B$2:B456,B456,$C$2:C456,C456,$D$2:D456,"&lt;&gt;Negative*",$T$2:T456,"&lt;&gt;Retracted")=1,1,0))</f>
        <v>1</v>
      </c>
    </row>
    <row r="457" spans="1:21" x14ac:dyDescent="0.2">
      <c r="A457" t="s">
        <v>2148</v>
      </c>
      <c r="B457" t="s">
        <v>495</v>
      </c>
      <c r="C457" t="s">
        <v>1296</v>
      </c>
      <c r="D457" t="s">
        <v>1575</v>
      </c>
      <c r="E457" t="s">
        <v>496</v>
      </c>
      <c r="F457" t="s">
        <v>1583</v>
      </c>
      <c r="K457" t="s">
        <v>283</v>
      </c>
      <c r="M457" t="s">
        <v>209</v>
      </c>
      <c r="N457" t="s">
        <v>203</v>
      </c>
      <c r="Q457" s="2" t="str">
        <f>IF($C457="","",IFERROR(VLOOKUP($C457,sources!$A$2:$N$200,2,FALSE()),"?"))</f>
        <v>Web compilation</v>
      </c>
      <c r="R457" s="2" t="str">
        <f t="shared" si="7"/>
        <v>Textual</v>
      </c>
      <c r="S457" s="2" t="str">
        <f>IF($C457="","",IFERROR(VLOOKUP($C457,sources!$A$2:$N$200,9,FALSE()),"?"))</f>
        <v>Mixed</v>
      </c>
      <c r="T457" t="s">
        <v>5692</v>
      </c>
      <c r="U457">
        <f>IF(OR(B457="",C457="",T457="Retracted",LEFT(D457,8)="Negative"),0,IF(COUNTIFS($B$2:B457,B457,$C$2:C457,C457,$D$2:D457,"&lt;&gt;Negative*",$T$2:T457,"&lt;&gt;Retracted")=1,1,0))</f>
        <v>1</v>
      </c>
    </row>
    <row r="458" spans="1:21" x14ac:dyDescent="0.2">
      <c r="A458" t="s">
        <v>2149</v>
      </c>
      <c r="B458" t="s">
        <v>490</v>
      </c>
      <c r="C458" t="s">
        <v>1296</v>
      </c>
      <c r="D458" t="s">
        <v>1575</v>
      </c>
      <c r="E458" t="s">
        <v>491</v>
      </c>
      <c r="F458" t="s">
        <v>1583</v>
      </c>
      <c r="K458" t="s">
        <v>1721</v>
      </c>
      <c r="M458" t="s">
        <v>209</v>
      </c>
      <c r="N458" t="s">
        <v>203</v>
      </c>
      <c r="Q458" s="2" t="str">
        <f>IF($C458="","",IFERROR(VLOOKUP($C458,sources!$A$2:$N$200,2,FALSE()),"?"))</f>
        <v>Web compilation</v>
      </c>
      <c r="R458" s="2" t="str">
        <f t="shared" si="7"/>
        <v>Textual</v>
      </c>
      <c r="S458" s="2" t="str">
        <f>IF($C458="","",IFERROR(VLOOKUP($C458,sources!$A$2:$N$200,9,FALSE()),"?"))</f>
        <v>Mixed</v>
      </c>
      <c r="T458" t="s">
        <v>5692</v>
      </c>
      <c r="U458">
        <f>IF(OR(B458="",C458="",T458="Retracted",LEFT(D458,8)="Negative"),0,IF(COUNTIFS($B$2:B458,B458,$C$2:C458,C458,$D$2:D458,"&lt;&gt;Negative*",$T$2:T458,"&lt;&gt;Retracted")=1,1,0))</f>
        <v>1</v>
      </c>
    </row>
    <row r="459" spans="1:21" x14ac:dyDescent="0.2">
      <c r="A459" t="s">
        <v>2150</v>
      </c>
      <c r="B459" t="s">
        <v>515</v>
      </c>
      <c r="C459" t="s">
        <v>1296</v>
      </c>
      <c r="D459" t="s">
        <v>1575</v>
      </c>
      <c r="E459" t="s">
        <v>516</v>
      </c>
      <c r="F459" t="s">
        <v>1583</v>
      </c>
      <c r="K459" t="s">
        <v>1741</v>
      </c>
      <c r="M459" t="s">
        <v>209</v>
      </c>
      <c r="N459" t="s">
        <v>203</v>
      </c>
      <c r="Q459" s="2" t="str">
        <f>IF($C459="","",IFERROR(VLOOKUP($C459,sources!$A$2:$N$200,2,FALSE()),"?"))</f>
        <v>Web compilation</v>
      </c>
      <c r="R459" s="2" t="str">
        <f t="shared" si="7"/>
        <v>Textual</v>
      </c>
      <c r="S459" s="2" t="str">
        <f>IF($C459="","",IFERROR(VLOOKUP($C459,sources!$A$2:$N$200,9,FALSE()),"?"))</f>
        <v>Mixed</v>
      </c>
      <c r="T459" t="s">
        <v>5692</v>
      </c>
      <c r="U459">
        <f>IF(OR(B459="",C459="",T459="Retracted",LEFT(D459,8)="Negative"),0,IF(COUNTIFS($B$2:B459,B459,$C$2:C459,C459,$D$2:D459,"&lt;&gt;Negative*",$T$2:T459,"&lt;&gt;Retracted")=1,1,0))</f>
        <v>1</v>
      </c>
    </row>
    <row r="460" spans="1:21" x14ac:dyDescent="0.2">
      <c r="A460" t="s">
        <v>2151</v>
      </c>
      <c r="B460" t="s">
        <v>515</v>
      </c>
      <c r="C460" t="s">
        <v>1296</v>
      </c>
      <c r="D460" t="s">
        <v>1575</v>
      </c>
      <c r="E460" t="s">
        <v>516</v>
      </c>
      <c r="F460" t="s">
        <v>1583</v>
      </c>
      <c r="K460" t="s">
        <v>2152</v>
      </c>
      <c r="M460" t="s">
        <v>209</v>
      </c>
      <c r="N460" t="s">
        <v>203</v>
      </c>
      <c r="Q460" s="2" t="str">
        <f>IF($C460="","",IFERROR(VLOOKUP($C460,sources!$A$2:$N$200,2,FALSE()),"?"))</f>
        <v>Web compilation</v>
      </c>
      <c r="R460" s="2" t="str">
        <f t="shared" si="7"/>
        <v>Textual</v>
      </c>
      <c r="S460" s="2" t="str">
        <f>IF($C460="","",IFERROR(VLOOKUP($C460,sources!$A$2:$N$200,9,FALSE()),"?"))</f>
        <v>Mixed</v>
      </c>
      <c r="T460" t="s">
        <v>5692</v>
      </c>
      <c r="U460">
        <f>IF(OR(B460="",C460="",T460="Retracted",LEFT(D460,8)="Negative"),0,IF(COUNTIFS($B$2:B460,B460,$C$2:C460,C460,$D$2:D460,"&lt;&gt;Negative*",$T$2:T460,"&lt;&gt;Retracted")=1,1,0))</f>
        <v>0</v>
      </c>
    </row>
    <row r="461" spans="1:21" x14ac:dyDescent="0.2">
      <c r="A461" t="s">
        <v>2153</v>
      </c>
      <c r="B461" t="s">
        <v>525</v>
      </c>
      <c r="C461" t="s">
        <v>1296</v>
      </c>
      <c r="D461" t="s">
        <v>1575</v>
      </c>
      <c r="E461" t="s">
        <v>526</v>
      </c>
      <c r="F461" t="s">
        <v>1583</v>
      </c>
      <c r="K461" t="s">
        <v>2154</v>
      </c>
      <c r="M461" t="s">
        <v>209</v>
      </c>
      <c r="N461" t="s">
        <v>203</v>
      </c>
      <c r="Q461" s="2" t="str">
        <f>IF($C461="","",IFERROR(VLOOKUP($C461,sources!$A$2:$N$200,2,FALSE()),"?"))</f>
        <v>Web compilation</v>
      </c>
      <c r="R461" s="2" t="str">
        <f t="shared" si="7"/>
        <v>Textual</v>
      </c>
      <c r="S461" s="2" t="str">
        <f>IF($C461="","",IFERROR(VLOOKUP($C461,sources!$A$2:$N$200,9,FALSE()),"?"))</f>
        <v>Mixed</v>
      </c>
      <c r="T461" t="s">
        <v>5692</v>
      </c>
      <c r="U461">
        <f>IF(OR(B461="",C461="",T461="Retracted",LEFT(D461,8)="Negative"),0,IF(COUNTIFS($B$2:B461,B461,$C$2:C461,C461,$D$2:D461,"&lt;&gt;Negative*",$T$2:T461,"&lt;&gt;Retracted")=1,1,0))</f>
        <v>1</v>
      </c>
    </row>
    <row r="462" spans="1:21" x14ac:dyDescent="0.2">
      <c r="A462" t="s">
        <v>2155</v>
      </c>
      <c r="B462" t="s">
        <v>530</v>
      </c>
      <c r="C462" t="s">
        <v>1296</v>
      </c>
      <c r="D462" t="s">
        <v>1575</v>
      </c>
      <c r="E462" t="s">
        <v>531</v>
      </c>
      <c r="F462" t="s">
        <v>1583</v>
      </c>
      <c r="K462" t="s">
        <v>1723</v>
      </c>
      <c r="M462" t="s">
        <v>209</v>
      </c>
      <c r="N462" t="s">
        <v>203</v>
      </c>
      <c r="Q462" s="2" t="str">
        <f>IF($C462="","",IFERROR(VLOOKUP($C462,sources!$A$2:$N$200,2,FALSE()),"?"))</f>
        <v>Web compilation</v>
      </c>
      <c r="R462" s="2" t="str">
        <f t="shared" si="7"/>
        <v>Textual</v>
      </c>
      <c r="S462" s="2" t="str">
        <f>IF($C462="","",IFERROR(VLOOKUP($C462,sources!$A$2:$N$200,9,FALSE()),"?"))</f>
        <v>Mixed</v>
      </c>
      <c r="T462" t="s">
        <v>5692</v>
      </c>
      <c r="U462">
        <f>IF(OR(B462="",C462="",T462="Retracted",LEFT(D462,8)="Negative"),0,IF(COUNTIFS($B$2:B462,B462,$C$2:C462,C462,$D$2:D462,"&lt;&gt;Negative*",$T$2:T462,"&lt;&gt;Retracted")=1,1,0))</f>
        <v>1</v>
      </c>
    </row>
    <row r="463" spans="1:21" x14ac:dyDescent="0.2">
      <c r="A463" t="s">
        <v>2156</v>
      </c>
      <c r="B463" t="s">
        <v>530</v>
      </c>
      <c r="C463" t="s">
        <v>1296</v>
      </c>
      <c r="D463" t="s">
        <v>1575</v>
      </c>
      <c r="E463" t="s">
        <v>531</v>
      </c>
      <c r="F463" t="s">
        <v>1583</v>
      </c>
      <c r="K463" t="s">
        <v>1723</v>
      </c>
      <c r="M463" t="s">
        <v>209</v>
      </c>
      <c r="N463" t="s">
        <v>203</v>
      </c>
      <c r="Q463" s="2" t="str">
        <f>IF($C463="","",IFERROR(VLOOKUP($C463,sources!$A$2:$N$200,2,FALSE()),"?"))</f>
        <v>Web compilation</v>
      </c>
      <c r="R463" s="2" t="str">
        <f t="shared" si="7"/>
        <v>Textual</v>
      </c>
      <c r="S463" s="2" t="str">
        <f>IF($C463="","",IFERROR(VLOOKUP($C463,sources!$A$2:$N$200,9,FALSE()),"?"))</f>
        <v>Mixed</v>
      </c>
      <c r="T463" t="s">
        <v>5692</v>
      </c>
      <c r="U463">
        <f>IF(OR(B463="",C463="",T463="Retracted",LEFT(D463,8)="Negative"),0,IF(COUNTIFS($B$2:B463,B463,$C$2:C463,C463,$D$2:D463,"&lt;&gt;Negative*",$T$2:T463,"&lt;&gt;Retracted")=1,1,0))</f>
        <v>0</v>
      </c>
    </row>
    <row r="464" spans="1:21" x14ac:dyDescent="0.2">
      <c r="A464" t="s">
        <v>2157</v>
      </c>
      <c r="B464" t="s">
        <v>534</v>
      </c>
      <c r="C464" t="s">
        <v>1296</v>
      </c>
      <c r="D464" t="s">
        <v>1575</v>
      </c>
      <c r="E464" t="s">
        <v>535</v>
      </c>
      <c r="F464" t="s">
        <v>1583</v>
      </c>
      <c r="K464" t="s">
        <v>1793</v>
      </c>
      <c r="M464" t="s">
        <v>209</v>
      </c>
      <c r="N464" t="s">
        <v>203</v>
      </c>
      <c r="Q464" s="2" t="str">
        <f>IF($C464="","",IFERROR(VLOOKUP($C464,sources!$A$2:$N$200,2,FALSE()),"?"))</f>
        <v>Web compilation</v>
      </c>
      <c r="R464" s="2" t="str">
        <f t="shared" si="7"/>
        <v>Textual</v>
      </c>
      <c r="S464" s="2" t="str">
        <f>IF($C464="","",IFERROR(VLOOKUP($C464,sources!$A$2:$N$200,9,FALSE()),"?"))</f>
        <v>Mixed</v>
      </c>
      <c r="T464" t="s">
        <v>5692</v>
      </c>
      <c r="U464">
        <f>IF(OR(B464="",C464="",T464="Retracted",LEFT(D464,8)="Negative"),0,IF(COUNTIFS($B$2:B464,B464,$C$2:C464,C464,$D$2:D464,"&lt;&gt;Negative*",$T$2:T464,"&lt;&gt;Retracted")=1,1,0))</f>
        <v>1</v>
      </c>
    </row>
    <row r="465" spans="1:21" x14ac:dyDescent="0.2">
      <c r="A465" t="s">
        <v>2158</v>
      </c>
      <c r="B465" t="s">
        <v>538</v>
      </c>
      <c r="C465" t="s">
        <v>1296</v>
      </c>
      <c r="D465" t="s">
        <v>1575</v>
      </c>
      <c r="E465" t="s">
        <v>539</v>
      </c>
      <c r="F465" t="s">
        <v>1583</v>
      </c>
      <c r="K465" t="s">
        <v>2159</v>
      </c>
      <c r="M465" t="s">
        <v>209</v>
      </c>
      <c r="N465" t="s">
        <v>203</v>
      </c>
      <c r="Q465" s="2" t="str">
        <f>IF($C465="","",IFERROR(VLOOKUP($C465,sources!$A$2:$N$200,2,FALSE()),"?"))</f>
        <v>Web compilation</v>
      </c>
      <c r="R465" s="2" t="str">
        <f t="shared" si="7"/>
        <v>Textual</v>
      </c>
      <c r="S465" s="2" t="str">
        <f>IF($C465="","",IFERROR(VLOOKUP($C465,sources!$A$2:$N$200,9,FALSE()),"?"))</f>
        <v>Mixed</v>
      </c>
      <c r="T465" t="s">
        <v>5692</v>
      </c>
      <c r="U465">
        <f>IF(OR(B465="",C465="",T465="Retracted",LEFT(D465,8)="Negative"),0,IF(COUNTIFS($B$2:B465,B465,$C$2:C465,C465,$D$2:D465,"&lt;&gt;Negative*",$T$2:T465,"&lt;&gt;Retracted")=1,1,0))</f>
        <v>1</v>
      </c>
    </row>
    <row r="466" spans="1:21" x14ac:dyDescent="0.2">
      <c r="A466" t="s">
        <v>2160</v>
      </c>
      <c r="B466" t="s">
        <v>542</v>
      </c>
      <c r="C466" t="s">
        <v>1296</v>
      </c>
      <c r="D466" t="s">
        <v>1575</v>
      </c>
      <c r="E466" t="s">
        <v>543</v>
      </c>
      <c r="F466" t="s">
        <v>1583</v>
      </c>
      <c r="K466" t="s">
        <v>2161</v>
      </c>
      <c r="M466" t="s">
        <v>209</v>
      </c>
      <c r="N466" t="s">
        <v>203</v>
      </c>
      <c r="Q466" s="2" t="str">
        <f>IF($C466="","",IFERROR(VLOOKUP($C466,sources!$A$2:$N$200,2,FALSE()),"?"))</f>
        <v>Web compilation</v>
      </c>
      <c r="R466" s="2" t="str">
        <f t="shared" si="7"/>
        <v>Textual</v>
      </c>
      <c r="S466" s="2" t="str">
        <f>IF($C466="","",IFERROR(VLOOKUP($C466,sources!$A$2:$N$200,9,FALSE()),"?"))</f>
        <v>Mixed</v>
      </c>
      <c r="T466" t="s">
        <v>5692</v>
      </c>
      <c r="U466">
        <f>IF(OR(B466="",C466="",T466="Retracted",LEFT(D466,8)="Negative"),0,IF(COUNTIFS($B$2:B466,B466,$C$2:C466,C466,$D$2:D466,"&lt;&gt;Negative*",$T$2:T466,"&lt;&gt;Retracted")=1,1,0))</f>
        <v>1</v>
      </c>
    </row>
    <row r="467" spans="1:21" x14ac:dyDescent="0.2">
      <c r="A467" t="s">
        <v>2162</v>
      </c>
      <c r="B467" t="s">
        <v>542</v>
      </c>
      <c r="C467" t="s">
        <v>1296</v>
      </c>
      <c r="D467" t="s">
        <v>1575</v>
      </c>
      <c r="E467" t="s">
        <v>543</v>
      </c>
      <c r="F467" t="s">
        <v>1583</v>
      </c>
      <c r="K467" t="s">
        <v>2163</v>
      </c>
      <c r="M467" t="s">
        <v>209</v>
      </c>
      <c r="N467" t="s">
        <v>203</v>
      </c>
      <c r="Q467" s="2" t="str">
        <f>IF($C467="","",IFERROR(VLOOKUP($C467,sources!$A$2:$N$200,2,FALSE()),"?"))</f>
        <v>Web compilation</v>
      </c>
      <c r="R467" s="2" t="str">
        <f t="shared" si="7"/>
        <v>Textual</v>
      </c>
      <c r="S467" s="2" t="str">
        <f>IF($C467="","",IFERROR(VLOOKUP($C467,sources!$A$2:$N$200,9,FALSE()),"?"))</f>
        <v>Mixed</v>
      </c>
      <c r="T467" t="s">
        <v>5692</v>
      </c>
      <c r="U467">
        <f>IF(OR(B467="",C467="",T467="Retracted",LEFT(D467,8)="Negative"),0,IF(COUNTIFS($B$2:B467,B467,$C$2:C467,C467,$D$2:D467,"&lt;&gt;Negative*",$T$2:T467,"&lt;&gt;Retracted")=1,1,0))</f>
        <v>0</v>
      </c>
    </row>
    <row r="468" spans="1:21" x14ac:dyDescent="0.2">
      <c r="A468" t="s">
        <v>2164</v>
      </c>
      <c r="B468" t="s">
        <v>547</v>
      </c>
      <c r="C468" t="s">
        <v>1296</v>
      </c>
      <c r="D468" t="s">
        <v>1575</v>
      </c>
      <c r="E468" t="s">
        <v>548</v>
      </c>
      <c r="F468" t="s">
        <v>1583</v>
      </c>
      <c r="K468" t="s">
        <v>2165</v>
      </c>
      <c r="M468" t="s">
        <v>209</v>
      </c>
      <c r="N468" t="s">
        <v>203</v>
      </c>
      <c r="Q468" s="2" t="str">
        <f>IF($C468="","",IFERROR(VLOOKUP($C468,sources!$A$2:$N$200,2,FALSE()),"?"))</f>
        <v>Web compilation</v>
      </c>
      <c r="R468" s="2" t="str">
        <f t="shared" si="7"/>
        <v>Textual</v>
      </c>
      <c r="S468" s="2" t="str">
        <f>IF($C468="","",IFERROR(VLOOKUP($C468,sources!$A$2:$N$200,9,FALSE()),"?"))</f>
        <v>Mixed</v>
      </c>
      <c r="T468" t="s">
        <v>5692</v>
      </c>
      <c r="U468">
        <f>IF(OR(B468="",C468="",T468="Retracted",LEFT(D468,8)="Negative"),0,IF(COUNTIFS($B$2:B468,B468,$C$2:C468,C468,$D$2:D468,"&lt;&gt;Negative*",$T$2:T468,"&lt;&gt;Retracted")=1,1,0))</f>
        <v>1</v>
      </c>
    </row>
    <row r="469" spans="1:21" x14ac:dyDescent="0.2">
      <c r="A469" t="s">
        <v>2166</v>
      </c>
      <c r="B469" t="s">
        <v>552</v>
      </c>
      <c r="C469" t="s">
        <v>1296</v>
      </c>
      <c r="D469" t="s">
        <v>1575</v>
      </c>
      <c r="E469" t="s">
        <v>554</v>
      </c>
      <c r="F469" t="s">
        <v>1583</v>
      </c>
      <c r="M469" t="s">
        <v>190</v>
      </c>
      <c r="N469" t="s">
        <v>203</v>
      </c>
      <c r="Q469" s="2" t="str">
        <f>IF($C469="","",IFERROR(VLOOKUP($C469,sources!$A$2:$N$200,2,FALSE()),"?"))</f>
        <v>Web compilation</v>
      </c>
      <c r="R469" s="2" t="str">
        <f t="shared" si="7"/>
        <v>Textual</v>
      </c>
      <c r="S469" s="2" t="str">
        <f>IF($C469="","",IFERROR(VLOOKUP($C469,sources!$A$2:$N$200,9,FALSE()),"?"))</f>
        <v>Mixed</v>
      </c>
      <c r="T469" t="s">
        <v>5692</v>
      </c>
      <c r="U469">
        <f>IF(OR(B469="",C469="",T469="Retracted",LEFT(D469,8)="Negative"),0,IF(COUNTIFS($B$2:B469,B469,$C$2:C469,C469,$D$2:D469,"&lt;&gt;Negative*",$T$2:T469,"&lt;&gt;Retracted")=1,1,0))</f>
        <v>1</v>
      </c>
    </row>
    <row r="470" spans="1:21" x14ac:dyDescent="0.2">
      <c r="A470" t="s">
        <v>2167</v>
      </c>
      <c r="B470" t="s">
        <v>552</v>
      </c>
      <c r="C470" t="s">
        <v>1296</v>
      </c>
      <c r="D470" t="s">
        <v>1575</v>
      </c>
      <c r="E470" t="s">
        <v>2168</v>
      </c>
      <c r="F470" t="s">
        <v>1583</v>
      </c>
      <c r="K470" t="s">
        <v>1736</v>
      </c>
      <c r="M470" t="s">
        <v>209</v>
      </c>
      <c r="N470" t="s">
        <v>203</v>
      </c>
      <c r="Q470" s="2" t="str">
        <f>IF($C470="","",IFERROR(VLOOKUP($C470,sources!$A$2:$N$200,2,FALSE()),"?"))</f>
        <v>Web compilation</v>
      </c>
      <c r="R470" s="2" t="str">
        <f t="shared" si="7"/>
        <v>Textual</v>
      </c>
      <c r="S470" s="2" t="str">
        <f>IF($C470="","",IFERROR(VLOOKUP($C470,sources!$A$2:$N$200,9,FALSE()),"?"))</f>
        <v>Mixed</v>
      </c>
      <c r="T470" t="s">
        <v>5692</v>
      </c>
      <c r="U470">
        <f>IF(OR(B470="",C470="",T470="Retracted",LEFT(D470,8)="Negative"),0,IF(COUNTIFS($B$2:B470,B470,$C$2:C470,C470,$D$2:D470,"&lt;&gt;Negative*",$T$2:T470,"&lt;&gt;Retracted")=1,1,0))</f>
        <v>0</v>
      </c>
    </row>
    <row r="471" spans="1:21" x14ac:dyDescent="0.2">
      <c r="A471" t="s">
        <v>2169</v>
      </c>
      <c r="B471" t="s">
        <v>520</v>
      </c>
      <c r="C471" t="s">
        <v>1296</v>
      </c>
      <c r="D471" t="s">
        <v>1575</v>
      </c>
      <c r="E471" t="s">
        <v>521</v>
      </c>
      <c r="F471" t="s">
        <v>1583</v>
      </c>
      <c r="K471" t="s">
        <v>2170</v>
      </c>
      <c r="M471" t="s">
        <v>209</v>
      </c>
      <c r="N471" t="s">
        <v>203</v>
      </c>
      <c r="Q471" s="2" t="str">
        <f>IF($C471="","",IFERROR(VLOOKUP($C471,sources!$A$2:$N$200,2,FALSE()),"?"))</f>
        <v>Web compilation</v>
      </c>
      <c r="R471" s="2" t="str">
        <f t="shared" si="7"/>
        <v>Textual</v>
      </c>
      <c r="S471" s="2" t="str">
        <f>IF($C471="","",IFERROR(VLOOKUP($C471,sources!$A$2:$N$200,9,FALSE()),"?"))</f>
        <v>Mixed</v>
      </c>
      <c r="T471" t="s">
        <v>5692</v>
      </c>
      <c r="U471">
        <f>IF(OR(B471="",C471="",T471="Retracted",LEFT(D471,8)="Negative"),0,IF(COUNTIFS($B$2:B471,B471,$C$2:C471,C471,$D$2:D471,"&lt;&gt;Negative*",$T$2:T471,"&lt;&gt;Retracted")=1,1,0))</f>
        <v>0</v>
      </c>
    </row>
    <row r="472" spans="1:21" x14ac:dyDescent="0.2">
      <c r="A472" t="s">
        <v>2171</v>
      </c>
      <c r="B472" t="s">
        <v>525</v>
      </c>
      <c r="C472" t="s">
        <v>1292</v>
      </c>
      <c r="D472" t="s">
        <v>1575</v>
      </c>
      <c r="E472" t="s">
        <v>526</v>
      </c>
      <c r="F472" t="s">
        <v>1583</v>
      </c>
      <c r="K472" t="s">
        <v>2172</v>
      </c>
      <c r="M472" t="s">
        <v>209</v>
      </c>
      <c r="N472" t="s">
        <v>203</v>
      </c>
      <c r="Q472" s="2" t="str">
        <f>IF($C472="","",IFERROR(VLOOKUP($C472,sources!$A$2:$N$200,2,FALSE()),"?"))</f>
        <v>Web compilation</v>
      </c>
      <c r="R472" s="2" t="str">
        <f t="shared" si="7"/>
        <v>Textual</v>
      </c>
      <c r="S472" s="2" t="str">
        <f>IF($C472="","",IFERROR(VLOOKUP($C472,sources!$A$2:$N$200,9,FALSE()),"?"))</f>
        <v>US press</v>
      </c>
      <c r="T472" t="s">
        <v>5692</v>
      </c>
      <c r="U472">
        <f>IF(OR(B472="",C472="",T472="Retracted",LEFT(D472,8)="Negative"),0,IF(COUNTIFS($B$2:B472,B472,$C$2:C472,C472,$D$2:D472,"&lt;&gt;Negative*",$T$2:T472,"&lt;&gt;Retracted")=1,1,0))</f>
        <v>1</v>
      </c>
    </row>
    <row r="473" spans="1:21" x14ac:dyDescent="0.2">
      <c r="A473" t="s">
        <v>2173</v>
      </c>
      <c r="B473" t="s">
        <v>538</v>
      </c>
      <c r="C473" t="s">
        <v>1292</v>
      </c>
      <c r="D473" t="s">
        <v>1575</v>
      </c>
      <c r="E473" t="s">
        <v>539</v>
      </c>
      <c r="F473" t="s">
        <v>1583</v>
      </c>
      <c r="K473" t="s">
        <v>2174</v>
      </c>
      <c r="M473" t="s">
        <v>209</v>
      </c>
      <c r="N473" t="s">
        <v>203</v>
      </c>
      <c r="Q473" s="2" t="str">
        <f>IF($C473="","",IFERROR(VLOOKUP($C473,sources!$A$2:$N$200,2,FALSE()),"?"))</f>
        <v>Web compilation</v>
      </c>
      <c r="R473" s="2" t="str">
        <f t="shared" si="7"/>
        <v>Textual</v>
      </c>
      <c r="S473" s="2" t="str">
        <f>IF($C473="","",IFERROR(VLOOKUP($C473,sources!$A$2:$N$200,9,FALSE()),"?"))</f>
        <v>US press</v>
      </c>
      <c r="T473" t="s">
        <v>5692</v>
      </c>
      <c r="U473">
        <f>IF(OR(B473="",C473="",T473="Retracted",LEFT(D473,8)="Negative"),0,IF(COUNTIFS($B$2:B473,B473,$C$2:C473,C473,$D$2:D473,"&lt;&gt;Negative*",$T$2:T473,"&lt;&gt;Retracted")=1,1,0))</f>
        <v>1</v>
      </c>
    </row>
    <row r="474" spans="1:21" x14ac:dyDescent="0.2">
      <c r="A474" t="s">
        <v>2175</v>
      </c>
      <c r="B474" t="s">
        <v>538</v>
      </c>
      <c r="C474" t="s">
        <v>1292</v>
      </c>
      <c r="D474" t="s">
        <v>1575</v>
      </c>
      <c r="E474" t="s">
        <v>539</v>
      </c>
      <c r="F474" t="s">
        <v>1583</v>
      </c>
      <c r="K474" t="s">
        <v>2174</v>
      </c>
      <c r="M474" t="s">
        <v>209</v>
      </c>
      <c r="N474" t="s">
        <v>203</v>
      </c>
      <c r="Q474" s="2" t="str">
        <f>IF($C474="","",IFERROR(VLOOKUP($C474,sources!$A$2:$N$200,2,FALSE()),"?"))</f>
        <v>Web compilation</v>
      </c>
      <c r="R474" s="2" t="str">
        <f t="shared" si="7"/>
        <v>Textual</v>
      </c>
      <c r="S474" s="2" t="str">
        <f>IF($C474="","",IFERROR(VLOOKUP($C474,sources!$A$2:$N$200,9,FALSE()),"?"))</f>
        <v>US press</v>
      </c>
      <c r="T474" t="s">
        <v>5692</v>
      </c>
      <c r="U474">
        <f>IF(OR(B474="",C474="",T474="Retracted",LEFT(D474,8)="Negative"),0,IF(COUNTIFS($B$2:B474,B474,$C$2:C474,C474,$D$2:D474,"&lt;&gt;Negative*",$T$2:T474,"&lt;&gt;Retracted")=1,1,0))</f>
        <v>0</v>
      </c>
    </row>
    <row r="475" spans="1:21" x14ac:dyDescent="0.2">
      <c r="A475" t="s">
        <v>2176</v>
      </c>
      <c r="B475" t="s">
        <v>520</v>
      </c>
      <c r="C475" t="s">
        <v>1292</v>
      </c>
      <c r="D475" t="s">
        <v>1575</v>
      </c>
      <c r="E475" t="s">
        <v>521</v>
      </c>
      <c r="F475" t="s">
        <v>1583</v>
      </c>
      <c r="K475" t="s">
        <v>2177</v>
      </c>
      <c r="M475" t="s">
        <v>209</v>
      </c>
      <c r="N475" t="s">
        <v>203</v>
      </c>
      <c r="Q475" s="2" t="str">
        <f>IF($C475="","",IFERROR(VLOOKUP($C475,sources!$A$2:$N$200,2,FALSE()),"?"))</f>
        <v>Web compilation</v>
      </c>
      <c r="R475" s="2" t="str">
        <f t="shared" si="7"/>
        <v>Textual</v>
      </c>
      <c r="S475" s="2" t="str">
        <f>IF($C475="","",IFERROR(VLOOKUP($C475,sources!$A$2:$N$200,9,FALSE()),"?"))</f>
        <v>US press</v>
      </c>
      <c r="T475" t="s">
        <v>5692</v>
      </c>
      <c r="U475">
        <f>IF(OR(B475="",C475="",T475="Retracted",LEFT(D475,8)="Negative"),0,IF(COUNTIFS($B$2:B475,B475,$C$2:C475,C475,$D$2:D475,"&lt;&gt;Negative*",$T$2:T475,"&lt;&gt;Retracted")=1,1,0))</f>
        <v>1</v>
      </c>
    </row>
    <row r="476" spans="1:21" x14ac:dyDescent="0.2">
      <c r="A476" t="s">
        <v>2178</v>
      </c>
      <c r="B476" t="s">
        <v>179</v>
      </c>
      <c r="C476" t="s">
        <v>1168</v>
      </c>
      <c r="D476" t="s">
        <v>1572</v>
      </c>
      <c r="E476" t="s">
        <v>180</v>
      </c>
      <c r="G476">
        <v>9.10975</v>
      </c>
      <c r="H476">
        <v>-79.706990000000005</v>
      </c>
      <c r="I476" t="s">
        <v>1573</v>
      </c>
      <c r="J476">
        <v>325</v>
      </c>
      <c r="K476">
        <v>1911</v>
      </c>
      <c r="L476">
        <v>1911</v>
      </c>
      <c r="M476" t="s">
        <v>203</v>
      </c>
      <c r="N476" t="s">
        <v>209</v>
      </c>
      <c r="Q476" s="2" t="str">
        <f>IF($C476="","",IFERROR(VLOOKUP($C476,sources!$A$2:$N$200,2,FALSE()),"?"))</f>
        <v>Map</v>
      </c>
      <c r="R476" s="2" t="str">
        <f t="shared" si="7"/>
        <v>Map</v>
      </c>
      <c r="S476" s="2" t="str">
        <f>IF($C476="","",IFERROR(VLOOKUP($C476,sources!$A$2:$N$200,9,FALSE()),"?"))</f>
        <v>US official</v>
      </c>
      <c r="T476" t="s">
        <v>5692</v>
      </c>
      <c r="U476">
        <f>IF(OR(B476="",C476="",T476="Retracted",LEFT(D476,8)="Negative"),0,IF(COUNTIFS($B$2:B476,B476,$C$2:C476,C476,$D$2:D476,"&lt;&gt;Negative*",$T$2:T476,"&lt;&gt;Retracted")=1,1,0))</f>
        <v>1</v>
      </c>
    </row>
    <row r="477" spans="1:21" x14ac:dyDescent="0.2">
      <c r="A477" t="s">
        <v>2179</v>
      </c>
      <c r="B477" t="s">
        <v>194</v>
      </c>
      <c r="C477" t="s">
        <v>1168</v>
      </c>
      <c r="D477" t="s">
        <v>1572</v>
      </c>
      <c r="E477" t="s">
        <v>195</v>
      </c>
      <c r="G477">
        <v>9.1245499999999993</v>
      </c>
      <c r="H477">
        <v>-79.796869999999998</v>
      </c>
      <c r="I477" t="s">
        <v>1573</v>
      </c>
      <c r="J477">
        <v>500</v>
      </c>
      <c r="K477">
        <v>1911</v>
      </c>
      <c r="L477">
        <v>1911</v>
      </c>
      <c r="M477" t="s">
        <v>203</v>
      </c>
      <c r="N477" t="s">
        <v>190</v>
      </c>
      <c r="Q477" s="2" t="str">
        <f>IF($C477="","",IFERROR(VLOOKUP($C477,sources!$A$2:$N$200,2,FALSE()),"?"))</f>
        <v>Map</v>
      </c>
      <c r="R477" s="2" t="str">
        <f t="shared" si="7"/>
        <v>Map</v>
      </c>
      <c r="S477" s="2" t="str">
        <f>IF($C477="","",IFERROR(VLOOKUP($C477,sources!$A$2:$N$200,9,FALSE()),"?"))</f>
        <v>US official</v>
      </c>
      <c r="T477" t="s">
        <v>5692</v>
      </c>
      <c r="U477">
        <f>IF(OR(B477="",C477="",T477="Retracted",LEFT(D477,8)="Negative"),0,IF(COUNTIFS($B$2:B477,B477,$C$2:C477,C477,$D$2:D477,"&lt;&gt;Negative*",$T$2:T477,"&lt;&gt;Retracted")=1,1,0))</f>
        <v>1</v>
      </c>
    </row>
    <row r="478" spans="1:21" x14ac:dyDescent="0.2">
      <c r="A478" t="s">
        <v>2180</v>
      </c>
      <c r="B478" t="s">
        <v>199</v>
      </c>
      <c r="C478" t="s">
        <v>1168</v>
      </c>
      <c r="D478" t="s">
        <v>1572</v>
      </c>
      <c r="E478" t="s">
        <v>200</v>
      </c>
      <c r="G478">
        <v>9.1286799999999992</v>
      </c>
      <c r="H478">
        <v>-79.682779999999994</v>
      </c>
      <c r="I478" t="s">
        <v>1573</v>
      </c>
      <c r="J478">
        <v>325</v>
      </c>
      <c r="K478">
        <v>1911</v>
      </c>
      <c r="L478">
        <v>1911</v>
      </c>
      <c r="M478" t="s">
        <v>203</v>
      </c>
      <c r="N478" t="s">
        <v>209</v>
      </c>
      <c r="Q478" s="2" t="str">
        <f>IF($C478="","",IFERROR(VLOOKUP($C478,sources!$A$2:$N$200,2,FALSE()),"?"))</f>
        <v>Map</v>
      </c>
      <c r="R478" s="2" t="str">
        <f t="shared" si="7"/>
        <v>Map</v>
      </c>
      <c r="S478" s="2" t="str">
        <f>IF($C478="","",IFERROR(VLOOKUP($C478,sources!$A$2:$N$200,9,FALSE()),"?"))</f>
        <v>US official</v>
      </c>
      <c r="T478" t="s">
        <v>5692</v>
      </c>
      <c r="U478">
        <f>IF(OR(B478="",C478="",T478="Retracted",LEFT(D478,8)="Negative"),0,IF(COUNTIFS($B$2:B478,B478,$C$2:C478,C478,$D$2:D478,"&lt;&gt;Negative*",$T$2:T478,"&lt;&gt;Retracted")=1,1,0))</f>
        <v>1</v>
      </c>
    </row>
    <row r="479" spans="1:21" x14ac:dyDescent="0.2">
      <c r="A479" t="s">
        <v>2181</v>
      </c>
      <c r="B479" t="s">
        <v>211</v>
      </c>
      <c r="C479" t="s">
        <v>1168</v>
      </c>
      <c r="D479" t="s">
        <v>1572</v>
      </c>
      <c r="E479" t="s">
        <v>212</v>
      </c>
      <c r="G479">
        <v>9.1306700000000003</v>
      </c>
      <c r="H479">
        <v>-79.779839999999993</v>
      </c>
      <c r="I479" t="s">
        <v>1573</v>
      </c>
      <c r="J479">
        <v>500</v>
      </c>
      <c r="K479">
        <v>1911</v>
      </c>
      <c r="L479">
        <v>1911</v>
      </c>
      <c r="M479" t="s">
        <v>203</v>
      </c>
      <c r="N479" t="s">
        <v>190</v>
      </c>
      <c r="Q479" s="2" t="str">
        <f>IF($C479="","",IFERROR(VLOOKUP($C479,sources!$A$2:$N$200,2,FALSE()),"?"))</f>
        <v>Map</v>
      </c>
      <c r="R479" s="2" t="str">
        <f t="shared" si="7"/>
        <v>Map</v>
      </c>
      <c r="S479" s="2" t="str">
        <f>IF($C479="","",IFERROR(VLOOKUP($C479,sources!$A$2:$N$200,9,FALSE()),"?"))</f>
        <v>US official</v>
      </c>
      <c r="T479" t="s">
        <v>5692</v>
      </c>
      <c r="U479">
        <f>IF(OR(B479="",C479="",T479="Retracted",LEFT(D479,8)="Negative"),0,IF(COUNTIFS($B$2:B479,B479,$C$2:C479,C479,$D$2:D479,"&lt;&gt;Negative*",$T$2:T479,"&lt;&gt;Retracted")=1,1,0))</f>
        <v>1</v>
      </c>
    </row>
    <row r="480" spans="1:21" x14ac:dyDescent="0.2">
      <c r="A480" t="s">
        <v>2182</v>
      </c>
      <c r="B480" t="s">
        <v>213</v>
      </c>
      <c r="C480" t="s">
        <v>1168</v>
      </c>
      <c r="D480" t="s">
        <v>1572</v>
      </c>
      <c r="E480" t="s">
        <v>214</v>
      </c>
      <c r="G480">
        <v>9.1168700000000005</v>
      </c>
      <c r="H480">
        <v>-79.697699999999998</v>
      </c>
      <c r="I480" t="s">
        <v>1573</v>
      </c>
      <c r="J480">
        <v>325</v>
      </c>
      <c r="K480">
        <v>1911</v>
      </c>
      <c r="L480">
        <v>1911</v>
      </c>
      <c r="M480" t="s">
        <v>203</v>
      </c>
      <c r="N480" t="s">
        <v>209</v>
      </c>
      <c r="Q480" s="2" t="str">
        <f>IF($C480="","",IFERROR(VLOOKUP($C480,sources!$A$2:$N$200,2,FALSE()),"?"))</f>
        <v>Map</v>
      </c>
      <c r="R480" s="2" t="str">
        <f t="shared" si="7"/>
        <v>Map</v>
      </c>
      <c r="S480" s="2" t="str">
        <f>IF($C480="","",IFERROR(VLOOKUP($C480,sources!$A$2:$N$200,9,FALSE()),"?"))</f>
        <v>US official</v>
      </c>
      <c r="T480" t="s">
        <v>5692</v>
      </c>
      <c r="U480">
        <f>IF(OR(B480="",C480="",T480="Retracted",LEFT(D480,8)="Negative"),0,IF(COUNTIFS($B$2:B480,B480,$C$2:C480,C480,$D$2:D480,"&lt;&gt;Negative*",$T$2:T480,"&lt;&gt;Retracted")=1,1,0))</f>
        <v>1</v>
      </c>
    </row>
    <row r="481" spans="1:21" x14ac:dyDescent="0.2">
      <c r="A481" t="s">
        <v>2183</v>
      </c>
      <c r="B481" t="s">
        <v>215</v>
      </c>
      <c r="C481" t="s">
        <v>1168</v>
      </c>
      <c r="D481" t="s">
        <v>1572</v>
      </c>
      <c r="E481" t="s">
        <v>216</v>
      </c>
      <c r="G481">
        <v>9.1103799999999993</v>
      </c>
      <c r="H481">
        <v>-79.778760000000005</v>
      </c>
      <c r="I481" t="s">
        <v>1573</v>
      </c>
      <c r="J481">
        <v>500</v>
      </c>
      <c r="K481">
        <v>1911</v>
      </c>
      <c r="L481">
        <v>1911</v>
      </c>
      <c r="M481" t="s">
        <v>203</v>
      </c>
      <c r="N481" t="s">
        <v>190</v>
      </c>
      <c r="Q481" s="2" t="str">
        <f>IF($C481="","",IFERROR(VLOOKUP($C481,sources!$A$2:$N$200,2,FALSE()),"?"))</f>
        <v>Map</v>
      </c>
      <c r="R481" s="2" t="str">
        <f t="shared" si="7"/>
        <v>Map</v>
      </c>
      <c r="S481" s="2" t="str">
        <f>IF($C481="","",IFERROR(VLOOKUP($C481,sources!$A$2:$N$200,9,FALSE()),"?"))</f>
        <v>US official</v>
      </c>
      <c r="T481" t="s">
        <v>5692</v>
      </c>
      <c r="U481">
        <f>IF(OR(B481="",C481="",T481="Retracted",LEFT(D481,8)="Negative"),0,IF(COUNTIFS($B$2:B481,B481,$C$2:C481,C481,$D$2:D481,"&lt;&gt;Negative*",$T$2:T481,"&lt;&gt;Retracted")=1,1,0))</f>
        <v>1</v>
      </c>
    </row>
    <row r="482" spans="1:21" x14ac:dyDescent="0.2">
      <c r="A482" t="s">
        <v>2184</v>
      </c>
      <c r="B482" t="s">
        <v>226</v>
      </c>
      <c r="C482" t="s">
        <v>1168</v>
      </c>
      <c r="D482" t="s">
        <v>1572</v>
      </c>
      <c r="E482" t="s">
        <v>227</v>
      </c>
      <c r="G482">
        <v>9.2747100000000007</v>
      </c>
      <c r="H482">
        <v>-79.916210000000007</v>
      </c>
      <c r="I482" t="s">
        <v>1573</v>
      </c>
      <c r="J482">
        <v>250</v>
      </c>
      <c r="K482">
        <v>1911</v>
      </c>
      <c r="L482">
        <v>1911</v>
      </c>
      <c r="M482" t="s">
        <v>203</v>
      </c>
      <c r="N482" t="s">
        <v>203</v>
      </c>
      <c r="Q482" s="2" t="str">
        <f>IF($C482="","",IFERROR(VLOOKUP($C482,sources!$A$2:$N$200,2,FALSE()),"?"))</f>
        <v>Map</v>
      </c>
      <c r="R482" s="2" t="str">
        <f t="shared" si="7"/>
        <v>Map</v>
      </c>
      <c r="S482" s="2" t="str">
        <f>IF($C482="","",IFERROR(VLOOKUP($C482,sources!$A$2:$N$200,9,FALSE()),"?"))</f>
        <v>US official</v>
      </c>
      <c r="T482" t="s">
        <v>5692</v>
      </c>
      <c r="U482">
        <f>IF(OR(B482="",C482="",T482="Retracted",LEFT(D482,8)="Negative"),0,IF(COUNTIFS($B$2:B482,B482,$C$2:C482,C482,$D$2:D482,"&lt;&gt;Negative*",$T$2:T482,"&lt;&gt;Retracted")=1,1,0))</f>
        <v>0</v>
      </c>
    </row>
    <row r="483" spans="1:21" x14ac:dyDescent="0.2">
      <c r="A483" t="s">
        <v>2185</v>
      </c>
      <c r="B483" t="s">
        <v>253</v>
      </c>
      <c r="C483" t="s">
        <v>1168</v>
      </c>
      <c r="D483" t="s">
        <v>1572</v>
      </c>
      <c r="E483" t="s">
        <v>254</v>
      </c>
      <c r="G483">
        <v>9.1052099999999996</v>
      </c>
      <c r="H483">
        <v>-79.688490000000002</v>
      </c>
      <c r="I483" t="s">
        <v>1573</v>
      </c>
      <c r="J483">
        <v>500</v>
      </c>
      <c r="K483">
        <v>1911</v>
      </c>
      <c r="L483">
        <v>1911</v>
      </c>
      <c r="M483" t="s">
        <v>203</v>
      </c>
      <c r="N483" t="s">
        <v>190</v>
      </c>
      <c r="Q483" s="2" t="str">
        <f>IF($C483="","",IFERROR(VLOOKUP($C483,sources!$A$2:$N$200,2,FALSE()),"?"))</f>
        <v>Map</v>
      </c>
      <c r="R483" s="2" t="str">
        <f t="shared" si="7"/>
        <v>Map</v>
      </c>
      <c r="S483" s="2" t="str">
        <f>IF($C483="","",IFERROR(VLOOKUP($C483,sources!$A$2:$N$200,9,FALSE()),"?"))</f>
        <v>US official</v>
      </c>
      <c r="T483" t="s">
        <v>5692</v>
      </c>
      <c r="U483">
        <f>IF(OR(B483="",C483="",T483="Retracted",LEFT(D483,8)="Negative"),0,IF(COUNTIFS($B$2:B483,B483,$C$2:C483,C483,$D$2:D483,"&lt;&gt;Negative*",$T$2:T483,"&lt;&gt;Retracted")=1,1,0))</f>
        <v>1</v>
      </c>
    </row>
    <row r="484" spans="1:21" x14ac:dyDescent="0.2">
      <c r="A484" t="s">
        <v>2186</v>
      </c>
      <c r="B484" t="s">
        <v>261</v>
      </c>
      <c r="C484" t="s">
        <v>1168</v>
      </c>
      <c r="D484" t="s">
        <v>1572</v>
      </c>
      <c r="E484" t="s">
        <v>262</v>
      </c>
      <c r="G484">
        <v>9.0868699999999993</v>
      </c>
      <c r="H484">
        <v>-79.684650000000005</v>
      </c>
      <c r="I484" t="s">
        <v>1573</v>
      </c>
      <c r="J484">
        <v>325</v>
      </c>
      <c r="K484">
        <v>1911</v>
      </c>
      <c r="L484">
        <v>1911</v>
      </c>
      <c r="M484" t="s">
        <v>203</v>
      </c>
      <c r="N484" t="s">
        <v>209</v>
      </c>
      <c r="Q484" s="2" t="str">
        <f>IF($C484="","",IFERROR(VLOOKUP($C484,sources!$A$2:$N$200,2,FALSE()),"?"))</f>
        <v>Map</v>
      </c>
      <c r="R484" s="2" t="str">
        <f t="shared" si="7"/>
        <v>Map</v>
      </c>
      <c r="S484" s="2" t="str">
        <f>IF($C484="","",IFERROR(VLOOKUP($C484,sources!$A$2:$N$200,9,FALSE()),"?"))</f>
        <v>US official</v>
      </c>
      <c r="T484" t="s">
        <v>5692</v>
      </c>
      <c r="U484">
        <f>IF(OR(B484="",C484="",T484="Retracted",LEFT(D484,8)="Negative"),0,IF(COUNTIFS($B$2:B484,B484,$C$2:C484,C484,$D$2:D484,"&lt;&gt;Negative*",$T$2:T484,"&lt;&gt;Retracted")=1,1,0))</f>
        <v>1</v>
      </c>
    </row>
    <row r="485" spans="1:21" x14ac:dyDescent="0.2">
      <c r="A485" t="s">
        <v>2187</v>
      </c>
      <c r="B485" t="s">
        <v>330</v>
      </c>
      <c r="C485" t="s">
        <v>1168</v>
      </c>
      <c r="D485" t="s">
        <v>1572</v>
      </c>
      <c r="E485" t="s">
        <v>331</v>
      </c>
      <c r="G485">
        <v>9.3558900000000005</v>
      </c>
      <c r="H485">
        <v>-79.900599999999997</v>
      </c>
      <c r="I485" t="s">
        <v>1573</v>
      </c>
      <c r="J485">
        <v>325</v>
      </c>
      <c r="K485">
        <v>1911</v>
      </c>
      <c r="L485">
        <v>1911</v>
      </c>
      <c r="M485" t="s">
        <v>203</v>
      </c>
      <c r="N485" t="s">
        <v>209</v>
      </c>
      <c r="Q485" s="2" t="str">
        <f>IF($C485="","",IFERROR(VLOOKUP($C485,sources!$A$2:$N$200,2,FALSE()),"?"))</f>
        <v>Map</v>
      </c>
      <c r="R485" s="2" t="str">
        <f t="shared" si="7"/>
        <v>Map</v>
      </c>
      <c r="S485" s="2" t="str">
        <f>IF($C485="","",IFERROR(VLOOKUP($C485,sources!$A$2:$N$200,9,FALSE()),"?"))</f>
        <v>US official</v>
      </c>
      <c r="T485" t="s">
        <v>5692</v>
      </c>
      <c r="U485">
        <f>IF(OR(B485="",C485="",T485="Retracted",LEFT(D485,8)="Negative"),0,IF(COUNTIFS($B$2:B485,B485,$C$2:C485,C485,$D$2:D485,"&lt;&gt;Negative*",$T$2:T485,"&lt;&gt;Retracted")=1,1,0))</f>
        <v>1</v>
      </c>
    </row>
    <row r="486" spans="1:21" x14ac:dyDescent="0.2">
      <c r="A486" t="s">
        <v>2188</v>
      </c>
      <c r="B486" t="s">
        <v>335</v>
      </c>
      <c r="C486" t="s">
        <v>1168</v>
      </c>
      <c r="D486" t="s">
        <v>1572</v>
      </c>
      <c r="E486" t="s">
        <v>2189</v>
      </c>
      <c r="G486">
        <v>8.9569299999999998</v>
      </c>
      <c r="H486">
        <v>-79.549250000000001</v>
      </c>
      <c r="I486" t="s">
        <v>1573</v>
      </c>
      <c r="J486">
        <v>500</v>
      </c>
      <c r="K486">
        <v>1911</v>
      </c>
      <c r="L486">
        <v>1911</v>
      </c>
      <c r="M486" t="s">
        <v>203</v>
      </c>
      <c r="N486" t="s">
        <v>190</v>
      </c>
      <c r="Q486" s="2" t="str">
        <f>IF($C486="","",IFERROR(VLOOKUP($C486,sources!$A$2:$N$200,2,FALSE()),"?"))</f>
        <v>Map</v>
      </c>
      <c r="R486" s="2" t="str">
        <f t="shared" si="7"/>
        <v>Map</v>
      </c>
      <c r="S486" s="2" t="str">
        <f>IF($C486="","",IFERROR(VLOOKUP($C486,sources!$A$2:$N$200,9,FALSE()),"?"))</f>
        <v>US official</v>
      </c>
      <c r="T486" t="s">
        <v>5692</v>
      </c>
      <c r="U486">
        <f>IF(OR(B486="",C486="",T486="Retracted",LEFT(D486,8)="Negative"),0,IF(COUNTIFS($B$2:B486,B486,$C$2:C486,C486,$D$2:D486,"&lt;&gt;Negative*",$T$2:T486,"&lt;&gt;Retracted")=1,1,0))</f>
        <v>1</v>
      </c>
    </row>
    <row r="487" spans="1:21" x14ac:dyDescent="0.2">
      <c r="A487" t="s">
        <v>2190</v>
      </c>
      <c r="B487" t="s">
        <v>348</v>
      </c>
      <c r="C487" t="s">
        <v>1168</v>
      </c>
      <c r="D487" t="s">
        <v>1572</v>
      </c>
      <c r="E487" t="s">
        <v>2191</v>
      </c>
      <c r="G487">
        <v>8.9477600000000006</v>
      </c>
      <c r="H487">
        <v>-79.56447</v>
      </c>
      <c r="I487" t="s">
        <v>1573</v>
      </c>
      <c r="J487">
        <v>325</v>
      </c>
      <c r="K487">
        <v>1911</v>
      </c>
      <c r="L487">
        <v>1911</v>
      </c>
      <c r="M487" t="s">
        <v>203</v>
      </c>
      <c r="N487" t="s">
        <v>209</v>
      </c>
      <c r="Q487" s="2" t="str">
        <f>IF($C487="","",IFERROR(VLOOKUP($C487,sources!$A$2:$N$200,2,FALSE()),"?"))</f>
        <v>Map</v>
      </c>
      <c r="R487" s="2" t="str">
        <f t="shared" si="7"/>
        <v>Map</v>
      </c>
      <c r="S487" s="2" t="str">
        <f>IF($C487="","",IFERROR(VLOOKUP($C487,sources!$A$2:$N$200,9,FALSE()),"?"))</f>
        <v>US official</v>
      </c>
      <c r="T487" t="s">
        <v>5692</v>
      </c>
      <c r="U487">
        <f>IF(OR(B487="",C487="",T487="Retracted",LEFT(D487,8)="Negative"),0,IF(COUNTIFS($B$2:B487,B487,$C$2:C487,C487,$D$2:D487,"&lt;&gt;Negative*",$T$2:T487,"&lt;&gt;Retracted")=1,1,0))</f>
        <v>1</v>
      </c>
    </row>
    <row r="488" spans="1:21" x14ac:dyDescent="0.2">
      <c r="A488" t="s">
        <v>2192</v>
      </c>
      <c r="B488" t="s">
        <v>351</v>
      </c>
      <c r="C488" t="s">
        <v>1168</v>
      </c>
      <c r="D488" t="s">
        <v>1572</v>
      </c>
      <c r="E488" t="s">
        <v>352</v>
      </c>
      <c r="G488">
        <v>8.9795700000000007</v>
      </c>
      <c r="H488">
        <v>-79.568240000000003</v>
      </c>
      <c r="I488" t="s">
        <v>1573</v>
      </c>
      <c r="J488">
        <v>325</v>
      </c>
      <c r="K488">
        <v>1911</v>
      </c>
      <c r="L488">
        <v>1911</v>
      </c>
      <c r="M488" t="s">
        <v>203</v>
      </c>
      <c r="N488" t="s">
        <v>209</v>
      </c>
      <c r="Q488" s="2" t="str">
        <f>IF($C488="","",IFERROR(VLOOKUP($C488,sources!$A$2:$N$200,2,FALSE()),"?"))</f>
        <v>Map</v>
      </c>
      <c r="R488" s="2" t="str">
        <f t="shared" si="7"/>
        <v>Map</v>
      </c>
      <c r="S488" s="2" t="str">
        <f>IF($C488="","",IFERROR(VLOOKUP($C488,sources!$A$2:$N$200,9,FALSE()),"?"))</f>
        <v>US official</v>
      </c>
      <c r="T488" t="s">
        <v>5692</v>
      </c>
      <c r="U488">
        <f>IF(OR(B488="",C488="",T488="Retracted",LEFT(D488,8)="Negative"),0,IF(COUNTIFS($B$2:B488,B488,$C$2:C488,C488,$D$2:D488,"&lt;&gt;Negative*",$T$2:T488,"&lt;&gt;Retracted")=1,1,0))</f>
        <v>1</v>
      </c>
    </row>
    <row r="489" spans="1:21" x14ac:dyDescent="0.2">
      <c r="A489" t="s">
        <v>2193</v>
      </c>
      <c r="B489" t="s">
        <v>847</v>
      </c>
      <c r="C489" t="s">
        <v>1168</v>
      </c>
      <c r="D489" t="s">
        <v>1572</v>
      </c>
      <c r="E489" t="s">
        <v>2194</v>
      </c>
      <c r="G489">
        <v>9.1755999999999993</v>
      </c>
      <c r="H489">
        <v>-79.801329999999993</v>
      </c>
      <c r="I489" t="s">
        <v>1573</v>
      </c>
      <c r="J489">
        <v>250</v>
      </c>
      <c r="K489">
        <v>1911</v>
      </c>
      <c r="L489">
        <v>1911</v>
      </c>
      <c r="M489" t="s">
        <v>203</v>
      </c>
      <c r="N489" t="s">
        <v>203</v>
      </c>
      <c r="Q489" s="2" t="str">
        <f>IF($C489="","",IFERROR(VLOOKUP($C489,sources!$A$2:$N$200,2,FALSE()),"?"))</f>
        <v>Map</v>
      </c>
      <c r="R489" s="2" t="str">
        <f t="shared" si="7"/>
        <v>Map</v>
      </c>
      <c r="S489" s="2" t="str">
        <f>IF($C489="","",IFERROR(VLOOKUP($C489,sources!$A$2:$N$200,9,FALSE()),"?"))</f>
        <v>US official</v>
      </c>
      <c r="T489" t="s">
        <v>5692</v>
      </c>
      <c r="U489">
        <f>IF(OR(B489="",C489="",T489="Retracted",LEFT(D489,8)="Negative"),0,IF(COUNTIFS($B$2:B489,B489,$C$2:C489,C489,$D$2:D489,"&lt;&gt;Negative*",$T$2:T489,"&lt;&gt;Retracted")=1,1,0))</f>
        <v>1</v>
      </c>
    </row>
    <row r="490" spans="1:21" x14ac:dyDescent="0.2">
      <c r="A490" t="s">
        <v>2195</v>
      </c>
      <c r="B490" t="s">
        <v>354</v>
      </c>
      <c r="C490" t="s">
        <v>1168</v>
      </c>
      <c r="D490" t="s">
        <v>1572</v>
      </c>
      <c r="E490" t="s">
        <v>2196</v>
      </c>
      <c r="G490">
        <v>9.16812</v>
      </c>
      <c r="H490">
        <v>-79.813630000000003</v>
      </c>
      <c r="I490" t="s">
        <v>1573</v>
      </c>
      <c r="J490">
        <v>325</v>
      </c>
      <c r="K490">
        <v>1911</v>
      </c>
      <c r="L490">
        <v>1911</v>
      </c>
      <c r="M490" t="s">
        <v>203</v>
      </c>
      <c r="N490" t="s">
        <v>209</v>
      </c>
      <c r="Q490" s="2" t="str">
        <f>IF($C490="","",IFERROR(VLOOKUP($C490,sources!$A$2:$N$200,2,FALSE()),"?"))</f>
        <v>Map</v>
      </c>
      <c r="R490" s="2" t="str">
        <f t="shared" si="7"/>
        <v>Map</v>
      </c>
      <c r="S490" s="2" t="str">
        <f>IF($C490="","",IFERROR(VLOOKUP($C490,sources!$A$2:$N$200,9,FALSE()),"?"))</f>
        <v>US official</v>
      </c>
      <c r="T490" t="s">
        <v>5692</v>
      </c>
      <c r="U490">
        <f>IF(OR(B490="",C490="",T490="Retracted",LEFT(D490,8)="Negative"),0,IF(COUNTIFS($B$2:B490,B490,$C$2:C490,C490,$D$2:D490,"&lt;&gt;Negative*",$T$2:T490,"&lt;&gt;Retracted")=1,1,0))</f>
        <v>1</v>
      </c>
    </row>
    <row r="491" spans="1:21" x14ac:dyDescent="0.2">
      <c r="A491" t="s">
        <v>2197</v>
      </c>
      <c r="B491" t="s">
        <v>360</v>
      </c>
      <c r="C491" t="s">
        <v>1168</v>
      </c>
      <c r="D491" t="s">
        <v>1572</v>
      </c>
      <c r="E491" t="s">
        <v>361</v>
      </c>
      <c r="G491">
        <v>9.1143800000000006</v>
      </c>
      <c r="H491">
        <v>-79.787130000000005</v>
      </c>
      <c r="I491" t="s">
        <v>1573</v>
      </c>
      <c r="J491">
        <v>325</v>
      </c>
      <c r="K491">
        <v>1911</v>
      </c>
      <c r="L491">
        <v>1911</v>
      </c>
      <c r="M491" t="s">
        <v>203</v>
      </c>
      <c r="N491" t="s">
        <v>209</v>
      </c>
      <c r="Q491" s="2" t="str">
        <f>IF($C491="","",IFERROR(VLOOKUP($C491,sources!$A$2:$N$200,2,FALSE()),"?"))</f>
        <v>Map</v>
      </c>
      <c r="R491" s="2" t="str">
        <f t="shared" si="7"/>
        <v>Map</v>
      </c>
      <c r="S491" s="2" t="str">
        <f>IF($C491="","",IFERROR(VLOOKUP($C491,sources!$A$2:$N$200,9,FALSE()),"?"))</f>
        <v>US official</v>
      </c>
      <c r="T491" t="s">
        <v>5692</v>
      </c>
      <c r="U491">
        <f>IF(OR(B491="",C491="",T491="Retracted",LEFT(D491,8)="Negative"),0,IF(COUNTIFS($B$2:B491,B491,$C$2:C491,C491,$D$2:D491,"&lt;&gt;Negative*",$T$2:T491,"&lt;&gt;Retracted")=1,1,0))</f>
        <v>1</v>
      </c>
    </row>
    <row r="492" spans="1:21" x14ac:dyDescent="0.2">
      <c r="A492" t="s">
        <v>2198</v>
      </c>
      <c r="B492" t="s">
        <v>363</v>
      </c>
      <c r="C492" t="s">
        <v>1168</v>
      </c>
      <c r="D492" t="s">
        <v>1572</v>
      </c>
      <c r="E492" t="s">
        <v>364</v>
      </c>
      <c r="G492">
        <v>9.1335099999999994</v>
      </c>
      <c r="H492">
        <v>-79.818389999999994</v>
      </c>
      <c r="I492" t="s">
        <v>1573</v>
      </c>
      <c r="J492">
        <v>325</v>
      </c>
      <c r="K492">
        <v>1911</v>
      </c>
      <c r="L492">
        <v>1911</v>
      </c>
      <c r="M492" t="s">
        <v>203</v>
      </c>
      <c r="N492" t="s">
        <v>209</v>
      </c>
      <c r="Q492" s="2" t="str">
        <f>IF($C492="","",IFERROR(VLOOKUP($C492,sources!$A$2:$N$200,2,FALSE()),"?"))</f>
        <v>Map</v>
      </c>
      <c r="R492" s="2" t="str">
        <f t="shared" si="7"/>
        <v>Map</v>
      </c>
      <c r="S492" s="2" t="str">
        <f>IF($C492="","",IFERROR(VLOOKUP($C492,sources!$A$2:$N$200,9,FALSE()),"?"))</f>
        <v>US official</v>
      </c>
      <c r="T492" t="s">
        <v>5692</v>
      </c>
      <c r="U492">
        <f>IF(OR(B492="",C492="",T492="Retracted",LEFT(D492,8)="Negative"),0,IF(COUNTIFS($B$2:B492,B492,$C$2:C492,C492,$D$2:D492,"&lt;&gt;Negative*",$T$2:T492,"&lt;&gt;Retracted")=1,1,0))</f>
        <v>1</v>
      </c>
    </row>
    <row r="493" spans="1:21" x14ac:dyDescent="0.2">
      <c r="A493" t="s">
        <v>2199</v>
      </c>
      <c r="B493" t="s">
        <v>369</v>
      </c>
      <c r="C493" t="s">
        <v>1168</v>
      </c>
      <c r="D493" t="s">
        <v>1572</v>
      </c>
      <c r="E493" t="s">
        <v>370</v>
      </c>
      <c r="G493">
        <v>9.1173999999999999</v>
      </c>
      <c r="H493">
        <v>-79.68674</v>
      </c>
      <c r="I493" t="s">
        <v>1573</v>
      </c>
      <c r="J493">
        <v>325</v>
      </c>
      <c r="K493">
        <v>1911</v>
      </c>
      <c r="L493">
        <v>1911</v>
      </c>
      <c r="M493" t="s">
        <v>203</v>
      </c>
      <c r="N493" t="s">
        <v>209</v>
      </c>
      <c r="Q493" s="2" t="str">
        <f>IF($C493="","",IFERROR(VLOOKUP($C493,sources!$A$2:$N$200,2,FALSE()),"?"))</f>
        <v>Map</v>
      </c>
      <c r="R493" s="2" t="str">
        <f t="shared" si="7"/>
        <v>Map</v>
      </c>
      <c r="S493" s="2" t="str">
        <f>IF($C493="","",IFERROR(VLOOKUP($C493,sources!$A$2:$N$200,9,FALSE()),"?"))</f>
        <v>US official</v>
      </c>
      <c r="T493" t="s">
        <v>5692</v>
      </c>
      <c r="U493">
        <f>IF(OR(B493="",C493="",T493="Retracted",LEFT(D493,8)="Negative"),0,IF(COUNTIFS($B$2:B493,B493,$C$2:C493,C493,$D$2:D493,"&lt;&gt;Negative*",$T$2:T493,"&lt;&gt;Retracted")=1,1,0))</f>
        <v>1</v>
      </c>
    </row>
    <row r="494" spans="1:21" x14ac:dyDescent="0.2">
      <c r="A494" t="s">
        <v>2200</v>
      </c>
      <c r="B494" t="s">
        <v>374</v>
      </c>
      <c r="C494" t="s">
        <v>1168</v>
      </c>
      <c r="D494" t="s">
        <v>1572</v>
      </c>
      <c r="E494" t="s">
        <v>2201</v>
      </c>
      <c r="G494">
        <v>8.9993200000000009</v>
      </c>
      <c r="H494">
        <v>-79.582160000000002</v>
      </c>
      <c r="I494" t="s">
        <v>1573</v>
      </c>
      <c r="J494">
        <v>325</v>
      </c>
      <c r="K494">
        <v>1911</v>
      </c>
      <c r="L494">
        <v>1911</v>
      </c>
      <c r="M494" t="s">
        <v>203</v>
      </c>
      <c r="N494" t="s">
        <v>209</v>
      </c>
      <c r="Q494" s="2" t="str">
        <f>IF($C494="","",IFERROR(VLOOKUP($C494,sources!$A$2:$N$200,2,FALSE()),"?"))</f>
        <v>Map</v>
      </c>
      <c r="R494" s="2" t="str">
        <f t="shared" si="7"/>
        <v>Map</v>
      </c>
      <c r="S494" s="2" t="str">
        <f>IF($C494="","",IFERROR(VLOOKUP($C494,sources!$A$2:$N$200,9,FALSE()),"?"))</f>
        <v>US official</v>
      </c>
      <c r="T494" t="s">
        <v>5692</v>
      </c>
      <c r="U494">
        <f>IF(OR(B494="",C494="",T494="Retracted",LEFT(D494,8)="Negative"),0,IF(COUNTIFS($B$2:B494,B494,$C$2:C494,C494,$D$2:D494,"&lt;&gt;Negative*",$T$2:T494,"&lt;&gt;Retracted")=1,1,0))</f>
        <v>1</v>
      </c>
    </row>
    <row r="495" spans="1:21" x14ac:dyDescent="0.2">
      <c r="A495" t="s">
        <v>2202</v>
      </c>
      <c r="B495" t="s">
        <v>383</v>
      </c>
      <c r="C495" t="s">
        <v>1168</v>
      </c>
      <c r="D495" t="s">
        <v>1572</v>
      </c>
      <c r="E495" t="s">
        <v>384</v>
      </c>
      <c r="G495">
        <v>9.3140800000000006</v>
      </c>
      <c r="H495">
        <v>-79.917500000000004</v>
      </c>
      <c r="I495" t="s">
        <v>1573</v>
      </c>
      <c r="J495">
        <v>500</v>
      </c>
      <c r="K495">
        <v>1911</v>
      </c>
      <c r="L495">
        <v>1911</v>
      </c>
      <c r="M495" t="s">
        <v>203</v>
      </c>
      <c r="N495" t="s">
        <v>190</v>
      </c>
      <c r="Q495" s="2" t="str">
        <f>IF($C495="","",IFERROR(VLOOKUP($C495,sources!$A$2:$N$200,2,FALSE()),"?"))</f>
        <v>Map</v>
      </c>
      <c r="R495" s="2" t="str">
        <f t="shared" si="7"/>
        <v>Map</v>
      </c>
      <c r="S495" s="2" t="str">
        <f>IF($C495="","",IFERROR(VLOOKUP($C495,sources!$A$2:$N$200,9,FALSE()),"?"))</f>
        <v>US official</v>
      </c>
      <c r="T495" t="s">
        <v>5692</v>
      </c>
      <c r="U495">
        <f>IF(OR(B495="",C495="",T495="Retracted",LEFT(D495,8)="Negative"),0,IF(COUNTIFS($B$2:B495,B495,$C$2:C495,C495,$D$2:D495,"&lt;&gt;Negative*",$T$2:T495,"&lt;&gt;Retracted")=1,1,0))</f>
        <v>1</v>
      </c>
    </row>
    <row r="496" spans="1:21" x14ac:dyDescent="0.2">
      <c r="A496" t="s">
        <v>2203</v>
      </c>
      <c r="B496" t="s">
        <v>386</v>
      </c>
      <c r="C496" t="s">
        <v>1168</v>
      </c>
      <c r="D496" t="s">
        <v>1572</v>
      </c>
      <c r="E496" t="s">
        <v>2204</v>
      </c>
      <c r="G496">
        <v>9.1819600000000001</v>
      </c>
      <c r="H496">
        <v>-79.839460000000003</v>
      </c>
      <c r="I496" t="s">
        <v>1573</v>
      </c>
      <c r="J496">
        <v>500</v>
      </c>
      <c r="K496">
        <v>1911</v>
      </c>
      <c r="L496">
        <v>1911</v>
      </c>
      <c r="M496" t="s">
        <v>203</v>
      </c>
      <c r="N496" t="s">
        <v>190</v>
      </c>
      <c r="Q496" s="2" t="str">
        <f>IF($C496="","",IFERROR(VLOOKUP($C496,sources!$A$2:$N$200,2,FALSE()),"?"))</f>
        <v>Map</v>
      </c>
      <c r="R496" s="2" t="str">
        <f t="shared" si="7"/>
        <v>Map</v>
      </c>
      <c r="S496" s="2" t="str">
        <f>IF($C496="","",IFERROR(VLOOKUP($C496,sources!$A$2:$N$200,9,FALSE()),"?"))</f>
        <v>US official</v>
      </c>
      <c r="T496" t="s">
        <v>5692</v>
      </c>
      <c r="U496">
        <f>IF(OR(B496="",C496="",T496="Retracted",LEFT(D496,8)="Negative"),0,IF(COUNTIFS($B$2:B496,B496,$C$2:C496,C496,$D$2:D496,"&lt;&gt;Negative*",$T$2:T496,"&lt;&gt;Retracted")=1,1,0))</f>
        <v>1</v>
      </c>
    </row>
    <row r="497" spans="1:21" x14ac:dyDescent="0.2">
      <c r="A497" t="s">
        <v>2205</v>
      </c>
      <c r="B497" t="s">
        <v>773</v>
      </c>
      <c r="C497" t="s">
        <v>1168</v>
      </c>
      <c r="D497" t="s">
        <v>1572</v>
      </c>
      <c r="E497" t="s">
        <v>2206</v>
      </c>
      <c r="G497">
        <v>9.0938300000000005</v>
      </c>
      <c r="H497">
        <v>-79.684619999999995</v>
      </c>
      <c r="I497" t="s">
        <v>1573</v>
      </c>
      <c r="J497">
        <v>500</v>
      </c>
      <c r="K497">
        <v>1911</v>
      </c>
      <c r="L497">
        <v>1911</v>
      </c>
      <c r="M497" t="s">
        <v>203</v>
      </c>
      <c r="N497" t="s">
        <v>190</v>
      </c>
      <c r="Q497" s="2" t="str">
        <f>IF($C497="","",IFERROR(VLOOKUP($C497,sources!$A$2:$N$200,2,FALSE()),"?"))</f>
        <v>Map</v>
      </c>
      <c r="R497" s="2" t="str">
        <f t="shared" si="7"/>
        <v>Map</v>
      </c>
      <c r="S497" s="2" t="str">
        <f>IF($C497="","",IFERROR(VLOOKUP($C497,sources!$A$2:$N$200,9,FALSE()),"?"))</f>
        <v>US official</v>
      </c>
      <c r="T497" t="s">
        <v>5692</v>
      </c>
      <c r="U497">
        <f>IF(OR(B497="",C497="",T497="Retracted",LEFT(D497,8)="Negative"),0,IF(COUNTIFS($B$2:B497,B497,$C$2:C497,C497,$D$2:D497,"&lt;&gt;Negative*",$T$2:T497,"&lt;&gt;Retracted")=1,1,0))</f>
        <v>1</v>
      </c>
    </row>
    <row r="498" spans="1:21" x14ac:dyDescent="0.2">
      <c r="A498" t="s">
        <v>2207</v>
      </c>
      <c r="B498" t="s">
        <v>389</v>
      </c>
      <c r="C498" t="s">
        <v>1168</v>
      </c>
      <c r="D498" t="s">
        <v>1572</v>
      </c>
      <c r="E498" t="s">
        <v>390</v>
      </c>
      <c r="G498">
        <v>9.2304099999999991</v>
      </c>
      <c r="H498">
        <v>-79.912710000000004</v>
      </c>
      <c r="I498" t="s">
        <v>1573</v>
      </c>
      <c r="J498">
        <v>500</v>
      </c>
      <c r="K498">
        <v>1911</v>
      </c>
      <c r="L498">
        <v>1911</v>
      </c>
      <c r="M498" t="s">
        <v>203</v>
      </c>
      <c r="N498" t="s">
        <v>190</v>
      </c>
      <c r="Q498" s="2" t="str">
        <f>IF($C498="","",IFERROR(VLOOKUP($C498,sources!$A$2:$N$200,2,FALSE()),"?"))</f>
        <v>Map</v>
      </c>
      <c r="R498" s="2" t="str">
        <f t="shared" si="7"/>
        <v>Map</v>
      </c>
      <c r="S498" s="2" t="str">
        <f>IF($C498="","",IFERROR(VLOOKUP($C498,sources!$A$2:$N$200,9,FALSE()),"?"))</f>
        <v>US official</v>
      </c>
      <c r="T498" t="s">
        <v>5692</v>
      </c>
      <c r="U498">
        <f>IF(OR(B498="",C498="",T498="Retracted",LEFT(D498,8)="Negative"),0,IF(COUNTIFS($B$2:B498,B498,$C$2:C498,C498,$D$2:D498,"&lt;&gt;Negative*",$T$2:T498,"&lt;&gt;Retracted")=1,1,0))</f>
        <v>1</v>
      </c>
    </row>
    <row r="499" spans="1:21" x14ac:dyDescent="0.2">
      <c r="A499" t="s">
        <v>2208</v>
      </c>
      <c r="B499" t="s">
        <v>395</v>
      </c>
      <c r="C499" t="s">
        <v>1168</v>
      </c>
      <c r="D499" t="s">
        <v>1572</v>
      </c>
      <c r="E499" t="s">
        <v>396</v>
      </c>
      <c r="G499">
        <v>9.1177499999999991</v>
      </c>
      <c r="H499">
        <v>-79.757750000000001</v>
      </c>
      <c r="I499" t="s">
        <v>1573</v>
      </c>
      <c r="J499">
        <v>500</v>
      </c>
      <c r="K499">
        <v>1911</v>
      </c>
      <c r="L499">
        <v>1911</v>
      </c>
      <c r="M499" t="s">
        <v>203</v>
      </c>
      <c r="N499" t="s">
        <v>190</v>
      </c>
      <c r="Q499" s="2" t="str">
        <f>IF($C499="","",IFERROR(VLOOKUP($C499,sources!$A$2:$N$200,2,FALSE()),"?"))</f>
        <v>Map</v>
      </c>
      <c r="R499" s="2" t="str">
        <f t="shared" si="7"/>
        <v>Map</v>
      </c>
      <c r="S499" s="2" t="str">
        <f>IF($C499="","",IFERROR(VLOOKUP($C499,sources!$A$2:$N$200,9,FALSE()),"?"))</f>
        <v>US official</v>
      </c>
      <c r="T499" t="s">
        <v>5692</v>
      </c>
      <c r="U499">
        <f>IF(OR(B499="",C499="",T499="Retracted",LEFT(D499,8)="Negative"),0,IF(COUNTIFS($B$2:B499,B499,$C$2:C499,C499,$D$2:D499,"&lt;&gt;Negative*",$T$2:T499,"&lt;&gt;Retracted")=1,1,0))</f>
        <v>1</v>
      </c>
    </row>
    <row r="500" spans="1:21" x14ac:dyDescent="0.2">
      <c r="A500" t="s">
        <v>2209</v>
      </c>
      <c r="B500" t="s">
        <v>398</v>
      </c>
      <c r="C500" t="s">
        <v>1168</v>
      </c>
      <c r="D500" t="s">
        <v>1572</v>
      </c>
      <c r="E500" t="s">
        <v>399</v>
      </c>
      <c r="G500">
        <v>9.1017299999999999</v>
      </c>
      <c r="H500">
        <v>-79.690150000000003</v>
      </c>
      <c r="I500" t="s">
        <v>1573</v>
      </c>
      <c r="J500">
        <v>325</v>
      </c>
      <c r="K500">
        <v>1911</v>
      </c>
      <c r="L500">
        <v>1911</v>
      </c>
      <c r="M500" t="s">
        <v>203</v>
      </c>
      <c r="N500" t="s">
        <v>209</v>
      </c>
      <c r="Q500" s="2" t="str">
        <f>IF($C500="","",IFERROR(VLOOKUP($C500,sources!$A$2:$N$200,2,FALSE()),"?"))</f>
        <v>Map</v>
      </c>
      <c r="R500" s="2" t="str">
        <f t="shared" si="7"/>
        <v>Map</v>
      </c>
      <c r="S500" s="2" t="str">
        <f>IF($C500="","",IFERROR(VLOOKUP($C500,sources!$A$2:$N$200,9,FALSE()),"?"))</f>
        <v>US official</v>
      </c>
      <c r="T500" t="s">
        <v>5692</v>
      </c>
      <c r="U500">
        <f>IF(OR(B500="",C500="",T500="Retracted",LEFT(D500,8)="Negative"),0,IF(COUNTIFS($B$2:B500,B500,$C$2:C500,C500,$D$2:D500,"&lt;&gt;Negative*",$T$2:T500,"&lt;&gt;Retracted")=1,1,0))</f>
        <v>1</v>
      </c>
    </row>
    <row r="501" spans="1:21" x14ac:dyDescent="0.2">
      <c r="A501" t="s">
        <v>2210</v>
      </c>
      <c r="B501" t="s">
        <v>403</v>
      </c>
      <c r="C501" t="s">
        <v>1168</v>
      </c>
      <c r="D501" t="s">
        <v>1572</v>
      </c>
      <c r="E501" t="s">
        <v>404</v>
      </c>
      <c r="G501">
        <v>9.2472999999999992</v>
      </c>
      <c r="H501">
        <v>-79.870459999999994</v>
      </c>
      <c r="I501" t="s">
        <v>1573</v>
      </c>
      <c r="J501">
        <v>500</v>
      </c>
      <c r="K501">
        <v>1911</v>
      </c>
      <c r="L501">
        <v>1911</v>
      </c>
      <c r="M501" t="s">
        <v>203</v>
      </c>
      <c r="N501" t="s">
        <v>190</v>
      </c>
      <c r="Q501" s="2" t="str">
        <f>IF($C501="","",IFERROR(VLOOKUP($C501,sources!$A$2:$N$200,2,FALSE()),"?"))</f>
        <v>Map</v>
      </c>
      <c r="R501" s="2" t="str">
        <f t="shared" si="7"/>
        <v>Map</v>
      </c>
      <c r="S501" s="2" t="str">
        <f>IF($C501="","",IFERROR(VLOOKUP($C501,sources!$A$2:$N$200,9,FALSE()),"?"))</f>
        <v>US official</v>
      </c>
      <c r="T501" t="s">
        <v>5692</v>
      </c>
      <c r="U501">
        <f>IF(OR(B501="",C501="",T501="Retracted",LEFT(D501,8)="Negative"),0,IF(COUNTIFS($B$2:B501,B501,$C$2:C501,C501,$D$2:D501,"&lt;&gt;Negative*",$T$2:T501,"&lt;&gt;Retracted")=1,1,0))</f>
        <v>1</v>
      </c>
    </row>
    <row r="502" spans="1:21" x14ac:dyDescent="0.2">
      <c r="A502" t="s">
        <v>2211</v>
      </c>
      <c r="B502" t="s">
        <v>411</v>
      </c>
      <c r="C502" t="s">
        <v>1168</v>
      </c>
      <c r="D502" t="s">
        <v>1572</v>
      </c>
      <c r="E502" t="s">
        <v>412</v>
      </c>
      <c r="G502">
        <v>8.9477600000000006</v>
      </c>
      <c r="H502">
        <v>-79.56447</v>
      </c>
      <c r="I502" t="s">
        <v>1573</v>
      </c>
      <c r="J502">
        <v>325</v>
      </c>
      <c r="K502">
        <v>1911</v>
      </c>
      <c r="L502">
        <v>1911</v>
      </c>
      <c r="M502" t="s">
        <v>203</v>
      </c>
      <c r="N502" t="s">
        <v>209</v>
      </c>
      <c r="Q502" s="2" t="str">
        <f>IF($C502="","",IFERROR(VLOOKUP($C502,sources!$A$2:$N$200,2,FALSE()),"?"))</f>
        <v>Map</v>
      </c>
      <c r="R502" s="2" t="str">
        <f t="shared" si="7"/>
        <v>Map</v>
      </c>
      <c r="S502" s="2" t="str">
        <f>IF($C502="","",IFERROR(VLOOKUP($C502,sources!$A$2:$N$200,9,FALSE()),"?"))</f>
        <v>US official</v>
      </c>
      <c r="T502" t="s">
        <v>5692</v>
      </c>
      <c r="U502">
        <f>IF(OR(B502="",C502="",T502="Retracted",LEFT(D502,8)="Negative"),0,IF(COUNTIFS($B$2:B502,B502,$C$2:C502,C502,$D$2:D502,"&lt;&gt;Negative*",$T$2:T502,"&lt;&gt;Retracted")=1,1,0))</f>
        <v>1</v>
      </c>
    </row>
    <row r="503" spans="1:21" x14ac:dyDescent="0.2">
      <c r="A503" t="s">
        <v>2212</v>
      </c>
      <c r="B503" t="s">
        <v>415</v>
      </c>
      <c r="C503" t="s">
        <v>1168</v>
      </c>
      <c r="D503" t="s">
        <v>1572</v>
      </c>
      <c r="E503" t="s">
        <v>416</v>
      </c>
      <c r="G503">
        <v>9.33582</v>
      </c>
      <c r="H503">
        <v>-79.892790000000005</v>
      </c>
      <c r="I503" t="s">
        <v>1573</v>
      </c>
      <c r="J503">
        <v>325</v>
      </c>
      <c r="K503">
        <v>1911</v>
      </c>
      <c r="L503">
        <v>1911</v>
      </c>
      <c r="M503" t="s">
        <v>203</v>
      </c>
      <c r="N503" t="s">
        <v>209</v>
      </c>
      <c r="Q503" s="2" t="str">
        <f>IF($C503="","",IFERROR(VLOOKUP($C503,sources!$A$2:$N$200,2,FALSE()),"?"))</f>
        <v>Map</v>
      </c>
      <c r="R503" s="2" t="str">
        <f t="shared" si="7"/>
        <v>Map</v>
      </c>
      <c r="S503" s="2" t="str">
        <f>IF($C503="","",IFERROR(VLOOKUP($C503,sources!$A$2:$N$200,9,FALSE()),"?"))</f>
        <v>US official</v>
      </c>
      <c r="T503" t="s">
        <v>5692</v>
      </c>
      <c r="U503">
        <f>IF(OR(B503="",C503="",T503="Retracted",LEFT(D503,8)="Negative"),0,IF(COUNTIFS($B$2:B503,B503,$C$2:C503,C503,$D$2:D503,"&lt;&gt;Negative*",$T$2:T503,"&lt;&gt;Retracted")=1,1,0))</f>
        <v>1</v>
      </c>
    </row>
    <row r="504" spans="1:21" x14ac:dyDescent="0.2">
      <c r="A504" t="s">
        <v>2213</v>
      </c>
      <c r="B504" t="s">
        <v>433</v>
      </c>
      <c r="C504" t="s">
        <v>1168</v>
      </c>
      <c r="D504" t="s">
        <v>1572</v>
      </c>
      <c r="E504" t="s">
        <v>434</v>
      </c>
      <c r="G504">
        <v>9.1203299999999992</v>
      </c>
      <c r="H504">
        <v>-79.739050000000006</v>
      </c>
      <c r="I504" t="s">
        <v>1573</v>
      </c>
      <c r="J504">
        <v>325</v>
      </c>
      <c r="K504">
        <v>1911</v>
      </c>
      <c r="L504">
        <v>1911</v>
      </c>
      <c r="M504" t="s">
        <v>203</v>
      </c>
      <c r="N504" t="s">
        <v>209</v>
      </c>
      <c r="Q504" s="2" t="str">
        <f>IF($C504="","",IFERROR(VLOOKUP($C504,sources!$A$2:$N$200,2,FALSE()),"?"))</f>
        <v>Map</v>
      </c>
      <c r="R504" s="2" t="str">
        <f t="shared" si="7"/>
        <v>Map</v>
      </c>
      <c r="S504" s="2" t="str">
        <f>IF($C504="","",IFERROR(VLOOKUP($C504,sources!$A$2:$N$200,9,FALSE()),"?"))</f>
        <v>US official</v>
      </c>
      <c r="T504" t="s">
        <v>5692</v>
      </c>
      <c r="U504">
        <f>IF(OR(B504="",C504="",T504="Retracted",LEFT(D504,8)="Negative"),0,IF(COUNTIFS($B$2:B504,B504,$C$2:C504,C504,$D$2:D504,"&lt;&gt;Negative*",$T$2:T504,"&lt;&gt;Retracted")=1,1,0))</f>
        <v>1</v>
      </c>
    </row>
    <row r="505" spans="1:21" x14ac:dyDescent="0.2">
      <c r="A505" t="s">
        <v>2214</v>
      </c>
      <c r="B505" t="s">
        <v>443</v>
      </c>
      <c r="C505" t="s">
        <v>1168</v>
      </c>
      <c r="D505" t="s">
        <v>1572</v>
      </c>
      <c r="E505" t="s">
        <v>1804</v>
      </c>
      <c r="G505">
        <v>9.3108299999999993</v>
      </c>
      <c r="H505">
        <v>-79.997870000000006</v>
      </c>
      <c r="I505" t="s">
        <v>1573</v>
      </c>
      <c r="J505">
        <v>325</v>
      </c>
      <c r="K505">
        <v>1911</v>
      </c>
      <c r="L505">
        <v>1911</v>
      </c>
      <c r="M505" t="s">
        <v>203</v>
      </c>
      <c r="N505" t="s">
        <v>209</v>
      </c>
      <c r="Q505" s="2" t="str">
        <f>IF($C505="","",IFERROR(VLOOKUP($C505,sources!$A$2:$N$200,2,FALSE()),"?"))</f>
        <v>Map</v>
      </c>
      <c r="R505" s="2" t="str">
        <f t="shared" si="7"/>
        <v>Map</v>
      </c>
      <c r="S505" s="2" t="str">
        <f>IF($C505="","",IFERROR(VLOOKUP($C505,sources!$A$2:$N$200,9,FALSE()),"?"))</f>
        <v>US official</v>
      </c>
      <c r="T505" t="s">
        <v>5692</v>
      </c>
      <c r="U505">
        <f>IF(OR(B505="",C505="",T505="Retracted",LEFT(D505,8)="Negative"),0,IF(COUNTIFS($B$2:B505,B505,$C$2:C505,C505,$D$2:D505,"&lt;&gt;Negative*",$T$2:T505,"&lt;&gt;Retracted")=1,1,0))</f>
        <v>1</v>
      </c>
    </row>
    <row r="506" spans="1:21" x14ac:dyDescent="0.2">
      <c r="A506" t="s">
        <v>2215</v>
      </c>
      <c r="B506" t="s">
        <v>465</v>
      </c>
      <c r="C506" t="s">
        <v>1168</v>
      </c>
      <c r="D506" t="s">
        <v>1572</v>
      </c>
      <c r="E506" t="s">
        <v>466</v>
      </c>
      <c r="G506">
        <v>9.05199</v>
      </c>
      <c r="H506">
        <v>-79.663560000000004</v>
      </c>
      <c r="I506" t="s">
        <v>1573</v>
      </c>
      <c r="J506">
        <v>500</v>
      </c>
      <c r="K506">
        <v>1911</v>
      </c>
      <c r="L506">
        <v>1911</v>
      </c>
      <c r="M506" t="s">
        <v>203</v>
      </c>
      <c r="N506" t="s">
        <v>190</v>
      </c>
      <c r="Q506" s="2" t="str">
        <f>IF($C506="","",IFERROR(VLOOKUP($C506,sources!$A$2:$N$200,2,FALSE()),"?"))</f>
        <v>Map</v>
      </c>
      <c r="R506" s="2" t="str">
        <f t="shared" si="7"/>
        <v>Map</v>
      </c>
      <c r="S506" s="2" t="str">
        <f>IF($C506="","",IFERROR(VLOOKUP($C506,sources!$A$2:$N$200,9,FALSE()),"?"))</f>
        <v>US official</v>
      </c>
      <c r="T506" t="s">
        <v>5692</v>
      </c>
      <c r="U506">
        <f>IF(OR(B506="",C506="",T506="Retracted",LEFT(D506,8)="Negative"),0,IF(COUNTIFS($B$2:B506,B506,$C$2:C506,C506,$D$2:D506,"&lt;&gt;Negative*",$T$2:T506,"&lt;&gt;Retracted")=1,1,0))</f>
        <v>1</v>
      </c>
    </row>
    <row r="507" spans="1:21" x14ac:dyDescent="0.2">
      <c r="A507" t="s">
        <v>2216</v>
      </c>
      <c r="B507" t="s">
        <v>468</v>
      </c>
      <c r="C507" t="s">
        <v>1168</v>
      </c>
      <c r="D507" t="s">
        <v>1572</v>
      </c>
      <c r="E507" t="s">
        <v>469</v>
      </c>
      <c r="G507">
        <v>8.9151000000000007</v>
      </c>
      <c r="H507">
        <v>-79.532480000000007</v>
      </c>
      <c r="I507" t="s">
        <v>1573</v>
      </c>
      <c r="J507">
        <v>250</v>
      </c>
      <c r="K507">
        <v>1911</v>
      </c>
      <c r="L507">
        <v>1911</v>
      </c>
      <c r="M507" t="s">
        <v>203</v>
      </c>
      <c r="N507" t="s">
        <v>203</v>
      </c>
      <c r="Q507" s="2" t="str">
        <f>IF($C507="","",IFERROR(VLOOKUP($C507,sources!$A$2:$N$200,2,FALSE()),"?"))</f>
        <v>Map</v>
      </c>
      <c r="R507" s="2" t="str">
        <f t="shared" si="7"/>
        <v>Map</v>
      </c>
      <c r="S507" s="2" t="str">
        <f>IF($C507="","",IFERROR(VLOOKUP($C507,sources!$A$2:$N$200,9,FALSE()),"?"))</f>
        <v>US official</v>
      </c>
      <c r="T507" t="s">
        <v>5692</v>
      </c>
      <c r="U507">
        <f>IF(OR(B507="",C507="",T507="Retracted",LEFT(D507,8)="Negative"),0,IF(COUNTIFS($B$2:B507,B507,$C$2:C507,C507,$D$2:D507,"&lt;&gt;Negative*",$T$2:T507,"&lt;&gt;Retracted")=1,1,0))</f>
        <v>1</v>
      </c>
    </row>
    <row r="508" spans="1:21" x14ac:dyDescent="0.2">
      <c r="A508" t="s">
        <v>2217</v>
      </c>
      <c r="B508" t="s">
        <v>487</v>
      </c>
      <c r="C508" t="s">
        <v>1168</v>
      </c>
      <c r="D508" t="s">
        <v>1572</v>
      </c>
      <c r="E508" t="s">
        <v>488</v>
      </c>
      <c r="G508">
        <v>9.0376100000000008</v>
      </c>
      <c r="H508">
        <v>-79.648880000000005</v>
      </c>
      <c r="I508" t="s">
        <v>1573</v>
      </c>
      <c r="J508">
        <v>500</v>
      </c>
      <c r="K508">
        <v>1911</v>
      </c>
      <c r="L508">
        <v>1911</v>
      </c>
      <c r="M508" t="s">
        <v>203</v>
      </c>
      <c r="N508" t="s">
        <v>190</v>
      </c>
      <c r="Q508" s="2" t="str">
        <f>IF($C508="","",IFERROR(VLOOKUP($C508,sources!$A$2:$N$200,2,FALSE()),"?"))</f>
        <v>Map</v>
      </c>
      <c r="R508" s="2" t="str">
        <f t="shared" si="7"/>
        <v>Map</v>
      </c>
      <c r="S508" s="2" t="str">
        <f>IF($C508="","",IFERROR(VLOOKUP($C508,sources!$A$2:$N$200,9,FALSE()),"?"))</f>
        <v>US official</v>
      </c>
      <c r="T508" t="s">
        <v>5692</v>
      </c>
      <c r="U508">
        <f>IF(OR(B508="",C508="",T508="Retracted",LEFT(D508,8)="Negative"),0,IF(COUNTIFS($B$2:B508,B508,$C$2:C508,C508,$D$2:D508,"&lt;&gt;Negative*",$T$2:T508,"&lt;&gt;Retracted")=1,1,0))</f>
        <v>1</v>
      </c>
    </row>
    <row r="509" spans="1:21" x14ac:dyDescent="0.2">
      <c r="A509" t="s">
        <v>2218</v>
      </c>
      <c r="B509" t="s">
        <v>490</v>
      </c>
      <c r="C509" t="s">
        <v>1168</v>
      </c>
      <c r="D509" t="s">
        <v>1572</v>
      </c>
      <c r="E509" t="s">
        <v>612</v>
      </c>
      <c r="G509">
        <v>9.0782500000000006</v>
      </c>
      <c r="H509">
        <v>-79.680279999999996</v>
      </c>
      <c r="I509" t="s">
        <v>1573</v>
      </c>
      <c r="J509">
        <v>325</v>
      </c>
      <c r="K509">
        <v>1911</v>
      </c>
      <c r="L509">
        <v>1911</v>
      </c>
      <c r="M509" t="s">
        <v>203</v>
      </c>
      <c r="N509" t="s">
        <v>209</v>
      </c>
      <c r="Q509" s="2" t="str">
        <f>IF($C509="","",IFERROR(VLOOKUP($C509,sources!$A$2:$N$200,2,FALSE()),"?"))</f>
        <v>Map</v>
      </c>
      <c r="R509" s="2" t="str">
        <f t="shared" si="7"/>
        <v>Map</v>
      </c>
      <c r="S509" s="2" t="str">
        <f>IF($C509="","",IFERROR(VLOOKUP($C509,sources!$A$2:$N$200,9,FALSE()),"?"))</f>
        <v>US official</v>
      </c>
      <c r="T509" t="s">
        <v>5692</v>
      </c>
      <c r="U509">
        <f>IF(OR(B509="",C509="",T509="Retracted",LEFT(D509,8)="Negative"),0,IF(COUNTIFS($B$2:B509,B509,$C$2:C509,C509,$D$2:D509,"&lt;&gt;Negative*",$T$2:T509,"&lt;&gt;Retracted")=1,1,0))</f>
        <v>1</v>
      </c>
    </row>
    <row r="510" spans="1:21" x14ac:dyDescent="0.2">
      <c r="A510" t="s">
        <v>2219</v>
      </c>
      <c r="B510" t="s">
        <v>510</v>
      </c>
      <c r="C510" t="s">
        <v>1168</v>
      </c>
      <c r="D510" t="s">
        <v>1572</v>
      </c>
      <c r="E510" t="s">
        <v>2220</v>
      </c>
      <c r="G510">
        <v>8.9892500000000002</v>
      </c>
      <c r="H510">
        <v>-79.589100000000002</v>
      </c>
      <c r="I510" t="s">
        <v>1573</v>
      </c>
      <c r="J510">
        <v>500</v>
      </c>
      <c r="K510">
        <v>1911</v>
      </c>
      <c r="L510">
        <v>1911</v>
      </c>
      <c r="M510" t="s">
        <v>203</v>
      </c>
      <c r="N510" t="s">
        <v>190</v>
      </c>
      <c r="Q510" s="2" t="str">
        <f>IF($C510="","",IFERROR(VLOOKUP($C510,sources!$A$2:$N$200,2,FALSE()),"?"))</f>
        <v>Map</v>
      </c>
      <c r="R510" s="2" t="str">
        <f t="shared" si="7"/>
        <v>Map</v>
      </c>
      <c r="S510" s="2" t="str">
        <f>IF($C510="","",IFERROR(VLOOKUP($C510,sources!$A$2:$N$200,9,FALSE()),"?"))</f>
        <v>US official</v>
      </c>
      <c r="T510" t="s">
        <v>5692</v>
      </c>
      <c r="U510">
        <f>IF(OR(B510="",C510="",T510="Retracted",LEFT(D510,8)="Negative"),0,IF(COUNTIFS($B$2:B510,B510,$C$2:C510,C510,$D$2:D510,"&lt;&gt;Negative*",$T$2:T510,"&lt;&gt;Retracted")=1,1,0))</f>
        <v>1</v>
      </c>
    </row>
    <row r="511" spans="1:21" x14ac:dyDescent="0.2">
      <c r="A511" t="s">
        <v>2221</v>
      </c>
      <c r="B511" t="s">
        <v>179</v>
      </c>
      <c r="C511" t="s">
        <v>1179</v>
      </c>
      <c r="D511" t="s">
        <v>1572</v>
      </c>
      <c r="E511" t="s">
        <v>180</v>
      </c>
      <c r="G511">
        <v>9.1044300000000007</v>
      </c>
      <c r="H511">
        <v>-79.712649999999996</v>
      </c>
      <c r="I511" t="s">
        <v>1573</v>
      </c>
      <c r="J511">
        <v>300</v>
      </c>
      <c r="K511">
        <v>1909</v>
      </c>
      <c r="L511">
        <v>1909</v>
      </c>
      <c r="M511" t="s">
        <v>203</v>
      </c>
      <c r="N511" t="s">
        <v>203</v>
      </c>
      <c r="Q511" s="2" t="str">
        <f>IF($C511="","",IFERROR(VLOOKUP($C511,sources!$A$2:$N$200,2,FALSE()),"?"))</f>
        <v>Map</v>
      </c>
      <c r="R511" s="2" t="str">
        <f t="shared" si="7"/>
        <v>Map</v>
      </c>
      <c r="S511" s="2" t="str">
        <f>IF($C511="","",IFERROR(VLOOKUP($C511,sources!$A$2:$N$200,9,FALSE()),"?"))</f>
        <v>US official</v>
      </c>
      <c r="T511" t="s">
        <v>5692</v>
      </c>
      <c r="U511">
        <f>IF(OR(B511="",C511="",T511="Retracted",LEFT(D511,8)="Negative"),0,IF(COUNTIFS($B$2:B511,B511,$C$2:C511,C511,$D$2:D511,"&lt;&gt;Negative*",$T$2:T511,"&lt;&gt;Retracted")=1,1,0))</f>
        <v>0</v>
      </c>
    </row>
    <row r="512" spans="1:21" x14ac:dyDescent="0.2">
      <c r="A512" t="s">
        <v>2222</v>
      </c>
      <c r="B512" t="s">
        <v>199</v>
      </c>
      <c r="C512" t="s">
        <v>1179</v>
      </c>
      <c r="D512" t="s">
        <v>1572</v>
      </c>
      <c r="E512" t="s">
        <v>1568</v>
      </c>
      <c r="G512">
        <v>9.1279800000000009</v>
      </c>
      <c r="H512">
        <v>-79.68262</v>
      </c>
      <c r="I512" t="s">
        <v>1573</v>
      </c>
      <c r="J512">
        <v>300</v>
      </c>
      <c r="K512">
        <v>1909</v>
      </c>
      <c r="L512">
        <v>1909</v>
      </c>
      <c r="M512" t="s">
        <v>203</v>
      </c>
      <c r="N512" t="s">
        <v>203</v>
      </c>
      <c r="Q512" s="2" t="str">
        <f>IF($C512="","",IFERROR(VLOOKUP($C512,sources!$A$2:$N$200,2,FALSE()),"?"))</f>
        <v>Map</v>
      </c>
      <c r="R512" s="2" t="str">
        <f t="shared" si="7"/>
        <v>Map</v>
      </c>
      <c r="S512" s="2" t="str">
        <f>IF($C512="","",IFERROR(VLOOKUP($C512,sources!$A$2:$N$200,9,FALSE()),"?"))</f>
        <v>US official</v>
      </c>
      <c r="T512" t="s">
        <v>5692</v>
      </c>
      <c r="U512">
        <f>IF(OR(B512="",C512="",T512="Retracted",LEFT(D512,8)="Negative"),0,IF(COUNTIFS($B$2:B512,B512,$C$2:C512,C512,$D$2:D512,"&lt;&gt;Negative*",$T$2:T512,"&lt;&gt;Retracted")=1,1,0))</f>
        <v>0</v>
      </c>
    </row>
    <row r="513" spans="1:21" x14ac:dyDescent="0.2">
      <c r="A513" t="s">
        <v>2223</v>
      </c>
      <c r="B513" t="s">
        <v>205</v>
      </c>
      <c r="C513" t="s">
        <v>1179</v>
      </c>
      <c r="D513" t="s">
        <v>1572</v>
      </c>
      <c r="E513" t="s">
        <v>206</v>
      </c>
      <c r="G513">
        <v>9.2122100000000007</v>
      </c>
      <c r="H513">
        <v>-79.896029999999996</v>
      </c>
      <c r="I513" t="s">
        <v>1573</v>
      </c>
      <c r="J513">
        <v>390</v>
      </c>
      <c r="K513">
        <v>1909</v>
      </c>
      <c r="L513">
        <v>1909</v>
      </c>
      <c r="M513" t="s">
        <v>203</v>
      </c>
      <c r="N513" t="s">
        <v>209</v>
      </c>
      <c r="Q513" s="2" t="str">
        <f>IF($C513="","",IFERROR(VLOOKUP($C513,sources!$A$2:$N$200,2,FALSE()),"?"))</f>
        <v>Map</v>
      </c>
      <c r="R513" s="2" t="str">
        <f t="shared" si="7"/>
        <v>Map</v>
      </c>
      <c r="S513" s="2" t="str">
        <f>IF($C513="","",IFERROR(VLOOKUP($C513,sources!$A$2:$N$200,9,FALSE()),"?"))</f>
        <v>US official</v>
      </c>
      <c r="T513" t="s">
        <v>5692</v>
      </c>
      <c r="U513">
        <f>IF(OR(B513="",C513="",T513="Retracted",LEFT(D513,8)="Negative"),0,IF(COUNTIFS($B$2:B513,B513,$C$2:C513,C513,$D$2:D513,"&lt;&gt;Negative*",$T$2:T513,"&lt;&gt;Retracted")=1,1,0))</f>
        <v>1</v>
      </c>
    </row>
    <row r="514" spans="1:21" x14ac:dyDescent="0.2">
      <c r="A514" t="s">
        <v>2224</v>
      </c>
      <c r="B514" t="s">
        <v>215</v>
      </c>
      <c r="C514" t="s">
        <v>1179</v>
      </c>
      <c r="D514" t="s">
        <v>1572</v>
      </c>
      <c r="E514" t="s">
        <v>216</v>
      </c>
      <c r="G514">
        <v>9.1060400000000001</v>
      </c>
      <c r="H514">
        <v>-79.780090000000001</v>
      </c>
      <c r="I514" t="s">
        <v>1573</v>
      </c>
      <c r="J514">
        <v>600</v>
      </c>
      <c r="K514">
        <v>1909</v>
      </c>
      <c r="L514">
        <v>1909</v>
      </c>
      <c r="M514" t="s">
        <v>203</v>
      </c>
      <c r="N514" t="s">
        <v>190</v>
      </c>
      <c r="Q514" s="2" t="str">
        <f>IF($C514="","",IFERROR(VLOOKUP($C514,sources!$A$2:$N$200,2,FALSE()),"?"))</f>
        <v>Map</v>
      </c>
      <c r="R514" s="2" t="str">
        <f t="shared" ref="R514:R577" si="8">IF($Q514="","",IF($Q514="Map","Map",IF(OR($Q514="Photograph",$Q514="Postcard"),"Image",IF(OR($Q514="Census or roll",$Q514="Report",$Q514="Newspaper",$Q514="Letter",$Q514="Memoir",$Q514="Administrative",$Q514="Web compilation"),"Textual",IF($Q514="Legal claim","Legal/admin",IF($Q514="Secondary","Secondary","Other"))))))</f>
        <v>Map</v>
      </c>
      <c r="S514" s="2" t="str">
        <f>IF($C514="","",IFERROR(VLOOKUP($C514,sources!$A$2:$N$200,9,FALSE()),"?"))</f>
        <v>US official</v>
      </c>
      <c r="T514" t="s">
        <v>5692</v>
      </c>
      <c r="U514">
        <f>IF(OR(B514="",C514="",T514="Retracted",LEFT(D514,8)="Negative"),0,IF(COUNTIFS($B$2:B514,B514,$C$2:C514,C514,$D$2:D514,"&lt;&gt;Negative*",$T$2:T514,"&lt;&gt;Retracted")=1,1,0))</f>
        <v>0</v>
      </c>
    </row>
    <row r="515" spans="1:21" x14ac:dyDescent="0.2">
      <c r="A515" t="s">
        <v>2225</v>
      </c>
      <c r="B515" t="s">
        <v>219</v>
      </c>
      <c r="C515" t="s">
        <v>1179</v>
      </c>
      <c r="D515" t="s">
        <v>1572</v>
      </c>
      <c r="E515" t="s">
        <v>2226</v>
      </c>
      <c r="G515">
        <v>9.2754899999999996</v>
      </c>
      <c r="H515">
        <v>-79.907600000000002</v>
      </c>
      <c r="I515" t="s">
        <v>1573</v>
      </c>
      <c r="J515">
        <v>300</v>
      </c>
      <c r="K515">
        <v>1909</v>
      </c>
      <c r="L515">
        <v>1909</v>
      </c>
      <c r="M515" t="s">
        <v>203</v>
      </c>
      <c r="N515" t="s">
        <v>203</v>
      </c>
      <c r="Q515" s="2" t="str">
        <f>IF($C515="","",IFERROR(VLOOKUP($C515,sources!$A$2:$N$200,2,FALSE()),"?"))</f>
        <v>Map</v>
      </c>
      <c r="R515" s="2" t="str">
        <f t="shared" si="8"/>
        <v>Map</v>
      </c>
      <c r="S515" s="2" t="str">
        <f>IF($C515="","",IFERROR(VLOOKUP($C515,sources!$A$2:$N$200,9,FALSE()),"?"))</f>
        <v>US official</v>
      </c>
      <c r="T515" t="s">
        <v>5692</v>
      </c>
      <c r="U515">
        <f>IF(OR(B515="",C515="",T515="Retracted",LEFT(D515,8)="Negative"),0,IF(COUNTIFS($B$2:B515,B515,$C$2:C515,C515,$D$2:D515,"&lt;&gt;Negative*",$T$2:T515,"&lt;&gt;Retracted")=1,1,0))</f>
        <v>0</v>
      </c>
    </row>
    <row r="516" spans="1:21" x14ac:dyDescent="0.2">
      <c r="A516" t="s">
        <v>2227</v>
      </c>
      <c r="B516" t="s">
        <v>233</v>
      </c>
      <c r="C516" t="s">
        <v>1179</v>
      </c>
      <c r="D516" t="s">
        <v>1572</v>
      </c>
      <c r="E516" t="s">
        <v>234</v>
      </c>
      <c r="G516">
        <v>9.0558499999999995</v>
      </c>
      <c r="H516">
        <v>-79.674909999999997</v>
      </c>
      <c r="I516" t="s">
        <v>1573</v>
      </c>
      <c r="J516">
        <v>300</v>
      </c>
      <c r="K516">
        <v>1909</v>
      </c>
      <c r="L516">
        <v>1909</v>
      </c>
      <c r="M516" t="s">
        <v>203</v>
      </c>
      <c r="N516" t="s">
        <v>203</v>
      </c>
      <c r="Q516" s="2" t="str">
        <f>IF($C516="","",IFERROR(VLOOKUP($C516,sources!$A$2:$N$200,2,FALSE()),"?"))</f>
        <v>Map</v>
      </c>
      <c r="R516" s="2" t="str">
        <f t="shared" si="8"/>
        <v>Map</v>
      </c>
      <c r="S516" s="2" t="str">
        <f>IF($C516="","",IFERROR(VLOOKUP($C516,sources!$A$2:$N$200,9,FALSE()),"?"))</f>
        <v>US official</v>
      </c>
      <c r="T516" t="s">
        <v>5692</v>
      </c>
      <c r="U516">
        <f>IF(OR(B516="",C516="",T516="Retracted",LEFT(D516,8)="Negative"),0,IF(COUNTIFS($B$2:B516,B516,$C$2:C516,C516,$D$2:D516,"&lt;&gt;Negative*",$T$2:T516,"&lt;&gt;Retracted")=1,1,0))</f>
        <v>1</v>
      </c>
    </row>
    <row r="517" spans="1:21" x14ac:dyDescent="0.2">
      <c r="A517" t="s">
        <v>2228</v>
      </c>
      <c r="B517" t="s">
        <v>242</v>
      </c>
      <c r="C517" t="s">
        <v>1179</v>
      </c>
      <c r="D517" t="s">
        <v>1572</v>
      </c>
      <c r="E517" t="s">
        <v>243</v>
      </c>
      <c r="G517">
        <v>9.1051199999999994</v>
      </c>
      <c r="H517">
        <v>-79.725570000000005</v>
      </c>
      <c r="I517" t="s">
        <v>1573</v>
      </c>
      <c r="J517">
        <v>300</v>
      </c>
      <c r="K517">
        <v>1909</v>
      </c>
      <c r="L517">
        <v>1909</v>
      </c>
      <c r="M517" t="s">
        <v>203</v>
      </c>
      <c r="N517" t="s">
        <v>203</v>
      </c>
      <c r="Q517" s="2" t="str">
        <f>IF($C517="","",IFERROR(VLOOKUP($C517,sources!$A$2:$N$200,2,FALSE()),"?"))</f>
        <v>Map</v>
      </c>
      <c r="R517" s="2" t="str">
        <f t="shared" si="8"/>
        <v>Map</v>
      </c>
      <c r="S517" s="2" t="str">
        <f>IF($C517="","",IFERROR(VLOOKUP($C517,sources!$A$2:$N$200,9,FALSE()),"?"))</f>
        <v>US official</v>
      </c>
      <c r="T517" t="s">
        <v>5692</v>
      </c>
      <c r="U517">
        <f>IF(OR(B517="",C517="",T517="Retracted",LEFT(D517,8)="Negative"),0,IF(COUNTIFS($B$2:B517,B517,$C$2:C517,C517,$D$2:D517,"&lt;&gt;Negative*",$T$2:T517,"&lt;&gt;Retracted")=1,1,0))</f>
        <v>0</v>
      </c>
    </row>
    <row r="518" spans="1:21" x14ac:dyDescent="0.2">
      <c r="A518" t="s">
        <v>2229</v>
      </c>
      <c r="B518" t="s">
        <v>247</v>
      </c>
      <c r="C518" t="s">
        <v>1179</v>
      </c>
      <c r="D518" t="s">
        <v>1572</v>
      </c>
      <c r="E518" t="s">
        <v>248</v>
      </c>
      <c r="G518">
        <v>9.0395800000000008</v>
      </c>
      <c r="H518">
        <v>-79.664150000000006</v>
      </c>
      <c r="I518" t="s">
        <v>1573</v>
      </c>
      <c r="J518">
        <v>300</v>
      </c>
      <c r="K518">
        <v>1909</v>
      </c>
      <c r="L518">
        <v>1909</v>
      </c>
      <c r="M518" t="s">
        <v>203</v>
      </c>
      <c r="N518" t="s">
        <v>203</v>
      </c>
      <c r="Q518" s="2" t="str">
        <f>IF($C518="","",IFERROR(VLOOKUP($C518,sources!$A$2:$N$200,2,FALSE()),"?"))</f>
        <v>Map</v>
      </c>
      <c r="R518" s="2" t="str">
        <f t="shared" si="8"/>
        <v>Map</v>
      </c>
      <c r="S518" s="2" t="str">
        <f>IF($C518="","",IFERROR(VLOOKUP($C518,sources!$A$2:$N$200,9,FALSE()),"?"))</f>
        <v>US official</v>
      </c>
      <c r="T518" t="s">
        <v>5692</v>
      </c>
      <c r="U518">
        <f>IF(OR(B518="",C518="",T518="Retracted",LEFT(D518,8)="Negative"),0,IF(COUNTIFS($B$2:B518,B518,$C$2:C518,C518,$D$2:D518,"&lt;&gt;Negative*",$T$2:T518,"&lt;&gt;Retracted")=1,1,0))</f>
        <v>0</v>
      </c>
    </row>
    <row r="519" spans="1:21" x14ac:dyDescent="0.2">
      <c r="A519" t="s">
        <v>2230</v>
      </c>
      <c r="B519" t="s">
        <v>253</v>
      </c>
      <c r="C519" t="s">
        <v>1179</v>
      </c>
      <c r="D519" t="s">
        <v>1572</v>
      </c>
      <c r="E519" t="s">
        <v>254</v>
      </c>
      <c r="G519">
        <v>9.1025600000000004</v>
      </c>
      <c r="H519">
        <v>-79.691779999999994</v>
      </c>
      <c r="I519" t="s">
        <v>1573</v>
      </c>
      <c r="J519">
        <v>390</v>
      </c>
      <c r="K519">
        <v>1909</v>
      </c>
      <c r="L519">
        <v>1909</v>
      </c>
      <c r="M519" t="s">
        <v>203</v>
      </c>
      <c r="N519" t="s">
        <v>209</v>
      </c>
      <c r="Q519" s="2" t="str">
        <f>IF($C519="","",IFERROR(VLOOKUP($C519,sources!$A$2:$N$200,2,FALSE()),"?"))</f>
        <v>Map</v>
      </c>
      <c r="R519" s="2" t="str">
        <f t="shared" si="8"/>
        <v>Map</v>
      </c>
      <c r="S519" s="2" t="str">
        <f>IF($C519="","",IFERROR(VLOOKUP($C519,sources!$A$2:$N$200,9,FALSE()),"?"))</f>
        <v>US official</v>
      </c>
      <c r="T519" t="s">
        <v>5692</v>
      </c>
      <c r="U519">
        <f>IF(OR(B519="",C519="",T519="Retracted",LEFT(D519,8)="Negative"),0,IF(COUNTIFS($B$2:B519,B519,$C$2:C519,C519,$D$2:D519,"&lt;&gt;Negative*",$T$2:T519,"&lt;&gt;Retracted")=1,1,0))</f>
        <v>1</v>
      </c>
    </row>
    <row r="520" spans="1:21" x14ac:dyDescent="0.2">
      <c r="A520" t="s">
        <v>2231</v>
      </c>
      <c r="B520" t="s">
        <v>261</v>
      </c>
      <c r="C520" t="s">
        <v>1179</v>
      </c>
      <c r="D520" t="s">
        <v>1572</v>
      </c>
      <c r="E520" t="s">
        <v>262</v>
      </c>
      <c r="G520">
        <v>9.0856100000000009</v>
      </c>
      <c r="H520">
        <v>-79.682450000000003</v>
      </c>
      <c r="I520" t="s">
        <v>1573</v>
      </c>
      <c r="J520">
        <v>390</v>
      </c>
      <c r="K520">
        <v>1909</v>
      </c>
      <c r="L520">
        <v>1909</v>
      </c>
      <c r="M520" t="s">
        <v>203</v>
      </c>
      <c r="N520" t="s">
        <v>209</v>
      </c>
      <c r="Q520" s="2" t="str">
        <f>IF($C520="","",IFERROR(VLOOKUP($C520,sources!$A$2:$N$200,2,FALSE()),"?"))</f>
        <v>Map</v>
      </c>
      <c r="R520" s="2" t="str">
        <f t="shared" si="8"/>
        <v>Map</v>
      </c>
      <c r="S520" s="2" t="str">
        <f>IF($C520="","",IFERROR(VLOOKUP($C520,sources!$A$2:$N$200,9,FALSE()),"?"))</f>
        <v>US official</v>
      </c>
      <c r="T520" t="s">
        <v>5692</v>
      </c>
      <c r="U520">
        <f>IF(OR(B520="",C520="",T520="Retracted",LEFT(D520,8)="Negative"),0,IF(COUNTIFS($B$2:B520,B520,$C$2:C520,C520,$D$2:D520,"&lt;&gt;Negative*",$T$2:T520,"&lt;&gt;Retracted")=1,1,0))</f>
        <v>1</v>
      </c>
    </row>
    <row r="521" spans="1:21" x14ac:dyDescent="0.2">
      <c r="A521" t="s">
        <v>2232</v>
      </c>
      <c r="B521" t="s">
        <v>265</v>
      </c>
      <c r="C521" t="s">
        <v>1179</v>
      </c>
      <c r="D521" t="s">
        <v>1572</v>
      </c>
      <c r="E521" t="s">
        <v>266</v>
      </c>
      <c r="G521">
        <v>9.1939799999999998</v>
      </c>
      <c r="H521">
        <v>-79.857010000000002</v>
      </c>
      <c r="I521" t="s">
        <v>1573</v>
      </c>
      <c r="J521">
        <v>300</v>
      </c>
      <c r="K521">
        <v>1909</v>
      </c>
      <c r="L521">
        <v>1909</v>
      </c>
      <c r="M521" t="s">
        <v>203</v>
      </c>
      <c r="N521" t="s">
        <v>203</v>
      </c>
      <c r="Q521" s="2" t="str">
        <f>IF($C521="","",IFERROR(VLOOKUP($C521,sources!$A$2:$N$200,2,FALSE()),"?"))</f>
        <v>Map</v>
      </c>
      <c r="R521" s="2" t="str">
        <f t="shared" si="8"/>
        <v>Map</v>
      </c>
      <c r="S521" s="2" t="str">
        <f>IF($C521="","",IFERROR(VLOOKUP($C521,sources!$A$2:$N$200,9,FALSE()),"?"))</f>
        <v>US official</v>
      </c>
      <c r="T521" t="s">
        <v>5692</v>
      </c>
      <c r="U521">
        <f>IF(OR(B521="",C521="",T521="Retracted",LEFT(D521,8)="Negative"),0,IF(COUNTIFS($B$2:B521,B521,$C$2:C521,C521,$D$2:D521,"&lt;&gt;Negative*",$T$2:T521,"&lt;&gt;Retracted")=1,1,0))</f>
        <v>1</v>
      </c>
    </row>
    <row r="522" spans="1:21" x14ac:dyDescent="0.2">
      <c r="A522" t="s">
        <v>2233</v>
      </c>
      <c r="B522" t="s">
        <v>335</v>
      </c>
      <c r="C522" t="s">
        <v>1179</v>
      </c>
      <c r="D522" t="s">
        <v>1572</v>
      </c>
      <c r="E522" t="s">
        <v>336</v>
      </c>
      <c r="G522">
        <v>8.9594100000000001</v>
      </c>
      <c r="H522">
        <v>-79.561989999999994</v>
      </c>
      <c r="I522" t="s">
        <v>1573</v>
      </c>
      <c r="J522">
        <v>300</v>
      </c>
      <c r="K522">
        <v>1909</v>
      </c>
      <c r="L522">
        <v>1909</v>
      </c>
      <c r="M522" t="s">
        <v>203</v>
      </c>
      <c r="N522" t="s">
        <v>203</v>
      </c>
      <c r="Q522" s="2" t="str">
        <f>IF($C522="","",IFERROR(VLOOKUP($C522,sources!$A$2:$N$200,2,FALSE()),"?"))</f>
        <v>Map</v>
      </c>
      <c r="R522" s="2" t="str">
        <f t="shared" si="8"/>
        <v>Map</v>
      </c>
      <c r="S522" s="2" t="str">
        <f>IF($C522="","",IFERROR(VLOOKUP($C522,sources!$A$2:$N$200,9,FALSE()),"?"))</f>
        <v>US official</v>
      </c>
      <c r="T522" t="s">
        <v>5692</v>
      </c>
      <c r="U522">
        <f>IF(OR(B522="",C522="",T522="Retracted",LEFT(D522,8)="Negative"),0,IF(COUNTIFS($B$2:B522,B522,$C$2:C522,C522,$D$2:D522,"&lt;&gt;Negative*",$T$2:T522,"&lt;&gt;Retracted")=1,1,0))</f>
        <v>1</v>
      </c>
    </row>
    <row r="523" spans="1:21" x14ac:dyDescent="0.2">
      <c r="A523" t="s">
        <v>2234</v>
      </c>
      <c r="B523" t="s">
        <v>340</v>
      </c>
      <c r="C523" t="s">
        <v>1179</v>
      </c>
      <c r="D523" t="s">
        <v>1572</v>
      </c>
      <c r="E523" t="s">
        <v>2235</v>
      </c>
      <c r="G523">
        <v>9.0322300000000002</v>
      </c>
      <c r="H523">
        <v>-79.662390000000002</v>
      </c>
      <c r="I523" t="s">
        <v>1573</v>
      </c>
      <c r="J523">
        <v>390</v>
      </c>
      <c r="K523">
        <v>1909</v>
      </c>
      <c r="L523">
        <v>1909</v>
      </c>
      <c r="M523" t="s">
        <v>203</v>
      </c>
      <c r="N523" t="s">
        <v>209</v>
      </c>
      <c r="Q523" s="2" t="str">
        <f>IF($C523="","",IFERROR(VLOOKUP($C523,sources!$A$2:$N$200,2,FALSE()),"?"))</f>
        <v>Map</v>
      </c>
      <c r="R523" s="2" t="str">
        <f t="shared" si="8"/>
        <v>Map</v>
      </c>
      <c r="S523" s="2" t="str">
        <f>IF($C523="","",IFERROR(VLOOKUP($C523,sources!$A$2:$N$200,9,FALSE()),"?"))</f>
        <v>US official</v>
      </c>
      <c r="T523" t="s">
        <v>5692</v>
      </c>
      <c r="U523">
        <f>IF(OR(B523="",C523="",T523="Retracted",LEFT(D523,8)="Negative"),0,IF(COUNTIFS($B$2:B523,B523,$C$2:C523,C523,$D$2:D523,"&lt;&gt;Negative*",$T$2:T523,"&lt;&gt;Retracted")=1,1,0))</f>
        <v>1</v>
      </c>
    </row>
    <row r="524" spans="1:21" x14ac:dyDescent="0.2">
      <c r="A524" t="s">
        <v>2236</v>
      </c>
      <c r="B524" t="s">
        <v>344</v>
      </c>
      <c r="C524" t="s">
        <v>1179</v>
      </c>
      <c r="D524" t="s">
        <v>1572</v>
      </c>
      <c r="E524" t="s">
        <v>2237</v>
      </c>
      <c r="G524">
        <v>9.0237800000000004</v>
      </c>
      <c r="H524">
        <v>-79.601070000000007</v>
      </c>
      <c r="I524" t="s">
        <v>1573</v>
      </c>
      <c r="J524">
        <v>300</v>
      </c>
      <c r="K524">
        <v>1909</v>
      </c>
      <c r="L524">
        <v>1909</v>
      </c>
      <c r="M524" t="s">
        <v>203</v>
      </c>
      <c r="N524" t="s">
        <v>203</v>
      </c>
      <c r="Q524" s="2" t="str">
        <f>IF($C524="","",IFERROR(VLOOKUP($C524,sources!$A$2:$N$200,2,FALSE()),"?"))</f>
        <v>Map</v>
      </c>
      <c r="R524" s="2" t="str">
        <f t="shared" si="8"/>
        <v>Map</v>
      </c>
      <c r="S524" s="2" t="str">
        <f>IF($C524="","",IFERROR(VLOOKUP($C524,sources!$A$2:$N$200,9,FALSE()),"?"))</f>
        <v>US official</v>
      </c>
      <c r="T524" t="s">
        <v>5692</v>
      </c>
      <c r="U524">
        <f>IF(OR(B524="",C524="",T524="Retracted",LEFT(D524,8)="Negative"),0,IF(COUNTIFS($B$2:B524,B524,$C$2:C524,C524,$D$2:D524,"&lt;&gt;Negative*",$T$2:T524,"&lt;&gt;Retracted")=1,1,0))</f>
        <v>1</v>
      </c>
    </row>
    <row r="525" spans="1:21" x14ac:dyDescent="0.2">
      <c r="A525" t="s">
        <v>2238</v>
      </c>
      <c r="B525" t="s">
        <v>351</v>
      </c>
      <c r="C525" t="s">
        <v>1179</v>
      </c>
      <c r="D525" t="s">
        <v>1572</v>
      </c>
      <c r="E525" t="s">
        <v>352</v>
      </c>
      <c r="G525">
        <v>8.9805100000000007</v>
      </c>
      <c r="H525">
        <v>-79.571579999999997</v>
      </c>
      <c r="I525" t="s">
        <v>1573</v>
      </c>
      <c r="J525">
        <v>390</v>
      </c>
      <c r="K525">
        <v>1909</v>
      </c>
      <c r="L525">
        <v>1909</v>
      </c>
      <c r="M525" t="s">
        <v>203</v>
      </c>
      <c r="N525" t="s">
        <v>209</v>
      </c>
      <c r="Q525" s="2" t="str">
        <f>IF($C525="","",IFERROR(VLOOKUP($C525,sources!$A$2:$N$200,2,FALSE()),"?"))</f>
        <v>Map</v>
      </c>
      <c r="R525" s="2" t="str">
        <f t="shared" si="8"/>
        <v>Map</v>
      </c>
      <c r="S525" s="2" t="str">
        <f>IF($C525="","",IFERROR(VLOOKUP($C525,sources!$A$2:$N$200,9,FALSE()),"?"))</f>
        <v>US official</v>
      </c>
      <c r="T525" t="s">
        <v>5692</v>
      </c>
      <c r="U525">
        <f>IF(OR(B525="",C525="",T525="Retracted",LEFT(D525,8)="Negative"),0,IF(COUNTIFS($B$2:B525,B525,$C$2:C525,C525,$D$2:D525,"&lt;&gt;Negative*",$T$2:T525,"&lt;&gt;Retracted")=1,1,0))</f>
        <v>1</v>
      </c>
    </row>
    <row r="526" spans="1:21" x14ac:dyDescent="0.2">
      <c r="A526" t="s">
        <v>2239</v>
      </c>
      <c r="B526" t="s">
        <v>354</v>
      </c>
      <c r="C526" t="s">
        <v>1179</v>
      </c>
      <c r="D526" t="s">
        <v>1572</v>
      </c>
      <c r="E526" t="s">
        <v>355</v>
      </c>
      <c r="G526">
        <v>9.1638800000000007</v>
      </c>
      <c r="H526">
        <v>-79.807980000000001</v>
      </c>
      <c r="I526" t="s">
        <v>1573</v>
      </c>
      <c r="J526">
        <v>390</v>
      </c>
      <c r="K526">
        <v>1909</v>
      </c>
      <c r="L526">
        <v>1909</v>
      </c>
      <c r="M526" t="s">
        <v>203</v>
      </c>
      <c r="N526" t="s">
        <v>209</v>
      </c>
      <c r="Q526" s="2" t="str">
        <f>IF($C526="","",IFERROR(VLOOKUP($C526,sources!$A$2:$N$200,2,FALSE()),"?"))</f>
        <v>Map</v>
      </c>
      <c r="R526" s="2" t="str">
        <f t="shared" si="8"/>
        <v>Map</v>
      </c>
      <c r="S526" s="2" t="str">
        <f>IF($C526="","",IFERROR(VLOOKUP($C526,sources!$A$2:$N$200,9,FALSE()),"?"))</f>
        <v>US official</v>
      </c>
      <c r="T526" t="s">
        <v>5692</v>
      </c>
      <c r="U526">
        <f>IF(OR(B526="",C526="",T526="Retracted",LEFT(D526,8)="Negative"),0,IF(COUNTIFS($B$2:B526,B526,$C$2:C526,C526,$D$2:D526,"&lt;&gt;Negative*",$T$2:T526,"&lt;&gt;Retracted")=1,1,0))</f>
        <v>1</v>
      </c>
    </row>
    <row r="527" spans="1:21" x14ac:dyDescent="0.2">
      <c r="A527" t="s">
        <v>2240</v>
      </c>
      <c r="B527" t="s">
        <v>357</v>
      </c>
      <c r="C527" t="s">
        <v>1179</v>
      </c>
      <c r="D527" t="s">
        <v>1572</v>
      </c>
      <c r="E527" t="s">
        <v>358</v>
      </c>
      <c r="G527">
        <v>9.0269700000000004</v>
      </c>
      <c r="H527">
        <v>-79.624989999999997</v>
      </c>
      <c r="I527" t="s">
        <v>1573</v>
      </c>
      <c r="J527">
        <v>390</v>
      </c>
      <c r="K527">
        <v>1909</v>
      </c>
      <c r="L527">
        <v>1909</v>
      </c>
      <c r="M527" t="s">
        <v>203</v>
      </c>
      <c r="N527" t="s">
        <v>209</v>
      </c>
      <c r="Q527" s="2" t="str">
        <f>IF($C527="","",IFERROR(VLOOKUP($C527,sources!$A$2:$N$200,2,FALSE()),"?"))</f>
        <v>Map</v>
      </c>
      <c r="R527" s="2" t="str">
        <f t="shared" si="8"/>
        <v>Map</v>
      </c>
      <c r="S527" s="2" t="str">
        <f>IF($C527="","",IFERROR(VLOOKUP($C527,sources!$A$2:$N$200,9,FALSE()),"?"))</f>
        <v>US official</v>
      </c>
      <c r="T527" t="s">
        <v>5692</v>
      </c>
      <c r="U527">
        <f>IF(OR(B527="",C527="",T527="Retracted",LEFT(D527,8)="Negative"),0,IF(COUNTIFS($B$2:B527,B527,$C$2:C527,C527,$D$2:D527,"&lt;&gt;Negative*",$T$2:T527,"&lt;&gt;Retracted")=1,1,0))</f>
        <v>1</v>
      </c>
    </row>
    <row r="528" spans="1:21" x14ac:dyDescent="0.2">
      <c r="A528" t="s">
        <v>2241</v>
      </c>
      <c r="B528" t="s">
        <v>360</v>
      </c>
      <c r="C528" t="s">
        <v>1179</v>
      </c>
      <c r="D528" t="s">
        <v>1572</v>
      </c>
      <c r="E528" t="s">
        <v>361</v>
      </c>
      <c r="G528">
        <v>9.1159800000000004</v>
      </c>
      <c r="H528">
        <v>-79.773049999999998</v>
      </c>
      <c r="I528" t="s">
        <v>1573</v>
      </c>
      <c r="J528">
        <v>300</v>
      </c>
      <c r="K528">
        <v>1909</v>
      </c>
      <c r="L528">
        <v>1909</v>
      </c>
      <c r="M528" t="s">
        <v>203</v>
      </c>
      <c r="N528" t="s">
        <v>203</v>
      </c>
      <c r="Q528" s="2" t="str">
        <f>IF($C528="","",IFERROR(VLOOKUP($C528,sources!$A$2:$N$200,2,FALSE()),"?"))</f>
        <v>Map</v>
      </c>
      <c r="R528" s="2" t="str">
        <f t="shared" si="8"/>
        <v>Map</v>
      </c>
      <c r="S528" s="2" t="str">
        <f>IF($C528="","",IFERROR(VLOOKUP($C528,sources!$A$2:$N$200,9,FALSE()),"?"))</f>
        <v>US official</v>
      </c>
      <c r="T528" t="s">
        <v>5692</v>
      </c>
      <c r="U528">
        <f>IF(OR(B528="",C528="",T528="Retracted",LEFT(D528,8)="Negative"),0,IF(COUNTIFS($B$2:B528,B528,$C$2:C528,C528,$D$2:D528,"&lt;&gt;Negative*",$T$2:T528,"&lt;&gt;Retracted")=1,1,0))</f>
        <v>1</v>
      </c>
    </row>
    <row r="529" spans="1:21" x14ac:dyDescent="0.2">
      <c r="A529" t="s">
        <v>2242</v>
      </c>
      <c r="B529" t="s">
        <v>363</v>
      </c>
      <c r="C529" t="s">
        <v>1179</v>
      </c>
      <c r="D529" t="s">
        <v>1572</v>
      </c>
      <c r="E529" t="s">
        <v>364</v>
      </c>
      <c r="G529">
        <v>9.12303</v>
      </c>
      <c r="H529">
        <v>-79.792420000000007</v>
      </c>
      <c r="I529" t="s">
        <v>1573</v>
      </c>
      <c r="J529">
        <v>300</v>
      </c>
      <c r="K529">
        <v>1909</v>
      </c>
      <c r="L529">
        <v>1909</v>
      </c>
      <c r="M529" t="s">
        <v>203</v>
      </c>
      <c r="N529" t="s">
        <v>203</v>
      </c>
      <c r="Q529" s="2" t="str">
        <f>IF($C529="","",IFERROR(VLOOKUP($C529,sources!$A$2:$N$200,2,FALSE()),"?"))</f>
        <v>Map</v>
      </c>
      <c r="R529" s="2" t="str">
        <f t="shared" si="8"/>
        <v>Map</v>
      </c>
      <c r="S529" s="2" t="str">
        <f>IF($C529="","",IFERROR(VLOOKUP($C529,sources!$A$2:$N$200,9,FALSE()),"?"))</f>
        <v>US official</v>
      </c>
      <c r="T529" t="s">
        <v>5692</v>
      </c>
      <c r="U529">
        <f>IF(OR(B529="",C529="",T529="Retracted",LEFT(D529,8)="Negative"),0,IF(COUNTIFS($B$2:B529,B529,$C$2:C529,C529,$D$2:D529,"&lt;&gt;Negative*",$T$2:T529,"&lt;&gt;Retracted")=1,1,0))</f>
        <v>1</v>
      </c>
    </row>
    <row r="530" spans="1:21" x14ac:dyDescent="0.2">
      <c r="A530" t="s">
        <v>2243</v>
      </c>
      <c r="B530" t="s">
        <v>369</v>
      </c>
      <c r="C530" t="s">
        <v>1179</v>
      </c>
      <c r="D530" t="s">
        <v>1572</v>
      </c>
      <c r="E530" t="s">
        <v>370</v>
      </c>
      <c r="G530">
        <v>9.1177700000000002</v>
      </c>
      <c r="H530">
        <v>-79.671980000000005</v>
      </c>
      <c r="I530" t="s">
        <v>1573</v>
      </c>
      <c r="J530">
        <v>300</v>
      </c>
      <c r="K530">
        <v>1909</v>
      </c>
      <c r="L530">
        <v>1909</v>
      </c>
      <c r="M530" t="s">
        <v>203</v>
      </c>
      <c r="N530" t="s">
        <v>203</v>
      </c>
      <c r="Q530" s="2" t="str">
        <f>IF($C530="","",IFERROR(VLOOKUP($C530,sources!$A$2:$N$200,2,FALSE()),"?"))</f>
        <v>Map</v>
      </c>
      <c r="R530" s="2" t="str">
        <f t="shared" si="8"/>
        <v>Map</v>
      </c>
      <c r="S530" s="2" t="str">
        <f>IF($C530="","",IFERROR(VLOOKUP($C530,sources!$A$2:$N$200,9,FALSE()),"?"))</f>
        <v>US official</v>
      </c>
      <c r="T530" t="s">
        <v>5692</v>
      </c>
      <c r="U530">
        <f>IF(OR(B530="",C530="",T530="Retracted",LEFT(D530,8)="Negative"),0,IF(COUNTIFS($B$2:B530,B530,$C$2:C530,C530,$D$2:D530,"&lt;&gt;Negative*",$T$2:T530,"&lt;&gt;Retracted")=1,1,0))</f>
        <v>1</v>
      </c>
    </row>
    <row r="531" spans="1:21" x14ac:dyDescent="0.2">
      <c r="A531" t="s">
        <v>2244</v>
      </c>
      <c r="B531" t="s">
        <v>374</v>
      </c>
      <c r="C531" t="s">
        <v>1179</v>
      </c>
      <c r="D531" t="s">
        <v>1572</v>
      </c>
      <c r="E531" t="s">
        <v>2245</v>
      </c>
      <c r="G531">
        <v>9.0014699999999994</v>
      </c>
      <c r="H531">
        <v>-79.581879999999998</v>
      </c>
      <c r="I531" t="s">
        <v>1573</v>
      </c>
      <c r="J531">
        <v>300</v>
      </c>
      <c r="K531">
        <v>1909</v>
      </c>
      <c r="L531">
        <v>1909</v>
      </c>
      <c r="M531" t="s">
        <v>203</v>
      </c>
      <c r="N531" t="s">
        <v>203</v>
      </c>
      <c r="Q531" s="2" t="str">
        <f>IF($C531="","",IFERROR(VLOOKUP($C531,sources!$A$2:$N$200,2,FALSE()),"?"))</f>
        <v>Map</v>
      </c>
      <c r="R531" s="2" t="str">
        <f t="shared" si="8"/>
        <v>Map</v>
      </c>
      <c r="S531" s="2" t="str">
        <f>IF($C531="","",IFERROR(VLOOKUP($C531,sources!$A$2:$N$200,9,FALSE()),"?"))</f>
        <v>US official</v>
      </c>
      <c r="T531" t="s">
        <v>5692</v>
      </c>
      <c r="U531">
        <f>IF(OR(B531="",C531="",T531="Retracted",LEFT(D531,8)="Negative"),0,IF(COUNTIFS($B$2:B531,B531,$C$2:C531,C531,$D$2:D531,"&lt;&gt;Negative*",$T$2:T531,"&lt;&gt;Retracted")=1,1,0))</f>
        <v>1</v>
      </c>
    </row>
    <row r="532" spans="1:21" x14ac:dyDescent="0.2">
      <c r="A532" t="s">
        <v>2246</v>
      </c>
      <c r="B532" t="s">
        <v>378</v>
      </c>
      <c r="C532" t="s">
        <v>1179</v>
      </c>
      <c r="D532" t="s">
        <v>1572</v>
      </c>
      <c r="E532" t="s">
        <v>379</v>
      </c>
      <c r="G532">
        <v>9.0312699999999992</v>
      </c>
      <c r="H532">
        <v>-79.633669999999995</v>
      </c>
      <c r="I532" t="s">
        <v>1573</v>
      </c>
      <c r="J532">
        <v>390</v>
      </c>
      <c r="K532">
        <v>1909</v>
      </c>
      <c r="L532">
        <v>1909</v>
      </c>
      <c r="M532" t="s">
        <v>203</v>
      </c>
      <c r="N532" t="s">
        <v>209</v>
      </c>
      <c r="Q532" s="2" t="str">
        <f>IF($C532="","",IFERROR(VLOOKUP($C532,sources!$A$2:$N$200,2,FALSE()),"?"))</f>
        <v>Map</v>
      </c>
      <c r="R532" s="2" t="str">
        <f t="shared" si="8"/>
        <v>Map</v>
      </c>
      <c r="S532" s="2" t="str">
        <f>IF($C532="","",IFERROR(VLOOKUP($C532,sources!$A$2:$N$200,9,FALSE()),"?"))</f>
        <v>US official</v>
      </c>
      <c r="T532" t="s">
        <v>5692</v>
      </c>
      <c r="U532">
        <f>IF(OR(B532="",C532="",T532="Retracted",LEFT(D532,8)="Negative"),0,IF(COUNTIFS($B$2:B532,B532,$C$2:C532,C532,$D$2:D532,"&lt;&gt;Negative*",$T$2:T532,"&lt;&gt;Retracted")=1,1,0))</f>
        <v>1</v>
      </c>
    </row>
    <row r="533" spans="1:21" x14ac:dyDescent="0.2">
      <c r="A533" t="s">
        <v>2247</v>
      </c>
      <c r="B533" t="s">
        <v>386</v>
      </c>
      <c r="C533" t="s">
        <v>1179</v>
      </c>
      <c r="D533" t="s">
        <v>1572</v>
      </c>
      <c r="E533" t="s">
        <v>2248</v>
      </c>
      <c r="G533">
        <v>9.1847899999999996</v>
      </c>
      <c r="H533">
        <v>-79.828909999999993</v>
      </c>
      <c r="I533" t="s">
        <v>1573</v>
      </c>
      <c r="J533">
        <v>600</v>
      </c>
      <c r="K533">
        <v>1909</v>
      </c>
      <c r="L533">
        <v>1909</v>
      </c>
      <c r="M533" t="s">
        <v>203</v>
      </c>
      <c r="N533" t="s">
        <v>190</v>
      </c>
      <c r="Q533" s="2" t="str">
        <f>IF($C533="","",IFERROR(VLOOKUP($C533,sources!$A$2:$N$200,2,FALSE()),"?"))</f>
        <v>Map</v>
      </c>
      <c r="R533" s="2" t="str">
        <f t="shared" si="8"/>
        <v>Map</v>
      </c>
      <c r="S533" s="2" t="str">
        <f>IF($C533="","",IFERROR(VLOOKUP($C533,sources!$A$2:$N$200,9,FALSE()),"?"))</f>
        <v>US official</v>
      </c>
      <c r="T533" t="s">
        <v>5692</v>
      </c>
      <c r="U533">
        <f>IF(OR(B533="",C533="",T533="Retracted",LEFT(D533,8)="Negative"),0,IF(COUNTIFS($B$2:B533,B533,$C$2:C533,C533,$D$2:D533,"&lt;&gt;Negative*",$T$2:T533,"&lt;&gt;Retracted")=1,1,0))</f>
        <v>1</v>
      </c>
    </row>
    <row r="534" spans="1:21" x14ac:dyDescent="0.2">
      <c r="A534" t="s">
        <v>2249</v>
      </c>
      <c r="B534" t="s">
        <v>773</v>
      </c>
      <c r="C534" t="s">
        <v>1179</v>
      </c>
      <c r="D534" t="s">
        <v>1572</v>
      </c>
      <c r="E534" t="s">
        <v>2206</v>
      </c>
      <c r="G534">
        <v>9.0921199999999995</v>
      </c>
      <c r="H534">
        <v>-79.684479999999994</v>
      </c>
      <c r="I534" t="s">
        <v>1573</v>
      </c>
      <c r="J534">
        <v>600</v>
      </c>
      <c r="K534">
        <v>1909</v>
      </c>
      <c r="L534">
        <v>1909</v>
      </c>
      <c r="M534" t="s">
        <v>203</v>
      </c>
      <c r="N534" t="s">
        <v>190</v>
      </c>
      <c r="Q534" s="2" t="str">
        <f>IF($C534="","",IFERROR(VLOOKUP($C534,sources!$A$2:$N$200,2,FALSE()),"?"))</f>
        <v>Map</v>
      </c>
      <c r="R534" s="2" t="str">
        <f t="shared" si="8"/>
        <v>Map</v>
      </c>
      <c r="S534" s="2" t="str">
        <f>IF($C534="","",IFERROR(VLOOKUP($C534,sources!$A$2:$N$200,9,FALSE()),"?"))</f>
        <v>US official</v>
      </c>
      <c r="T534" t="s">
        <v>5692</v>
      </c>
      <c r="U534">
        <f>IF(OR(B534="",C534="",T534="Retracted",LEFT(D534,8)="Negative"),0,IF(COUNTIFS($B$2:B534,B534,$C$2:C534,C534,$D$2:D534,"&lt;&gt;Negative*",$T$2:T534,"&lt;&gt;Retracted")=1,1,0))</f>
        <v>1</v>
      </c>
    </row>
    <row r="535" spans="1:21" x14ac:dyDescent="0.2">
      <c r="A535" t="s">
        <v>2250</v>
      </c>
      <c r="B535" t="s">
        <v>389</v>
      </c>
      <c r="C535" t="s">
        <v>1179</v>
      </c>
      <c r="D535" t="s">
        <v>1572</v>
      </c>
      <c r="E535" t="s">
        <v>2251</v>
      </c>
      <c r="G535">
        <v>9.2251999999999992</v>
      </c>
      <c r="H535">
        <v>-79.900919999999999</v>
      </c>
      <c r="I535" t="s">
        <v>1573</v>
      </c>
      <c r="J535">
        <v>600</v>
      </c>
      <c r="K535">
        <v>1909</v>
      </c>
      <c r="L535">
        <v>1909</v>
      </c>
      <c r="M535" t="s">
        <v>203</v>
      </c>
      <c r="N535" t="s">
        <v>190</v>
      </c>
      <c r="Q535" s="2" t="str">
        <f>IF($C535="","",IFERROR(VLOOKUP($C535,sources!$A$2:$N$200,2,FALSE()),"?"))</f>
        <v>Map</v>
      </c>
      <c r="R535" s="2" t="str">
        <f t="shared" si="8"/>
        <v>Map</v>
      </c>
      <c r="S535" s="2" t="str">
        <f>IF($C535="","",IFERROR(VLOOKUP($C535,sources!$A$2:$N$200,9,FALSE()),"?"))</f>
        <v>US official</v>
      </c>
      <c r="T535" t="s">
        <v>5692</v>
      </c>
      <c r="U535">
        <f>IF(OR(B535="",C535="",T535="Retracted",LEFT(D535,8)="Negative"),0,IF(COUNTIFS($B$2:B535,B535,$C$2:C535,C535,$D$2:D535,"&lt;&gt;Negative*",$T$2:T535,"&lt;&gt;Retracted")=1,1,0))</f>
        <v>1</v>
      </c>
    </row>
    <row r="536" spans="1:21" x14ac:dyDescent="0.2">
      <c r="A536" t="s">
        <v>2252</v>
      </c>
      <c r="B536" t="s">
        <v>398</v>
      </c>
      <c r="C536" t="s">
        <v>1179</v>
      </c>
      <c r="D536" t="s">
        <v>1572</v>
      </c>
      <c r="E536" t="s">
        <v>399</v>
      </c>
      <c r="G536">
        <v>9.0966699999999996</v>
      </c>
      <c r="H536">
        <v>-79.699809999999999</v>
      </c>
      <c r="I536" t="s">
        <v>1573</v>
      </c>
      <c r="J536">
        <v>600</v>
      </c>
      <c r="K536">
        <v>1909</v>
      </c>
      <c r="L536">
        <v>1909</v>
      </c>
      <c r="M536" t="s">
        <v>203</v>
      </c>
      <c r="N536" t="s">
        <v>190</v>
      </c>
      <c r="Q536" s="2" t="str">
        <f>IF($C536="","",IFERROR(VLOOKUP($C536,sources!$A$2:$N$200,2,FALSE()),"?"))</f>
        <v>Map</v>
      </c>
      <c r="R536" s="2" t="str">
        <f t="shared" si="8"/>
        <v>Map</v>
      </c>
      <c r="S536" s="2" t="str">
        <f>IF($C536="","",IFERROR(VLOOKUP($C536,sources!$A$2:$N$200,9,FALSE()),"?"))</f>
        <v>US official</v>
      </c>
      <c r="T536" t="s">
        <v>5692</v>
      </c>
      <c r="U536">
        <f>IF(OR(B536="",C536="",T536="Retracted",LEFT(D536,8)="Negative"),0,IF(COUNTIFS($B$2:B536,B536,$C$2:C536,C536,$D$2:D536,"&lt;&gt;Negative*",$T$2:T536,"&lt;&gt;Retracted")=1,1,0))</f>
        <v>1</v>
      </c>
    </row>
    <row r="537" spans="1:21" x14ac:dyDescent="0.2">
      <c r="A537" t="s">
        <v>2253</v>
      </c>
      <c r="B537" t="s">
        <v>403</v>
      </c>
      <c r="C537" t="s">
        <v>1179</v>
      </c>
      <c r="D537" t="s">
        <v>1572</v>
      </c>
      <c r="E537" t="s">
        <v>404</v>
      </c>
      <c r="G537">
        <v>9.2379099999999994</v>
      </c>
      <c r="H537">
        <v>-79.874780000000001</v>
      </c>
      <c r="I537" t="s">
        <v>1573</v>
      </c>
      <c r="J537">
        <v>600</v>
      </c>
      <c r="K537">
        <v>1909</v>
      </c>
      <c r="L537">
        <v>1909</v>
      </c>
      <c r="M537" t="s">
        <v>203</v>
      </c>
      <c r="N537" t="s">
        <v>190</v>
      </c>
      <c r="Q537" s="2" t="str">
        <f>IF($C537="","",IFERROR(VLOOKUP($C537,sources!$A$2:$N$200,2,FALSE()),"?"))</f>
        <v>Map</v>
      </c>
      <c r="R537" s="2" t="str">
        <f t="shared" si="8"/>
        <v>Map</v>
      </c>
      <c r="S537" s="2" t="str">
        <f>IF($C537="","",IFERROR(VLOOKUP($C537,sources!$A$2:$N$200,9,FALSE()),"?"))</f>
        <v>US official</v>
      </c>
      <c r="T537" t="s">
        <v>5692</v>
      </c>
      <c r="U537">
        <f>IF(OR(B537="",C537="",T537="Retracted",LEFT(D537,8)="Negative"),0,IF(COUNTIFS($B$2:B537,B537,$C$2:C537,C537,$D$2:D537,"&lt;&gt;Negative*",$T$2:T537,"&lt;&gt;Retracted")=1,1,0))</f>
        <v>1</v>
      </c>
    </row>
    <row r="538" spans="1:21" x14ac:dyDescent="0.2">
      <c r="A538" t="s">
        <v>2254</v>
      </c>
      <c r="B538" t="s">
        <v>407</v>
      </c>
      <c r="C538" t="s">
        <v>1179</v>
      </c>
      <c r="D538" t="s">
        <v>1572</v>
      </c>
      <c r="E538" t="s">
        <v>408</v>
      </c>
      <c r="G538">
        <v>9.3695500000000003</v>
      </c>
      <c r="H538">
        <v>-79.947069999999997</v>
      </c>
      <c r="I538" t="s">
        <v>1573</v>
      </c>
      <c r="J538">
        <v>300</v>
      </c>
      <c r="K538">
        <v>1909</v>
      </c>
      <c r="L538">
        <v>1909</v>
      </c>
      <c r="M538" t="s">
        <v>203</v>
      </c>
      <c r="N538" t="s">
        <v>203</v>
      </c>
      <c r="Q538" s="2" t="str">
        <f>IF($C538="","",IFERROR(VLOOKUP($C538,sources!$A$2:$N$200,2,FALSE()),"?"))</f>
        <v>Map</v>
      </c>
      <c r="R538" s="2" t="str">
        <f t="shared" si="8"/>
        <v>Map</v>
      </c>
      <c r="S538" s="2" t="str">
        <f>IF($C538="","",IFERROR(VLOOKUP($C538,sources!$A$2:$N$200,9,FALSE()),"?"))</f>
        <v>US official</v>
      </c>
      <c r="T538" t="s">
        <v>5692</v>
      </c>
      <c r="U538">
        <f>IF(OR(B538="",C538="",T538="Retracted",LEFT(D538,8)="Negative"),0,IF(COUNTIFS($B$2:B538,B538,$C$2:C538,C538,$D$2:D538,"&lt;&gt;Negative*",$T$2:T538,"&lt;&gt;Retracted")=1,1,0))</f>
        <v>1</v>
      </c>
    </row>
    <row r="539" spans="1:21" x14ac:dyDescent="0.2">
      <c r="A539" t="s">
        <v>2255</v>
      </c>
      <c r="B539" t="s">
        <v>411</v>
      </c>
      <c r="C539" t="s">
        <v>1179</v>
      </c>
      <c r="D539" t="s">
        <v>1572</v>
      </c>
      <c r="E539" t="s">
        <v>2256</v>
      </c>
      <c r="G539">
        <v>8.9421900000000001</v>
      </c>
      <c r="H539">
        <v>-79.57347</v>
      </c>
      <c r="I539" t="s">
        <v>1573</v>
      </c>
      <c r="J539">
        <v>300</v>
      </c>
      <c r="K539">
        <v>1909</v>
      </c>
      <c r="L539">
        <v>1909</v>
      </c>
      <c r="M539" t="s">
        <v>203</v>
      </c>
      <c r="N539" t="s">
        <v>203</v>
      </c>
      <c r="Q539" s="2" t="str">
        <f>IF($C539="","",IFERROR(VLOOKUP($C539,sources!$A$2:$N$200,2,FALSE()),"?"))</f>
        <v>Map</v>
      </c>
      <c r="R539" s="2" t="str">
        <f t="shared" si="8"/>
        <v>Map</v>
      </c>
      <c r="S539" s="2" t="str">
        <f>IF($C539="","",IFERROR(VLOOKUP($C539,sources!$A$2:$N$200,9,FALSE()),"?"))</f>
        <v>US official</v>
      </c>
      <c r="T539" t="s">
        <v>5692</v>
      </c>
      <c r="U539">
        <f>IF(OR(B539="",C539="",T539="Retracted",LEFT(D539,8)="Negative"),0,IF(COUNTIFS($B$2:B539,B539,$C$2:C539,C539,$D$2:D539,"&lt;&gt;Negative*",$T$2:T539,"&lt;&gt;Retracted")=1,1,0))</f>
        <v>1</v>
      </c>
    </row>
    <row r="540" spans="1:21" x14ac:dyDescent="0.2">
      <c r="A540" t="s">
        <v>2257</v>
      </c>
      <c r="B540" t="s">
        <v>420</v>
      </c>
      <c r="C540" t="s">
        <v>1179</v>
      </c>
      <c r="D540" t="s">
        <v>1572</v>
      </c>
      <c r="E540" t="s">
        <v>2258</v>
      </c>
      <c r="G540">
        <v>8.7942999999999998</v>
      </c>
      <c r="H540">
        <v>-79.55471</v>
      </c>
      <c r="I540" t="s">
        <v>1573</v>
      </c>
      <c r="J540">
        <v>390</v>
      </c>
      <c r="K540">
        <v>1909</v>
      </c>
      <c r="L540">
        <v>1909</v>
      </c>
      <c r="M540" t="s">
        <v>203</v>
      </c>
      <c r="N540" t="s">
        <v>209</v>
      </c>
      <c r="Q540" s="2" t="str">
        <f>IF($C540="","",IFERROR(VLOOKUP($C540,sources!$A$2:$N$200,2,FALSE()),"?"))</f>
        <v>Map</v>
      </c>
      <c r="R540" s="2" t="str">
        <f t="shared" si="8"/>
        <v>Map</v>
      </c>
      <c r="S540" s="2" t="str">
        <f>IF($C540="","",IFERROR(VLOOKUP($C540,sources!$A$2:$N$200,9,FALSE()),"?"))</f>
        <v>US official</v>
      </c>
      <c r="T540" t="s">
        <v>5692</v>
      </c>
      <c r="U540">
        <f>IF(OR(B540="",C540="",T540="Retracted",LEFT(D540,8)="Negative"),0,IF(COUNTIFS($B$2:B540,B540,$C$2:C540,C540,$D$2:D540,"&lt;&gt;Negative*",$T$2:T540,"&lt;&gt;Retracted")=1,1,0))</f>
        <v>1</v>
      </c>
    </row>
    <row r="541" spans="1:21" x14ac:dyDescent="0.2">
      <c r="A541" t="s">
        <v>2259</v>
      </c>
      <c r="B541" t="s">
        <v>424</v>
      </c>
      <c r="C541" t="s">
        <v>1179</v>
      </c>
      <c r="D541" t="s">
        <v>1572</v>
      </c>
      <c r="E541" t="s">
        <v>425</v>
      </c>
      <c r="G541">
        <v>9.5538100000000004</v>
      </c>
      <c r="H541">
        <v>-79.654920000000004</v>
      </c>
      <c r="I541" t="s">
        <v>1573</v>
      </c>
      <c r="J541">
        <v>390</v>
      </c>
      <c r="K541">
        <v>1909</v>
      </c>
      <c r="L541">
        <v>1909</v>
      </c>
      <c r="M541" t="s">
        <v>203</v>
      </c>
      <c r="N541" t="s">
        <v>209</v>
      </c>
      <c r="Q541" s="2" t="str">
        <f>IF($C541="","",IFERROR(VLOOKUP($C541,sources!$A$2:$N$200,2,FALSE()),"?"))</f>
        <v>Map</v>
      </c>
      <c r="R541" s="2" t="str">
        <f t="shared" si="8"/>
        <v>Map</v>
      </c>
      <c r="S541" s="2" t="str">
        <f>IF($C541="","",IFERROR(VLOOKUP($C541,sources!$A$2:$N$200,9,FALSE()),"?"))</f>
        <v>US official</v>
      </c>
      <c r="T541" t="s">
        <v>5692</v>
      </c>
      <c r="U541">
        <f>IF(OR(B541="",C541="",T541="Retracted",LEFT(D541,8)="Negative"),0,IF(COUNTIFS($B$2:B541,B541,$C$2:C541,C541,$D$2:D541,"&lt;&gt;Negative*",$T$2:T541,"&lt;&gt;Retracted")=1,1,0))</f>
        <v>1</v>
      </c>
    </row>
    <row r="542" spans="1:21" x14ac:dyDescent="0.2">
      <c r="A542" t="s">
        <v>2260</v>
      </c>
      <c r="B542" t="s">
        <v>433</v>
      </c>
      <c r="C542" t="s">
        <v>1179</v>
      </c>
      <c r="D542" t="s">
        <v>1572</v>
      </c>
      <c r="E542" t="s">
        <v>434</v>
      </c>
      <c r="G542">
        <v>9.11632</v>
      </c>
      <c r="H542">
        <v>-79.736750000000001</v>
      </c>
      <c r="I542" t="s">
        <v>1573</v>
      </c>
      <c r="J542">
        <v>390</v>
      </c>
      <c r="K542">
        <v>1909</v>
      </c>
      <c r="L542">
        <v>1909</v>
      </c>
      <c r="M542" t="s">
        <v>203</v>
      </c>
      <c r="N542" t="s">
        <v>209</v>
      </c>
      <c r="Q542" s="2" t="str">
        <f>IF($C542="","",IFERROR(VLOOKUP($C542,sources!$A$2:$N$200,2,FALSE()),"?"))</f>
        <v>Map</v>
      </c>
      <c r="R542" s="2" t="str">
        <f t="shared" si="8"/>
        <v>Map</v>
      </c>
      <c r="S542" s="2" t="str">
        <f>IF($C542="","",IFERROR(VLOOKUP($C542,sources!$A$2:$N$200,9,FALSE()),"?"))</f>
        <v>US official</v>
      </c>
      <c r="T542" t="s">
        <v>5692</v>
      </c>
      <c r="U542">
        <f>IF(OR(B542="",C542="",T542="Retracted",LEFT(D542,8)="Negative"),0,IF(COUNTIFS($B$2:B542,B542,$C$2:C542,C542,$D$2:D542,"&lt;&gt;Negative*",$T$2:T542,"&lt;&gt;Retracted")=1,1,0))</f>
        <v>1</v>
      </c>
    </row>
    <row r="543" spans="1:21" x14ac:dyDescent="0.2">
      <c r="A543" t="s">
        <v>2261</v>
      </c>
      <c r="B543" t="s">
        <v>490</v>
      </c>
      <c r="C543" t="s">
        <v>1179</v>
      </c>
      <c r="D543" t="s">
        <v>1572</v>
      </c>
      <c r="E543" t="s">
        <v>491</v>
      </c>
      <c r="G543">
        <v>9.0790400000000009</v>
      </c>
      <c r="H543">
        <v>-79.677880000000002</v>
      </c>
      <c r="I543" t="s">
        <v>1573</v>
      </c>
      <c r="J543">
        <v>600</v>
      </c>
      <c r="K543">
        <v>1909</v>
      </c>
      <c r="L543">
        <v>1909</v>
      </c>
      <c r="M543" t="s">
        <v>203</v>
      </c>
      <c r="N543" t="s">
        <v>190</v>
      </c>
      <c r="Q543" s="2" t="str">
        <f>IF($C543="","",IFERROR(VLOOKUP($C543,sources!$A$2:$N$200,2,FALSE()),"?"))</f>
        <v>Map</v>
      </c>
      <c r="R543" s="2" t="str">
        <f t="shared" si="8"/>
        <v>Map</v>
      </c>
      <c r="S543" s="2" t="str">
        <f>IF($C543="","",IFERROR(VLOOKUP($C543,sources!$A$2:$N$200,9,FALSE()),"?"))</f>
        <v>US official</v>
      </c>
      <c r="T543" t="s">
        <v>5692</v>
      </c>
      <c r="U543">
        <f>IF(OR(B543="",C543="",T543="Retracted",LEFT(D543,8)="Negative"),0,IF(COUNTIFS($B$2:B543,B543,$C$2:C543,C543,$D$2:D543,"&lt;&gt;Negative*",$T$2:T543,"&lt;&gt;Retracted")=1,1,0))</f>
        <v>1</v>
      </c>
    </row>
    <row r="544" spans="1:21" x14ac:dyDescent="0.2">
      <c r="A544" t="s">
        <v>2262</v>
      </c>
      <c r="B544" t="s">
        <v>498</v>
      </c>
      <c r="C544" t="s">
        <v>1179</v>
      </c>
      <c r="D544" t="s">
        <v>1572</v>
      </c>
      <c r="E544" t="s">
        <v>499</v>
      </c>
      <c r="G544">
        <v>9.1789000000000005</v>
      </c>
      <c r="H544">
        <v>-79.870339999999999</v>
      </c>
      <c r="I544" t="s">
        <v>1573</v>
      </c>
      <c r="J544">
        <v>600</v>
      </c>
      <c r="K544">
        <v>1909</v>
      </c>
      <c r="L544">
        <v>1909</v>
      </c>
      <c r="M544" t="s">
        <v>203</v>
      </c>
      <c r="N544" t="s">
        <v>190</v>
      </c>
      <c r="Q544" s="2" t="str">
        <f>IF($C544="","",IFERROR(VLOOKUP($C544,sources!$A$2:$N$200,2,FALSE()),"?"))</f>
        <v>Map</v>
      </c>
      <c r="R544" s="2" t="str">
        <f t="shared" si="8"/>
        <v>Map</v>
      </c>
      <c r="S544" s="2" t="str">
        <f>IF($C544="","",IFERROR(VLOOKUP($C544,sources!$A$2:$N$200,9,FALSE()),"?"))</f>
        <v>US official</v>
      </c>
      <c r="T544" t="s">
        <v>5692</v>
      </c>
      <c r="U544">
        <f>IF(OR(B544="",C544="",T544="Retracted",LEFT(D544,8)="Negative"),0,IF(COUNTIFS($B$2:B544,B544,$C$2:C544,C544,$D$2:D544,"&lt;&gt;Negative*",$T$2:T544,"&lt;&gt;Retracted")=1,1,0))</f>
        <v>1</v>
      </c>
    </row>
    <row r="545" spans="1:21" x14ac:dyDescent="0.2">
      <c r="A545" t="s">
        <v>2263</v>
      </c>
      <c r="B545" t="s">
        <v>503</v>
      </c>
      <c r="C545" t="s">
        <v>1179</v>
      </c>
      <c r="D545" t="s">
        <v>1572</v>
      </c>
      <c r="E545" t="s">
        <v>504</v>
      </c>
      <c r="G545">
        <v>9.0201100000000007</v>
      </c>
      <c r="H545">
        <v>-79.627260000000007</v>
      </c>
      <c r="I545" t="s">
        <v>1573</v>
      </c>
      <c r="J545">
        <v>600</v>
      </c>
      <c r="K545">
        <v>1909</v>
      </c>
      <c r="L545">
        <v>1909</v>
      </c>
      <c r="M545" t="s">
        <v>203</v>
      </c>
      <c r="N545" t="s">
        <v>190</v>
      </c>
      <c r="Q545" s="2" t="str">
        <f>IF($C545="","",IFERROR(VLOOKUP($C545,sources!$A$2:$N$200,2,FALSE()),"?"))</f>
        <v>Map</v>
      </c>
      <c r="R545" s="2" t="str">
        <f t="shared" si="8"/>
        <v>Map</v>
      </c>
      <c r="S545" s="2" t="str">
        <f>IF($C545="","",IFERROR(VLOOKUP($C545,sources!$A$2:$N$200,9,FALSE()),"?"))</f>
        <v>US official</v>
      </c>
      <c r="T545" t="s">
        <v>5692</v>
      </c>
      <c r="U545">
        <f>IF(OR(B545="",C545="",T545="Retracted",LEFT(D545,8)="Negative"),0,IF(COUNTIFS($B$2:B545,B545,$C$2:C545,C545,$D$2:D545,"&lt;&gt;Negative*",$T$2:T545,"&lt;&gt;Retracted")=1,1,0))</f>
        <v>1</v>
      </c>
    </row>
    <row r="546" spans="1:21" x14ac:dyDescent="0.2">
      <c r="A546" t="s">
        <v>2264</v>
      </c>
      <c r="B546" t="s">
        <v>233</v>
      </c>
      <c r="C546" t="s">
        <v>1304</v>
      </c>
      <c r="D546" t="s">
        <v>1572</v>
      </c>
      <c r="E546" t="s">
        <v>234</v>
      </c>
      <c r="G546">
        <v>9.0617210000000004</v>
      </c>
      <c r="H546">
        <v>-79.673264000000003</v>
      </c>
      <c r="I546" t="s">
        <v>1573</v>
      </c>
      <c r="J546">
        <v>200</v>
      </c>
      <c r="K546">
        <v>1907</v>
      </c>
      <c r="L546">
        <v>1907</v>
      </c>
      <c r="M546" t="s">
        <v>209</v>
      </c>
      <c r="N546" t="s">
        <v>203</v>
      </c>
      <c r="Q546" s="2" t="str">
        <f>IF($C546="","",IFERROR(VLOOKUP($C546,sources!$A$2:$N$200,2,FALSE()),"?"))</f>
        <v>Map</v>
      </c>
      <c r="R546" s="2" t="str">
        <f t="shared" si="8"/>
        <v>Map</v>
      </c>
      <c r="S546" s="2" t="str">
        <f>IF($C546="","",IFERROR(VLOOKUP($C546,sources!$A$2:$N$200,9,FALSE()),"?"))</f>
        <v>US official</v>
      </c>
      <c r="T546" t="s">
        <v>5692</v>
      </c>
      <c r="U546">
        <f>IF(OR(B546="",C546="",T546="Retracted",LEFT(D546,8)="Negative"),0,IF(COUNTIFS($B$2:B546,B546,$C$2:C546,C546,$D$2:D546,"&lt;&gt;Negative*",$T$2:T546,"&lt;&gt;Retracted")=1,1,0))</f>
        <v>1</v>
      </c>
    </row>
    <row r="547" spans="1:21" x14ac:dyDescent="0.2">
      <c r="A547" t="s">
        <v>2266</v>
      </c>
      <c r="B547" t="s">
        <v>276</v>
      </c>
      <c r="C547" t="s">
        <v>1304</v>
      </c>
      <c r="D547" t="s">
        <v>1572</v>
      </c>
      <c r="E547" t="s">
        <v>277</v>
      </c>
      <c r="G547">
        <v>9.0625579999999992</v>
      </c>
      <c r="H547">
        <v>-79.671553000000003</v>
      </c>
      <c r="I547" t="s">
        <v>1573</v>
      </c>
      <c r="J547">
        <v>200</v>
      </c>
      <c r="K547">
        <v>1907</v>
      </c>
      <c r="L547">
        <v>1907</v>
      </c>
      <c r="M547" t="s">
        <v>209</v>
      </c>
      <c r="N547" t="s">
        <v>209</v>
      </c>
      <c r="Q547" s="2" t="str">
        <f>IF($C547="","",IFERROR(VLOOKUP($C547,sources!$A$2:$N$200,2,FALSE()),"?"))</f>
        <v>Map</v>
      </c>
      <c r="R547" s="2" t="str">
        <f t="shared" si="8"/>
        <v>Map</v>
      </c>
      <c r="S547" s="2" t="str">
        <f>IF($C547="","",IFERROR(VLOOKUP($C547,sources!$A$2:$N$200,9,FALSE()),"?"))</f>
        <v>US official</v>
      </c>
      <c r="T547" t="s">
        <v>5692</v>
      </c>
      <c r="U547">
        <f>IF(OR(B547="",C547="",T547="Retracted",LEFT(D547,8)="Negative"),0,IF(COUNTIFS($B$2:B547,B547,$C$2:C547,C547,$D$2:D547,"&lt;&gt;Negative*",$T$2:T547,"&lt;&gt;Retracted")=1,1,0))</f>
        <v>1</v>
      </c>
    </row>
    <row r="548" spans="1:21" x14ac:dyDescent="0.2">
      <c r="A548" t="s">
        <v>2267</v>
      </c>
      <c r="B548" t="s">
        <v>660</v>
      </c>
      <c r="C548" t="s">
        <v>1304</v>
      </c>
      <c r="D548" t="s">
        <v>1572</v>
      </c>
      <c r="E548" t="s">
        <v>2268</v>
      </c>
      <c r="G548">
        <v>9.0605519999999995</v>
      </c>
      <c r="H548">
        <v>-79.672321999999994</v>
      </c>
      <c r="I548" t="s">
        <v>1573</v>
      </c>
      <c r="J548">
        <v>200</v>
      </c>
      <c r="K548">
        <v>1907</v>
      </c>
      <c r="L548">
        <v>1907</v>
      </c>
      <c r="M548" t="s">
        <v>209</v>
      </c>
      <c r="N548" t="s">
        <v>209</v>
      </c>
      <c r="Q548" s="2" t="str">
        <f>IF($C548="","",IFERROR(VLOOKUP($C548,sources!$A$2:$N$200,2,FALSE()),"?"))</f>
        <v>Map</v>
      </c>
      <c r="R548" s="2" t="str">
        <f t="shared" si="8"/>
        <v>Map</v>
      </c>
      <c r="S548" s="2" t="str">
        <f>IF($C548="","",IFERROR(VLOOKUP($C548,sources!$A$2:$N$200,9,FALSE()),"?"))</f>
        <v>US official</v>
      </c>
      <c r="T548" t="s">
        <v>5692</v>
      </c>
      <c r="U548">
        <f>IF(OR(B548="",C548="",T548="Retracted",LEFT(D548,8)="Negative"),0,IF(COUNTIFS($B$2:B548,B548,$C$2:C548,C548,$D$2:D548,"&lt;&gt;Negative*",$T$2:T548,"&lt;&gt;Retracted")=1,1,0))</f>
        <v>0</v>
      </c>
    </row>
    <row r="549" spans="1:21" x14ac:dyDescent="0.2">
      <c r="A549" t="s">
        <v>2269</v>
      </c>
      <c r="B549" t="s">
        <v>326</v>
      </c>
      <c r="C549" t="s">
        <v>1304</v>
      </c>
      <c r="D549" t="s">
        <v>1572</v>
      </c>
      <c r="E549" t="s">
        <v>327</v>
      </c>
      <c r="G549">
        <v>9.0632859999999997</v>
      </c>
      <c r="H549">
        <v>-79.674734000000001</v>
      </c>
      <c r="I549" t="s">
        <v>1573</v>
      </c>
      <c r="J549">
        <v>200</v>
      </c>
      <c r="K549">
        <v>1907</v>
      </c>
      <c r="L549">
        <v>1907</v>
      </c>
      <c r="M549" t="s">
        <v>209</v>
      </c>
      <c r="N549" t="s">
        <v>209</v>
      </c>
      <c r="Q549" s="2" t="str">
        <f>IF($C549="","",IFERROR(VLOOKUP($C549,sources!$A$2:$N$200,2,FALSE()),"?"))</f>
        <v>Map</v>
      </c>
      <c r="R549" s="2" t="str">
        <f t="shared" si="8"/>
        <v>Map</v>
      </c>
      <c r="S549" s="2" t="str">
        <f>IF($C549="","",IFERROR(VLOOKUP($C549,sources!$A$2:$N$200,9,FALSE()),"?"))</f>
        <v>US official</v>
      </c>
      <c r="T549" t="s">
        <v>5692</v>
      </c>
      <c r="U549">
        <f>IF(OR(B549="",C549="",T549="Retracted",LEFT(D549,8)="Negative"),0,IF(COUNTIFS($B$2:B549,B549,$C$2:C549,C549,$D$2:D549,"&lt;&gt;Negative*",$T$2:T549,"&lt;&gt;Retracted")=1,1,0))</f>
        <v>1</v>
      </c>
    </row>
    <row r="550" spans="1:21" x14ac:dyDescent="0.2">
      <c r="A550" t="s">
        <v>2270</v>
      </c>
      <c r="B550" t="s">
        <v>247</v>
      </c>
      <c r="C550" t="s">
        <v>1311</v>
      </c>
      <c r="D550" t="s">
        <v>1572</v>
      </c>
      <c r="E550" t="s">
        <v>248</v>
      </c>
      <c r="G550">
        <v>9.039453</v>
      </c>
      <c r="H550">
        <v>-79.648024000000007</v>
      </c>
      <c r="I550" t="s">
        <v>1573</v>
      </c>
      <c r="J550">
        <v>250</v>
      </c>
      <c r="K550">
        <v>1910</v>
      </c>
      <c r="L550">
        <v>1910</v>
      </c>
      <c r="M550" t="s">
        <v>203</v>
      </c>
      <c r="N550" t="s">
        <v>203</v>
      </c>
      <c r="Q550" s="2" t="str">
        <f>IF($C550="","",IFERROR(VLOOKUP($C550,sources!$A$2:$N$200,2,FALSE()),"?"))</f>
        <v>Map</v>
      </c>
      <c r="R550" s="2" t="str">
        <f t="shared" si="8"/>
        <v>Map</v>
      </c>
      <c r="S550" s="2" t="str">
        <f>IF($C550="","",IFERROR(VLOOKUP($C550,sources!$A$2:$N$200,9,FALSE()),"?"))</f>
        <v>US official</v>
      </c>
      <c r="T550" t="s">
        <v>5692</v>
      </c>
      <c r="U550">
        <f>IF(OR(B550="",C550="",T550="Retracted",LEFT(D550,8)="Negative"),0,IF(COUNTIFS($B$2:B550,B550,$C$2:C550,C550,$D$2:D550,"&lt;&gt;Negative*",$T$2:T550,"&lt;&gt;Retracted")=1,1,0))</f>
        <v>1</v>
      </c>
    </row>
    <row r="551" spans="1:21" x14ac:dyDescent="0.2">
      <c r="A551" t="s">
        <v>2271</v>
      </c>
      <c r="B551" t="s">
        <v>247</v>
      </c>
      <c r="C551" t="s">
        <v>1317</v>
      </c>
      <c r="D551" t="s">
        <v>1572</v>
      </c>
      <c r="E551" t="s">
        <v>248</v>
      </c>
      <c r="G551">
        <v>9.0518970000000003</v>
      </c>
      <c r="H551">
        <v>-79.655556000000004</v>
      </c>
      <c r="I551" t="s">
        <v>1573</v>
      </c>
      <c r="J551">
        <v>150</v>
      </c>
      <c r="K551">
        <v>1905</v>
      </c>
      <c r="L551">
        <v>1905</v>
      </c>
      <c r="M551" t="s">
        <v>203</v>
      </c>
      <c r="N551" t="s">
        <v>203</v>
      </c>
      <c r="Q551" s="2" t="str">
        <f>IF($C551="","",IFERROR(VLOOKUP($C551,sources!$A$2:$N$200,2,FALSE()),"?"))</f>
        <v>Map</v>
      </c>
      <c r="R551" s="2" t="str">
        <f t="shared" si="8"/>
        <v>Map</v>
      </c>
      <c r="S551" s="2" t="str">
        <f>IF($C551="","",IFERROR(VLOOKUP($C551,sources!$A$2:$N$200,9,FALSE()),"?"))</f>
        <v>US official</v>
      </c>
      <c r="T551" t="s">
        <v>5692</v>
      </c>
      <c r="U551">
        <f>IF(OR(B551="",C551="",T551="Retracted",LEFT(D551,8)="Negative"),0,IF(COUNTIFS($B$2:B551,B551,$C$2:C551,C551,$D$2:D551,"&lt;&gt;Negative*",$T$2:T551,"&lt;&gt;Retracted")=1,1,0))</f>
        <v>1</v>
      </c>
    </row>
    <row r="552" spans="1:21" x14ac:dyDescent="0.2">
      <c r="A552" t="s">
        <v>2272</v>
      </c>
      <c r="B552" t="s">
        <v>242</v>
      </c>
      <c r="C552" t="s">
        <v>1323</v>
      </c>
      <c r="D552" t="s">
        <v>1572</v>
      </c>
      <c r="E552" t="s">
        <v>243</v>
      </c>
      <c r="G552">
        <v>9.1153879999999994</v>
      </c>
      <c r="H552">
        <v>-79.725121000000001</v>
      </c>
      <c r="I552" t="s">
        <v>1573</v>
      </c>
      <c r="J552">
        <v>100</v>
      </c>
      <c r="K552">
        <v>1908</v>
      </c>
      <c r="L552">
        <v>1908</v>
      </c>
      <c r="M552" t="s">
        <v>203</v>
      </c>
      <c r="N552" t="s">
        <v>203</v>
      </c>
      <c r="Q552" s="2" t="str">
        <f>IF($C552="","",IFERROR(VLOOKUP($C552,sources!$A$2:$N$200,2,FALSE()),"?"))</f>
        <v>Map</v>
      </c>
      <c r="R552" s="2" t="str">
        <f t="shared" si="8"/>
        <v>Map</v>
      </c>
      <c r="S552" s="2" t="str">
        <f>IF($C552="","",IFERROR(VLOOKUP($C552,sources!$A$2:$N$200,9,FALSE()),"?"))</f>
        <v>US official</v>
      </c>
      <c r="T552" t="s">
        <v>5692</v>
      </c>
      <c r="U552">
        <f>IF(OR(B552="",C552="",T552="Retracted",LEFT(D552,8)="Negative"),0,IF(COUNTIFS($B$2:B552,B552,$C$2:C552,C552,$D$2:D552,"&lt;&gt;Negative*",$T$2:T552,"&lt;&gt;Retracted")=1,1,0))</f>
        <v>1</v>
      </c>
    </row>
    <row r="553" spans="1:21" x14ac:dyDescent="0.2">
      <c r="A553" t="s">
        <v>2274</v>
      </c>
      <c r="B553" t="s">
        <v>194</v>
      </c>
      <c r="C553" t="s">
        <v>1335</v>
      </c>
      <c r="D553" t="s">
        <v>1572</v>
      </c>
      <c r="E553" t="s">
        <v>2275</v>
      </c>
      <c r="G553">
        <v>9.1093799999999998</v>
      </c>
      <c r="H553">
        <v>-79.767650000000003</v>
      </c>
      <c r="I553" t="s">
        <v>1573</v>
      </c>
      <c r="J553">
        <v>260</v>
      </c>
      <c r="K553">
        <v>1908</v>
      </c>
      <c r="L553">
        <v>1908</v>
      </c>
      <c r="M553" t="s">
        <v>203</v>
      </c>
      <c r="N553" t="s">
        <v>209</v>
      </c>
      <c r="Q553" s="2" t="str">
        <f>IF($C553="","",IFERROR(VLOOKUP($C553,sources!$A$2:$N$200,2,FALSE()),"?"))</f>
        <v>Map</v>
      </c>
      <c r="R553" s="2" t="str">
        <f t="shared" si="8"/>
        <v>Map</v>
      </c>
      <c r="S553" s="2" t="str">
        <f>IF($C553="","",IFERROR(VLOOKUP($C553,sources!$A$2:$N$200,9,FALSE()),"?"))</f>
        <v>US official</v>
      </c>
      <c r="T553" t="s">
        <v>5692</v>
      </c>
      <c r="U553">
        <f>IF(OR(B553="",C553="",T553="Retracted",LEFT(D553,8)="Negative"),0,IF(COUNTIFS($B$2:B553,B553,$C$2:C553,C553,$D$2:D553,"&lt;&gt;Negative*",$T$2:T553,"&lt;&gt;Retracted")=1,1,0))</f>
        <v>1</v>
      </c>
    </row>
    <row r="554" spans="1:21" x14ac:dyDescent="0.2">
      <c r="A554" t="s">
        <v>2276</v>
      </c>
      <c r="B554" t="s">
        <v>199</v>
      </c>
      <c r="C554" t="s">
        <v>1335</v>
      </c>
      <c r="D554" t="s">
        <v>1572</v>
      </c>
      <c r="E554" t="s">
        <v>1568</v>
      </c>
      <c r="G554">
        <v>9.1240000000000006</v>
      </c>
      <c r="H554">
        <v>-79.687650000000005</v>
      </c>
      <c r="I554" t="s">
        <v>1573</v>
      </c>
      <c r="J554">
        <v>200</v>
      </c>
      <c r="K554">
        <v>1908</v>
      </c>
      <c r="L554">
        <v>1908</v>
      </c>
      <c r="M554" t="s">
        <v>203</v>
      </c>
      <c r="N554" t="s">
        <v>203</v>
      </c>
      <c r="Q554" s="2" t="str">
        <f>IF($C554="","",IFERROR(VLOOKUP($C554,sources!$A$2:$N$200,2,FALSE()),"?"))</f>
        <v>Map</v>
      </c>
      <c r="R554" s="2" t="str">
        <f t="shared" si="8"/>
        <v>Map</v>
      </c>
      <c r="S554" s="2" t="str">
        <f>IF($C554="","",IFERROR(VLOOKUP($C554,sources!$A$2:$N$200,9,FALSE()),"?"))</f>
        <v>US official</v>
      </c>
      <c r="T554" t="s">
        <v>5692</v>
      </c>
      <c r="U554">
        <f>IF(OR(B554="",C554="",T554="Retracted",LEFT(D554,8)="Negative"),0,IF(COUNTIFS($B$2:B554,B554,$C$2:C554,C554,$D$2:D554,"&lt;&gt;Negative*",$T$2:T554,"&lt;&gt;Retracted")=1,1,0))</f>
        <v>1</v>
      </c>
    </row>
    <row r="555" spans="1:21" x14ac:dyDescent="0.2">
      <c r="A555" t="s">
        <v>2277</v>
      </c>
      <c r="B555" t="s">
        <v>205</v>
      </c>
      <c r="C555" t="s">
        <v>1335</v>
      </c>
      <c r="D555" t="s">
        <v>1572</v>
      </c>
      <c r="E555" t="s">
        <v>206</v>
      </c>
      <c r="G555">
        <v>9.2129100000000008</v>
      </c>
      <c r="H555">
        <v>-79.876000000000005</v>
      </c>
      <c r="I555" t="s">
        <v>1573</v>
      </c>
      <c r="J555">
        <v>200</v>
      </c>
      <c r="K555">
        <v>1908</v>
      </c>
      <c r="L555">
        <v>1908</v>
      </c>
      <c r="M555" t="s">
        <v>203</v>
      </c>
      <c r="N555" t="s">
        <v>203</v>
      </c>
      <c r="Q555" s="2" t="str">
        <f>IF($C555="","",IFERROR(VLOOKUP($C555,sources!$A$2:$N$200,2,FALSE()),"?"))</f>
        <v>Map</v>
      </c>
      <c r="R555" s="2" t="str">
        <f t="shared" si="8"/>
        <v>Map</v>
      </c>
      <c r="S555" s="2" t="str">
        <f>IF($C555="","",IFERROR(VLOOKUP($C555,sources!$A$2:$N$200,9,FALSE()),"?"))</f>
        <v>US official</v>
      </c>
      <c r="T555" t="s">
        <v>5692</v>
      </c>
      <c r="U555">
        <f>IF(OR(B555="",C555="",T555="Retracted",LEFT(D555,8)="Negative"),0,IF(COUNTIFS($B$2:B555,B555,$C$2:C555,C555,$D$2:D555,"&lt;&gt;Negative*",$T$2:T555,"&lt;&gt;Retracted")=1,1,0))</f>
        <v>1</v>
      </c>
    </row>
    <row r="556" spans="1:21" x14ac:dyDescent="0.2">
      <c r="A556" t="s">
        <v>2278</v>
      </c>
      <c r="B556" t="s">
        <v>219</v>
      </c>
      <c r="C556" t="s">
        <v>1335</v>
      </c>
      <c r="D556" t="s">
        <v>1572</v>
      </c>
      <c r="E556" t="s">
        <v>2279</v>
      </c>
      <c r="G556">
        <v>9.2687100000000004</v>
      </c>
      <c r="H556">
        <v>-79.929060000000007</v>
      </c>
      <c r="I556" t="s">
        <v>1573</v>
      </c>
      <c r="J556">
        <v>200</v>
      </c>
      <c r="K556">
        <v>1908</v>
      </c>
      <c r="L556">
        <v>1908</v>
      </c>
      <c r="M556" t="s">
        <v>203</v>
      </c>
      <c r="N556" t="s">
        <v>203</v>
      </c>
      <c r="Q556" s="2" t="str">
        <f>IF($C556="","",IFERROR(VLOOKUP($C556,sources!$A$2:$N$200,2,FALSE()),"?"))</f>
        <v>Map</v>
      </c>
      <c r="R556" s="2" t="str">
        <f t="shared" si="8"/>
        <v>Map</v>
      </c>
      <c r="S556" s="2" t="str">
        <f>IF($C556="","",IFERROR(VLOOKUP($C556,sources!$A$2:$N$200,9,FALSE()),"?"))</f>
        <v>US official</v>
      </c>
      <c r="T556" t="s">
        <v>5692</v>
      </c>
      <c r="U556">
        <f>IF(OR(B556="",C556="",T556="Retracted",LEFT(D556,8)="Negative"),0,IF(COUNTIFS($B$2:B556,B556,$C$2:C556,C556,$D$2:D556,"&lt;&gt;Negative*",$T$2:T556,"&lt;&gt;Retracted")=1,1,0))</f>
        <v>1</v>
      </c>
    </row>
    <row r="557" spans="1:21" x14ac:dyDescent="0.2">
      <c r="A557" t="s">
        <v>2280</v>
      </c>
      <c r="B557" t="s">
        <v>219</v>
      </c>
      <c r="C557" t="s">
        <v>1335</v>
      </c>
      <c r="D557" t="s">
        <v>1572</v>
      </c>
      <c r="E557" t="s">
        <v>220</v>
      </c>
      <c r="G557">
        <v>9.2744750000000007</v>
      </c>
      <c r="H557">
        <v>-79.927555999999996</v>
      </c>
      <c r="I557" t="s">
        <v>1573</v>
      </c>
      <c r="J557">
        <v>200</v>
      </c>
      <c r="K557">
        <v>1908</v>
      </c>
      <c r="L557">
        <v>1908</v>
      </c>
      <c r="M557" t="s">
        <v>203</v>
      </c>
      <c r="N557" t="s">
        <v>203</v>
      </c>
      <c r="Q557" s="2" t="str">
        <f>IF($C557="","",IFERROR(VLOOKUP($C557,sources!$A$2:$N$200,2,FALSE()),"?"))</f>
        <v>Map</v>
      </c>
      <c r="R557" s="2" t="str">
        <f t="shared" si="8"/>
        <v>Map</v>
      </c>
      <c r="S557" s="2" t="str">
        <f>IF($C557="","",IFERROR(VLOOKUP($C557,sources!$A$2:$N$200,9,FALSE()),"?"))</f>
        <v>US official</v>
      </c>
      <c r="T557" t="s">
        <v>5692</v>
      </c>
      <c r="U557">
        <f>IF(OR(B557="",C557="",T557="Retracted",LEFT(D557,8)="Negative"),0,IF(COUNTIFS($B$2:B557,B557,$C$2:C557,C557,$D$2:D557,"&lt;&gt;Negative*",$T$2:T557,"&lt;&gt;Retracted")=1,1,0))</f>
        <v>0</v>
      </c>
    </row>
    <row r="558" spans="1:21" x14ac:dyDescent="0.2">
      <c r="A558" t="s">
        <v>2281</v>
      </c>
      <c r="B558" t="s">
        <v>242</v>
      </c>
      <c r="C558" t="s">
        <v>1335</v>
      </c>
      <c r="D558" t="s">
        <v>1572</v>
      </c>
      <c r="E558" t="s">
        <v>2282</v>
      </c>
      <c r="G558">
        <v>9.1139200000000002</v>
      </c>
      <c r="H558">
        <v>-79.725049999999996</v>
      </c>
      <c r="I558" t="s">
        <v>1573</v>
      </c>
      <c r="J558">
        <v>200</v>
      </c>
      <c r="K558">
        <v>1908</v>
      </c>
      <c r="L558">
        <v>1908</v>
      </c>
      <c r="M558" t="s">
        <v>203</v>
      </c>
      <c r="N558" t="s">
        <v>203</v>
      </c>
      <c r="Q558" s="2" t="str">
        <f>IF($C558="","",IFERROR(VLOOKUP($C558,sources!$A$2:$N$200,2,FALSE()),"?"))</f>
        <v>Map</v>
      </c>
      <c r="R558" s="2" t="str">
        <f t="shared" si="8"/>
        <v>Map</v>
      </c>
      <c r="S558" s="2" t="str">
        <f>IF($C558="","",IFERROR(VLOOKUP($C558,sources!$A$2:$N$200,9,FALSE()),"?"))</f>
        <v>US official</v>
      </c>
      <c r="T558" t="s">
        <v>5692</v>
      </c>
      <c r="U558">
        <f>IF(OR(B558="",C558="",T558="Retracted",LEFT(D558,8)="Negative"),0,IF(COUNTIFS($B$2:B558,B558,$C$2:C558,C558,$D$2:D558,"&lt;&gt;Negative*",$T$2:T558,"&lt;&gt;Retracted")=1,1,0))</f>
        <v>1</v>
      </c>
    </row>
    <row r="559" spans="1:21" x14ac:dyDescent="0.2">
      <c r="A559" t="s">
        <v>2283</v>
      </c>
      <c r="B559" t="s">
        <v>265</v>
      </c>
      <c r="C559" t="s">
        <v>1335</v>
      </c>
      <c r="D559" t="s">
        <v>1572</v>
      </c>
      <c r="E559" t="s">
        <v>266</v>
      </c>
      <c r="G559">
        <v>9.1898</v>
      </c>
      <c r="H559">
        <v>-79.855980000000002</v>
      </c>
      <c r="I559" t="s">
        <v>1573</v>
      </c>
      <c r="J559">
        <v>200</v>
      </c>
      <c r="K559">
        <v>1908</v>
      </c>
      <c r="L559">
        <v>1908</v>
      </c>
      <c r="M559" t="s">
        <v>203</v>
      </c>
      <c r="N559" t="s">
        <v>203</v>
      </c>
      <c r="Q559" s="2" t="str">
        <f>IF($C559="","",IFERROR(VLOOKUP($C559,sources!$A$2:$N$200,2,FALSE()),"?"))</f>
        <v>Map</v>
      </c>
      <c r="R559" s="2" t="str">
        <f t="shared" si="8"/>
        <v>Map</v>
      </c>
      <c r="S559" s="2" t="str">
        <f>IF($C559="","",IFERROR(VLOOKUP($C559,sources!$A$2:$N$200,9,FALSE()),"?"))</f>
        <v>US official</v>
      </c>
      <c r="T559" t="s">
        <v>5692</v>
      </c>
      <c r="U559">
        <f>IF(OR(B559="",C559="",T559="Retracted",LEFT(D559,8)="Negative"),0,IF(COUNTIFS($B$2:B559,B559,$C$2:C559,C559,$D$2:D559,"&lt;&gt;Negative*",$T$2:T559,"&lt;&gt;Retracted")=1,1,0))</f>
        <v>1</v>
      </c>
    </row>
    <row r="560" spans="1:21" x14ac:dyDescent="0.2">
      <c r="A560" t="s">
        <v>2284</v>
      </c>
      <c r="B560" t="s">
        <v>354</v>
      </c>
      <c r="C560" t="s">
        <v>1335</v>
      </c>
      <c r="D560" t="s">
        <v>1572</v>
      </c>
      <c r="E560" t="s">
        <v>2285</v>
      </c>
      <c r="G560">
        <v>9.1696399999999993</v>
      </c>
      <c r="H560">
        <v>-79.803370000000001</v>
      </c>
      <c r="I560" t="s">
        <v>1573</v>
      </c>
      <c r="J560">
        <v>200</v>
      </c>
      <c r="K560">
        <v>1908</v>
      </c>
      <c r="L560">
        <v>1908</v>
      </c>
      <c r="M560" t="s">
        <v>203</v>
      </c>
      <c r="N560" t="s">
        <v>203</v>
      </c>
      <c r="Q560" s="2" t="str">
        <f>IF($C560="","",IFERROR(VLOOKUP($C560,sources!$A$2:$N$200,2,FALSE()),"?"))</f>
        <v>Map</v>
      </c>
      <c r="R560" s="2" t="str">
        <f t="shared" si="8"/>
        <v>Map</v>
      </c>
      <c r="S560" s="2" t="str">
        <f>IF($C560="","",IFERROR(VLOOKUP($C560,sources!$A$2:$N$200,9,FALSE()),"?"))</f>
        <v>US official</v>
      </c>
      <c r="T560" t="s">
        <v>5692</v>
      </c>
      <c r="U560">
        <f>IF(OR(B560="",C560="",T560="Retracted",LEFT(D560,8)="Negative"),0,IF(COUNTIFS($B$2:B560,B560,$C$2:C560,C560,$D$2:D560,"&lt;&gt;Negative*",$T$2:T560,"&lt;&gt;Retracted")=1,1,0))</f>
        <v>1</v>
      </c>
    </row>
    <row r="561" spans="1:21" x14ac:dyDescent="0.2">
      <c r="A561" t="s">
        <v>2286</v>
      </c>
      <c r="B561" t="s">
        <v>354</v>
      </c>
      <c r="C561" t="s">
        <v>1335</v>
      </c>
      <c r="D561" t="s">
        <v>1572</v>
      </c>
      <c r="E561" t="s">
        <v>2287</v>
      </c>
      <c r="G561">
        <v>9.1651600000000002</v>
      </c>
      <c r="H561">
        <v>-79.814549999999997</v>
      </c>
      <c r="I561" t="s">
        <v>1573</v>
      </c>
      <c r="J561">
        <v>260</v>
      </c>
      <c r="K561">
        <v>1908</v>
      </c>
      <c r="L561">
        <v>1908</v>
      </c>
      <c r="M561" t="s">
        <v>203</v>
      </c>
      <c r="N561" t="s">
        <v>209</v>
      </c>
      <c r="Q561" s="2" t="str">
        <f>IF($C561="","",IFERROR(VLOOKUP($C561,sources!$A$2:$N$200,2,FALSE()),"?"))</f>
        <v>Map</v>
      </c>
      <c r="R561" s="2" t="str">
        <f t="shared" si="8"/>
        <v>Map</v>
      </c>
      <c r="S561" s="2" t="str">
        <f>IF($C561="","",IFERROR(VLOOKUP($C561,sources!$A$2:$N$200,9,FALSE()),"?"))</f>
        <v>US official</v>
      </c>
      <c r="T561" t="s">
        <v>5692</v>
      </c>
      <c r="U561">
        <f>IF(OR(B561="",C561="",T561="Retracted",LEFT(D561,8)="Negative"),0,IF(COUNTIFS($B$2:B561,B561,$C$2:C561,C561,$D$2:D561,"&lt;&gt;Negative*",$T$2:T561,"&lt;&gt;Retracted")=1,1,0))</f>
        <v>0</v>
      </c>
    </row>
    <row r="562" spans="1:21" x14ac:dyDescent="0.2">
      <c r="A562" t="s">
        <v>2288</v>
      </c>
      <c r="B562" t="s">
        <v>360</v>
      </c>
      <c r="C562" t="s">
        <v>1335</v>
      </c>
      <c r="D562" t="s">
        <v>1572</v>
      </c>
      <c r="E562" t="s">
        <v>2289</v>
      </c>
      <c r="G562">
        <v>9.1186699999999998</v>
      </c>
      <c r="H562">
        <v>-79.787009999999995</v>
      </c>
      <c r="I562" t="s">
        <v>1573</v>
      </c>
      <c r="J562">
        <v>400</v>
      </c>
      <c r="K562">
        <v>1908</v>
      </c>
      <c r="L562">
        <v>1908</v>
      </c>
      <c r="M562" t="s">
        <v>203</v>
      </c>
      <c r="N562" t="s">
        <v>190</v>
      </c>
      <c r="Q562" s="2" t="str">
        <f>IF($C562="","",IFERROR(VLOOKUP($C562,sources!$A$2:$N$200,2,FALSE()),"?"))</f>
        <v>Map</v>
      </c>
      <c r="R562" s="2" t="str">
        <f t="shared" si="8"/>
        <v>Map</v>
      </c>
      <c r="S562" s="2" t="str">
        <f>IF($C562="","",IFERROR(VLOOKUP($C562,sources!$A$2:$N$200,9,FALSE()),"?"))</f>
        <v>US official</v>
      </c>
      <c r="T562" t="s">
        <v>5692</v>
      </c>
      <c r="U562">
        <f>IF(OR(B562="",C562="",T562="Retracted",LEFT(D562,8)="Negative"),0,IF(COUNTIFS($B$2:B562,B562,$C$2:C562,C562,$D$2:D562,"&lt;&gt;Negative*",$T$2:T562,"&lt;&gt;Retracted")=1,1,0))</f>
        <v>1</v>
      </c>
    </row>
    <row r="563" spans="1:21" x14ac:dyDescent="0.2">
      <c r="A563" t="s">
        <v>2290</v>
      </c>
      <c r="B563" t="s">
        <v>369</v>
      </c>
      <c r="C563" t="s">
        <v>1335</v>
      </c>
      <c r="D563" t="s">
        <v>1572</v>
      </c>
      <c r="E563" t="s">
        <v>370</v>
      </c>
      <c r="G563">
        <v>9.11327</v>
      </c>
      <c r="H563">
        <v>-79.694040000000001</v>
      </c>
      <c r="I563" t="s">
        <v>1573</v>
      </c>
      <c r="J563">
        <v>400</v>
      </c>
      <c r="K563">
        <v>1908</v>
      </c>
      <c r="L563">
        <v>1908</v>
      </c>
      <c r="M563" t="s">
        <v>203</v>
      </c>
      <c r="N563" t="s">
        <v>190</v>
      </c>
      <c r="Q563" s="2" t="str">
        <f>IF($C563="","",IFERROR(VLOOKUP($C563,sources!$A$2:$N$200,2,FALSE()),"?"))</f>
        <v>Map</v>
      </c>
      <c r="R563" s="2" t="str">
        <f t="shared" si="8"/>
        <v>Map</v>
      </c>
      <c r="S563" s="2" t="str">
        <f>IF($C563="","",IFERROR(VLOOKUP($C563,sources!$A$2:$N$200,9,FALSE()),"?"))</f>
        <v>US official</v>
      </c>
      <c r="T563" t="s">
        <v>5692</v>
      </c>
      <c r="U563">
        <f>IF(OR(B563="",C563="",T563="Retracted",LEFT(D563,8)="Negative"),0,IF(COUNTIFS($B$2:B563,B563,$C$2:C563,C563,$D$2:D563,"&lt;&gt;Negative*",$T$2:T563,"&lt;&gt;Retracted")=1,1,0))</f>
        <v>1</v>
      </c>
    </row>
    <row r="564" spans="1:21" x14ac:dyDescent="0.2">
      <c r="A564" t="s">
        <v>2291</v>
      </c>
      <c r="B564" t="s">
        <v>383</v>
      </c>
      <c r="C564" t="s">
        <v>1335</v>
      </c>
      <c r="D564" t="s">
        <v>1572</v>
      </c>
      <c r="E564" t="s">
        <v>2292</v>
      </c>
      <c r="G564">
        <v>9.3156099999999995</v>
      </c>
      <c r="H564">
        <v>-79.920860000000005</v>
      </c>
      <c r="I564" t="s">
        <v>1573</v>
      </c>
      <c r="J564">
        <v>400</v>
      </c>
      <c r="K564">
        <v>1908</v>
      </c>
      <c r="L564">
        <v>1908</v>
      </c>
      <c r="M564" t="s">
        <v>203</v>
      </c>
      <c r="N564" t="s">
        <v>190</v>
      </c>
      <c r="Q564" s="2" t="str">
        <f>IF($C564="","",IFERROR(VLOOKUP($C564,sources!$A$2:$N$200,2,FALSE()),"?"))</f>
        <v>Map</v>
      </c>
      <c r="R564" s="2" t="str">
        <f t="shared" si="8"/>
        <v>Map</v>
      </c>
      <c r="S564" s="2" t="str">
        <f>IF($C564="","",IFERROR(VLOOKUP($C564,sources!$A$2:$N$200,9,FALSE()),"?"))</f>
        <v>US official</v>
      </c>
      <c r="T564" t="s">
        <v>5692</v>
      </c>
      <c r="U564">
        <f>IF(OR(B564="",C564="",T564="Retracted",LEFT(D564,8)="Negative"),0,IF(COUNTIFS($B$2:B564,B564,$C$2:C564,C564,$D$2:D564,"&lt;&gt;Negative*",$T$2:T564,"&lt;&gt;Retracted")=1,1,0))</f>
        <v>1</v>
      </c>
    </row>
    <row r="565" spans="1:21" x14ac:dyDescent="0.2">
      <c r="A565" t="s">
        <v>2293</v>
      </c>
      <c r="B565" t="s">
        <v>389</v>
      </c>
      <c r="C565" t="s">
        <v>1335</v>
      </c>
      <c r="D565" t="s">
        <v>1572</v>
      </c>
      <c r="E565" t="s">
        <v>2251</v>
      </c>
      <c r="G565">
        <v>9.2280700000000007</v>
      </c>
      <c r="H565">
        <v>-79.904769999999999</v>
      </c>
      <c r="I565" t="s">
        <v>1573</v>
      </c>
      <c r="J565">
        <v>260</v>
      </c>
      <c r="K565">
        <v>1908</v>
      </c>
      <c r="L565">
        <v>1908</v>
      </c>
      <c r="M565" t="s">
        <v>203</v>
      </c>
      <c r="N565" t="s">
        <v>209</v>
      </c>
      <c r="Q565" s="2" t="str">
        <f>IF($C565="","",IFERROR(VLOOKUP($C565,sources!$A$2:$N$200,2,FALSE()),"?"))</f>
        <v>Map</v>
      </c>
      <c r="R565" s="2" t="str">
        <f t="shared" si="8"/>
        <v>Map</v>
      </c>
      <c r="S565" s="2" t="str">
        <f>IF($C565="","",IFERROR(VLOOKUP($C565,sources!$A$2:$N$200,9,FALSE()),"?"))</f>
        <v>US official</v>
      </c>
      <c r="T565" t="s">
        <v>5692</v>
      </c>
      <c r="U565">
        <f>IF(OR(B565="",C565="",T565="Retracted",LEFT(D565,8)="Negative"),0,IF(COUNTIFS($B$2:B565,B565,$C$2:C565,C565,$D$2:D565,"&lt;&gt;Negative*",$T$2:T565,"&lt;&gt;Retracted")=1,1,0))</f>
        <v>1</v>
      </c>
    </row>
    <row r="566" spans="1:21" x14ac:dyDescent="0.2">
      <c r="A566" t="s">
        <v>2294</v>
      </c>
      <c r="B566" t="s">
        <v>433</v>
      </c>
      <c r="C566" t="s">
        <v>1335</v>
      </c>
      <c r="D566" t="s">
        <v>1572</v>
      </c>
      <c r="E566" t="s">
        <v>434</v>
      </c>
      <c r="G566">
        <v>9.1177299999999999</v>
      </c>
      <c r="H566">
        <v>-79.740099999999998</v>
      </c>
      <c r="I566" t="s">
        <v>1573</v>
      </c>
      <c r="J566">
        <v>200</v>
      </c>
      <c r="K566">
        <v>1908</v>
      </c>
      <c r="L566">
        <v>1908</v>
      </c>
      <c r="M566" t="s">
        <v>203</v>
      </c>
      <c r="N566" t="s">
        <v>203</v>
      </c>
      <c r="Q566" s="2" t="str">
        <f>IF($C566="","",IFERROR(VLOOKUP($C566,sources!$A$2:$N$200,2,FALSE()),"?"))</f>
        <v>Map</v>
      </c>
      <c r="R566" s="2" t="str">
        <f t="shared" si="8"/>
        <v>Map</v>
      </c>
      <c r="S566" s="2" t="str">
        <f>IF($C566="","",IFERROR(VLOOKUP($C566,sources!$A$2:$N$200,9,FALSE()),"?"))</f>
        <v>US official</v>
      </c>
      <c r="T566" t="s">
        <v>5692</v>
      </c>
      <c r="U566">
        <f>IF(OR(B566="",C566="",T566="Retracted",LEFT(D566,8)="Negative"),0,IF(COUNTIFS($B$2:B566,B566,$C$2:C566,C566,$D$2:D566,"&lt;&gt;Negative*",$T$2:T566,"&lt;&gt;Retracted")=1,1,0))</f>
        <v>1</v>
      </c>
    </row>
    <row r="567" spans="1:21" x14ac:dyDescent="0.2">
      <c r="A567" t="s">
        <v>2295</v>
      </c>
      <c r="B567" t="s">
        <v>194</v>
      </c>
      <c r="C567" t="s">
        <v>1340</v>
      </c>
      <c r="D567" t="s">
        <v>1572</v>
      </c>
      <c r="E567" t="s">
        <v>2296</v>
      </c>
      <c r="G567">
        <v>9.1122999999999994</v>
      </c>
      <c r="H567">
        <v>-79.777289999999994</v>
      </c>
      <c r="I567" t="s">
        <v>1573</v>
      </c>
      <c r="J567">
        <v>1040</v>
      </c>
      <c r="K567">
        <v>1862</v>
      </c>
      <c r="L567">
        <v>1862</v>
      </c>
      <c r="M567" t="s">
        <v>203</v>
      </c>
      <c r="N567" t="s">
        <v>209</v>
      </c>
      <c r="Q567" s="2" t="str">
        <f>IF($C567="","",IFERROR(VLOOKUP($C567,sources!$A$2:$N$200,2,FALSE()),"?"))</f>
        <v>Map</v>
      </c>
      <c r="R567" s="2" t="str">
        <f t="shared" si="8"/>
        <v>Map</v>
      </c>
      <c r="S567" s="2" t="str">
        <f>IF($C567="","",IFERROR(VLOOKUP($C567,sources!$A$2:$N$200,9,FALSE()),"?"))</f>
        <v>PRR company</v>
      </c>
      <c r="T567" t="s">
        <v>5692</v>
      </c>
      <c r="U567">
        <f>IF(OR(B567="",C567="",T567="Retracted",LEFT(D567,8)="Negative"),0,IF(COUNTIFS($B$2:B567,B567,$C$2:C567,C567,$D$2:D567,"&lt;&gt;Negative*",$T$2:T567,"&lt;&gt;Retracted")=1,1,0))</f>
        <v>1</v>
      </c>
    </row>
    <row r="568" spans="1:21" x14ac:dyDescent="0.2">
      <c r="A568" t="s">
        <v>2297</v>
      </c>
      <c r="B568" t="s">
        <v>215</v>
      </c>
      <c r="C568" t="s">
        <v>1340</v>
      </c>
      <c r="D568" t="s">
        <v>1572</v>
      </c>
      <c r="E568" t="s">
        <v>2298</v>
      </c>
      <c r="G568">
        <v>9.11008</v>
      </c>
      <c r="H568">
        <v>-79.764859999999999</v>
      </c>
      <c r="I568" t="s">
        <v>1573</v>
      </c>
      <c r="J568">
        <v>1600</v>
      </c>
      <c r="K568">
        <v>1862</v>
      </c>
      <c r="L568">
        <v>1862</v>
      </c>
      <c r="M568" t="s">
        <v>203</v>
      </c>
      <c r="N568" t="s">
        <v>190</v>
      </c>
      <c r="Q568" s="2" t="str">
        <f>IF($C568="","",IFERROR(VLOOKUP($C568,sources!$A$2:$N$200,2,FALSE()),"?"))</f>
        <v>Map</v>
      </c>
      <c r="R568" s="2" t="str">
        <f t="shared" si="8"/>
        <v>Map</v>
      </c>
      <c r="S568" s="2" t="str">
        <f>IF($C568="","",IFERROR(VLOOKUP($C568,sources!$A$2:$N$200,9,FALSE()),"?"))</f>
        <v>PRR company</v>
      </c>
      <c r="T568" t="s">
        <v>5692</v>
      </c>
      <c r="U568">
        <f>IF(OR(B568="",C568="",T568="Retracted",LEFT(D568,8)="Negative"),0,IF(COUNTIFS($B$2:B568,B568,$C$2:C568,C568,$D$2:D568,"&lt;&gt;Negative*",$T$2:T568,"&lt;&gt;Retracted")=1,1,0))</f>
        <v>1</v>
      </c>
    </row>
    <row r="569" spans="1:21" x14ac:dyDescent="0.2">
      <c r="A569" t="s">
        <v>2299</v>
      </c>
      <c r="B569" t="s">
        <v>217</v>
      </c>
      <c r="C569" t="s">
        <v>1340</v>
      </c>
      <c r="D569" t="s">
        <v>1572</v>
      </c>
      <c r="E569" t="s">
        <v>2300</v>
      </c>
      <c r="G569">
        <v>9.20472</v>
      </c>
      <c r="H569">
        <v>-79.867459999999994</v>
      </c>
      <c r="I569" t="s">
        <v>1573</v>
      </c>
      <c r="J569">
        <v>1600</v>
      </c>
      <c r="K569">
        <v>1862</v>
      </c>
      <c r="L569">
        <v>1862</v>
      </c>
      <c r="M569" t="s">
        <v>203</v>
      </c>
      <c r="N569" t="s">
        <v>190</v>
      </c>
      <c r="Q569" s="2" t="str">
        <f>IF($C569="","",IFERROR(VLOOKUP($C569,sources!$A$2:$N$200,2,FALSE()),"?"))</f>
        <v>Map</v>
      </c>
      <c r="R569" s="2" t="str">
        <f t="shared" si="8"/>
        <v>Map</v>
      </c>
      <c r="S569" s="2" t="str">
        <f>IF($C569="","",IFERROR(VLOOKUP($C569,sources!$A$2:$N$200,9,FALSE()),"?"))</f>
        <v>PRR company</v>
      </c>
      <c r="T569" t="s">
        <v>5692</v>
      </c>
      <c r="U569">
        <f>IF(OR(B569="",C569="",T569="Retracted",LEFT(D569,8)="Negative"),0,IF(COUNTIFS($B$2:B569,B569,$C$2:C569,C569,$D$2:D569,"&lt;&gt;Negative*",$T$2:T569,"&lt;&gt;Retracted")=1,1,0))</f>
        <v>1</v>
      </c>
    </row>
    <row r="570" spans="1:21" x14ac:dyDescent="0.2">
      <c r="A570" t="s">
        <v>2301</v>
      </c>
      <c r="B570" t="s">
        <v>219</v>
      </c>
      <c r="C570" t="s">
        <v>1340</v>
      </c>
      <c r="D570" t="s">
        <v>1572</v>
      </c>
      <c r="E570" t="s">
        <v>2302</v>
      </c>
      <c r="G570">
        <v>9.2686799999999998</v>
      </c>
      <c r="H570">
        <v>-79.929130000000001</v>
      </c>
      <c r="I570" t="s">
        <v>1573</v>
      </c>
      <c r="J570">
        <v>800</v>
      </c>
      <c r="K570">
        <v>1862</v>
      </c>
      <c r="L570">
        <v>1862</v>
      </c>
      <c r="M570" t="s">
        <v>203</v>
      </c>
      <c r="N570" t="s">
        <v>203</v>
      </c>
      <c r="Q570" s="2" t="str">
        <f>IF($C570="","",IFERROR(VLOOKUP($C570,sources!$A$2:$N$200,2,FALSE()),"?"))</f>
        <v>Map</v>
      </c>
      <c r="R570" s="2" t="str">
        <f t="shared" si="8"/>
        <v>Map</v>
      </c>
      <c r="S570" s="2" t="str">
        <f>IF($C570="","",IFERROR(VLOOKUP($C570,sources!$A$2:$N$200,9,FALSE()),"?"))</f>
        <v>PRR company</v>
      </c>
      <c r="T570" t="s">
        <v>5692</v>
      </c>
      <c r="U570">
        <f>IF(OR(B570="",C570="",T570="Retracted",LEFT(D570,8)="Negative"),0,IF(COUNTIFS($B$2:B570,B570,$C$2:C570,C570,$D$2:D570,"&lt;&gt;Negative*",$T$2:T570,"&lt;&gt;Retracted")=1,1,0))</f>
        <v>1</v>
      </c>
    </row>
    <row r="571" spans="1:21" x14ac:dyDescent="0.2">
      <c r="A571" t="s">
        <v>2303</v>
      </c>
      <c r="B571" t="s">
        <v>265</v>
      </c>
      <c r="C571" t="s">
        <v>1340</v>
      </c>
      <c r="D571" t="s">
        <v>1572</v>
      </c>
      <c r="E571" t="s">
        <v>2304</v>
      </c>
      <c r="G571">
        <v>9.1898300000000006</v>
      </c>
      <c r="H571">
        <v>-79.856189999999998</v>
      </c>
      <c r="I571" t="s">
        <v>1573</v>
      </c>
      <c r="J571">
        <v>800</v>
      </c>
      <c r="K571">
        <v>1862</v>
      </c>
      <c r="L571">
        <v>1862</v>
      </c>
      <c r="M571" t="s">
        <v>203</v>
      </c>
      <c r="N571" t="s">
        <v>203</v>
      </c>
      <c r="Q571" s="2" t="str">
        <f>IF($C571="","",IFERROR(VLOOKUP($C571,sources!$A$2:$N$200,2,FALSE()),"?"))</f>
        <v>Map</v>
      </c>
      <c r="R571" s="2" t="str">
        <f t="shared" si="8"/>
        <v>Map</v>
      </c>
      <c r="S571" s="2" t="str">
        <f>IF($C571="","",IFERROR(VLOOKUP($C571,sources!$A$2:$N$200,9,FALSE()),"?"))</f>
        <v>PRR company</v>
      </c>
      <c r="T571" t="s">
        <v>5692</v>
      </c>
      <c r="U571">
        <f>IF(OR(B571="",C571="",T571="Retracted",LEFT(D571,8)="Negative"),0,IF(COUNTIFS($B$2:B571,B571,$C$2:C571,C571,$D$2:D571,"&lt;&gt;Negative*",$T$2:T571,"&lt;&gt;Retracted")=1,1,0))</f>
        <v>1</v>
      </c>
    </row>
    <row r="572" spans="1:21" x14ac:dyDescent="0.2">
      <c r="A572" t="s">
        <v>2305</v>
      </c>
      <c r="B572" t="s">
        <v>354</v>
      </c>
      <c r="C572" t="s">
        <v>1340</v>
      </c>
      <c r="D572" t="s">
        <v>1572</v>
      </c>
      <c r="E572" t="s">
        <v>2306</v>
      </c>
      <c r="G572">
        <v>9.1703100000000006</v>
      </c>
      <c r="H572">
        <v>-79.78349</v>
      </c>
      <c r="I572" t="s">
        <v>1573</v>
      </c>
      <c r="J572">
        <v>1600</v>
      </c>
      <c r="K572">
        <v>1862</v>
      </c>
      <c r="L572">
        <v>1862</v>
      </c>
      <c r="M572" t="s">
        <v>203</v>
      </c>
      <c r="N572" t="s">
        <v>190</v>
      </c>
      <c r="Q572" s="2" t="str">
        <f>IF($C572="","",IFERROR(VLOOKUP($C572,sources!$A$2:$N$200,2,FALSE()),"?"))</f>
        <v>Map</v>
      </c>
      <c r="R572" s="2" t="str">
        <f t="shared" si="8"/>
        <v>Map</v>
      </c>
      <c r="S572" s="2" t="str">
        <f>IF($C572="","",IFERROR(VLOOKUP($C572,sources!$A$2:$N$200,9,FALSE()),"?"))</f>
        <v>PRR company</v>
      </c>
      <c r="T572" t="s">
        <v>5692</v>
      </c>
      <c r="U572">
        <f>IF(OR(B572="",C572="",T572="Retracted",LEFT(D572,8)="Negative"),0,IF(COUNTIFS($B$2:B572,B572,$C$2:C572,C572,$D$2:D572,"&lt;&gt;Negative*",$T$2:T572,"&lt;&gt;Retracted")=1,1,0))</f>
        <v>1</v>
      </c>
    </row>
    <row r="573" spans="1:21" x14ac:dyDescent="0.2">
      <c r="A573" t="s">
        <v>2307</v>
      </c>
      <c r="B573" t="s">
        <v>360</v>
      </c>
      <c r="C573" t="s">
        <v>1340</v>
      </c>
      <c r="D573" t="s">
        <v>1572</v>
      </c>
      <c r="E573" t="s">
        <v>2308</v>
      </c>
      <c r="G573">
        <v>9.1168800000000001</v>
      </c>
      <c r="H573">
        <v>-79.780140000000003</v>
      </c>
      <c r="I573" t="s">
        <v>1573</v>
      </c>
      <c r="J573">
        <v>1040</v>
      </c>
      <c r="K573">
        <v>1862</v>
      </c>
      <c r="L573">
        <v>1862</v>
      </c>
      <c r="M573" t="s">
        <v>203</v>
      </c>
      <c r="N573" t="s">
        <v>209</v>
      </c>
      <c r="Q573" s="2" t="str">
        <f>IF($C573="","",IFERROR(VLOOKUP($C573,sources!$A$2:$N$200,2,FALSE()),"?"))</f>
        <v>Map</v>
      </c>
      <c r="R573" s="2" t="str">
        <f t="shared" si="8"/>
        <v>Map</v>
      </c>
      <c r="S573" s="2" t="str">
        <f>IF($C573="","",IFERROR(VLOOKUP($C573,sources!$A$2:$N$200,9,FALSE()),"?"))</f>
        <v>PRR company</v>
      </c>
      <c r="T573" t="s">
        <v>5692</v>
      </c>
      <c r="U573">
        <f>IF(OR(B573="",C573="",T573="Retracted",LEFT(D573,8)="Negative"),0,IF(COUNTIFS($B$2:B573,B573,$C$2:C573,C573,$D$2:D573,"&lt;&gt;Negative*",$T$2:T573,"&lt;&gt;Retracted")=1,1,0))</f>
        <v>1</v>
      </c>
    </row>
    <row r="574" spans="1:21" x14ac:dyDescent="0.2">
      <c r="A574" t="s">
        <v>2310</v>
      </c>
      <c r="B574" t="s">
        <v>363</v>
      </c>
      <c r="C574" t="s">
        <v>1340</v>
      </c>
      <c r="D574" t="s">
        <v>1572</v>
      </c>
      <c r="E574" t="s">
        <v>2311</v>
      </c>
      <c r="G574">
        <v>9.1323000000000008</v>
      </c>
      <c r="H574">
        <v>-79.814830000000001</v>
      </c>
      <c r="I574" t="s">
        <v>1573</v>
      </c>
      <c r="J574">
        <v>1040</v>
      </c>
      <c r="K574">
        <v>1862</v>
      </c>
      <c r="L574">
        <v>1862</v>
      </c>
      <c r="M574" t="s">
        <v>203</v>
      </c>
      <c r="N574" t="s">
        <v>209</v>
      </c>
      <c r="Q574" s="2" t="str">
        <f>IF($C574="","",IFERROR(VLOOKUP($C574,sources!$A$2:$N$200,2,FALSE()),"?"))</f>
        <v>Map</v>
      </c>
      <c r="R574" s="2" t="str">
        <f t="shared" si="8"/>
        <v>Map</v>
      </c>
      <c r="S574" s="2" t="str">
        <f>IF($C574="","",IFERROR(VLOOKUP($C574,sources!$A$2:$N$200,9,FALSE()),"?"))</f>
        <v>PRR company</v>
      </c>
      <c r="T574" t="s">
        <v>5692</v>
      </c>
      <c r="U574">
        <f>IF(OR(B574="",C574="",T574="Retracted",LEFT(D574,8)="Negative"),0,IF(COUNTIFS($B$2:B574,B574,$C$2:C574,C574,$D$2:D574,"&lt;&gt;Negative*",$T$2:T574,"&lt;&gt;Retracted")=1,1,0))</f>
        <v>1</v>
      </c>
    </row>
    <row r="575" spans="1:21" x14ac:dyDescent="0.2">
      <c r="A575" t="s">
        <v>2312</v>
      </c>
      <c r="B575" t="s">
        <v>389</v>
      </c>
      <c r="C575" t="s">
        <v>1340</v>
      </c>
      <c r="D575" t="s">
        <v>1572</v>
      </c>
      <c r="E575" t="s">
        <v>2313</v>
      </c>
      <c r="G575">
        <v>9.2281099999999991</v>
      </c>
      <c r="H575">
        <v>-79.904619999999994</v>
      </c>
      <c r="I575" t="s">
        <v>1573</v>
      </c>
      <c r="J575">
        <v>1040</v>
      </c>
      <c r="K575">
        <v>1862</v>
      </c>
      <c r="L575">
        <v>1862</v>
      </c>
      <c r="M575" t="s">
        <v>203</v>
      </c>
      <c r="N575" t="s">
        <v>209</v>
      </c>
      <c r="Q575" s="2" t="str">
        <f>IF($C575="","",IFERROR(VLOOKUP($C575,sources!$A$2:$N$200,2,FALSE()),"?"))</f>
        <v>Map</v>
      </c>
      <c r="R575" s="2" t="str">
        <f t="shared" si="8"/>
        <v>Map</v>
      </c>
      <c r="S575" s="2" t="str">
        <f>IF($C575="","",IFERROR(VLOOKUP($C575,sources!$A$2:$N$200,9,FALSE()),"?"))</f>
        <v>PRR company</v>
      </c>
      <c r="T575" t="s">
        <v>5692</v>
      </c>
      <c r="U575">
        <f>IF(OR(B575="",C575="",T575="Retracted",LEFT(D575,8)="Negative"),0,IF(COUNTIFS($B$2:B575,B575,$C$2:C575,C575,$D$2:D575,"&lt;&gt;Negative*",$T$2:T575,"&lt;&gt;Retracted")=1,1,0))</f>
        <v>1</v>
      </c>
    </row>
    <row r="576" spans="1:21" x14ac:dyDescent="0.2">
      <c r="A576" t="s">
        <v>2314</v>
      </c>
      <c r="B576" t="s">
        <v>395</v>
      </c>
      <c r="C576" t="s">
        <v>1340</v>
      </c>
      <c r="D576" t="s">
        <v>1572</v>
      </c>
      <c r="E576" t="s">
        <v>2315</v>
      </c>
      <c r="G576">
        <v>9.1173500000000001</v>
      </c>
      <c r="H576">
        <v>-79.757339999999999</v>
      </c>
      <c r="I576" t="s">
        <v>1573</v>
      </c>
      <c r="J576">
        <v>1040</v>
      </c>
      <c r="K576">
        <v>1862</v>
      </c>
      <c r="L576">
        <v>1862</v>
      </c>
      <c r="M576" t="s">
        <v>203</v>
      </c>
      <c r="N576" t="s">
        <v>209</v>
      </c>
      <c r="Q576" s="2" t="str">
        <f>IF($C576="","",IFERROR(VLOOKUP($C576,sources!$A$2:$N$200,2,FALSE()),"?"))</f>
        <v>Map</v>
      </c>
      <c r="R576" s="2" t="str">
        <f t="shared" si="8"/>
        <v>Map</v>
      </c>
      <c r="S576" s="2" t="str">
        <f>IF($C576="","",IFERROR(VLOOKUP($C576,sources!$A$2:$N$200,9,FALSE()),"?"))</f>
        <v>PRR company</v>
      </c>
      <c r="T576" t="s">
        <v>5692</v>
      </c>
      <c r="U576">
        <f>IF(OR(B576="",C576="",T576="Retracted",LEFT(D576,8)="Negative"),0,IF(COUNTIFS($B$2:B576,B576,$C$2:C576,C576,$D$2:D576,"&lt;&gt;Negative*",$T$2:T576,"&lt;&gt;Retracted")=1,1,0))</f>
        <v>1</v>
      </c>
    </row>
    <row r="577" spans="1:21" x14ac:dyDescent="0.2">
      <c r="A577" t="s">
        <v>2316</v>
      </c>
      <c r="B577" t="s">
        <v>403</v>
      </c>
      <c r="C577" t="s">
        <v>1340</v>
      </c>
      <c r="D577" t="s">
        <v>1564</v>
      </c>
      <c r="E577" t="s">
        <v>2317</v>
      </c>
      <c r="G577">
        <v>9.2463499999999996</v>
      </c>
      <c r="H577">
        <v>-79.864890000000003</v>
      </c>
      <c r="I577" t="s">
        <v>1573</v>
      </c>
      <c r="J577">
        <v>1040</v>
      </c>
      <c r="M577" t="s">
        <v>203</v>
      </c>
      <c r="N577" t="s">
        <v>209</v>
      </c>
      <c r="Q577" s="2" t="str">
        <f>IF($C577="","",IFERROR(VLOOKUP($C577,sources!$A$2:$N$200,2,FALSE()),"?"))</f>
        <v>Map</v>
      </c>
      <c r="R577" s="2" t="str">
        <f t="shared" si="8"/>
        <v>Map</v>
      </c>
      <c r="S577" s="2" t="str">
        <f>IF($C577="","",IFERROR(VLOOKUP($C577,sources!$A$2:$N$200,9,FALSE()),"?"))</f>
        <v>PRR company</v>
      </c>
      <c r="T577" t="s">
        <v>5692</v>
      </c>
      <c r="U577">
        <f>IF(OR(B577="",C577="",T577="Retracted",LEFT(D577,8)="Negative"),0,IF(COUNTIFS($B$2:B577,B577,$C$2:C577,C577,$D$2:D577,"&lt;&gt;Negative*",$T$2:T577,"&lt;&gt;Retracted")=1,1,0))</f>
        <v>1</v>
      </c>
    </row>
    <row r="578" spans="1:21" x14ac:dyDescent="0.2">
      <c r="A578" t="s">
        <v>2318</v>
      </c>
      <c r="B578" t="s">
        <v>498</v>
      </c>
      <c r="C578" t="s">
        <v>1340</v>
      </c>
      <c r="D578" t="s">
        <v>1572</v>
      </c>
      <c r="E578" t="s">
        <v>2319</v>
      </c>
      <c r="G578">
        <v>9.1839099999999991</v>
      </c>
      <c r="H578">
        <v>-79.865409999999997</v>
      </c>
      <c r="I578" t="s">
        <v>1573</v>
      </c>
      <c r="J578">
        <v>1600</v>
      </c>
      <c r="K578">
        <v>1862</v>
      </c>
      <c r="L578">
        <v>1862</v>
      </c>
      <c r="M578" t="s">
        <v>203</v>
      </c>
      <c r="N578" t="s">
        <v>190</v>
      </c>
      <c r="Q578" s="2" t="str">
        <f>IF($C578="","",IFERROR(VLOOKUP($C578,sources!$A$2:$N$200,2,FALSE()),"?"))</f>
        <v>Map</v>
      </c>
      <c r="R578" s="2" t="str">
        <f t="shared" ref="R578:R641" si="9">IF($Q578="","",IF($Q578="Map","Map",IF(OR($Q578="Photograph",$Q578="Postcard"),"Image",IF(OR($Q578="Census or roll",$Q578="Report",$Q578="Newspaper",$Q578="Letter",$Q578="Memoir",$Q578="Administrative",$Q578="Web compilation"),"Textual",IF($Q578="Legal claim","Legal/admin",IF($Q578="Secondary","Secondary","Other"))))))</f>
        <v>Map</v>
      </c>
      <c r="S578" s="2" t="str">
        <f>IF($C578="","",IFERROR(VLOOKUP($C578,sources!$A$2:$N$200,9,FALSE()),"?"))</f>
        <v>PRR company</v>
      </c>
      <c r="T578" t="s">
        <v>5692</v>
      </c>
      <c r="U578">
        <f>IF(OR(B578="",C578="",T578="Retracted",LEFT(D578,8)="Negative"),0,IF(COUNTIFS($B$2:B578,B578,$C$2:C578,C578,$D$2:D578,"&lt;&gt;Negative*",$T$2:T578,"&lt;&gt;Retracted")=1,1,0))</f>
        <v>1</v>
      </c>
    </row>
    <row r="579" spans="1:21" x14ac:dyDescent="0.2">
      <c r="A579" t="s">
        <v>2320</v>
      </c>
      <c r="B579" t="s">
        <v>179</v>
      </c>
      <c r="C579" t="s">
        <v>1347</v>
      </c>
      <c r="D579" t="s">
        <v>1572</v>
      </c>
      <c r="E579" t="s">
        <v>180</v>
      </c>
      <c r="G579">
        <v>9.1093489999999999</v>
      </c>
      <c r="H579">
        <v>-79.708130999999995</v>
      </c>
      <c r="I579" t="s">
        <v>1573</v>
      </c>
      <c r="J579">
        <v>300</v>
      </c>
      <c r="K579">
        <v>1895</v>
      </c>
      <c r="L579">
        <v>1895</v>
      </c>
      <c r="M579" t="s">
        <v>203</v>
      </c>
      <c r="N579" t="s">
        <v>203</v>
      </c>
      <c r="Q579" s="2" t="str">
        <f>IF($C579="","",IFERROR(VLOOKUP($C579,sources!$A$2:$N$200,2,FALSE()),"?"))</f>
        <v>Map</v>
      </c>
      <c r="R579" s="2" t="str">
        <f t="shared" si="9"/>
        <v>Map</v>
      </c>
      <c r="S579" s="2" t="str">
        <f>IF($C579="","",IFERROR(VLOOKUP($C579,sources!$A$2:$N$200,9,FALSE()),"?"))</f>
        <v>French company</v>
      </c>
      <c r="T579" t="s">
        <v>5692</v>
      </c>
      <c r="U579">
        <f>IF(OR(B579="",C579="",T579="Retracted",LEFT(D579,8)="Negative"),0,IF(COUNTIFS($B$2:B579,B579,$C$2:C579,C579,$D$2:D579,"&lt;&gt;Negative*",$T$2:T579,"&lt;&gt;Retracted")=1,1,0))</f>
        <v>1</v>
      </c>
    </row>
    <row r="580" spans="1:21" x14ac:dyDescent="0.2">
      <c r="A580" t="s">
        <v>2321</v>
      </c>
      <c r="B580" t="s">
        <v>233</v>
      </c>
      <c r="C580" t="s">
        <v>1347</v>
      </c>
      <c r="D580" t="s">
        <v>1572</v>
      </c>
      <c r="E580" t="s">
        <v>2322</v>
      </c>
      <c r="G580">
        <v>9.0620949999999993</v>
      </c>
      <c r="H580">
        <v>-79.671454999999995</v>
      </c>
      <c r="I580" t="s">
        <v>1573</v>
      </c>
      <c r="J580">
        <v>300</v>
      </c>
      <c r="K580">
        <v>1895</v>
      </c>
      <c r="L580">
        <v>1895</v>
      </c>
      <c r="M580" t="s">
        <v>203</v>
      </c>
      <c r="N580" t="s">
        <v>190</v>
      </c>
      <c r="Q580" s="2" t="str">
        <f>IF($C580="","",IFERROR(VLOOKUP($C580,sources!$A$2:$N$200,2,FALSE()),"?"))</f>
        <v>Map</v>
      </c>
      <c r="R580" s="2" t="str">
        <f t="shared" si="9"/>
        <v>Map</v>
      </c>
      <c r="S580" s="2" t="str">
        <f>IF($C580="","",IFERROR(VLOOKUP($C580,sources!$A$2:$N$200,9,FALSE()),"?"))</f>
        <v>French company</v>
      </c>
      <c r="T580" t="s">
        <v>5692</v>
      </c>
      <c r="U580">
        <f>IF(OR(B580="",C580="",T580="Retracted",LEFT(D580,8)="Negative"),0,IF(COUNTIFS($B$2:B580,B580,$C$2:C580,C580,$D$2:D580,"&lt;&gt;Negative*",$T$2:T580,"&lt;&gt;Retracted")=1,1,0))</f>
        <v>1</v>
      </c>
    </row>
    <row r="581" spans="1:21" x14ac:dyDescent="0.2">
      <c r="A581" t="s">
        <v>2323</v>
      </c>
      <c r="B581" t="s">
        <v>242</v>
      </c>
      <c r="C581" t="s">
        <v>1347</v>
      </c>
      <c r="D581" t="s">
        <v>1572</v>
      </c>
      <c r="E581" t="s">
        <v>2324</v>
      </c>
      <c r="G581">
        <v>9.1148959999999999</v>
      </c>
      <c r="H581">
        <v>-79.726400999999996</v>
      </c>
      <c r="I581" t="s">
        <v>1573</v>
      </c>
      <c r="J581">
        <v>300</v>
      </c>
      <c r="K581">
        <v>1895</v>
      </c>
      <c r="L581">
        <v>1895</v>
      </c>
      <c r="M581" t="s">
        <v>203</v>
      </c>
      <c r="N581" t="s">
        <v>203</v>
      </c>
      <c r="Q581" s="2" t="str">
        <f>IF($C581="","",IFERROR(VLOOKUP($C581,sources!$A$2:$N$200,2,FALSE()),"?"))</f>
        <v>Map</v>
      </c>
      <c r="R581" s="2" t="str">
        <f t="shared" si="9"/>
        <v>Map</v>
      </c>
      <c r="S581" s="2" t="str">
        <f>IF($C581="","",IFERROR(VLOOKUP($C581,sources!$A$2:$N$200,9,FALSE()),"?"))</f>
        <v>French company</v>
      </c>
      <c r="T581" t="s">
        <v>5692</v>
      </c>
      <c r="U581">
        <f>IF(OR(B581="",C581="",T581="Retracted",LEFT(D581,8)="Negative"),0,IF(COUNTIFS($B$2:B581,B581,$C$2:C581,C581,$D$2:D581,"&lt;&gt;Negative*",$T$2:T581,"&lt;&gt;Retracted")=1,1,0))</f>
        <v>1</v>
      </c>
    </row>
    <row r="582" spans="1:21" x14ac:dyDescent="0.2">
      <c r="A582" t="s">
        <v>2325</v>
      </c>
      <c r="B582" t="s">
        <v>247</v>
      </c>
      <c r="C582" t="s">
        <v>1347</v>
      </c>
      <c r="D582" t="s">
        <v>1572</v>
      </c>
      <c r="E582" t="s">
        <v>248</v>
      </c>
      <c r="G582">
        <v>9.0502359999999999</v>
      </c>
      <c r="H582">
        <v>-79.654612</v>
      </c>
      <c r="I582" t="s">
        <v>1573</v>
      </c>
      <c r="J582">
        <v>300</v>
      </c>
      <c r="K582">
        <v>1895</v>
      </c>
      <c r="L582">
        <v>1895</v>
      </c>
      <c r="M582" t="s">
        <v>203</v>
      </c>
      <c r="N582" t="s">
        <v>203</v>
      </c>
      <c r="Q582" s="2" t="str">
        <f>IF($C582="","",IFERROR(VLOOKUP($C582,sources!$A$2:$N$200,2,FALSE()),"?"))</f>
        <v>Map</v>
      </c>
      <c r="R582" s="2" t="str">
        <f t="shared" si="9"/>
        <v>Map</v>
      </c>
      <c r="S582" s="2" t="str">
        <f>IF($C582="","",IFERROR(VLOOKUP($C582,sources!$A$2:$N$200,9,FALSE()),"?"))</f>
        <v>French company</v>
      </c>
      <c r="T582" t="s">
        <v>5692</v>
      </c>
      <c r="U582">
        <f>IF(OR(B582="",C582="",T582="Retracted",LEFT(D582,8)="Negative"),0,IF(COUNTIFS($B$2:B582,B582,$C$2:C582,C582,$D$2:D582,"&lt;&gt;Negative*",$T$2:T582,"&lt;&gt;Retracted")=1,1,0))</f>
        <v>1</v>
      </c>
    </row>
    <row r="583" spans="1:21" x14ac:dyDescent="0.2">
      <c r="A583" t="s">
        <v>2326</v>
      </c>
      <c r="B583" t="s">
        <v>253</v>
      </c>
      <c r="C583" t="s">
        <v>1347</v>
      </c>
      <c r="D583" t="s">
        <v>1572</v>
      </c>
      <c r="E583" t="s">
        <v>254</v>
      </c>
      <c r="G583">
        <v>9.1025299999999998</v>
      </c>
      <c r="H583">
        <v>-79.696164999999993</v>
      </c>
      <c r="I583" t="s">
        <v>1573</v>
      </c>
      <c r="J583">
        <v>300</v>
      </c>
      <c r="K583">
        <v>1895</v>
      </c>
      <c r="L583">
        <v>1895</v>
      </c>
      <c r="M583" t="s">
        <v>203</v>
      </c>
      <c r="N583" t="s">
        <v>203</v>
      </c>
      <c r="Q583" s="2" t="str">
        <f>IF($C583="","",IFERROR(VLOOKUP($C583,sources!$A$2:$N$200,2,FALSE()),"?"))</f>
        <v>Map</v>
      </c>
      <c r="R583" s="2" t="str">
        <f t="shared" si="9"/>
        <v>Map</v>
      </c>
      <c r="S583" s="2" t="str">
        <f>IF($C583="","",IFERROR(VLOOKUP($C583,sources!$A$2:$N$200,9,FALSE()),"?"))</f>
        <v>French company</v>
      </c>
      <c r="T583" t="s">
        <v>5692</v>
      </c>
      <c r="U583">
        <f>IF(OR(B583="",C583="",T583="Retracted",LEFT(D583,8)="Negative"),0,IF(COUNTIFS($B$2:B583,B583,$C$2:C583,C583,$D$2:D583,"&lt;&gt;Negative*",$T$2:T583,"&lt;&gt;Retracted")=1,1,0))</f>
        <v>1</v>
      </c>
    </row>
    <row r="584" spans="1:21" x14ac:dyDescent="0.2">
      <c r="A584" t="s">
        <v>2327</v>
      </c>
      <c r="B584" t="s">
        <v>261</v>
      </c>
      <c r="C584" t="s">
        <v>1347</v>
      </c>
      <c r="D584" t="s">
        <v>1572</v>
      </c>
      <c r="E584" t="s">
        <v>262</v>
      </c>
      <c r="G584">
        <v>9.0868749999999991</v>
      </c>
      <c r="H584">
        <v>-79.683858999999998</v>
      </c>
      <c r="I584" t="s">
        <v>1573</v>
      </c>
      <c r="J584">
        <v>300</v>
      </c>
      <c r="K584">
        <v>1895</v>
      </c>
      <c r="L584">
        <v>1895</v>
      </c>
      <c r="M584" t="s">
        <v>203</v>
      </c>
      <c r="N584" t="s">
        <v>203</v>
      </c>
      <c r="Q584" s="2" t="str">
        <f>IF($C584="","",IFERROR(VLOOKUP($C584,sources!$A$2:$N$200,2,FALSE()),"?"))</f>
        <v>Map</v>
      </c>
      <c r="R584" s="2" t="str">
        <f t="shared" si="9"/>
        <v>Map</v>
      </c>
      <c r="S584" s="2" t="str">
        <f>IF($C584="","",IFERROR(VLOOKUP($C584,sources!$A$2:$N$200,9,FALSE()),"?"))</f>
        <v>French company</v>
      </c>
      <c r="T584" t="s">
        <v>5692</v>
      </c>
      <c r="U584">
        <f>IF(OR(B584="",C584="",T584="Retracted",LEFT(D584,8)="Negative"),0,IF(COUNTIFS($B$2:B584,B584,$C$2:C584,C584,$D$2:D584,"&lt;&gt;Negative*",$T$2:T584,"&lt;&gt;Retracted")=1,1,0))</f>
        <v>1</v>
      </c>
    </row>
    <row r="585" spans="1:21" x14ac:dyDescent="0.2">
      <c r="A585" t="s">
        <v>2328</v>
      </c>
      <c r="B585" t="s">
        <v>340</v>
      </c>
      <c r="C585" t="s">
        <v>1347</v>
      </c>
      <c r="D585" t="s">
        <v>1572</v>
      </c>
      <c r="E585" t="s">
        <v>2329</v>
      </c>
      <c r="G585">
        <v>9.0360189999999996</v>
      </c>
      <c r="H585">
        <v>-79.648059000000003</v>
      </c>
      <c r="I585" t="s">
        <v>1573</v>
      </c>
      <c r="J585">
        <v>600</v>
      </c>
      <c r="K585">
        <v>1895</v>
      </c>
      <c r="L585">
        <v>1895</v>
      </c>
      <c r="M585" t="s">
        <v>203</v>
      </c>
      <c r="N585" t="s">
        <v>190</v>
      </c>
      <c r="Q585" s="2" t="str">
        <f>IF($C585="","",IFERROR(VLOOKUP($C585,sources!$A$2:$N$200,2,FALSE()),"?"))</f>
        <v>Map</v>
      </c>
      <c r="R585" s="2" t="str">
        <f t="shared" si="9"/>
        <v>Map</v>
      </c>
      <c r="S585" s="2" t="str">
        <f>IF($C585="","",IFERROR(VLOOKUP($C585,sources!$A$2:$N$200,9,FALSE()),"?"))</f>
        <v>French company</v>
      </c>
      <c r="T585" t="s">
        <v>5692</v>
      </c>
      <c r="U585">
        <f>IF(OR(B585="",C585="",T585="Retracted",LEFT(D585,8)="Negative"),0,IF(COUNTIFS($B$2:B585,B585,$C$2:C585,C585,$D$2:D585,"&lt;&gt;Negative*",$T$2:T585,"&lt;&gt;Retracted")=1,1,0))</f>
        <v>1</v>
      </c>
    </row>
    <row r="586" spans="1:21" x14ac:dyDescent="0.2">
      <c r="A586" t="s">
        <v>2330</v>
      </c>
      <c r="B586" t="s">
        <v>340</v>
      </c>
      <c r="C586" t="s">
        <v>1347</v>
      </c>
      <c r="D586" t="s">
        <v>1572</v>
      </c>
      <c r="E586" t="s">
        <v>2331</v>
      </c>
      <c r="G586">
        <v>8.9976199999999995</v>
      </c>
      <c r="H586">
        <v>-79.596829999999997</v>
      </c>
      <c r="I586" t="s">
        <v>1573</v>
      </c>
      <c r="J586">
        <v>390</v>
      </c>
      <c r="K586">
        <v>1895</v>
      </c>
      <c r="L586">
        <v>1895</v>
      </c>
      <c r="M586" t="s">
        <v>203</v>
      </c>
      <c r="N586" t="s">
        <v>209</v>
      </c>
      <c r="Q586" s="2" t="str">
        <f>IF($C586="","",IFERROR(VLOOKUP($C586,sources!$A$2:$N$200,2,FALSE()),"?"))</f>
        <v>Map</v>
      </c>
      <c r="R586" s="2" t="str">
        <f t="shared" si="9"/>
        <v>Map</v>
      </c>
      <c r="S586" s="2" t="str">
        <f>IF($C586="","",IFERROR(VLOOKUP($C586,sources!$A$2:$N$200,9,FALSE()),"?"))</f>
        <v>French company</v>
      </c>
      <c r="T586" t="s">
        <v>5692</v>
      </c>
      <c r="U586">
        <f>IF(OR(B586="",C586="",T586="Retracted",LEFT(D586,8)="Negative"),0,IF(COUNTIFS($B$2:B586,B586,$C$2:C586,C586,$D$2:D586,"&lt;&gt;Negative*",$T$2:T586,"&lt;&gt;Retracted")=1,1,0))</f>
        <v>0</v>
      </c>
    </row>
    <row r="587" spans="1:21" x14ac:dyDescent="0.2">
      <c r="A587" t="s">
        <v>2332</v>
      </c>
      <c r="B587" t="s">
        <v>344</v>
      </c>
      <c r="C587" t="s">
        <v>1347</v>
      </c>
      <c r="D587" t="s">
        <v>1572</v>
      </c>
      <c r="E587" t="s">
        <v>345</v>
      </c>
      <c r="G587">
        <v>9.0210690000000007</v>
      </c>
      <c r="H587">
        <v>-79.612099999999998</v>
      </c>
      <c r="I587" t="s">
        <v>1573</v>
      </c>
      <c r="J587">
        <v>300</v>
      </c>
      <c r="K587">
        <v>1895</v>
      </c>
      <c r="L587">
        <v>1895</v>
      </c>
      <c r="M587" t="s">
        <v>203</v>
      </c>
      <c r="N587" t="s">
        <v>203</v>
      </c>
      <c r="Q587" s="2" t="str">
        <f>IF($C587="","",IFERROR(VLOOKUP($C587,sources!$A$2:$N$200,2,FALSE()),"?"))</f>
        <v>Map</v>
      </c>
      <c r="R587" s="2" t="str">
        <f t="shared" si="9"/>
        <v>Map</v>
      </c>
      <c r="S587" s="2" t="str">
        <f>IF($C587="","",IFERROR(VLOOKUP($C587,sources!$A$2:$N$200,9,FALSE()),"?"))</f>
        <v>French company</v>
      </c>
      <c r="T587" t="s">
        <v>5692</v>
      </c>
      <c r="U587">
        <f>IF(OR(B587="",C587="",T587="Retracted",LEFT(D587,8)="Negative"),0,IF(COUNTIFS($B$2:B587,B587,$C$2:C587,C587,$D$2:D587,"&lt;&gt;Negative*",$T$2:T587,"&lt;&gt;Retracted")=1,1,0))</f>
        <v>1</v>
      </c>
    </row>
    <row r="588" spans="1:21" x14ac:dyDescent="0.2">
      <c r="A588" t="s">
        <v>2333</v>
      </c>
      <c r="B588" t="s">
        <v>348</v>
      </c>
      <c r="C588" t="s">
        <v>1347</v>
      </c>
      <c r="D588" t="s">
        <v>1572</v>
      </c>
      <c r="E588" t="s">
        <v>349</v>
      </c>
      <c r="G588">
        <v>8.9480149999999998</v>
      </c>
      <c r="H588">
        <v>-79.564509999999999</v>
      </c>
      <c r="I588" t="s">
        <v>1573</v>
      </c>
      <c r="J588">
        <v>300</v>
      </c>
      <c r="K588">
        <v>1895</v>
      </c>
      <c r="L588">
        <v>1895</v>
      </c>
      <c r="M588" t="s">
        <v>203</v>
      </c>
      <c r="N588" t="s">
        <v>203</v>
      </c>
      <c r="Q588" s="2" t="str">
        <f>IF($C588="","",IFERROR(VLOOKUP($C588,sources!$A$2:$N$200,2,FALSE()),"?"))</f>
        <v>Map</v>
      </c>
      <c r="R588" s="2" t="str">
        <f t="shared" si="9"/>
        <v>Map</v>
      </c>
      <c r="S588" s="2" t="str">
        <f>IF($C588="","",IFERROR(VLOOKUP($C588,sources!$A$2:$N$200,9,FALSE()),"?"))</f>
        <v>French company</v>
      </c>
      <c r="T588" t="s">
        <v>5692</v>
      </c>
      <c r="U588">
        <f>IF(OR(B588="",C588="",T588="Retracted",LEFT(D588,8)="Negative"),0,IF(COUNTIFS($B$2:B588,B588,$C$2:C588,C588,$D$2:D588,"&lt;&gt;Negative*",$T$2:T588,"&lt;&gt;Retracted")=1,1,0))</f>
        <v>1</v>
      </c>
    </row>
    <row r="589" spans="1:21" x14ac:dyDescent="0.2">
      <c r="A589" t="s">
        <v>2334</v>
      </c>
      <c r="B589" t="s">
        <v>351</v>
      </c>
      <c r="C589" t="s">
        <v>1347</v>
      </c>
      <c r="D589" t="s">
        <v>1572</v>
      </c>
      <c r="E589" t="s">
        <v>2335</v>
      </c>
      <c r="G589">
        <v>8.9869000000000003</v>
      </c>
      <c r="H589">
        <v>-79.581549999999993</v>
      </c>
      <c r="I589" t="s">
        <v>1573</v>
      </c>
      <c r="J589">
        <v>390</v>
      </c>
      <c r="K589">
        <v>1895</v>
      </c>
      <c r="L589">
        <v>1895</v>
      </c>
      <c r="M589" t="s">
        <v>203</v>
      </c>
      <c r="N589" t="s">
        <v>209</v>
      </c>
      <c r="Q589" s="2" t="str">
        <f>IF($C589="","",IFERROR(VLOOKUP($C589,sources!$A$2:$N$200,2,FALSE()),"?"))</f>
        <v>Map</v>
      </c>
      <c r="R589" s="2" t="str">
        <f t="shared" si="9"/>
        <v>Map</v>
      </c>
      <c r="S589" s="2" t="str">
        <f>IF($C589="","",IFERROR(VLOOKUP($C589,sources!$A$2:$N$200,9,FALSE()),"?"))</f>
        <v>French company</v>
      </c>
      <c r="T589" t="s">
        <v>5692</v>
      </c>
      <c r="U589">
        <f>IF(OR(B589="",C589="",T589="Retracted",LEFT(D589,8)="Negative"),0,IF(COUNTIFS($B$2:B589,B589,$C$2:C589,C589,$D$2:D589,"&lt;&gt;Negative*",$T$2:T589,"&lt;&gt;Retracted")=1,1,0))</f>
        <v>1</v>
      </c>
    </row>
    <row r="590" spans="1:21" x14ac:dyDescent="0.2">
      <c r="A590" t="s">
        <v>2336</v>
      </c>
      <c r="B590" t="s">
        <v>357</v>
      </c>
      <c r="C590" t="s">
        <v>1347</v>
      </c>
      <c r="D590" t="s">
        <v>1572</v>
      </c>
      <c r="E590" t="s">
        <v>358</v>
      </c>
      <c r="G590">
        <v>9.0300019999999996</v>
      </c>
      <c r="H590">
        <v>-79.622974999999997</v>
      </c>
      <c r="I590" t="s">
        <v>1573</v>
      </c>
      <c r="J590">
        <v>300</v>
      </c>
      <c r="K590">
        <v>1895</v>
      </c>
      <c r="L590">
        <v>1895</v>
      </c>
      <c r="M590" t="s">
        <v>203</v>
      </c>
      <c r="N590" t="s">
        <v>203</v>
      </c>
      <c r="Q590" s="2" t="str">
        <f>IF($C590="","",IFERROR(VLOOKUP($C590,sources!$A$2:$N$200,2,FALSE()),"?"))</f>
        <v>Map</v>
      </c>
      <c r="R590" s="2" t="str">
        <f t="shared" si="9"/>
        <v>Map</v>
      </c>
      <c r="S590" s="2" t="str">
        <f>IF($C590="","",IFERROR(VLOOKUP($C590,sources!$A$2:$N$200,9,FALSE()),"?"))</f>
        <v>French company</v>
      </c>
      <c r="T590" t="s">
        <v>5692</v>
      </c>
      <c r="U590">
        <f>IF(OR(B590="",C590="",T590="Retracted",LEFT(D590,8)="Negative"),0,IF(COUNTIFS($B$2:B590,B590,$C$2:C590,C590,$D$2:D590,"&lt;&gt;Negative*",$T$2:T590,"&lt;&gt;Retracted")=1,1,0))</f>
        <v>1</v>
      </c>
    </row>
    <row r="591" spans="1:21" x14ac:dyDescent="0.2">
      <c r="A591" t="s">
        <v>2337</v>
      </c>
      <c r="B591" t="s">
        <v>374</v>
      </c>
      <c r="C591" t="s">
        <v>1347</v>
      </c>
      <c r="D591" t="s">
        <v>1572</v>
      </c>
      <c r="E591" t="s">
        <v>2338</v>
      </c>
      <c r="G591">
        <v>9.0097009999999997</v>
      </c>
      <c r="H591">
        <v>-79.595290000000006</v>
      </c>
      <c r="I591" t="s">
        <v>1573</v>
      </c>
      <c r="J591">
        <v>600</v>
      </c>
      <c r="M591" t="s">
        <v>203</v>
      </c>
      <c r="N591" t="s">
        <v>190</v>
      </c>
      <c r="Q591" s="2" t="str">
        <f>IF($C591="","",IFERROR(VLOOKUP($C591,sources!$A$2:$N$200,2,FALSE()),"?"))</f>
        <v>Map</v>
      </c>
      <c r="R591" s="2" t="str">
        <f t="shared" si="9"/>
        <v>Map</v>
      </c>
      <c r="S591" s="2" t="str">
        <f>IF($C591="","",IFERROR(VLOOKUP($C591,sources!$A$2:$N$200,9,FALSE()),"?"))</f>
        <v>French company</v>
      </c>
      <c r="T591" t="s">
        <v>5692</v>
      </c>
      <c r="U591">
        <f>IF(OR(B591="",C591="",T591="Retracted",LEFT(D591,8)="Negative"),0,IF(COUNTIFS($B$2:B591,B591,$C$2:C591,C591,$D$2:D591,"&lt;&gt;Negative*",$T$2:T591,"&lt;&gt;Retracted")=1,1,0))</f>
        <v>1</v>
      </c>
    </row>
    <row r="592" spans="1:21" x14ac:dyDescent="0.2">
      <c r="A592" t="s">
        <v>2339</v>
      </c>
      <c r="B592" t="s">
        <v>378</v>
      </c>
      <c r="C592" t="s">
        <v>1347</v>
      </c>
      <c r="D592" t="s">
        <v>1572</v>
      </c>
      <c r="E592" t="s">
        <v>2340</v>
      </c>
      <c r="G592">
        <v>9.0358920000000005</v>
      </c>
      <c r="H592">
        <v>-79.636585999999994</v>
      </c>
      <c r="I592" t="s">
        <v>1573</v>
      </c>
      <c r="J592">
        <v>600</v>
      </c>
      <c r="K592">
        <v>1895</v>
      </c>
      <c r="L592">
        <v>1895</v>
      </c>
      <c r="M592" t="s">
        <v>203</v>
      </c>
      <c r="N592" t="s">
        <v>190</v>
      </c>
      <c r="Q592" s="2" t="str">
        <f>IF($C592="","",IFERROR(VLOOKUP($C592,sources!$A$2:$N$200,2,FALSE()),"?"))</f>
        <v>Map</v>
      </c>
      <c r="R592" s="2" t="str">
        <f t="shared" si="9"/>
        <v>Map</v>
      </c>
      <c r="S592" s="2" t="str">
        <f>IF($C592="","",IFERROR(VLOOKUP($C592,sources!$A$2:$N$200,9,FALSE()),"?"))</f>
        <v>French company</v>
      </c>
      <c r="T592" t="s">
        <v>5692</v>
      </c>
      <c r="U592">
        <f>IF(OR(B592="",C592="",T592="Retracted",LEFT(D592,8)="Negative"),0,IF(COUNTIFS($B$2:B592,B592,$C$2:C592,C592,$D$2:D592,"&lt;&gt;Negative*",$T$2:T592,"&lt;&gt;Retracted")=1,1,0))</f>
        <v>1</v>
      </c>
    </row>
    <row r="593" spans="1:21" x14ac:dyDescent="0.2">
      <c r="A593" t="s">
        <v>2341</v>
      </c>
      <c r="B593" t="s">
        <v>233</v>
      </c>
      <c r="C593" t="s">
        <v>1352</v>
      </c>
      <c r="D593" t="s">
        <v>1572</v>
      </c>
      <c r="E593" t="s">
        <v>2342</v>
      </c>
      <c r="G593">
        <v>9.0595809999999997</v>
      </c>
      <c r="H593">
        <v>-79.664272999999994</v>
      </c>
      <c r="I593" t="s">
        <v>1573</v>
      </c>
      <c r="J593">
        <v>200</v>
      </c>
      <c r="K593">
        <v>1907</v>
      </c>
      <c r="L593">
        <v>1907</v>
      </c>
      <c r="M593" t="s">
        <v>203</v>
      </c>
      <c r="N593" t="s">
        <v>203</v>
      </c>
      <c r="Q593" s="2" t="str">
        <f>IF($C593="","",IFERROR(VLOOKUP($C593,sources!$A$2:$N$200,2,FALSE()),"?"))</f>
        <v>Map</v>
      </c>
      <c r="R593" s="2" t="str">
        <f t="shared" si="9"/>
        <v>Map</v>
      </c>
      <c r="S593" s="2" t="str">
        <f>IF($C593="","",IFERROR(VLOOKUP($C593,sources!$A$2:$N$200,9,FALSE()),"?"))</f>
        <v>US official</v>
      </c>
      <c r="T593" t="s">
        <v>5692</v>
      </c>
      <c r="U593">
        <f>IF(OR(B593="",C593="",T593="Retracted",LEFT(D593,8)="Negative"),0,IF(COUNTIFS($B$2:B593,B593,$C$2:C593,C593,$D$2:D593,"&lt;&gt;Negative*",$T$2:T593,"&lt;&gt;Retracted")=1,1,0))</f>
        <v>1</v>
      </c>
    </row>
    <row r="594" spans="1:21" x14ac:dyDescent="0.2">
      <c r="A594" t="s">
        <v>2343</v>
      </c>
      <c r="B594" t="s">
        <v>660</v>
      </c>
      <c r="C594" t="s">
        <v>1352</v>
      </c>
      <c r="D594" t="s">
        <v>1572</v>
      </c>
      <c r="E594" t="s">
        <v>2344</v>
      </c>
      <c r="G594">
        <v>9.0602450000000001</v>
      </c>
      <c r="H594">
        <v>-79.671852999999999</v>
      </c>
      <c r="I594" t="s">
        <v>1573</v>
      </c>
      <c r="J594">
        <v>200</v>
      </c>
      <c r="K594">
        <v>1907</v>
      </c>
      <c r="L594">
        <v>1907</v>
      </c>
      <c r="M594" t="s">
        <v>203</v>
      </c>
      <c r="N594" t="s">
        <v>203</v>
      </c>
      <c r="Q594" s="2" t="str">
        <f>IF($C594="","",IFERROR(VLOOKUP($C594,sources!$A$2:$N$200,2,FALSE()),"?"))</f>
        <v>Map</v>
      </c>
      <c r="R594" s="2" t="str">
        <f t="shared" si="9"/>
        <v>Map</v>
      </c>
      <c r="S594" s="2" t="str">
        <f>IF($C594="","",IFERROR(VLOOKUP($C594,sources!$A$2:$N$200,9,FALSE()),"?"))</f>
        <v>US official</v>
      </c>
      <c r="T594" t="s">
        <v>5692</v>
      </c>
      <c r="U594">
        <f>IF(OR(B594="",C594="",T594="Retracted",LEFT(D594,8)="Negative"),0,IF(COUNTIFS($B$2:B594,B594,$C$2:C594,C594,$D$2:D594,"&lt;&gt;Negative*",$T$2:T594,"&lt;&gt;Retracted")=1,1,0))</f>
        <v>1</v>
      </c>
    </row>
    <row r="595" spans="1:21" x14ac:dyDescent="0.2">
      <c r="A595" t="s">
        <v>2345</v>
      </c>
      <c r="B595" t="s">
        <v>247</v>
      </c>
      <c r="C595" t="s">
        <v>1352</v>
      </c>
      <c r="D595" t="s">
        <v>1572</v>
      </c>
      <c r="E595" t="s">
        <v>2346</v>
      </c>
      <c r="G595">
        <v>9.0509120000000003</v>
      </c>
      <c r="H595">
        <v>-79.655963999999997</v>
      </c>
      <c r="I595" t="s">
        <v>1573</v>
      </c>
      <c r="J595">
        <v>200</v>
      </c>
      <c r="K595">
        <v>1907</v>
      </c>
      <c r="L595">
        <v>1907</v>
      </c>
      <c r="M595" t="s">
        <v>203</v>
      </c>
      <c r="N595" t="s">
        <v>203</v>
      </c>
      <c r="Q595" s="2" t="str">
        <f>IF($C595="","",IFERROR(VLOOKUP($C595,sources!$A$2:$N$200,2,FALSE()),"?"))</f>
        <v>Map</v>
      </c>
      <c r="R595" s="2" t="str">
        <f t="shared" si="9"/>
        <v>Map</v>
      </c>
      <c r="S595" s="2" t="str">
        <f>IF($C595="","",IFERROR(VLOOKUP($C595,sources!$A$2:$N$200,9,FALSE()),"?"))</f>
        <v>US official</v>
      </c>
      <c r="T595" t="s">
        <v>5692</v>
      </c>
      <c r="U595">
        <f>IF(OR(B595="",C595="",T595="Retracted",LEFT(D595,8)="Negative"),0,IF(COUNTIFS($B$2:B595,B595,$C$2:C595,C595,$D$2:D595,"&lt;&gt;Negative*",$T$2:T595,"&lt;&gt;Retracted")=1,1,0))</f>
        <v>1</v>
      </c>
    </row>
    <row r="596" spans="1:21" x14ac:dyDescent="0.2">
      <c r="A596" t="s">
        <v>2347</v>
      </c>
      <c r="B596" t="s">
        <v>247</v>
      </c>
      <c r="C596" t="s">
        <v>1352</v>
      </c>
      <c r="D596" t="s">
        <v>1572</v>
      </c>
      <c r="E596" t="s">
        <v>2348</v>
      </c>
      <c r="G596">
        <v>9.0499799999999997</v>
      </c>
      <c r="H596">
        <v>-79.655885999999995</v>
      </c>
      <c r="I596" t="s">
        <v>1573</v>
      </c>
      <c r="J596">
        <v>200</v>
      </c>
      <c r="K596">
        <v>1907</v>
      </c>
      <c r="L596">
        <v>1907</v>
      </c>
      <c r="M596" t="s">
        <v>203</v>
      </c>
      <c r="N596" t="s">
        <v>203</v>
      </c>
      <c r="Q596" s="2" t="str">
        <f>IF($C596="","",IFERROR(VLOOKUP($C596,sources!$A$2:$N$200,2,FALSE()),"?"))</f>
        <v>Map</v>
      </c>
      <c r="R596" s="2" t="str">
        <f t="shared" si="9"/>
        <v>Map</v>
      </c>
      <c r="S596" s="2" t="str">
        <f>IF($C596="","",IFERROR(VLOOKUP($C596,sources!$A$2:$N$200,9,FALSE()),"?"))</f>
        <v>US official</v>
      </c>
      <c r="T596" t="s">
        <v>5692</v>
      </c>
      <c r="U596">
        <f>IF(OR(B596="",C596="",T596="Retracted",LEFT(D596,8)="Negative"),0,IF(COUNTIFS($B$2:B596,B596,$C$2:C596,C596,$D$2:D596,"&lt;&gt;Negative*",$T$2:T596,"&lt;&gt;Retracted")=1,1,0))</f>
        <v>0</v>
      </c>
    </row>
    <row r="597" spans="1:21" x14ac:dyDescent="0.2">
      <c r="A597" t="s">
        <v>2349</v>
      </c>
      <c r="B597" t="s">
        <v>253</v>
      </c>
      <c r="C597" t="s">
        <v>1352</v>
      </c>
      <c r="D597" t="s">
        <v>1572</v>
      </c>
      <c r="E597" t="s">
        <v>2350</v>
      </c>
      <c r="G597">
        <v>9.1049089999999993</v>
      </c>
      <c r="H597">
        <v>-79.691271</v>
      </c>
      <c r="I597" t="s">
        <v>1573</v>
      </c>
      <c r="J597">
        <v>200</v>
      </c>
      <c r="K597">
        <v>1907</v>
      </c>
      <c r="L597">
        <v>1907</v>
      </c>
      <c r="M597" t="s">
        <v>203</v>
      </c>
      <c r="N597" t="s">
        <v>203</v>
      </c>
      <c r="Q597" s="2" t="str">
        <f>IF($C597="","",IFERROR(VLOOKUP($C597,sources!$A$2:$N$200,2,FALSE()),"?"))</f>
        <v>Map</v>
      </c>
      <c r="R597" s="2" t="str">
        <f t="shared" si="9"/>
        <v>Map</v>
      </c>
      <c r="S597" s="2" t="str">
        <f>IF($C597="","",IFERROR(VLOOKUP($C597,sources!$A$2:$N$200,9,FALSE()),"?"))</f>
        <v>US official</v>
      </c>
      <c r="T597" t="s">
        <v>5692</v>
      </c>
      <c r="U597">
        <f>IF(OR(B597="",C597="",T597="Retracted",LEFT(D597,8)="Negative"),0,IF(COUNTIFS($B$2:B597,B597,$C$2:C597,C597,$D$2:D597,"&lt;&gt;Negative*",$T$2:T597,"&lt;&gt;Retracted")=1,1,0))</f>
        <v>1</v>
      </c>
    </row>
    <row r="598" spans="1:21" x14ac:dyDescent="0.2">
      <c r="A598" t="s">
        <v>2351</v>
      </c>
      <c r="B598" t="s">
        <v>261</v>
      </c>
      <c r="C598" t="s">
        <v>1352</v>
      </c>
      <c r="D598" t="s">
        <v>1572</v>
      </c>
      <c r="E598" t="s">
        <v>2352</v>
      </c>
      <c r="G598">
        <v>9.0865930000000006</v>
      </c>
      <c r="H598">
        <v>-79.682917000000003</v>
      </c>
      <c r="I598" t="s">
        <v>1573</v>
      </c>
      <c r="J598">
        <v>200</v>
      </c>
      <c r="K598">
        <v>1907</v>
      </c>
      <c r="L598">
        <v>1907</v>
      </c>
      <c r="M598" t="s">
        <v>203</v>
      </c>
      <c r="N598" t="s">
        <v>203</v>
      </c>
      <c r="Q598" s="2" t="str">
        <f>IF($C598="","",IFERROR(VLOOKUP($C598,sources!$A$2:$N$200,2,FALSE()),"?"))</f>
        <v>Map</v>
      </c>
      <c r="R598" s="2" t="str">
        <f t="shared" si="9"/>
        <v>Map</v>
      </c>
      <c r="S598" s="2" t="str">
        <f>IF($C598="","",IFERROR(VLOOKUP($C598,sources!$A$2:$N$200,9,FALSE()),"?"))</f>
        <v>US official</v>
      </c>
      <c r="T598" t="s">
        <v>5692</v>
      </c>
      <c r="U598">
        <f>IF(OR(B598="",C598="",T598="Retracted",LEFT(D598,8)="Negative"),0,IF(COUNTIFS($B$2:B598,B598,$C$2:C598,C598,$D$2:D598,"&lt;&gt;Negative*",$T$2:T598,"&lt;&gt;Retracted")=1,1,0))</f>
        <v>1</v>
      </c>
    </row>
    <row r="599" spans="1:21" x14ac:dyDescent="0.2">
      <c r="A599" t="s">
        <v>2353</v>
      </c>
      <c r="B599" t="s">
        <v>344</v>
      </c>
      <c r="C599" t="s">
        <v>1352</v>
      </c>
      <c r="D599" t="s">
        <v>1572</v>
      </c>
      <c r="E599" t="s">
        <v>2354</v>
      </c>
      <c r="G599">
        <v>9.0198549999999997</v>
      </c>
      <c r="H599">
        <v>-79.613703999999998</v>
      </c>
      <c r="I599" t="s">
        <v>1573</v>
      </c>
      <c r="J599">
        <v>200</v>
      </c>
      <c r="K599">
        <v>1907</v>
      </c>
      <c r="L599">
        <v>1907</v>
      </c>
      <c r="M599" t="s">
        <v>203</v>
      </c>
      <c r="N599" t="s">
        <v>203</v>
      </c>
      <c r="Q599" s="2" t="str">
        <f>IF($C599="","",IFERROR(VLOOKUP($C599,sources!$A$2:$N$200,2,FALSE()),"?"))</f>
        <v>Map</v>
      </c>
      <c r="R599" s="2" t="str">
        <f t="shared" si="9"/>
        <v>Map</v>
      </c>
      <c r="S599" s="2" t="str">
        <f>IF($C599="","",IFERROR(VLOOKUP($C599,sources!$A$2:$N$200,9,FALSE()),"?"))</f>
        <v>US official</v>
      </c>
      <c r="T599" t="s">
        <v>5692</v>
      </c>
      <c r="U599">
        <f>IF(OR(B599="",C599="",T599="Retracted",LEFT(D599,8)="Negative"),0,IF(COUNTIFS($B$2:B599,B599,$C$2:C599,C599,$D$2:D599,"&lt;&gt;Negative*",$T$2:T599,"&lt;&gt;Retracted")=1,1,0))</f>
        <v>1</v>
      </c>
    </row>
    <row r="600" spans="1:21" x14ac:dyDescent="0.2">
      <c r="A600" t="s">
        <v>2355</v>
      </c>
      <c r="B600" t="s">
        <v>344</v>
      </c>
      <c r="C600" t="s">
        <v>1352</v>
      </c>
      <c r="D600" t="s">
        <v>1572</v>
      </c>
      <c r="E600" t="s">
        <v>2356</v>
      </c>
      <c r="G600">
        <v>9.018948</v>
      </c>
      <c r="H600">
        <v>-79.607866999999999</v>
      </c>
      <c r="I600" t="s">
        <v>1573</v>
      </c>
      <c r="J600">
        <v>260</v>
      </c>
      <c r="K600">
        <v>1907</v>
      </c>
      <c r="L600">
        <v>1907</v>
      </c>
      <c r="M600" t="s">
        <v>203</v>
      </c>
      <c r="N600" t="s">
        <v>209</v>
      </c>
      <c r="Q600" s="2" t="str">
        <f>IF($C600="","",IFERROR(VLOOKUP($C600,sources!$A$2:$N$200,2,FALSE()),"?"))</f>
        <v>Map</v>
      </c>
      <c r="R600" s="2" t="str">
        <f t="shared" si="9"/>
        <v>Map</v>
      </c>
      <c r="S600" s="2" t="str">
        <f>IF($C600="","",IFERROR(VLOOKUP($C600,sources!$A$2:$N$200,9,FALSE()),"?"))</f>
        <v>US official</v>
      </c>
      <c r="T600" t="s">
        <v>5692</v>
      </c>
      <c r="U600">
        <f>IF(OR(B600="",C600="",T600="Retracted",LEFT(D600,8)="Negative"),0,IF(COUNTIFS($B$2:B600,B600,$C$2:C600,C600,$D$2:D600,"&lt;&gt;Negative*",$T$2:T600,"&lt;&gt;Retracted")=1,1,0))</f>
        <v>0</v>
      </c>
    </row>
    <row r="601" spans="1:21" x14ac:dyDescent="0.2">
      <c r="A601" t="s">
        <v>2357</v>
      </c>
      <c r="B601" t="s">
        <v>357</v>
      </c>
      <c r="C601" t="s">
        <v>1352</v>
      </c>
      <c r="D601" t="s">
        <v>1572</v>
      </c>
      <c r="E601" t="s">
        <v>2358</v>
      </c>
      <c r="G601">
        <v>9.0322669999999992</v>
      </c>
      <c r="H601">
        <v>-79.631324000000006</v>
      </c>
      <c r="I601" t="s">
        <v>1573</v>
      </c>
      <c r="J601">
        <v>260</v>
      </c>
      <c r="K601">
        <v>1907</v>
      </c>
      <c r="L601">
        <v>1907</v>
      </c>
      <c r="M601" t="s">
        <v>203</v>
      </c>
      <c r="N601" t="s">
        <v>209</v>
      </c>
      <c r="Q601" s="2" t="str">
        <f>IF($C601="","",IFERROR(VLOOKUP($C601,sources!$A$2:$N$200,2,FALSE()),"?"))</f>
        <v>Map</v>
      </c>
      <c r="R601" s="2" t="str">
        <f t="shared" si="9"/>
        <v>Map</v>
      </c>
      <c r="S601" s="2" t="str">
        <f>IF($C601="","",IFERROR(VLOOKUP($C601,sources!$A$2:$N$200,9,FALSE()),"?"))</f>
        <v>US official</v>
      </c>
      <c r="T601" t="s">
        <v>5692</v>
      </c>
      <c r="U601">
        <f>IF(OR(B601="",C601="",T601="Retracted",LEFT(D601,8)="Negative"),0,IF(COUNTIFS($B$2:B601,B601,$C$2:C601,C601,$D$2:D601,"&lt;&gt;Negative*",$T$2:T601,"&lt;&gt;Retracted")=1,1,0))</f>
        <v>1</v>
      </c>
    </row>
    <row r="602" spans="1:21" x14ac:dyDescent="0.2">
      <c r="A602" t="s">
        <v>2359</v>
      </c>
      <c r="B602" t="s">
        <v>378</v>
      </c>
      <c r="C602" t="s">
        <v>1352</v>
      </c>
      <c r="D602" t="s">
        <v>1572</v>
      </c>
      <c r="E602" t="s">
        <v>2360</v>
      </c>
      <c r="G602">
        <v>9.0345370000000003</v>
      </c>
      <c r="H602">
        <v>-79.635323999999997</v>
      </c>
      <c r="I602" t="s">
        <v>1573</v>
      </c>
      <c r="J602">
        <v>260</v>
      </c>
      <c r="K602">
        <v>1907</v>
      </c>
      <c r="L602">
        <v>1907</v>
      </c>
      <c r="M602" t="s">
        <v>203</v>
      </c>
      <c r="N602" t="s">
        <v>209</v>
      </c>
      <c r="Q602" s="2" t="str">
        <f>IF($C602="","",IFERROR(VLOOKUP($C602,sources!$A$2:$N$200,2,FALSE()),"?"))</f>
        <v>Map</v>
      </c>
      <c r="R602" s="2" t="str">
        <f t="shared" si="9"/>
        <v>Map</v>
      </c>
      <c r="S602" s="2" t="str">
        <f>IF($C602="","",IFERROR(VLOOKUP($C602,sources!$A$2:$N$200,9,FALSE()),"?"))</f>
        <v>US official</v>
      </c>
      <c r="T602" t="s">
        <v>5692</v>
      </c>
      <c r="U602">
        <f>IF(OR(B602="",C602="",T602="Retracted",LEFT(D602,8)="Negative"),0,IF(COUNTIFS($B$2:B602,B602,$C$2:C602,C602,$D$2:D602,"&lt;&gt;Negative*",$T$2:T602,"&lt;&gt;Retracted")=1,1,0))</f>
        <v>1</v>
      </c>
    </row>
    <row r="603" spans="1:21" x14ac:dyDescent="0.2">
      <c r="A603" t="s">
        <v>2361</v>
      </c>
      <c r="B603" t="s">
        <v>773</v>
      </c>
      <c r="C603" t="s">
        <v>1352</v>
      </c>
      <c r="D603" t="s">
        <v>1572</v>
      </c>
      <c r="E603" t="s">
        <v>2362</v>
      </c>
      <c r="G603">
        <v>9.0922830000000001</v>
      </c>
      <c r="H603">
        <v>-79.683273999999997</v>
      </c>
      <c r="I603" t="s">
        <v>1573</v>
      </c>
      <c r="J603">
        <v>200</v>
      </c>
      <c r="K603">
        <v>1907</v>
      </c>
      <c r="L603">
        <v>1907</v>
      </c>
      <c r="M603" t="s">
        <v>203</v>
      </c>
      <c r="N603" t="s">
        <v>203</v>
      </c>
      <c r="Q603" s="2" t="str">
        <f>IF($C603="","",IFERROR(VLOOKUP($C603,sources!$A$2:$N$200,2,FALSE()),"?"))</f>
        <v>Map</v>
      </c>
      <c r="R603" s="2" t="str">
        <f t="shared" si="9"/>
        <v>Map</v>
      </c>
      <c r="S603" s="2" t="str">
        <f>IF($C603="","",IFERROR(VLOOKUP($C603,sources!$A$2:$N$200,9,FALSE()),"?"))</f>
        <v>US official</v>
      </c>
      <c r="T603" t="s">
        <v>5692</v>
      </c>
      <c r="U603">
        <f>IF(OR(B603="",C603="",T603="Retracted",LEFT(D603,8)="Negative"),0,IF(COUNTIFS($B$2:B603,B603,$C$2:C603,C603,$D$2:D603,"&lt;&gt;Negative*",$T$2:T603,"&lt;&gt;Retracted")=1,1,0))</f>
        <v>1</v>
      </c>
    </row>
    <row r="604" spans="1:21" x14ac:dyDescent="0.2">
      <c r="A604" t="s">
        <v>2363</v>
      </c>
      <c r="B604" t="s">
        <v>398</v>
      </c>
      <c r="C604" t="s">
        <v>1352</v>
      </c>
      <c r="D604" t="s">
        <v>1572</v>
      </c>
      <c r="E604" t="s">
        <v>2364</v>
      </c>
      <c r="G604">
        <v>9.1002670000000006</v>
      </c>
      <c r="H604">
        <v>-79.688987999999995</v>
      </c>
      <c r="I604" t="s">
        <v>1573</v>
      </c>
      <c r="J604">
        <v>200</v>
      </c>
      <c r="K604">
        <v>1907</v>
      </c>
      <c r="L604">
        <v>1907</v>
      </c>
      <c r="M604" t="s">
        <v>203</v>
      </c>
      <c r="N604" t="s">
        <v>203</v>
      </c>
      <c r="Q604" s="2" t="str">
        <f>IF($C604="","",IFERROR(VLOOKUP($C604,sources!$A$2:$N$200,2,FALSE()),"?"))</f>
        <v>Map</v>
      </c>
      <c r="R604" s="2" t="str">
        <f t="shared" si="9"/>
        <v>Map</v>
      </c>
      <c r="S604" s="2" t="str">
        <f>IF($C604="","",IFERROR(VLOOKUP($C604,sources!$A$2:$N$200,9,FALSE()),"?"))</f>
        <v>US official</v>
      </c>
      <c r="T604" t="s">
        <v>5692</v>
      </c>
      <c r="U604">
        <f>IF(OR(B604="",C604="",T604="Retracted",LEFT(D604,8)="Negative"),0,IF(COUNTIFS($B$2:B604,B604,$C$2:C604,C604,$D$2:D604,"&lt;&gt;Negative*",$T$2:T604,"&lt;&gt;Retracted")=1,1,0))</f>
        <v>1</v>
      </c>
    </row>
    <row r="605" spans="1:21" x14ac:dyDescent="0.2">
      <c r="A605" t="s">
        <v>2365</v>
      </c>
      <c r="B605" t="s">
        <v>487</v>
      </c>
      <c r="C605" t="s">
        <v>1352</v>
      </c>
      <c r="D605" t="s">
        <v>1572</v>
      </c>
      <c r="E605" t="s">
        <v>2366</v>
      </c>
      <c r="G605">
        <v>9.0496390000000009</v>
      </c>
      <c r="H605">
        <v>-79.653987999999998</v>
      </c>
      <c r="I605" t="s">
        <v>1573</v>
      </c>
      <c r="J605">
        <v>200</v>
      </c>
      <c r="K605">
        <v>1907</v>
      </c>
      <c r="L605">
        <v>1907</v>
      </c>
      <c r="M605" t="s">
        <v>203</v>
      </c>
      <c r="N605" t="s">
        <v>203</v>
      </c>
      <c r="Q605" s="2" t="str">
        <f>IF($C605="","",IFERROR(VLOOKUP($C605,sources!$A$2:$N$200,2,FALSE()),"?"))</f>
        <v>Map</v>
      </c>
      <c r="R605" s="2" t="str">
        <f t="shared" si="9"/>
        <v>Map</v>
      </c>
      <c r="S605" s="2" t="str">
        <f>IF($C605="","",IFERROR(VLOOKUP($C605,sources!$A$2:$N$200,9,FALSE()),"?"))</f>
        <v>US official</v>
      </c>
      <c r="T605" t="s">
        <v>5692</v>
      </c>
      <c r="U605">
        <f>IF(OR(B605="",C605="",T605="Retracted",LEFT(D605,8)="Negative"),0,IF(COUNTIFS($B$2:B605,B605,$C$2:C605,C605,$D$2:D605,"&lt;&gt;Negative*",$T$2:T605,"&lt;&gt;Retracted")=1,1,0))</f>
        <v>1</v>
      </c>
    </row>
    <row r="606" spans="1:21" x14ac:dyDescent="0.2">
      <c r="A606" t="s">
        <v>2367</v>
      </c>
      <c r="B606" t="s">
        <v>226</v>
      </c>
      <c r="C606" t="s">
        <v>1356</v>
      </c>
      <c r="D606" t="s">
        <v>1572</v>
      </c>
      <c r="E606" t="s">
        <v>2368</v>
      </c>
      <c r="G606">
        <v>9.2711310000000005</v>
      </c>
      <c r="H606">
        <v>-79.912944999999993</v>
      </c>
      <c r="I606" t="s">
        <v>1573</v>
      </c>
      <c r="J606">
        <v>325</v>
      </c>
      <c r="K606">
        <v>1947</v>
      </c>
      <c r="L606">
        <v>1947</v>
      </c>
      <c r="M606" t="s">
        <v>203</v>
      </c>
      <c r="N606" t="s">
        <v>209</v>
      </c>
      <c r="Q606" s="2" t="str">
        <f>IF($C606="","",IFERROR(VLOOKUP($C606,sources!$A$2:$N$200,2,FALSE()),"?"))</f>
        <v>Map</v>
      </c>
      <c r="R606" s="2" t="str">
        <f t="shared" si="9"/>
        <v>Map</v>
      </c>
      <c r="S606" s="2" t="str">
        <f>IF($C606="","",IFERROR(VLOOKUP($C606,sources!$A$2:$N$200,9,FALSE()),"?"))</f>
        <v>US official</v>
      </c>
      <c r="T606" t="s">
        <v>5692</v>
      </c>
      <c r="U606">
        <f>IF(OR(B606="",C606="",T606="Retracted",LEFT(D606,8)="Negative"),0,IF(COUNTIFS($B$2:B606,B606,$C$2:C606,C606,$D$2:D606,"&lt;&gt;Negative*",$T$2:T606,"&lt;&gt;Retracted")=1,1,0))</f>
        <v>1</v>
      </c>
    </row>
    <row r="607" spans="1:21" x14ac:dyDescent="0.2">
      <c r="A607" t="s">
        <v>2369</v>
      </c>
      <c r="B607" t="s">
        <v>447</v>
      </c>
      <c r="C607" t="s">
        <v>1356</v>
      </c>
      <c r="D607" t="s">
        <v>1572</v>
      </c>
      <c r="E607" t="s">
        <v>2370</v>
      </c>
      <c r="G607">
        <v>8.9140379999999997</v>
      </c>
      <c r="H607">
        <v>-79.557717999999994</v>
      </c>
      <c r="I607" t="s">
        <v>1573</v>
      </c>
      <c r="J607">
        <v>325</v>
      </c>
      <c r="K607">
        <v>1947</v>
      </c>
      <c r="L607">
        <v>1947</v>
      </c>
      <c r="M607" t="s">
        <v>203</v>
      </c>
      <c r="N607" t="s">
        <v>209</v>
      </c>
      <c r="Q607" s="2" t="str">
        <f>IF($C607="","",IFERROR(VLOOKUP($C607,sources!$A$2:$N$200,2,FALSE()),"?"))</f>
        <v>Map</v>
      </c>
      <c r="R607" s="2" t="str">
        <f t="shared" si="9"/>
        <v>Map</v>
      </c>
      <c r="S607" s="2" t="str">
        <f>IF($C607="","",IFERROR(VLOOKUP($C607,sources!$A$2:$N$200,9,FALSE()),"?"))</f>
        <v>US official</v>
      </c>
      <c r="T607" t="s">
        <v>5692</v>
      </c>
      <c r="U607">
        <f>IF(OR(B607="",C607="",T607="Retracted",LEFT(D607,8)="Negative"),0,IF(COUNTIFS($B$2:B607,B607,$C$2:C607,C607,$D$2:D607,"&lt;&gt;Negative*",$T$2:T607,"&lt;&gt;Retracted")=1,1,0))</f>
        <v>1</v>
      </c>
    </row>
    <row r="608" spans="1:21" x14ac:dyDescent="0.2">
      <c r="A608" t="s">
        <v>2371</v>
      </c>
      <c r="B608" t="s">
        <v>452</v>
      </c>
      <c r="C608" t="s">
        <v>1356</v>
      </c>
      <c r="D608" t="s">
        <v>1572</v>
      </c>
      <c r="E608" t="s">
        <v>2372</v>
      </c>
      <c r="G608">
        <v>9.1190200000000008</v>
      </c>
      <c r="H608">
        <v>-79.774445</v>
      </c>
      <c r="I608" t="s">
        <v>1573</v>
      </c>
      <c r="J608">
        <v>250</v>
      </c>
      <c r="K608">
        <v>1947</v>
      </c>
      <c r="L608">
        <v>1947</v>
      </c>
      <c r="M608" t="s">
        <v>203</v>
      </c>
      <c r="N608" t="s">
        <v>203</v>
      </c>
      <c r="Q608" s="2" t="str">
        <f>IF($C608="","",IFERROR(VLOOKUP($C608,sources!$A$2:$N$200,2,FALSE()),"?"))</f>
        <v>Map</v>
      </c>
      <c r="R608" s="2" t="str">
        <f t="shared" si="9"/>
        <v>Map</v>
      </c>
      <c r="S608" s="2" t="str">
        <f>IF($C608="","",IFERROR(VLOOKUP($C608,sources!$A$2:$N$200,9,FALSE()),"?"))</f>
        <v>US official</v>
      </c>
      <c r="T608" t="s">
        <v>5692</v>
      </c>
      <c r="U608">
        <f>IF(OR(B608="",C608="",T608="Retracted",LEFT(D608,8)="Negative"),0,IF(COUNTIFS($B$2:B608,B608,$C$2:C608,C608,$D$2:D608,"&lt;&gt;Negative*",$T$2:T608,"&lt;&gt;Retracted")=1,1,0))</f>
        <v>1</v>
      </c>
    </row>
    <row r="609" spans="1:21" x14ac:dyDescent="0.2">
      <c r="A609" t="s">
        <v>2373</v>
      </c>
      <c r="B609" t="s">
        <v>456</v>
      </c>
      <c r="C609" t="s">
        <v>1356</v>
      </c>
      <c r="D609" t="s">
        <v>1572</v>
      </c>
      <c r="E609" t="s">
        <v>2374</v>
      </c>
      <c r="G609">
        <v>9.0674489999999999</v>
      </c>
      <c r="H609">
        <v>-79.654572000000002</v>
      </c>
      <c r="I609" t="s">
        <v>1573</v>
      </c>
      <c r="J609">
        <v>250</v>
      </c>
      <c r="K609">
        <v>1947</v>
      </c>
      <c r="L609">
        <v>1947</v>
      </c>
      <c r="M609" t="s">
        <v>203</v>
      </c>
      <c r="N609" t="s">
        <v>203</v>
      </c>
      <c r="Q609" s="2" t="str">
        <f>IF($C609="","",IFERROR(VLOOKUP($C609,sources!$A$2:$N$200,2,FALSE()),"?"))</f>
        <v>Map</v>
      </c>
      <c r="R609" s="2" t="str">
        <f t="shared" si="9"/>
        <v>Map</v>
      </c>
      <c r="S609" s="2" t="str">
        <f>IF($C609="","",IFERROR(VLOOKUP($C609,sources!$A$2:$N$200,9,FALSE()),"?"))</f>
        <v>US official</v>
      </c>
      <c r="T609" t="s">
        <v>5692</v>
      </c>
      <c r="U609">
        <f>IF(OR(B609="",C609="",T609="Retracted",LEFT(D609,8)="Negative"),0,IF(COUNTIFS($B$2:B609,B609,$C$2:C609,C609,$D$2:D609,"&lt;&gt;Negative*",$T$2:T609,"&lt;&gt;Retracted")=1,1,0))</f>
        <v>1</v>
      </c>
    </row>
    <row r="610" spans="1:21" x14ac:dyDescent="0.2">
      <c r="A610" t="s">
        <v>2375</v>
      </c>
      <c r="B610" t="s">
        <v>461</v>
      </c>
      <c r="C610" t="s">
        <v>1356</v>
      </c>
      <c r="D610" t="s">
        <v>1572</v>
      </c>
      <c r="E610" t="s">
        <v>2376</v>
      </c>
      <c r="G610">
        <v>9.0181070000000005</v>
      </c>
      <c r="H610">
        <v>-79.594194000000002</v>
      </c>
      <c r="I610" t="s">
        <v>1573</v>
      </c>
      <c r="J610">
        <v>325</v>
      </c>
      <c r="K610">
        <v>1947</v>
      </c>
      <c r="L610">
        <v>1947</v>
      </c>
      <c r="M610" t="s">
        <v>203</v>
      </c>
      <c r="N610" t="s">
        <v>209</v>
      </c>
      <c r="Q610" s="2" t="str">
        <f>IF($C610="","",IFERROR(VLOOKUP($C610,sources!$A$2:$N$200,2,FALSE()),"?"))</f>
        <v>Map</v>
      </c>
      <c r="R610" s="2" t="str">
        <f t="shared" si="9"/>
        <v>Map</v>
      </c>
      <c r="S610" s="2" t="str">
        <f>IF($C610="","",IFERROR(VLOOKUP($C610,sources!$A$2:$N$200,9,FALSE()),"?"))</f>
        <v>US official</v>
      </c>
      <c r="T610" t="s">
        <v>5692</v>
      </c>
      <c r="U610">
        <f>IF(OR(B610="",C610="",T610="Retracted",LEFT(D610,8)="Negative"),0,IF(COUNTIFS($B$2:B610,B610,$C$2:C610,C610,$D$2:D610,"&lt;&gt;Negative*",$T$2:T610,"&lt;&gt;Retracted")=1,1,0))</f>
        <v>1</v>
      </c>
    </row>
    <row r="611" spans="1:21" x14ac:dyDescent="0.2">
      <c r="A611" t="s">
        <v>2377</v>
      </c>
      <c r="B611" t="s">
        <v>883</v>
      </c>
      <c r="C611" t="s">
        <v>1356</v>
      </c>
      <c r="D611" t="s">
        <v>1572</v>
      </c>
      <c r="E611" t="s">
        <v>2378</v>
      </c>
      <c r="G611">
        <v>8.9718280000000004</v>
      </c>
      <c r="H611">
        <v>-79.580679000000003</v>
      </c>
      <c r="I611" t="s">
        <v>1573</v>
      </c>
      <c r="J611">
        <v>325</v>
      </c>
      <c r="M611" t="s">
        <v>203</v>
      </c>
      <c r="N611" t="s">
        <v>209</v>
      </c>
      <c r="Q611" s="2" t="str">
        <f>IF($C611="","",IFERROR(VLOOKUP($C611,sources!$A$2:$N$200,2,FALSE()),"?"))</f>
        <v>Map</v>
      </c>
      <c r="R611" s="2" t="str">
        <f t="shared" si="9"/>
        <v>Map</v>
      </c>
      <c r="S611" s="2" t="str">
        <f>IF($C611="","",IFERROR(VLOOKUP($C611,sources!$A$2:$N$200,9,FALSE()),"?"))</f>
        <v>US official</v>
      </c>
      <c r="T611" t="s">
        <v>5692</v>
      </c>
      <c r="U611">
        <f>IF(OR(B611="",C611="",T611="Retracted",LEFT(D611,8)="Negative"),0,IF(COUNTIFS($B$2:B611,B611,$C$2:C611,C611,$D$2:D611,"&lt;&gt;Negative*",$T$2:T611,"&lt;&gt;Retracted")=1,1,0))</f>
        <v>1</v>
      </c>
    </row>
    <row r="612" spans="1:21" x14ac:dyDescent="0.2">
      <c r="A612" t="s">
        <v>2379</v>
      </c>
      <c r="B612" t="s">
        <v>839</v>
      </c>
      <c r="C612" t="s">
        <v>1356</v>
      </c>
      <c r="D612" t="s">
        <v>1572</v>
      </c>
      <c r="E612" t="s">
        <v>2380</v>
      </c>
      <c r="G612">
        <v>8.9763339999999996</v>
      </c>
      <c r="H612">
        <v>-79.600290000000001</v>
      </c>
      <c r="I612" t="s">
        <v>1573</v>
      </c>
      <c r="J612">
        <v>325</v>
      </c>
      <c r="K612">
        <v>1947</v>
      </c>
      <c r="L612">
        <v>1947</v>
      </c>
      <c r="M612" t="s">
        <v>203</v>
      </c>
      <c r="N612" t="s">
        <v>209</v>
      </c>
      <c r="Q612" s="2" t="str">
        <f>IF($C612="","",IFERROR(VLOOKUP($C612,sources!$A$2:$N$200,2,FALSE()),"?"))</f>
        <v>Map</v>
      </c>
      <c r="R612" s="2" t="str">
        <f t="shared" si="9"/>
        <v>Map</v>
      </c>
      <c r="S612" s="2" t="str">
        <f>IF($C612="","",IFERROR(VLOOKUP($C612,sources!$A$2:$N$200,9,FALSE()),"?"))</f>
        <v>US official</v>
      </c>
      <c r="T612" t="s">
        <v>5692</v>
      </c>
      <c r="U612">
        <f>IF(OR(B612="",C612="",T612="Retracted",LEFT(D612,8)="Negative"),0,IF(COUNTIFS($B$2:B612,B612,$C$2:C612,C612,$D$2:D612,"&lt;&gt;Negative*",$T$2:T612,"&lt;&gt;Retracted")=1,1,0))</f>
        <v>1</v>
      </c>
    </row>
    <row r="613" spans="1:21" x14ac:dyDescent="0.2">
      <c r="A613" t="s">
        <v>2381</v>
      </c>
      <c r="B613" t="s">
        <v>515</v>
      </c>
      <c r="C613" t="s">
        <v>1356</v>
      </c>
      <c r="D613" t="s">
        <v>1572</v>
      </c>
      <c r="E613" t="s">
        <v>2382</v>
      </c>
      <c r="G613">
        <v>9.3287910000000007</v>
      </c>
      <c r="H613">
        <v>-79.892111999999997</v>
      </c>
      <c r="I613" t="s">
        <v>1573</v>
      </c>
      <c r="J613">
        <v>325</v>
      </c>
      <c r="K613">
        <v>1947</v>
      </c>
      <c r="L613">
        <v>1947</v>
      </c>
      <c r="M613" t="s">
        <v>203</v>
      </c>
      <c r="N613" t="s">
        <v>209</v>
      </c>
      <c r="Q613" s="2" t="str">
        <f>IF($C613="","",IFERROR(VLOOKUP($C613,sources!$A$2:$N$200,2,FALSE()),"?"))</f>
        <v>Map</v>
      </c>
      <c r="R613" s="2" t="str">
        <f t="shared" si="9"/>
        <v>Map</v>
      </c>
      <c r="S613" s="2" t="str">
        <f>IF($C613="","",IFERROR(VLOOKUP($C613,sources!$A$2:$N$200,9,FALSE()),"?"))</f>
        <v>US official</v>
      </c>
      <c r="T613" t="s">
        <v>5692</v>
      </c>
      <c r="U613">
        <f>IF(OR(B613="",C613="",T613="Retracted",LEFT(D613,8)="Negative"),0,IF(COUNTIFS($B$2:B613,B613,$C$2:C613,C613,$D$2:D613,"&lt;&gt;Negative*",$T$2:T613,"&lt;&gt;Retracted")=1,1,0))</f>
        <v>1</v>
      </c>
    </row>
    <row r="614" spans="1:21" x14ac:dyDescent="0.2">
      <c r="A614" t="s">
        <v>2383</v>
      </c>
      <c r="B614" t="s">
        <v>520</v>
      </c>
      <c r="C614" t="s">
        <v>1356</v>
      </c>
      <c r="D614" t="s">
        <v>1572</v>
      </c>
      <c r="E614" t="s">
        <v>2384</v>
      </c>
      <c r="G614">
        <v>9.3698180000000004</v>
      </c>
      <c r="H614">
        <v>-79.872309999999999</v>
      </c>
      <c r="I614" t="s">
        <v>1573</v>
      </c>
      <c r="J614">
        <v>325</v>
      </c>
      <c r="K614">
        <v>1947</v>
      </c>
      <c r="L614">
        <v>1947</v>
      </c>
      <c r="M614" t="s">
        <v>203</v>
      </c>
      <c r="N614" t="s">
        <v>209</v>
      </c>
      <c r="Q614" s="2" t="str">
        <f>IF($C614="","",IFERROR(VLOOKUP($C614,sources!$A$2:$N$200,2,FALSE()),"?"))</f>
        <v>Map</v>
      </c>
      <c r="R614" s="2" t="str">
        <f t="shared" si="9"/>
        <v>Map</v>
      </c>
      <c r="S614" s="2" t="str">
        <f>IF($C614="","",IFERROR(VLOOKUP($C614,sources!$A$2:$N$200,9,FALSE()),"?"))</f>
        <v>US official</v>
      </c>
      <c r="T614" t="s">
        <v>5692</v>
      </c>
      <c r="U614">
        <f>IF(OR(B614="",C614="",T614="Retracted",LEFT(D614,8)="Negative"),0,IF(COUNTIFS($B$2:B614,B614,$C$2:C614,C614,$D$2:D614,"&lt;&gt;Negative*",$T$2:T614,"&lt;&gt;Retracted")=1,1,0))</f>
        <v>1</v>
      </c>
    </row>
    <row r="615" spans="1:21" x14ac:dyDescent="0.2">
      <c r="A615" t="s">
        <v>2385</v>
      </c>
      <c r="B615" t="s">
        <v>525</v>
      </c>
      <c r="C615" t="s">
        <v>1356</v>
      </c>
      <c r="D615" t="s">
        <v>1572</v>
      </c>
      <c r="E615" t="s">
        <v>2386</v>
      </c>
      <c r="G615">
        <v>9.0034340000000004</v>
      </c>
      <c r="H615">
        <v>-79.588109000000003</v>
      </c>
      <c r="I615" t="s">
        <v>1573</v>
      </c>
      <c r="J615">
        <v>325</v>
      </c>
      <c r="K615">
        <v>1947</v>
      </c>
      <c r="L615">
        <v>1947</v>
      </c>
      <c r="M615" t="s">
        <v>203</v>
      </c>
      <c r="N615" t="s">
        <v>209</v>
      </c>
      <c r="Q615" s="2" t="str">
        <f>IF($C615="","",IFERROR(VLOOKUP($C615,sources!$A$2:$N$200,2,FALSE()),"?"))</f>
        <v>Map</v>
      </c>
      <c r="R615" s="2" t="str">
        <f t="shared" si="9"/>
        <v>Map</v>
      </c>
      <c r="S615" s="2" t="str">
        <f>IF($C615="","",IFERROR(VLOOKUP($C615,sources!$A$2:$N$200,9,FALSE()),"?"))</f>
        <v>US official</v>
      </c>
      <c r="T615" t="s">
        <v>5692</v>
      </c>
      <c r="U615">
        <f>IF(OR(B615="",C615="",T615="Retracted",LEFT(D615,8)="Negative"),0,IF(COUNTIFS($B$2:B615,B615,$C$2:C615,C615,$D$2:D615,"&lt;&gt;Negative*",$T$2:T615,"&lt;&gt;Retracted")=1,1,0))</f>
        <v>1</v>
      </c>
    </row>
    <row r="616" spans="1:21" x14ac:dyDescent="0.2">
      <c r="A616" t="s">
        <v>2387</v>
      </c>
      <c r="B616" t="s">
        <v>530</v>
      </c>
      <c r="C616" t="s">
        <v>1356</v>
      </c>
      <c r="D616" t="s">
        <v>1572</v>
      </c>
      <c r="E616" t="s">
        <v>2388</v>
      </c>
      <c r="G616">
        <v>9.2956009999999996</v>
      </c>
      <c r="H616">
        <v>-79.892565000000005</v>
      </c>
      <c r="I616" t="s">
        <v>1573</v>
      </c>
      <c r="J616">
        <v>325</v>
      </c>
      <c r="K616">
        <v>1947</v>
      </c>
      <c r="L616">
        <v>1947</v>
      </c>
      <c r="M616" t="s">
        <v>203</v>
      </c>
      <c r="N616" t="s">
        <v>209</v>
      </c>
      <c r="Q616" s="2" t="str">
        <f>IF($C616="","",IFERROR(VLOOKUP($C616,sources!$A$2:$N$200,2,FALSE()),"?"))</f>
        <v>Map</v>
      </c>
      <c r="R616" s="2" t="str">
        <f t="shared" si="9"/>
        <v>Map</v>
      </c>
      <c r="S616" s="2" t="str">
        <f>IF($C616="","",IFERROR(VLOOKUP($C616,sources!$A$2:$N$200,9,FALSE()),"?"))</f>
        <v>US official</v>
      </c>
      <c r="T616" t="s">
        <v>5692</v>
      </c>
      <c r="U616">
        <f>IF(OR(B616="",C616="",T616="Retracted",LEFT(D616,8)="Negative"),0,IF(COUNTIFS($B$2:B616,B616,$C$2:C616,C616,$D$2:D616,"&lt;&gt;Negative*",$T$2:T616,"&lt;&gt;Retracted")=1,1,0))</f>
        <v>1</v>
      </c>
    </row>
    <row r="617" spans="1:21" x14ac:dyDescent="0.2">
      <c r="A617" t="s">
        <v>2389</v>
      </c>
      <c r="B617" t="s">
        <v>534</v>
      </c>
      <c r="C617" t="s">
        <v>1356</v>
      </c>
      <c r="D617" t="s">
        <v>1572</v>
      </c>
      <c r="E617" t="s">
        <v>2390</v>
      </c>
      <c r="G617">
        <v>9.3660209999999999</v>
      </c>
      <c r="H617">
        <v>-79.942736999999994</v>
      </c>
      <c r="I617" t="s">
        <v>1573</v>
      </c>
      <c r="J617">
        <v>325</v>
      </c>
      <c r="K617">
        <v>1947</v>
      </c>
      <c r="L617">
        <v>1947</v>
      </c>
      <c r="M617" t="s">
        <v>203</v>
      </c>
      <c r="N617" t="s">
        <v>209</v>
      </c>
      <c r="Q617" s="2" t="str">
        <f>IF($C617="","",IFERROR(VLOOKUP($C617,sources!$A$2:$N$200,2,FALSE()),"?"))</f>
        <v>Map</v>
      </c>
      <c r="R617" s="2" t="str">
        <f t="shared" si="9"/>
        <v>Map</v>
      </c>
      <c r="S617" s="2" t="str">
        <f>IF($C617="","",IFERROR(VLOOKUP($C617,sources!$A$2:$N$200,9,FALSE()),"?"))</f>
        <v>US official</v>
      </c>
      <c r="T617" t="s">
        <v>5692</v>
      </c>
      <c r="U617">
        <f>IF(OR(B617="",C617="",T617="Retracted",LEFT(D617,8)="Negative"),0,IF(COUNTIFS($B$2:B617,B617,$C$2:C617,C617,$D$2:D617,"&lt;&gt;Negative*",$T$2:T617,"&lt;&gt;Retracted")=1,1,0))</f>
        <v>1</v>
      </c>
    </row>
    <row r="618" spans="1:21" x14ac:dyDescent="0.2">
      <c r="A618" t="s">
        <v>2391</v>
      </c>
      <c r="B618" t="s">
        <v>538</v>
      </c>
      <c r="C618" t="s">
        <v>1356</v>
      </c>
      <c r="D618" t="s">
        <v>1572</v>
      </c>
      <c r="E618" t="s">
        <v>2392</v>
      </c>
      <c r="G618">
        <v>8.9386569999999992</v>
      </c>
      <c r="H618">
        <v>-79.540859999999995</v>
      </c>
      <c r="I618" t="s">
        <v>1573</v>
      </c>
      <c r="J618">
        <v>325</v>
      </c>
      <c r="K618">
        <v>1947</v>
      </c>
      <c r="L618">
        <v>1947</v>
      </c>
      <c r="M618" t="s">
        <v>203</v>
      </c>
      <c r="N618" t="s">
        <v>209</v>
      </c>
      <c r="Q618" s="2" t="str">
        <f>IF($C618="","",IFERROR(VLOOKUP($C618,sources!$A$2:$N$200,2,FALSE()),"?"))</f>
        <v>Map</v>
      </c>
      <c r="R618" s="2" t="str">
        <f t="shared" si="9"/>
        <v>Map</v>
      </c>
      <c r="S618" s="2" t="str">
        <f>IF($C618="","",IFERROR(VLOOKUP($C618,sources!$A$2:$N$200,9,FALSE()),"?"))</f>
        <v>US official</v>
      </c>
      <c r="T618" t="s">
        <v>5692</v>
      </c>
      <c r="U618">
        <f>IF(OR(B618="",C618="",T618="Retracted",LEFT(D618,8)="Negative"),0,IF(COUNTIFS($B$2:B618,B618,$C$2:C618,C618,$D$2:D618,"&lt;&gt;Negative*",$T$2:T618,"&lt;&gt;Retracted")=1,1,0))</f>
        <v>1</v>
      </c>
    </row>
    <row r="619" spans="1:21" x14ac:dyDescent="0.2">
      <c r="A619" t="s">
        <v>2393</v>
      </c>
      <c r="B619" t="s">
        <v>542</v>
      </c>
      <c r="C619" t="s">
        <v>1356</v>
      </c>
      <c r="D619" t="s">
        <v>1572</v>
      </c>
      <c r="E619" t="s">
        <v>2394</v>
      </c>
      <c r="G619">
        <v>8.9738710000000008</v>
      </c>
      <c r="H619">
        <v>-79.557715999999999</v>
      </c>
      <c r="I619" t="s">
        <v>1573</v>
      </c>
      <c r="J619">
        <v>325</v>
      </c>
      <c r="K619">
        <v>1947</v>
      </c>
      <c r="L619">
        <v>1947</v>
      </c>
      <c r="M619" t="s">
        <v>203</v>
      </c>
      <c r="N619" t="s">
        <v>209</v>
      </c>
      <c r="Q619" s="2" t="str">
        <f>IF($C619="","",IFERROR(VLOOKUP($C619,sources!$A$2:$N$200,2,FALSE()),"?"))</f>
        <v>Map</v>
      </c>
      <c r="R619" s="2" t="str">
        <f t="shared" si="9"/>
        <v>Map</v>
      </c>
      <c r="S619" s="2" t="str">
        <f>IF($C619="","",IFERROR(VLOOKUP($C619,sources!$A$2:$N$200,9,FALSE()),"?"))</f>
        <v>US official</v>
      </c>
      <c r="T619" t="s">
        <v>5692</v>
      </c>
      <c r="U619">
        <f>IF(OR(B619="",C619="",T619="Retracted",LEFT(D619,8)="Negative"),0,IF(COUNTIFS($B$2:B619,B619,$C$2:C619,C619,$D$2:D619,"&lt;&gt;Negative*",$T$2:T619,"&lt;&gt;Retracted")=1,1,0))</f>
        <v>1</v>
      </c>
    </row>
    <row r="620" spans="1:21" x14ac:dyDescent="0.2">
      <c r="A620" t="s">
        <v>2395</v>
      </c>
      <c r="B620" t="s">
        <v>552</v>
      </c>
      <c r="C620" t="s">
        <v>1356</v>
      </c>
      <c r="D620" t="s">
        <v>1572</v>
      </c>
      <c r="E620" t="s">
        <v>2396</v>
      </c>
      <c r="G620">
        <v>9.1440429999999999</v>
      </c>
      <c r="H620">
        <v>-79.853365999999994</v>
      </c>
      <c r="I620" t="s">
        <v>1573</v>
      </c>
      <c r="J620">
        <v>250</v>
      </c>
      <c r="K620">
        <v>1947</v>
      </c>
      <c r="L620">
        <v>1947</v>
      </c>
      <c r="M620" t="s">
        <v>203</v>
      </c>
      <c r="N620" t="s">
        <v>203</v>
      </c>
      <c r="Q620" s="2" t="str">
        <f>IF($C620="","",IFERROR(VLOOKUP($C620,sources!$A$2:$N$200,2,FALSE()),"?"))</f>
        <v>Map</v>
      </c>
      <c r="R620" s="2" t="str">
        <f t="shared" si="9"/>
        <v>Map</v>
      </c>
      <c r="S620" s="2" t="str">
        <f>IF($C620="","",IFERROR(VLOOKUP($C620,sources!$A$2:$N$200,9,FALSE()),"?"))</f>
        <v>US official</v>
      </c>
      <c r="T620" t="s">
        <v>5692</v>
      </c>
      <c r="U620">
        <f>IF(OR(B620="",C620="",T620="Retracted",LEFT(D620,8)="Negative"),0,IF(COUNTIFS($B$2:B620,B620,$C$2:C620,C620,$D$2:D620,"&lt;&gt;Negative*",$T$2:T620,"&lt;&gt;Retracted")=1,1,0))</f>
        <v>1</v>
      </c>
    </row>
    <row r="621" spans="1:21" x14ac:dyDescent="0.2">
      <c r="A621" t="s">
        <v>2397</v>
      </c>
      <c r="B621" t="s">
        <v>386</v>
      </c>
      <c r="C621" t="s">
        <v>1340</v>
      </c>
      <c r="D621" t="s">
        <v>1572</v>
      </c>
      <c r="E621" t="s">
        <v>560</v>
      </c>
      <c r="G621">
        <v>9.1832799999999999</v>
      </c>
      <c r="H621">
        <v>-79.829089999999994</v>
      </c>
      <c r="I621" t="s">
        <v>1573</v>
      </c>
      <c r="J621">
        <v>800</v>
      </c>
      <c r="K621">
        <v>1862</v>
      </c>
      <c r="L621">
        <v>1862</v>
      </c>
      <c r="M621" t="s">
        <v>203</v>
      </c>
      <c r="N621" t="s">
        <v>209</v>
      </c>
      <c r="Q621" s="2" t="str">
        <f>IF($C621="","",IFERROR(VLOOKUP($C621,sources!$A$2:$N$200,2,FALSE()),"?"))</f>
        <v>Map</v>
      </c>
      <c r="R621" s="2" t="str">
        <f t="shared" si="9"/>
        <v>Map</v>
      </c>
      <c r="S621" s="2" t="str">
        <f>IF($C621="","",IFERROR(VLOOKUP($C621,sources!$A$2:$N$200,9,FALSE()),"?"))</f>
        <v>PRR company</v>
      </c>
      <c r="T621" t="s">
        <v>5692</v>
      </c>
      <c r="U621">
        <f>IF(OR(B621="",C621="",T621="Retracted",LEFT(D621,8)="Negative"),0,IF(COUNTIFS($B$2:B621,B621,$C$2:C621,C621,$D$2:D621,"&lt;&gt;Negative*",$T$2:T621,"&lt;&gt;Retracted")=1,1,0))</f>
        <v>1</v>
      </c>
    </row>
    <row r="622" spans="1:21" x14ac:dyDescent="0.2">
      <c r="A622" t="s">
        <v>2398</v>
      </c>
      <c r="B622" t="s">
        <v>565</v>
      </c>
      <c r="C622" t="s">
        <v>1352</v>
      </c>
      <c r="D622" t="s">
        <v>1572</v>
      </c>
      <c r="E622" t="s">
        <v>566</v>
      </c>
      <c r="G622">
        <v>9.0977189999999997</v>
      </c>
      <c r="H622">
        <v>-79.685924</v>
      </c>
      <c r="I622" t="s">
        <v>1573</v>
      </c>
      <c r="J622">
        <v>200</v>
      </c>
      <c r="K622">
        <v>1907</v>
      </c>
      <c r="L622">
        <v>1907</v>
      </c>
      <c r="M622" t="s">
        <v>203</v>
      </c>
      <c r="N622" t="s">
        <v>209</v>
      </c>
      <c r="Q622" s="2" t="str">
        <f>IF($C622="","",IFERROR(VLOOKUP($C622,sources!$A$2:$N$200,2,FALSE()),"?"))</f>
        <v>Map</v>
      </c>
      <c r="R622" s="2" t="str">
        <f t="shared" si="9"/>
        <v>Map</v>
      </c>
      <c r="S622" s="2" t="str">
        <f>IF($C622="","",IFERROR(VLOOKUP($C622,sources!$A$2:$N$200,9,FALSE()),"?"))</f>
        <v>US official</v>
      </c>
      <c r="T622" t="s">
        <v>5692</v>
      </c>
      <c r="U622">
        <f>IF(OR(B622="",C622="",T622="Retracted",LEFT(D622,8)="Negative"),0,IF(COUNTIFS($B$2:B622,B622,$C$2:C622,C622,$D$2:D622,"&lt;&gt;Negative*",$T$2:T622,"&lt;&gt;Retracted")=1,1,0))</f>
        <v>1</v>
      </c>
    </row>
    <row r="623" spans="1:21" x14ac:dyDescent="0.2">
      <c r="A623" t="s">
        <v>2399</v>
      </c>
      <c r="B623" t="s">
        <v>570</v>
      </c>
      <c r="C623" t="s">
        <v>1347</v>
      </c>
      <c r="D623" t="s">
        <v>1572</v>
      </c>
      <c r="E623" t="s">
        <v>571</v>
      </c>
      <c r="G623">
        <v>9.0570839999999997</v>
      </c>
      <c r="H623">
        <v>-79.669908000000007</v>
      </c>
      <c r="I623" t="s">
        <v>1573</v>
      </c>
      <c r="J623">
        <v>400</v>
      </c>
      <c r="K623">
        <v>1895</v>
      </c>
      <c r="L623">
        <v>1895</v>
      </c>
      <c r="M623" t="s">
        <v>203</v>
      </c>
      <c r="N623" t="s">
        <v>209</v>
      </c>
      <c r="Q623" s="2" t="str">
        <f>IF($C623="","",IFERROR(VLOOKUP($C623,sources!$A$2:$N$200,2,FALSE()),"?"))</f>
        <v>Map</v>
      </c>
      <c r="R623" s="2" t="str">
        <f t="shared" si="9"/>
        <v>Map</v>
      </c>
      <c r="S623" s="2" t="str">
        <f>IF($C623="","",IFERROR(VLOOKUP($C623,sources!$A$2:$N$200,9,FALSE()),"?"))</f>
        <v>French company</v>
      </c>
      <c r="T623" t="s">
        <v>5692</v>
      </c>
      <c r="U623">
        <f>IF(OR(B623="",C623="",T623="Retracted",LEFT(D623,8)="Negative"),0,IF(COUNTIFS($B$2:B623,B623,$C$2:C623,C623,$D$2:D623,"&lt;&gt;Negative*",$T$2:T623,"&lt;&gt;Retracted")=1,1,0))</f>
        <v>1</v>
      </c>
    </row>
    <row r="624" spans="1:21" x14ac:dyDescent="0.2">
      <c r="A624" t="s">
        <v>2400</v>
      </c>
      <c r="B624" t="s">
        <v>575</v>
      </c>
      <c r="C624" t="s">
        <v>1352</v>
      </c>
      <c r="D624" t="s">
        <v>1572</v>
      </c>
      <c r="E624" t="s">
        <v>576</v>
      </c>
      <c r="G624">
        <v>9.1068239999999996</v>
      </c>
      <c r="H624">
        <v>-79.691253000000003</v>
      </c>
      <c r="I624" t="s">
        <v>1573</v>
      </c>
      <c r="J624">
        <v>200</v>
      </c>
      <c r="K624">
        <v>1907</v>
      </c>
      <c r="L624">
        <v>1907</v>
      </c>
      <c r="M624" t="s">
        <v>203</v>
      </c>
      <c r="N624" t="s">
        <v>209</v>
      </c>
      <c r="Q624" s="2" t="str">
        <f>IF($C624="","",IFERROR(VLOOKUP($C624,sources!$A$2:$N$200,2,FALSE()),"?"))</f>
        <v>Map</v>
      </c>
      <c r="R624" s="2" t="str">
        <f t="shared" si="9"/>
        <v>Map</v>
      </c>
      <c r="S624" s="2" t="str">
        <f>IF($C624="","",IFERROR(VLOOKUP($C624,sources!$A$2:$N$200,9,FALSE()),"?"))</f>
        <v>US official</v>
      </c>
      <c r="T624" t="s">
        <v>5692</v>
      </c>
      <c r="U624">
        <f>IF(OR(B624="",C624="",T624="Retracted",LEFT(D624,8)="Negative"),0,IF(COUNTIFS($B$2:B624,B624,$C$2:C624,C624,$D$2:D624,"&lt;&gt;Negative*",$T$2:T624,"&lt;&gt;Retracted")=1,1,0))</f>
        <v>1</v>
      </c>
    </row>
    <row r="625" spans="1:21" x14ac:dyDescent="0.2">
      <c r="A625" t="s">
        <v>2401</v>
      </c>
      <c r="B625" t="s">
        <v>580</v>
      </c>
      <c r="C625" t="s">
        <v>1352</v>
      </c>
      <c r="D625" t="s">
        <v>1572</v>
      </c>
      <c r="E625" t="s">
        <v>581</v>
      </c>
      <c r="G625">
        <v>9.094697</v>
      </c>
      <c r="H625">
        <v>-79.684494999999998</v>
      </c>
      <c r="I625" t="s">
        <v>1573</v>
      </c>
      <c r="J625">
        <v>200</v>
      </c>
      <c r="K625">
        <v>1907</v>
      </c>
      <c r="L625">
        <v>1907</v>
      </c>
      <c r="M625" t="s">
        <v>203</v>
      </c>
      <c r="N625" t="s">
        <v>209</v>
      </c>
      <c r="Q625" s="2" t="str">
        <f>IF($C625="","",IFERROR(VLOOKUP($C625,sources!$A$2:$N$200,2,FALSE()),"?"))</f>
        <v>Map</v>
      </c>
      <c r="R625" s="2" t="str">
        <f t="shared" si="9"/>
        <v>Map</v>
      </c>
      <c r="S625" s="2" t="str">
        <f>IF($C625="","",IFERROR(VLOOKUP($C625,sources!$A$2:$N$200,9,FALSE()),"?"))</f>
        <v>US official</v>
      </c>
      <c r="T625" t="s">
        <v>5692</v>
      </c>
      <c r="U625">
        <f>IF(OR(B625="",C625="",T625="Retracted",LEFT(D625,8)="Negative"),0,IF(COUNTIFS($B$2:B625,B625,$C$2:C625,C625,$D$2:D625,"&lt;&gt;Negative*",$T$2:T625,"&lt;&gt;Retracted")=1,1,0))</f>
        <v>1</v>
      </c>
    </row>
    <row r="626" spans="1:21" x14ac:dyDescent="0.2">
      <c r="A626" t="s">
        <v>2402</v>
      </c>
      <c r="B626" t="s">
        <v>584</v>
      </c>
      <c r="C626" t="s">
        <v>1352</v>
      </c>
      <c r="D626" t="s">
        <v>1572</v>
      </c>
      <c r="E626" t="s">
        <v>585</v>
      </c>
      <c r="G626">
        <v>9.0585719999999998</v>
      </c>
      <c r="H626">
        <v>-79.661240000000006</v>
      </c>
      <c r="I626" t="s">
        <v>1573</v>
      </c>
      <c r="J626">
        <v>200</v>
      </c>
      <c r="K626">
        <v>1907</v>
      </c>
      <c r="L626">
        <v>1907</v>
      </c>
      <c r="M626" t="s">
        <v>203</v>
      </c>
      <c r="N626" t="s">
        <v>209</v>
      </c>
      <c r="Q626" s="2" t="str">
        <f>IF($C626="","",IFERROR(VLOOKUP($C626,sources!$A$2:$N$200,2,FALSE()),"?"))</f>
        <v>Map</v>
      </c>
      <c r="R626" s="2" t="str">
        <f t="shared" si="9"/>
        <v>Map</v>
      </c>
      <c r="S626" s="2" t="str">
        <f>IF($C626="","",IFERROR(VLOOKUP($C626,sources!$A$2:$N$200,9,FALSE()),"?"))</f>
        <v>US official</v>
      </c>
      <c r="T626" t="s">
        <v>5692</v>
      </c>
      <c r="U626">
        <f>IF(OR(B626="",C626="",T626="Retracted",LEFT(D626,8)="Negative"),0,IF(COUNTIFS($B$2:B626,B626,$C$2:C626,C626,$D$2:D626,"&lt;&gt;Negative*",$T$2:T626,"&lt;&gt;Retracted")=1,1,0))</f>
        <v>1</v>
      </c>
    </row>
    <row r="627" spans="1:21" x14ac:dyDescent="0.2">
      <c r="A627" t="s">
        <v>2403</v>
      </c>
      <c r="B627" t="s">
        <v>588</v>
      </c>
      <c r="C627" t="s">
        <v>1352</v>
      </c>
      <c r="D627" t="s">
        <v>1572</v>
      </c>
      <c r="E627" t="s">
        <v>589</v>
      </c>
      <c r="G627">
        <v>9.0529650000000004</v>
      </c>
      <c r="H627">
        <v>-79.656103999999999</v>
      </c>
      <c r="I627" t="s">
        <v>1573</v>
      </c>
      <c r="J627">
        <v>200</v>
      </c>
      <c r="K627">
        <v>1907</v>
      </c>
      <c r="L627">
        <v>1907</v>
      </c>
      <c r="M627" t="s">
        <v>203</v>
      </c>
      <c r="N627" t="s">
        <v>209</v>
      </c>
      <c r="Q627" s="2" t="str">
        <f>IF($C627="","",IFERROR(VLOOKUP($C627,sources!$A$2:$N$200,2,FALSE()),"?"))</f>
        <v>Map</v>
      </c>
      <c r="R627" s="2" t="str">
        <f t="shared" si="9"/>
        <v>Map</v>
      </c>
      <c r="S627" s="2" t="str">
        <f>IF($C627="","",IFERROR(VLOOKUP($C627,sources!$A$2:$N$200,9,FALSE()),"?"))</f>
        <v>US official</v>
      </c>
      <c r="T627" t="s">
        <v>5692</v>
      </c>
      <c r="U627">
        <f>IF(OR(B627="",C627="",T627="Retracted",LEFT(D627,8)="Negative"),0,IF(COUNTIFS($B$2:B627,B627,$C$2:C627,C627,$D$2:D627,"&lt;&gt;Negative*",$T$2:T627,"&lt;&gt;Retracted")=1,1,0))</f>
        <v>1</v>
      </c>
    </row>
    <row r="628" spans="1:21" x14ac:dyDescent="0.2">
      <c r="A628" t="s">
        <v>2404</v>
      </c>
      <c r="B628" t="s">
        <v>592</v>
      </c>
      <c r="C628" t="s">
        <v>1335</v>
      </c>
      <c r="D628" t="s">
        <v>1572</v>
      </c>
      <c r="E628" t="s">
        <v>593</v>
      </c>
      <c r="G628">
        <v>9.1164400000000008</v>
      </c>
      <c r="H628">
        <v>-79.733369999999994</v>
      </c>
      <c r="I628" t="s">
        <v>1573</v>
      </c>
      <c r="J628">
        <v>250</v>
      </c>
      <c r="K628">
        <v>1908</v>
      </c>
      <c r="L628">
        <v>1908</v>
      </c>
      <c r="M628" t="s">
        <v>203</v>
      </c>
      <c r="N628" t="s">
        <v>209</v>
      </c>
      <c r="Q628" s="2" t="str">
        <f>IF($C628="","",IFERROR(VLOOKUP($C628,sources!$A$2:$N$200,2,FALSE()),"?"))</f>
        <v>Map</v>
      </c>
      <c r="R628" s="2" t="str">
        <f t="shared" si="9"/>
        <v>Map</v>
      </c>
      <c r="S628" s="2" t="str">
        <f>IF($C628="","",IFERROR(VLOOKUP($C628,sources!$A$2:$N$200,9,FALSE()),"?"))</f>
        <v>US official</v>
      </c>
      <c r="T628" t="s">
        <v>5692</v>
      </c>
      <c r="U628">
        <f>IF(OR(B628="",C628="",T628="Retracted",LEFT(D628,8)="Negative"),0,IF(COUNTIFS($B$2:B628,B628,$C$2:C628,C628,$D$2:D628,"&lt;&gt;Negative*",$T$2:T628,"&lt;&gt;Retracted")=1,1,0))</f>
        <v>1</v>
      </c>
    </row>
    <row r="629" spans="1:21" x14ac:dyDescent="0.2">
      <c r="A629" t="s">
        <v>2405</v>
      </c>
      <c r="B629" t="s">
        <v>595</v>
      </c>
      <c r="C629" t="s">
        <v>1168</v>
      </c>
      <c r="D629" t="s">
        <v>1572</v>
      </c>
      <c r="E629" t="s">
        <v>596</v>
      </c>
      <c r="G629">
        <v>9.1602300000000003</v>
      </c>
      <c r="H629">
        <v>-79.827039999999997</v>
      </c>
      <c r="I629" t="s">
        <v>1573</v>
      </c>
      <c r="J629">
        <v>400</v>
      </c>
      <c r="K629">
        <v>1911</v>
      </c>
      <c r="L629">
        <v>1911</v>
      </c>
      <c r="M629" t="s">
        <v>203</v>
      </c>
      <c r="N629" t="s">
        <v>209</v>
      </c>
      <c r="Q629" s="2" t="str">
        <f>IF($C629="","",IFERROR(VLOOKUP($C629,sources!$A$2:$N$200,2,FALSE()),"?"))</f>
        <v>Map</v>
      </c>
      <c r="R629" s="2" t="str">
        <f t="shared" si="9"/>
        <v>Map</v>
      </c>
      <c r="S629" s="2" t="str">
        <f>IF($C629="","",IFERROR(VLOOKUP($C629,sources!$A$2:$N$200,9,FALSE()),"?"))</f>
        <v>US official</v>
      </c>
      <c r="T629" t="s">
        <v>5692</v>
      </c>
      <c r="U629">
        <f>IF(OR(B629="",C629="",T629="Retracted",LEFT(D629,8)="Negative"),0,IF(COUNTIFS($B$2:B629,B629,$C$2:C629,C629,$D$2:D629,"&lt;&gt;Negative*",$T$2:T629,"&lt;&gt;Retracted")=1,1,0))</f>
        <v>1</v>
      </c>
    </row>
    <row r="630" spans="1:21" x14ac:dyDescent="0.2">
      <c r="A630" t="s">
        <v>2406</v>
      </c>
      <c r="B630" t="s">
        <v>599</v>
      </c>
      <c r="C630" t="s">
        <v>1168</v>
      </c>
      <c r="D630" t="s">
        <v>1572</v>
      </c>
      <c r="E630" t="s">
        <v>600</v>
      </c>
      <c r="G630">
        <v>9.1321100000000008</v>
      </c>
      <c r="H630">
        <v>-79.776269999999997</v>
      </c>
      <c r="I630" t="s">
        <v>1573</v>
      </c>
      <c r="J630">
        <v>400</v>
      </c>
      <c r="K630">
        <v>1911</v>
      </c>
      <c r="L630">
        <v>1911</v>
      </c>
      <c r="M630" t="s">
        <v>203</v>
      </c>
      <c r="N630" t="s">
        <v>209</v>
      </c>
      <c r="Q630" s="2" t="str">
        <f>IF($C630="","",IFERROR(VLOOKUP($C630,sources!$A$2:$N$200,2,FALSE()),"?"))</f>
        <v>Map</v>
      </c>
      <c r="R630" s="2" t="str">
        <f t="shared" si="9"/>
        <v>Map</v>
      </c>
      <c r="S630" s="2" t="str">
        <f>IF($C630="","",IFERROR(VLOOKUP($C630,sources!$A$2:$N$200,9,FALSE()),"?"))</f>
        <v>US official</v>
      </c>
      <c r="T630" t="s">
        <v>5692</v>
      </c>
      <c r="U630">
        <f>IF(OR(B630="",C630="",T630="Retracted",LEFT(D630,8)="Negative"),0,IF(COUNTIFS($B$2:B630,B630,$C$2:C630,C630,$D$2:D630,"&lt;&gt;Negative*",$T$2:T630,"&lt;&gt;Retracted")=1,1,0))</f>
        <v>1</v>
      </c>
    </row>
    <row r="631" spans="1:21" x14ac:dyDescent="0.2">
      <c r="A631" t="s">
        <v>2407</v>
      </c>
      <c r="B631" t="s">
        <v>603</v>
      </c>
      <c r="C631" t="s">
        <v>1179</v>
      </c>
      <c r="D631" t="s">
        <v>1572</v>
      </c>
      <c r="E631" t="s">
        <v>604</v>
      </c>
      <c r="G631">
        <v>9.2022200000000005</v>
      </c>
      <c r="H631">
        <v>-79.894170000000003</v>
      </c>
      <c r="I631" t="s">
        <v>1573</v>
      </c>
      <c r="J631">
        <v>400</v>
      </c>
      <c r="K631">
        <v>1909</v>
      </c>
      <c r="L631">
        <v>1909</v>
      </c>
      <c r="M631" t="s">
        <v>203</v>
      </c>
      <c r="N631" t="s">
        <v>209</v>
      </c>
      <c r="Q631" s="2" t="str">
        <f>IF($C631="","",IFERROR(VLOOKUP($C631,sources!$A$2:$N$200,2,FALSE()),"?"))</f>
        <v>Map</v>
      </c>
      <c r="R631" s="2" t="str">
        <f t="shared" si="9"/>
        <v>Map</v>
      </c>
      <c r="S631" s="2" t="str">
        <f>IF($C631="","",IFERROR(VLOOKUP($C631,sources!$A$2:$N$200,9,FALSE()),"?"))</f>
        <v>US official</v>
      </c>
      <c r="T631" t="s">
        <v>5692</v>
      </c>
      <c r="U631">
        <f>IF(OR(B631="",C631="",T631="Retracted",LEFT(D631,8)="Negative"),0,IF(COUNTIFS($B$2:B631,B631,$C$2:C631,C631,$D$2:D631,"&lt;&gt;Negative*",$T$2:T631,"&lt;&gt;Retracted")=1,1,0))</f>
        <v>1</v>
      </c>
    </row>
    <row r="632" spans="1:21" x14ac:dyDescent="0.2">
      <c r="A632" t="s">
        <v>2408</v>
      </c>
      <c r="B632" t="s">
        <v>607</v>
      </c>
      <c r="C632" t="s">
        <v>1179</v>
      </c>
      <c r="D632" t="s">
        <v>1572</v>
      </c>
      <c r="E632" t="s">
        <v>608</v>
      </c>
      <c r="G632">
        <v>9.1985600000000005</v>
      </c>
      <c r="H632">
        <v>-79.895020000000002</v>
      </c>
      <c r="I632" t="s">
        <v>1573</v>
      </c>
      <c r="J632">
        <v>400</v>
      </c>
      <c r="K632">
        <v>1909</v>
      </c>
      <c r="L632">
        <v>1909</v>
      </c>
      <c r="M632" t="s">
        <v>203</v>
      </c>
      <c r="N632" t="s">
        <v>209</v>
      </c>
      <c r="Q632" s="2" t="str">
        <f>IF($C632="","",IFERROR(VLOOKUP($C632,sources!$A$2:$N$200,2,FALSE()),"?"))</f>
        <v>Map</v>
      </c>
      <c r="R632" s="2" t="str">
        <f t="shared" si="9"/>
        <v>Map</v>
      </c>
      <c r="S632" s="2" t="str">
        <f>IF($C632="","",IFERROR(VLOOKUP($C632,sources!$A$2:$N$200,9,FALSE()),"?"))</f>
        <v>US official</v>
      </c>
      <c r="T632" t="s">
        <v>5692</v>
      </c>
      <c r="U632">
        <f>IF(OR(B632="",C632="",T632="Retracted",LEFT(D632,8)="Negative"),0,IF(COUNTIFS($B$2:B632,B632,$C$2:C632,C632,$D$2:D632,"&lt;&gt;Negative*",$T$2:T632,"&lt;&gt;Retracted")=1,1,0))</f>
        <v>1</v>
      </c>
    </row>
    <row r="633" spans="1:21" x14ac:dyDescent="0.2">
      <c r="A633" t="s">
        <v>2409</v>
      </c>
      <c r="B633" t="s">
        <v>490</v>
      </c>
      <c r="C633" t="s">
        <v>1352</v>
      </c>
      <c r="D633" t="s">
        <v>1572</v>
      </c>
      <c r="E633" t="s">
        <v>491</v>
      </c>
      <c r="G633">
        <v>9.0826890000000002</v>
      </c>
      <c r="H633">
        <v>-79.679139000000006</v>
      </c>
      <c r="I633" t="s">
        <v>1573</v>
      </c>
      <c r="J633">
        <v>200</v>
      </c>
      <c r="K633">
        <v>1907</v>
      </c>
      <c r="L633">
        <v>1907</v>
      </c>
      <c r="M633" t="s">
        <v>203</v>
      </c>
      <c r="N633" t="s">
        <v>209</v>
      </c>
      <c r="Q633" s="2" t="str">
        <f>IF($C633="","",IFERROR(VLOOKUP($C633,sources!$A$2:$N$200,2,FALSE()),"?"))</f>
        <v>Map</v>
      </c>
      <c r="R633" s="2" t="str">
        <f t="shared" si="9"/>
        <v>Map</v>
      </c>
      <c r="S633" s="2" t="str">
        <f>IF($C633="","",IFERROR(VLOOKUP($C633,sources!$A$2:$N$200,9,FALSE()),"?"))</f>
        <v>US official</v>
      </c>
      <c r="T633" t="s">
        <v>5692</v>
      </c>
      <c r="U633">
        <f>IF(OR(B633="",C633="",T633="Retracted",LEFT(D633,8)="Negative"),0,IF(COUNTIFS($B$2:B633,B633,$C$2:C633,C633,$D$2:D633,"&lt;&gt;Negative*",$T$2:T633,"&lt;&gt;Retracted")=1,1,0))</f>
        <v>1</v>
      </c>
    </row>
    <row r="634" spans="1:21" x14ac:dyDescent="0.2">
      <c r="A634" t="s">
        <v>2410</v>
      </c>
      <c r="B634" t="s">
        <v>503</v>
      </c>
      <c r="C634" t="s">
        <v>1352</v>
      </c>
      <c r="D634" t="s">
        <v>1572</v>
      </c>
      <c r="E634" t="s">
        <v>505</v>
      </c>
      <c r="G634">
        <v>9.0227380000000004</v>
      </c>
      <c r="H634">
        <v>-79.627855999999994</v>
      </c>
      <c r="I634" t="s">
        <v>1573</v>
      </c>
      <c r="J634">
        <v>250</v>
      </c>
      <c r="K634">
        <v>1907</v>
      </c>
      <c r="L634">
        <v>1907</v>
      </c>
      <c r="M634" t="s">
        <v>203</v>
      </c>
      <c r="N634" t="s">
        <v>209</v>
      </c>
      <c r="Q634" s="2" t="str">
        <f>IF($C634="","",IFERROR(VLOOKUP($C634,sources!$A$2:$N$200,2,FALSE()),"?"))</f>
        <v>Map</v>
      </c>
      <c r="R634" s="2" t="str">
        <f t="shared" si="9"/>
        <v>Map</v>
      </c>
      <c r="S634" s="2" t="str">
        <f>IF($C634="","",IFERROR(VLOOKUP($C634,sources!$A$2:$N$200,9,FALSE()),"?"))</f>
        <v>US official</v>
      </c>
      <c r="T634" t="s">
        <v>5692</v>
      </c>
      <c r="U634">
        <f>IF(OR(B634="",C634="",T634="Retracted",LEFT(D634,8)="Negative"),0,IF(COUNTIFS($B$2:B634,B634,$C$2:C634,C634,$D$2:D634,"&lt;&gt;Negative*",$T$2:T634,"&lt;&gt;Retracted")=1,1,0))</f>
        <v>1</v>
      </c>
    </row>
    <row r="635" spans="1:21" x14ac:dyDescent="0.2">
      <c r="A635" t="s">
        <v>2411</v>
      </c>
      <c r="B635" t="s">
        <v>565</v>
      </c>
      <c r="C635" t="s">
        <v>1347</v>
      </c>
      <c r="D635" t="s">
        <v>1572</v>
      </c>
      <c r="E635" t="s">
        <v>2412</v>
      </c>
      <c r="G635">
        <v>9.0981740000000002</v>
      </c>
      <c r="H635">
        <v>-79.692524000000006</v>
      </c>
      <c r="I635" t="s">
        <v>1573</v>
      </c>
      <c r="J635">
        <v>390</v>
      </c>
      <c r="K635">
        <v>1895</v>
      </c>
      <c r="L635">
        <v>1895</v>
      </c>
      <c r="M635" t="s">
        <v>203</v>
      </c>
      <c r="N635" t="s">
        <v>209</v>
      </c>
      <c r="Q635" s="2" t="str">
        <f>IF($C635="","",IFERROR(VLOOKUP($C635,sources!$A$2:$N$200,2,FALSE()),"?"))</f>
        <v>Map</v>
      </c>
      <c r="R635" s="2" t="str">
        <f t="shared" si="9"/>
        <v>Map</v>
      </c>
      <c r="S635" s="2" t="str">
        <f>IF($C635="","",IFERROR(VLOOKUP($C635,sources!$A$2:$N$200,9,FALSE()),"?"))</f>
        <v>French company</v>
      </c>
      <c r="T635" t="s">
        <v>5692</v>
      </c>
      <c r="U635">
        <f>IF(OR(B635="",C635="",T635="Retracted",LEFT(D635,8)="Negative"),0,IF(COUNTIFS($B$2:B635,B635,$C$2:C635,C635,$D$2:D635,"&lt;&gt;Negative*",$T$2:T635,"&lt;&gt;Retracted")=1,1,0))</f>
        <v>1</v>
      </c>
    </row>
    <row r="636" spans="1:21" x14ac:dyDescent="0.2">
      <c r="A636" t="s">
        <v>2413</v>
      </c>
      <c r="B636" t="s">
        <v>330</v>
      </c>
      <c r="C636" t="s">
        <v>1179</v>
      </c>
      <c r="D636" t="s">
        <v>1572</v>
      </c>
      <c r="E636" t="s">
        <v>331</v>
      </c>
      <c r="F636" t="s">
        <v>1583</v>
      </c>
      <c r="G636">
        <v>9.3575099999999996</v>
      </c>
      <c r="H636">
        <v>-79.897980000000004</v>
      </c>
      <c r="I636" t="s">
        <v>1573</v>
      </c>
      <c r="J636">
        <v>300</v>
      </c>
      <c r="K636">
        <v>1909</v>
      </c>
      <c r="L636">
        <v>1909</v>
      </c>
      <c r="M636" t="s">
        <v>203</v>
      </c>
      <c r="N636" t="s">
        <v>203</v>
      </c>
      <c r="Q636" s="2" t="str">
        <f>IF($C636="","",IFERROR(VLOOKUP($C636,sources!$A$2:$N$200,2,FALSE()),"?"))</f>
        <v>Map</v>
      </c>
      <c r="R636" s="2" t="str">
        <f t="shared" si="9"/>
        <v>Map</v>
      </c>
      <c r="S636" s="2" t="str">
        <f>IF($C636="","",IFERROR(VLOOKUP($C636,sources!$A$2:$N$200,9,FALSE()),"?"))</f>
        <v>US official</v>
      </c>
      <c r="T636" t="s">
        <v>5692</v>
      </c>
      <c r="U636">
        <f>IF(OR(B636="",C636="",T636="Retracted",LEFT(D636,8)="Negative"),0,IF(COUNTIFS($B$2:B636,B636,$C$2:C636,C636,$D$2:D636,"&lt;&gt;Negative*",$T$2:T636,"&lt;&gt;Retracted")=1,1,0))</f>
        <v>1</v>
      </c>
    </row>
    <row r="637" spans="1:21" x14ac:dyDescent="0.2">
      <c r="A637" t="s">
        <v>2414</v>
      </c>
      <c r="B637" t="s">
        <v>415</v>
      </c>
      <c r="C637" t="s">
        <v>1179</v>
      </c>
      <c r="D637" t="s">
        <v>1572</v>
      </c>
      <c r="E637" t="s">
        <v>416</v>
      </c>
      <c r="F637" t="s">
        <v>1583</v>
      </c>
      <c r="G637">
        <v>9.3360900000000004</v>
      </c>
      <c r="H637">
        <v>-79.886049999999997</v>
      </c>
      <c r="I637" t="s">
        <v>1573</v>
      </c>
      <c r="J637">
        <v>500</v>
      </c>
      <c r="K637">
        <v>1909</v>
      </c>
      <c r="L637">
        <v>1909</v>
      </c>
      <c r="M637" t="s">
        <v>203</v>
      </c>
      <c r="N637" t="s">
        <v>209</v>
      </c>
      <c r="Q637" s="2" t="str">
        <f>IF($C637="","",IFERROR(VLOOKUP($C637,sources!$A$2:$N$200,2,FALSE()),"?"))</f>
        <v>Map</v>
      </c>
      <c r="R637" s="2" t="str">
        <f t="shared" si="9"/>
        <v>Map</v>
      </c>
      <c r="S637" s="2" t="str">
        <f>IF($C637="","",IFERROR(VLOOKUP($C637,sources!$A$2:$N$200,9,FALSE()),"?"))</f>
        <v>US official</v>
      </c>
      <c r="T637" t="s">
        <v>5692</v>
      </c>
      <c r="U637">
        <f>IF(OR(B637="",C637="",T637="Retracted",LEFT(D637,8)="Negative"),0,IF(COUNTIFS($B$2:B637,B637,$C$2:C637,C637,$D$2:D637,"&lt;&gt;Negative*",$T$2:T637,"&lt;&gt;Retracted")=1,1,0))</f>
        <v>1</v>
      </c>
    </row>
    <row r="638" spans="1:21" x14ac:dyDescent="0.2">
      <c r="A638" t="s">
        <v>2415</v>
      </c>
      <c r="B638" t="s">
        <v>443</v>
      </c>
      <c r="C638" t="s">
        <v>1179</v>
      </c>
      <c r="D638" t="s">
        <v>1572</v>
      </c>
      <c r="E638" t="s">
        <v>444</v>
      </c>
      <c r="F638" t="s">
        <v>1583</v>
      </c>
      <c r="G638">
        <v>9.3227799999999998</v>
      </c>
      <c r="H638">
        <v>-80.007869999999997</v>
      </c>
      <c r="I638" t="s">
        <v>1573</v>
      </c>
      <c r="J638">
        <v>350</v>
      </c>
      <c r="K638">
        <v>1909</v>
      </c>
      <c r="L638">
        <v>1909</v>
      </c>
      <c r="M638" t="s">
        <v>203</v>
      </c>
      <c r="N638" t="s">
        <v>203</v>
      </c>
      <c r="Q638" s="2" t="str">
        <f>IF($C638="","",IFERROR(VLOOKUP($C638,sources!$A$2:$N$200,2,FALSE()),"?"))</f>
        <v>Map</v>
      </c>
      <c r="R638" s="2" t="str">
        <f t="shared" si="9"/>
        <v>Map</v>
      </c>
      <c r="S638" s="2" t="str">
        <f>IF($C638="","",IFERROR(VLOOKUP($C638,sources!$A$2:$N$200,9,FALSE()),"?"))</f>
        <v>US official</v>
      </c>
      <c r="T638" t="s">
        <v>5692</v>
      </c>
      <c r="U638">
        <f>IF(OR(B638="",C638="",T638="Retracted",LEFT(D638,8)="Negative"),0,IF(COUNTIFS($B$2:B638,B638,$C$2:C638,C638,$D$2:D638,"&lt;&gt;Negative*",$T$2:T638,"&lt;&gt;Retracted")=1,1,0))</f>
        <v>1</v>
      </c>
    </row>
    <row r="639" spans="1:21" x14ac:dyDescent="0.2">
      <c r="A639" t="s">
        <v>2416</v>
      </c>
      <c r="B639" t="s">
        <v>468</v>
      </c>
      <c r="C639" t="s">
        <v>1179</v>
      </c>
      <c r="D639" t="s">
        <v>1572</v>
      </c>
      <c r="E639" t="s">
        <v>2417</v>
      </c>
      <c r="F639" t="s">
        <v>1583</v>
      </c>
      <c r="G639">
        <v>8.9151000000000007</v>
      </c>
      <c r="H639">
        <v>-79.532480000000007</v>
      </c>
      <c r="I639" t="s">
        <v>1573</v>
      </c>
      <c r="J639">
        <v>200</v>
      </c>
      <c r="K639">
        <v>1909</v>
      </c>
      <c r="L639">
        <v>1909</v>
      </c>
      <c r="M639" t="s">
        <v>203</v>
      </c>
      <c r="N639" t="s">
        <v>209</v>
      </c>
      <c r="Q639" s="2" t="str">
        <f>IF($C639="","",IFERROR(VLOOKUP($C639,sources!$A$2:$N$200,2,FALSE()),"?"))</f>
        <v>Map</v>
      </c>
      <c r="R639" s="2" t="str">
        <f t="shared" si="9"/>
        <v>Map</v>
      </c>
      <c r="S639" s="2" t="str">
        <f>IF($C639="","",IFERROR(VLOOKUP($C639,sources!$A$2:$N$200,9,FALSE()),"?"))</f>
        <v>US official</v>
      </c>
      <c r="T639" t="s">
        <v>5692</v>
      </c>
      <c r="U639">
        <f>IF(OR(B639="",C639="",T639="Retracted",LEFT(D639,8)="Negative"),0,IF(COUNTIFS($B$2:B639,B639,$C$2:C639,C639,$D$2:D639,"&lt;&gt;Negative*",$T$2:T639,"&lt;&gt;Retracted")=1,1,0))</f>
        <v>1</v>
      </c>
    </row>
    <row r="640" spans="1:21" x14ac:dyDescent="0.2">
      <c r="A640" t="s">
        <v>2418</v>
      </c>
      <c r="B640" t="s">
        <v>383</v>
      </c>
      <c r="C640" t="s">
        <v>1179</v>
      </c>
      <c r="D640" t="s">
        <v>1572</v>
      </c>
      <c r="E640" t="s">
        <v>384</v>
      </c>
      <c r="F640" t="s">
        <v>1583</v>
      </c>
      <c r="G640">
        <v>9.2986000000000004</v>
      </c>
      <c r="H640">
        <v>-79.910499999999999</v>
      </c>
      <c r="I640" t="s">
        <v>1573</v>
      </c>
      <c r="J640">
        <v>400</v>
      </c>
      <c r="K640">
        <v>1909</v>
      </c>
      <c r="L640">
        <v>1909</v>
      </c>
      <c r="M640" t="s">
        <v>203</v>
      </c>
      <c r="N640" t="s">
        <v>209</v>
      </c>
      <c r="Q640" s="2" t="str">
        <f>IF($C640="","",IFERROR(VLOOKUP($C640,sources!$A$2:$N$200,2,FALSE()),"?"))</f>
        <v>Map</v>
      </c>
      <c r="R640" s="2" t="str">
        <f t="shared" si="9"/>
        <v>Map</v>
      </c>
      <c r="S640" s="2" t="str">
        <f>IF($C640="","",IFERROR(VLOOKUP($C640,sources!$A$2:$N$200,9,FALSE()),"?"))</f>
        <v>US official</v>
      </c>
      <c r="T640" t="s">
        <v>5692</v>
      </c>
      <c r="U640">
        <f>IF(OR(B640="",C640="",T640="Retracted",LEFT(D640,8)="Negative"),0,IF(COUNTIFS($B$2:B640,B640,$C$2:C640,C640,$D$2:D640,"&lt;&gt;Negative*",$T$2:T640,"&lt;&gt;Retracted")=1,1,0))</f>
        <v>1</v>
      </c>
    </row>
    <row r="641" spans="1:21" x14ac:dyDescent="0.2">
      <c r="A641" t="s">
        <v>2419</v>
      </c>
      <c r="B641" t="s">
        <v>472</v>
      </c>
      <c r="C641" t="s">
        <v>1179</v>
      </c>
      <c r="D641" t="s">
        <v>1572</v>
      </c>
      <c r="E641" t="s">
        <v>2420</v>
      </c>
      <c r="F641" t="s">
        <v>1566</v>
      </c>
      <c r="G641">
        <v>9.2178000000000004</v>
      </c>
      <c r="H641">
        <v>-79.592299999999994</v>
      </c>
      <c r="I641" t="s">
        <v>1573</v>
      </c>
      <c r="J641">
        <v>700</v>
      </c>
      <c r="K641">
        <v>1909</v>
      </c>
      <c r="L641">
        <v>1909</v>
      </c>
      <c r="M641" t="s">
        <v>203</v>
      </c>
      <c r="N641" t="s">
        <v>209</v>
      </c>
      <c r="Q641" s="2" t="str">
        <f>IF($C641="","",IFERROR(VLOOKUP($C641,sources!$A$2:$N$200,2,FALSE()),"?"))</f>
        <v>Map</v>
      </c>
      <c r="R641" s="2" t="str">
        <f t="shared" si="9"/>
        <v>Map</v>
      </c>
      <c r="S641" s="2" t="str">
        <f>IF($C641="","",IFERROR(VLOOKUP($C641,sources!$A$2:$N$200,9,FALSE()),"?"))</f>
        <v>US official</v>
      </c>
      <c r="T641" t="s">
        <v>5692</v>
      </c>
      <c r="U641">
        <f>IF(OR(B641="",C641="",T641="Retracted",LEFT(D641,8)="Negative"),0,IF(COUNTIFS($B$2:B641,B641,$C$2:C641,C641,$D$2:D641,"&lt;&gt;Negative*",$T$2:T641,"&lt;&gt;Retracted")=1,1,0))</f>
        <v>1</v>
      </c>
    </row>
    <row r="642" spans="1:21" x14ac:dyDescent="0.2">
      <c r="A642" t="s">
        <v>2421</v>
      </c>
      <c r="B642" t="s">
        <v>507</v>
      </c>
      <c r="C642" t="s">
        <v>1179</v>
      </c>
      <c r="D642" t="s">
        <v>1572</v>
      </c>
      <c r="E642" t="s">
        <v>508</v>
      </c>
      <c r="F642" t="s">
        <v>1566</v>
      </c>
      <c r="G642">
        <v>9.1362000000000005</v>
      </c>
      <c r="H642">
        <v>-79.672700000000006</v>
      </c>
      <c r="I642" t="s">
        <v>1573</v>
      </c>
      <c r="J642">
        <v>400</v>
      </c>
      <c r="K642">
        <v>1909</v>
      </c>
      <c r="L642">
        <v>1909</v>
      </c>
      <c r="M642" t="s">
        <v>203</v>
      </c>
      <c r="N642" t="s">
        <v>209</v>
      </c>
      <c r="Q642" s="2" t="str">
        <f>IF($C642="","",IFERROR(VLOOKUP($C642,sources!$A$2:$N$200,2,FALSE()),"?"))</f>
        <v>Map</v>
      </c>
      <c r="R642" s="2" t="str">
        <f t="shared" ref="R642:R705" si="10">IF($Q642="","",IF($Q642="Map","Map",IF(OR($Q642="Photograph",$Q642="Postcard"),"Image",IF(OR($Q642="Census or roll",$Q642="Report",$Q642="Newspaper",$Q642="Letter",$Q642="Memoir",$Q642="Administrative",$Q642="Web compilation"),"Textual",IF($Q642="Legal claim","Legal/admin",IF($Q642="Secondary","Secondary","Other"))))))</f>
        <v>Map</v>
      </c>
      <c r="S642" s="2" t="str">
        <f>IF($C642="","",IFERROR(VLOOKUP($C642,sources!$A$2:$N$200,9,FALSE()),"?"))</f>
        <v>US official</v>
      </c>
      <c r="T642" t="s">
        <v>5692</v>
      </c>
      <c r="U642">
        <f>IF(OR(B642="",C642="",T642="Retracted",LEFT(D642,8)="Negative"),0,IF(COUNTIFS($B$2:B642,B642,$C$2:C642,C642,$D$2:D642,"&lt;&gt;Negative*",$T$2:T642,"&lt;&gt;Retracted")=1,1,0))</f>
        <v>1</v>
      </c>
    </row>
    <row r="643" spans="1:21" x14ac:dyDescent="0.2">
      <c r="A643" t="s">
        <v>2422</v>
      </c>
      <c r="B643" t="s">
        <v>580</v>
      </c>
      <c r="C643" t="s">
        <v>1179</v>
      </c>
      <c r="D643" t="s">
        <v>1572</v>
      </c>
      <c r="E643" t="s">
        <v>581</v>
      </c>
      <c r="F643" t="s">
        <v>2423</v>
      </c>
      <c r="G643">
        <v>9.0656999999999996</v>
      </c>
      <c r="H643">
        <v>-79.681799999999996</v>
      </c>
      <c r="I643" t="s">
        <v>1573</v>
      </c>
      <c r="J643">
        <v>400</v>
      </c>
      <c r="K643">
        <v>1909</v>
      </c>
      <c r="L643">
        <v>1909</v>
      </c>
      <c r="M643" t="s">
        <v>203</v>
      </c>
      <c r="N643" t="s">
        <v>209</v>
      </c>
      <c r="Q643" s="2" t="str">
        <f>IF($C643="","",IFERROR(VLOOKUP($C643,sources!$A$2:$N$200,2,FALSE()),"?"))</f>
        <v>Map</v>
      </c>
      <c r="R643" s="2" t="str">
        <f t="shared" si="10"/>
        <v>Map</v>
      </c>
      <c r="S643" s="2" t="str">
        <f>IF($C643="","",IFERROR(VLOOKUP($C643,sources!$A$2:$N$200,9,FALSE()),"?"))</f>
        <v>US official</v>
      </c>
      <c r="T643" t="s">
        <v>5692</v>
      </c>
      <c r="U643">
        <f>IF(OR(B643="",C643="",T643="Retracted",LEFT(D643,8)="Negative"),0,IF(COUNTIFS($B$2:B643,B643,$C$2:C643,C643,$D$2:D643,"&lt;&gt;Negative*",$T$2:T643,"&lt;&gt;Retracted")=1,1,0))</f>
        <v>1</v>
      </c>
    </row>
    <row r="644" spans="1:21" x14ac:dyDescent="0.2">
      <c r="A644" t="s">
        <v>2424</v>
      </c>
      <c r="B644" t="s">
        <v>588</v>
      </c>
      <c r="C644" t="s">
        <v>1179</v>
      </c>
      <c r="D644" t="s">
        <v>1572</v>
      </c>
      <c r="E644" t="s">
        <v>589</v>
      </c>
      <c r="F644" t="s">
        <v>1566</v>
      </c>
      <c r="G644">
        <v>9.0532900000000005</v>
      </c>
      <c r="H644">
        <v>-79.653109999999998</v>
      </c>
      <c r="I644" t="s">
        <v>1573</v>
      </c>
      <c r="J644">
        <v>300</v>
      </c>
      <c r="K644">
        <v>1909</v>
      </c>
      <c r="L644">
        <v>1909</v>
      </c>
      <c r="M644" t="s">
        <v>203</v>
      </c>
      <c r="N644" t="s">
        <v>209</v>
      </c>
      <c r="Q644" s="2" t="str">
        <f>IF($C644="","",IFERROR(VLOOKUP($C644,sources!$A$2:$N$200,2,FALSE()),"?"))</f>
        <v>Map</v>
      </c>
      <c r="R644" s="2" t="str">
        <f t="shared" si="10"/>
        <v>Map</v>
      </c>
      <c r="S644" s="2" t="str">
        <f>IF($C644="","",IFERROR(VLOOKUP($C644,sources!$A$2:$N$200,9,FALSE()),"?"))</f>
        <v>US official</v>
      </c>
      <c r="T644" t="s">
        <v>5692</v>
      </c>
      <c r="U644">
        <f>IF(OR(B644="",C644="",T644="Retracted",LEFT(D644,8)="Negative"),0,IF(COUNTIFS($B$2:B644,B644,$C$2:C644,C644,$D$2:D644,"&lt;&gt;Negative*",$T$2:T644,"&lt;&gt;Retracted")=1,1,0))</f>
        <v>1</v>
      </c>
    </row>
    <row r="645" spans="1:21" x14ac:dyDescent="0.2">
      <c r="A645" t="s">
        <v>2425</v>
      </c>
      <c r="B645" t="s">
        <v>595</v>
      </c>
      <c r="C645" t="s">
        <v>1179</v>
      </c>
      <c r="D645" t="s">
        <v>1572</v>
      </c>
      <c r="E645" t="s">
        <v>596</v>
      </c>
      <c r="F645" t="s">
        <v>1566</v>
      </c>
      <c r="G645">
        <v>9.1528299999999998</v>
      </c>
      <c r="H645">
        <v>-79.811440000000005</v>
      </c>
      <c r="I645" t="s">
        <v>1573</v>
      </c>
      <c r="J645">
        <v>350</v>
      </c>
      <c r="K645">
        <v>1909</v>
      </c>
      <c r="L645">
        <v>1909</v>
      </c>
      <c r="M645" t="s">
        <v>203</v>
      </c>
      <c r="N645" t="s">
        <v>209</v>
      </c>
      <c r="Q645" s="2" t="str">
        <f>IF($C645="","",IFERROR(VLOOKUP($C645,sources!$A$2:$N$200,2,FALSE()),"?"))</f>
        <v>Map</v>
      </c>
      <c r="R645" s="2" t="str">
        <f t="shared" si="10"/>
        <v>Map</v>
      </c>
      <c r="S645" s="2" t="str">
        <f>IF($C645="","",IFERROR(VLOOKUP($C645,sources!$A$2:$N$200,9,FALSE()),"?"))</f>
        <v>US official</v>
      </c>
      <c r="T645" t="s">
        <v>5692</v>
      </c>
      <c r="U645">
        <f>IF(OR(B645="",C645="",T645="Retracted",LEFT(D645,8)="Negative"),0,IF(COUNTIFS($B$2:B645,B645,$C$2:C645,C645,$D$2:D645,"&lt;&gt;Negative*",$T$2:T645,"&lt;&gt;Retracted")=1,1,0))</f>
        <v>1</v>
      </c>
    </row>
    <row r="646" spans="1:21" x14ac:dyDescent="0.2">
      <c r="A646" t="s">
        <v>2426</v>
      </c>
      <c r="B646" t="s">
        <v>475</v>
      </c>
      <c r="C646" t="s">
        <v>1179</v>
      </c>
      <c r="D646" t="s">
        <v>1572</v>
      </c>
      <c r="E646" t="s">
        <v>2427</v>
      </c>
      <c r="F646" t="s">
        <v>1583</v>
      </c>
      <c r="G646">
        <v>8.9712800000000001</v>
      </c>
      <c r="H646">
        <v>-79.564989999999995</v>
      </c>
      <c r="I646" t="s">
        <v>1573</v>
      </c>
      <c r="J646">
        <v>300</v>
      </c>
      <c r="K646">
        <v>1909</v>
      </c>
      <c r="L646">
        <v>1909</v>
      </c>
      <c r="M646" t="s">
        <v>203</v>
      </c>
      <c r="N646" t="s">
        <v>209</v>
      </c>
      <c r="Q646" s="2" t="str">
        <f>IF($C646="","",IFERROR(VLOOKUP($C646,sources!$A$2:$N$200,2,FALSE()),"?"))</f>
        <v>Map</v>
      </c>
      <c r="R646" s="2" t="str">
        <f t="shared" si="10"/>
        <v>Map</v>
      </c>
      <c r="S646" s="2" t="str">
        <f>IF($C646="","",IFERROR(VLOOKUP($C646,sources!$A$2:$N$200,9,FALSE()),"?"))</f>
        <v>US official</v>
      </c>
      <c r="T646" t="s">
        <v>5692</v>
      </c>
      <c r="U646">
        <f>IF(OR(B646="",C646="",T646="Retracted",LEFT(D646,8)="Negative"),0,IF(COUNTIFS($B$2:B646,B646,$C$2:C646,C646,$D$2:D646,"&lt;&gt;Negative*",$T$2:T646,"&lt;&gt;Retracted")=1,1,0))</f>
        <v>1</v>
      </c>
    </row>
    <row r="647" spans="1:21" x14ac:dyDescent="0.2">
      <c r="A647" t="s">
        <v>2428</v>
      </c>
      <c r="B647" t="s">
        <v>389</v>
      </c>
      <c r="C647" t="s">
        <v>1179</v>
      </c>
      <c r="D647" t="s">
        <v>1564</v>
      </c>
      <c r="E647" t="s">
        <v>390</v>
      </c>
      <c r="F647" t="s">
        <v>1583</v>
      </c>
      <c r="I647" t="s">
        <v>1058</v>
      </c>
      <c r="K647">
        <v>1909</v>
      </c>
      <c r="L647">
        <v>1909</v>
      </c>
      <c r="M647" t="s">
        <v>203</v>
      </c>
      <c r="N647" t="s">
        <v>203</v>
      </c>
      <c r="Q647" s="2" t="str">
        <f>IF($C647="","",IFERROR(VLOOKUP($C647,sources!$A$2:$N$200,2,FALSE()),"?"))</f>
        <v>Map</v>
      </c>
      <c r="R647" s="2" t="str">
        <f t="shared" si="10"/>
        <v>Map</v>
      </c>
      <c r="S647" s="2" t="str">
        <f>IF($C647="","",IFERROR(VLOOKUP($C647,sources!$A$2:$N$200,9,FALSE()),"?"))</f>
        <v>US official</v>
      </c>
      <c r="T647" t="s">
        <v>5692</v>
      </c>
      <c r="U647">
        <f>IF(OR(B647="",C647="",T647="Retracted",LEFT(D647,8)="Negative"),0,IF(COUNTIFS($B$2:B647,B647,$C$2:C647,C647,$D$2:D647,"&lt;&gt;Negative*",$T$2:T647,"&lt;&gt;Retracted")=1,1,0))</f>
        <v>0</v>
      </c>
    </row>
    <row r="648" spans="1:21" x14ac:dyDescent="0.2">
      <c r="A648" t="s">
        <v>2429</v>
      </c>
      <c r="B648" t="s">
        <v>194</v>
      </c>
      <c r="C648" t="s">
        <v>1179</v>
      </c>
      <c r="D648" t="s">
        <v>1613</v>
      </c>
      <c r="E648" t="s">
        <v>195</v>
      </c>
      <c r="F648" t="s">
        <v>1583</v>
      </c>
      <c r="I648" t="s">
        <v>1058</v>
      </c>
      <c r="K648">
        <v>1909</v>
      </c>
      <c r="L648">
        <v>1909</v>
      </c>
      <c r="M648" t="s">
        <v>209</v>
      </c>
      <c r="N648" t="s">
        <v>203</v>
      </c>
      <c r="Q648" s="2" t="str">
        <f>IF($C648="","",IFERROR(VLOOKUP($C648,sources!$A$2:$N$200,2,FALSE()),"?"))</f>
        <v>Map</v>
      </c>
      <c r="R648" s="2" t="str">
        <f t="shared" si="10"/>
        <v>Map</v>
      </c>
      <c r="S648" s="2" t="str">
        <f>IF($C648="","",IFERROR(VLOOKUP($C648,sources!$A$2:$N$200,9,FALSE()),"?"))</f>
        <v>US official</v>
      </c>
      <c r="T648" t="s">
        <v>5692</v>
      </c>
      <c r="U648">
        <f>IF(OR(B648="",C648="",T648="Retracted",LEFT(D648,8)="Negative"),0,IF(COUNTIFS($B$2:B648,B648,$C$2:C648,C648,$D$2:D648,"&lt;&gt;Negative*",$T$2:T648,"&lt;&gt;Retracted")=1,1,0))</f>
        <v>0</v>
      </c>
    </row>
    <row r="649" spans="1:21" x14ac:dyDescent="0.2">
      <c r="A649" t="s">
        <v>2430</v>
      </c>
      <c r="B649" t="s">
        <v>211</v>
      </c>
      <c r="C649" t="s">
        <v>1179</v>
      </c>
      <c r="D649" t="s">
        <v>1613</v>
      </c>
      <c r="E649" t="s">
        <v>212</v>
      </c>
      <c r="F649" t="s">
        <v>1583</v>
      </c>
      <c r="I649" t="s">
        <v>1058</v>
      </c>
      <c r="K649">
        <v>1909</v>
      </c>
      <c r="L649">
        <v>1909</v>
      </c>
      <c r="M649" t="s">
        <v>209</v>
      </c>
      <c r="N649" t="s">
        <v>203</v>
      </c>
      <c r="Q649" s="2" t="str">
        <f>IF($C649="","",IFERROR(VLOOKUP($C649,sources!$A$2:$N$200,2,FALSE()),"?"))</f>
        <v>Map</v>
      </c>
      <c r="R649" s="2" t="str">
        <f t="shared" si="10"/>
        <v>Map</v>
      </c>
      <c r="S649" s="2" t="str">
        <f>IF($C649="","",IFERROR(VLOOKUP($C649,sources!$A$2:$N$200,9,FALSE()),"?"))</f>
        <v>US official</v>
      </c>
      <c r="T649" t="s">
        <v>5692</v>
      </c>
      <c r="U649">
        <f>IF(OR(B649="",C649="",T649="Retracted",LEFT(D649,8)="Negative"),0,IF(COUNTIFS($B$2:B649,B649,$C$2:C649,C649,$D$2:D649,"&lt;&gt;Negative*",$T$2:T649,"&lt;&gt;Retracted")=1,1,0))</f>
        <v>0</v>
      </c>
    </row>
    <row r="650" spans="1:21" x14ac:dyDescent="0.2">
      <c r="A650" t="s">
        <v>2431</v>
      </c>
      <c r="B650" t="s">
        <v>217</v>
      </c>
      <c r="C650" t="s">
        <v>1179</v>
      </c>
      <c r="D650" t="s">
        <v>1613</v>
      </c>
      <c r="E650" t="s">
        <v>218</v>
      </c>
      <c r="F650" t="s">
        <v>1583</v>
      </c>
      <c r="I650" t="s">
        <v>1058</v>
      </c>
      <c r="K650">
        <v>1909</v>
      </c>
      <c r="L650">
        <v>1909</v>
      </c>
      <c r="M650" t="s">
        <v>209</v>
      </c>
      <c r="N650" t="s">
        <v>203</v>
      </c>
      <c r="Q650" s="2" t="str">
        <f>IF($C650="","",IFERROR(VLOOKUP($C650,sources!$A$2:$N$200,2,FALSE()),"?"))</f>
        <v>Map</v>
      </c>
      <c r="R650" s="2" t="str">
        <f t="shared" si="10"/>
        <v>Map</v>
      </c>
      <c r="S650" s="2" t="str">
        <f>IF($C650="","",IFERROR(VLOOKUP($C650,sources!$A$2:$N$200,9,FALSE()),"?"))</f>
        <v>US official</v>
      </c>
      <c r="T650" t="s">
        <v>5692</v>
      </c>
      <c r="U650">
        <f>IF(OR(B650="",C650="",T650="Retracted",LEFT(D650,8)="Negative"),0,IF(COUNTIFS($B$2:B650,B650,$C$2:C650,C650,$D$2:D650,"&lt;&gt;Negative*",$T$2:T650,"&lt;&gt;Retracted")=1,1,0))</f>
        <v>0</v>
      </c>
    </row>
    <row r="651" spans="1:21" x14ac:dyDescent="0.2">
      <c r="A651" t="s">
        <v>2432</v>
      </c>
      <c r="B651" t="s">
        <v>226</v>
      </c>
      <c r="C651" t="s">
        <v>1179</v>
      </c>
      <c r="D651" t="s">
        <v>1613</v>
      </c>
      <c r="E651" t="s">
        <v>227</v>
      </c>
      <c r="F651" t="s">
        <v>1583</v>
      </c>
      <c r="I651" t="s">
        <v>1058</v>
      </c>
      <c r="K651">
        <v>1909</v>
      </c>
      <c r="L651">
        <v>1909</v>
      </c>
      <c r="M651" t="s">
        <v>209</v>
      </c>
      <c r="N651" t="s">
        <v>209</v>
      </c>
      <c r="Q651" s="2" t="str">
        <f>IF($C651="","",IFERROR(VLOOKUP($C651,sources!$A$2:$N$200,2,FALSE()),"?"))</f>
        <v>Map</v>
      </c>
      <c r="R651" s="2" t="str">
        <f t="shared" si="10"/>
        <v>Map</v>
      </c>
      <c r="S651" s="2" t="str">
        <f>IF($C651="","",IFERROR(VLOOKUP($C651,sources!$A$2:$N$200,9,FALSE()),"?"))</f>
        <v>US official</v>
      </c>
      <c r="T651" t="s">
        <v>5692</v>
      </c>
      <c r="U651">
        <f>IF(OR(B651="",C651="",T651="Retracted",LEFT(D651,8)="Negative"),0,IF(COUNTIFS($B$2:B651,B651,$C$2:C651,C651,$D$2:D651,"&lt;&gt;Negative*",$T$2:T651,"&lt;&gt;Retracted")=1,1,0))</f>
        <v>0</v>
      </c>
    </row>
    <row r="652" spans="1:21" x14ac:dyDescent="0.2">
      <c r="A652" t="s">
        <v>2433</v>
      </c>
      <c r="B652" t="s">
        <v>392</v>
      </c>
      <c r="C652" t="s">
        <v>1179</v>
      </c>
      <c r="D652" t="s">
        <v>1613</v>
      </c>
      <c r="E652" t="s">
        <v>393</v>
      </c>
      <c r="F652" t="s">
        <v>1583</v>
      </c>
      <c r="I652" t="s">
        <v>1058</v>
      </c>
      <c r="K652">
        <v>1909</v>
      </c>
      <c r="L652">
        <v>1909</v>
      </c>
      <c r="M652" t="s">
        <v>209</v>
      </c>
      <c r="N652" t="s">
        <v>203</v>
      </c>
      <c r="Q652" s="2" t="str">
        <f>IF($C652="","",IFERROR(VLOOKUP($C652,sources!$A$2:$N$200,2,FALSE()),"?"))</f>
        <v>Map</v>
      </c>
      <c r="R652" s="2" t="str">
        <f t="shared" si="10"/>
        <v>Map</v>
      </c>
      <c r="S652" s="2" t="str">
        <f>IF($C652="","",IFERROR(VLOOKUP($C652,sources!$A$2:$N$200,9,FALSE()),"?"))</f>
        <v>US official</v>
      </c>
      <c r="T652" t="s">
        <v>5692</v>
      </c>
      <c r="U652">
        <f>IF(OR(B652="",C652="",T652="Retracted",LEFT(D652,8)="Negative"),0,IF(COUNTIFS($B$2:B652,B652,$C$2:C652,C652,$D$2:D652,"&lt;&gt;Negative*",$T$2:T652,"&lt;&gt;Retracted")=1,1,0))</f>
        <v>0</v>
      </c>
    </row>
    <row r="653" spans="1:21" x14ac:dyDescent="0.2">
      <c r="A653" t="s">
        <v>2434</v>
      </c>
      <c r="B653" t="s">
        <v>395</v>
      </c>
      <c r="C653" t="s">
        <v>1179</v>
      </c>
      <c r="D653" t="s">
        <v>1613</v>
      </c>
      <c r="E653" t="s">
        <v>396</v>
      </c>
      <c r="F653" t="s">
        <v>1583</v>
      </c>
      <c r="I653" t="s">
        <v>1058</v>
      </c>
      <c r="K653">
        <v>1909</v>
      </c>
      <c r="L653">
        <v>1909</v>
      </c>
      <c r="M653" t="s">
        <v>209</v>
      </c>
      <c r="N653" t="s">
        <v>203</v>
      </c>
      <c r="Q653" s="2" t="str">
        <f>IF($C653="","",IFERROR(VLOOKUP($C653,sources!$A$2:$N$200,2,FALSE()),"?"))</f>
        <v>Map</v>
      </c>
      <c r="R653" s="2" t="str">
        <f t="shared" si="10"/>
        <v>Map</v>
      </c>
      <c r="S653" s="2" t="str">
        <f>IF($C653="","",IFERROR(VLOOKUP($C653,sources!$A$2:$N$200,9,FALSE()),"?"))</f>
        <v>US official</v>
      </c>
      <c r="T653" t="s">
        <v>5692</v>
      </c>
      <c r="U653">
        <f>IF(OR(B653="",C653="",T653="Retracted",LEFT(D653,8)="Negative"),0,IF(COUNTIFS($B$2:B653,B653,$C$2:C653,C653,$D$2:D653,"&lt;&gt;Negative*",$T$2:T653,"&lt;&gt;Retracted")=1,1,0))</f>
        <v>0</v>
      </c>
    </row>
    <row r="654" spans="1:21" x14ac:dyDescent="0.2">
      <c r="A654" t="s">
        <v>2435</v>
      </c>
      <c r="B654" t="s">
        <v>429</v>
      </c>
      <c r="C654" t="s">
        <v>1179</v>
      </c>
      <c r="D654" t="s">
        <v>1613</v>
      </c>
      <c r="E654" t="s">
        <v>430</v>
      </c>
      <c r="F654" t="s">
        <v>1583</v>
      </c>
      <c r="I654" t="s">
        <v>1058</v>
      </c>
      <c r="K654">
        <v>1909</v>
      </c>
      <c r="L654">
        <v>1909</v>
      </c>
      <c r="M654" t="s">
        <v>209</v>
      </c>
      <c r="N654" t="s">
        <v>203</v>
      </c>
      <c r="Q654" s="2" t="str">
        <f>IF($C654="","",IFERROR(VLOOKUP($C654,sources!$A$2:$N$200,2,FALSE()),"?"))</f>
        <v>Map</v>
      </c>
      <c r="R654" s="2" t="str">
        <f t="shared" si="10"/>
        <v>Map</v>
      </c>
      <c r="S654" s="2" t="str">
        <f>IF($C654="","",IFERROR(VLOOKUP($C654,sources!$A$2:$N$200,9,FALSE()),"?"))</f>
        <v>US official</v>
      </c>
      <c r="T654" t="s">
        <v>5692</v>
      </c>
      <c r="U654">
        <f>IF(OR(B654="",C654="",T654="Retracted",LEFT(D654,8)="Negative"),0,IF(COUNTIFS($B$2:B654,B654,$C$2:C654,C654,$D$2:D654,"&lt;&gt;Negative*",$T$2:T654,"&lt;&gt;Retracted")=1,1,0))</f>
        <v>0</v>
      </c>
    </row>
    <row r="655" spans="1:21" x14ac:dyDescent="0.2">
      <c r="A655" t="s">
        <v>2436</v>
      </c>
      <c r="B655" t="s">
        <v>436</v>
      </c>
      <c r="C655" t="s">
        <v>1179</v>
      </c>
      <c r="D655" t="s">
        <v>1613</v>
      </c>
      <c r="E655" t="s">
        <v>437</v>
      </c>
      <c r="F655" t="s">
        <v>1583</v>
      </c>
      <c r="I655" t="s">
        <v>1058</v>
      </c>
      <c r="K655">
        <v>1909</v>
      </c>
      <c r="L655">
        <v>1909</v>
      </c>
      <c r="M655" t="s">
        <v>209</v>
      </c>
      <c r="N655" t="s">
        <v>203</v>
      </c>
      <c r="Q655" s="2" t="str">
        <f>IF($C655="","",IFERROR(VLOOKUP($C655,sources!$A$2:$N$200,2,FALSE()),"?"))</f>
        <v>Map</v>
      </c>
      <c r="R655" s="2" t="str">
        <f t="shared" si="10"/>
        <v>Map</v>
      </c>
      <c r="S655" s="2" t="str">
        <f>IF($C655="","",IFERROR(VLOOKUP($C655,sources!$A$2:$N$200,9,FALSE()),"?"))</f>
        <v>US official</v>
      </c>
      <c r="T655" t="s">
        <v>5692</v>
      </c>
      <c r="U655">
        <f>IF(OR(B655="",C655="",T655="Retracted",LEFT(D655,8)="Negative"),0,IF(COUNTIFS($B$2:B655,B655,$C$2:C655,C655,$D$2:D655,"&lt;&gt;Negative*",$T$2:T655,"&lt;&gt;Retracted")=1,1,0))</f>
        <v>0</v>
      </c>
    </row>
    <row r="656" spans="1:21" x14ac:dyDescent="0.2">
      <c r="A656" t="s">
        <v>2437</v>
      </c>
      <c r="B656" t="s">
        <v>447</v>
      </c>
      <c r="C656" t="s">
        <v>1179</v>
      </c>
      <c r="D656" t="s">
        <v>1613</v>
      </c>
      <c r="E656" t="s">
        <v>448</v>
      </c>
      <c r="F656" t="s">
        <v>1583</v>
      </c>
      <c r="I656" t="s">
        <v>1058</v>
      </c>
      <c r="K656">
        <v>1909</v>
      </c>
      <c r="L656">
        <v>1909</v>
      </c>
      <c r="M656" t="s">
        <v>209</v>
      </c>
      <c r="N656" t="s">
        <v>203</v>
      </c>
      <c r="Q656" s="2" t="str">
        <f>IF($C656="","",IFERROR(VLOOKUP($C656,sources!$A$2:$N$200,2,FALSE()),"?"))</f>
        <v>Map</v>
      </c>
      <c r="R656" s="2" t="str">
        <f t="shared" si="10"/>
        <v>Map</v>
      </c>
      <c r="S656" s="2" t="str">
        <f>IF($C656="","",IFERROR(VLOOKUP($C656,sources!$A$2:$N$200,9,FALSE()),"?"))</f>
        <v>US official</v>
      </c>
      <c r="T656" t="s">
        <v>5692</v>
      </c>
      <c r="U656">
        <f>IF(OR(B656="",C656="",T656="Retracted",LEFT(D656,8)="Negative"),0,IF(COUNTIFS($B$2:B656,B656,$C$2:C656,C656,$D$2:D656,"&lt;&gt;Negative*",$T$2:T656,"&lt;&gt;Retracted")=1,1,0))</f>
        <v>0</v>
      </c>
    </row>
    <row r="657" spans="1:21" x14ac:dyDescent="0.2">
      <c r="A657" t="s">
        <v>2438</v>
      </c>
      <c r="B657" t="s">
        <v>465</v>
      </c>
      <c r="C657" t="s">
        <v>1179</v>
      </c>
      <c r="D657" t="s">
        <v>1613</v>
      </c>
      <c r="E657" t="s">
        <v>466</v>
      </c>
      <c r="F657" t="s">
        <v>1583</v>
      </c>
      <c r="I657" t="s">
        <v>1058</v>
      </c>
      <c r="K657">
        <v>1909</v>
      </c>
      <c r="L657">
        <v>1909</v>
      </c>
      <c r="M657" t="s">
        <v>209</v>
      </c>
      <c r="N657" t="s">
        <v>203</v>
      </c>
      <c r="Q657" s="2" t="str">
        <f>IF($C657="","",IFERROR(VLOOKUP($C657,sources!$A$2:$N$200,2,FALSE()),"?"))</f>
        <v>Map</v>
      </c>
      <c r="R657" s="2" t="str">
        <f t="shared" si="10"/>
        <v>Map</v>
      </c>
      <c r="S657" s="2" t="str">
        <f>IF($C657="","",IFERROR(VLOOKUP($C657,sources!$A$2:$N$200,9,FALSE()),"?"))</f>
        <v>US official</v>
      </c>
      <c r="T657" t="s">
        <v>5692</v>
      </c>
      <c r="U657">
        <f>IF(OR(B657="",C657="",T657="Retracted",LEFT(D657,8)="Negative"),0,IF(COUNTIFS($B$2:B657,B657,$C$2:C657,C657,$D$2:D657,"&lt;&gt;Negative*",$T$2:T657,"&lt;&gt;Retracted")=1,1,0))</f>
        <v>0</v>
      </c>
    </row>
    <row r="658" spans="1:21" x14ac:dyDescent="0.2">
      <c r="A658" t="s">
        <v>2439</v>
      </c>
      <c r="B658" t="s">
        <v>480</v>
      </c>
      <c r="C658" t="s">
        <v>1179</v>
      </c>
      <c r="D658" t="s">
        <v>1613</v>
      </c>
      <c r="E658" t="s">
        <v>481</v>
      </c>
      <c r="F658" t="s">
        <v>1583</v>
      </c>
      <c r="I658" t="s">
        <v>1058</v>
      </c>
      <c r="K658">
        <v>1909</v>
      </c>
      <c r="L658">
        <v>1909</v>
      </c>
      <c r="M658" t="s">
        <v>209</v>
      </c>
      <c r="N658" t="s">
        <v>203</v>
      </c>
      <c r="Q658" s="2" t="str">
        <f>IF($C658="","",IFERROR(VLOOKUP($C658,sources!$A$2:$N$200,2,FALSE()),"?"))</f>
        <v>Map</v>
      </c>
      <c r="R658" s="2" t="str">
        <f t="shared" si="10"/>
        <v>Map</v>
      </c>
      <c r="S658" s="2" t="str">
        <f>IF($C658="","",IFERROR(VLOOKUP($C658,sources!$A$2:$N$200,9,FALSE()),"?"))</f>
        <v>US official</v>
      </c>
      <c r="T658" t="s">
        <v>5692</v>
      </c>
      <c r="U658">
        <f>IF(OR(B658="",C658="",T658="Retracted",LEFT(D658,8)="Negative"),0,IF(COUNTIFS($B$2:B658,B658,$C$2:C658,C658,$D$2:D658,"&lt;&gt;Negative*",$T$2:T658,"&lt;&gt;Retracted")=1,1,0))</f>
        <v>0</v>
      </c>
    </row>
    <row r="659" spans="1:21" x14ac:dyDescent="0.2">
      <c r="A659" t="s">
        <v>2440</v>
      </c>
      <c r="B659" t="s">
        <v>484</v>
      </c>
      <c r="C659" t="s">
        <v>1179</v>
      </c>
      <c r="D659" t="s">
        <v>1613</v>
      </c>
      <c r="E659" t="s">
        <v>485</v>
      </c>
      <c r="F659" t="s">
        <v>1583</v>
      </c>
      <c r="I659" t="s">
        <v>1058</v>
      </c>
      <c r="K659">
        <v>1909</v>
      </c>
      <c r="L659">
        <v>1909</v>
      </c>
      <c r="M659" t="s">
        <v>209</v>
      </c>
      <c r="N659" t="s">
        <v>203</v>
      </c>
      <c r="Q659" s="2" t="str">
        <f>IF($C659="","",IFERROR(VLOOKUP($C659,sources!$A$2:$N$200,2,FALSE()),"?"))</f>
        <v>Map</v>
      </c>
      <c r="R659" s="2" t="str">
        <f t="shared" si="10"/>
        <v>Map</v>
      </c>
      <c r="S659" s="2" t="str">
        <f>IF($C659="","",IFERROR(VLOOKUP($C659,sources!$A$2:$N$200,9,FALSE()),"?"))</f>
        <v>US official</v>
      </c>
      <c r="T659" t="s">
        <v>5692</v>
      </c>
      <c r="U659">
        <f>IF(OR(B659="",C659="",T659="Retracted",LEFT(D659,8)="Negative"),0,IF(COUNTIFS($B$2:B659,B659,$C$2:C659,C659,$D$2:D659,"&lt;&gt;Negative*",$T$2:T659,"&lt;&gt;Retracted")=1,1,0))</f>
        <v>0</v>
      </c>
    </row>
    <row r="660" spans="1:21" x14ac:dyDescent="0.2">
      <c r="A660" t="s">
        <v>2441</v>
      </c>
      <c r="B660" t="s">
        <v>487</v>
      </c>
      <c r="C660" t="s">
        <v>1179</v>
      </c>
      <c r="D660" t="s">
        <v>1613</v>
      </c>
      <c r="E660" t="s">
        <v>488</v>
      </c>
      <c r="F660" t="s">
        <v>1583</v>
      </c>
      <c r="I660" t="s">
        <v>1058</v>
      </c>
      <c r="K660">
        <v>1909</v>
      </c>
      <c r="L660">
        <v>1909</v>
      </c>
      <c r="M660" t="s">
        <v>209</v>
      </c>
      <c r="N660" t="s">
        <v>203</v>
      </c>
      <c r="Q660" s="2" t="str">
        <f>IF($C660="","",IFERROR(VLOOKUP($C660,sources!$A$2:$N$200,2,FALSE()),"?"))</f>
        <v>Map</v>
      </c>
      <c r="R660" s="2" t="str">
        <f t="shared" si="10"/>
        <v>Map</v>
      </c>
      <c r="S660" s="2" t="str">
        <f>IF($C660="","",IFERROR(VLOOKUP($C660,sources!$A$2:$N$200,9,FALSE()),"?"))</f>
        <v>US official</v>
      </c>
      <c r="T660" t="s">
        <v>5692</v>
      </c>
      <c r="U660">
        <f>IF(OR(B660="",C660="",T660="Retracted",LEFT(D660,8)="Negative"),0,IF(COUNTIFS($B$2:B660,B660,$C$2:C660,C660,$D$2:D660,"&lt;&gt;Negative*",$T$2:T660,"&lt;&gt;Retracted")=1,1,0))</f>
        <v>0</v>
      </c>
    </row>
    <row r="661" spans="1:21" x14ac:dyDescent="0.2">
      <c r="A661" t="s">
        <v>2442</v>
      </c>
      <c r="B661" t="s">
        <v>495</v>
      </c>
      <c r="C661" t="s">
        <v>1179</v>
      </c>
      <c r="D661" t="s">
        <v>1613</v>
      </c>
      <c r="E661" t="s">
        <v>496</v>
      </c>
      <c r="F661" t="s">
        <v>1583</v>
      </c>
      <c r="I661" t="s">
        <v>1058</v>
      </c>
      <c r="K661">
        <v>1909</v>
      </c>
      <c r="L661">
        <v>1909</v>
      </c>
      <c r="M661" t="s">
        <v>209</v>
      </c>
      <c r="N661" t="s">
        <v>203</v>
      </c>
      <c r="Q661" s="2" t="str">
        <f>IF($C661="","",IFERROR(VLOOKUP($C661,sources!$A$2:$N$200,2,FALSE()),"?"))</f>
        <v>Map</v>
      </c>
      <c r="R661" s="2" t="str">
        <f t="shared" si="10"/>
        <v>Map</v>
      </c>
      <c r="S661" s="2" t="str">
        <f>IF($C661="","",IFERROR(VLOOKUP($C661,sources!$A$2:$N$200,9,FALSE()),"?"))</f>
        <v>US official</v>
      </c>
      <c r="T661" t="s">
        <v>5692</v>
      </c>
      <c r="U661">
        <f>IF(OR(B661="",C661="",T661="Retracted",LEFT(D661,8)="Negative"),0,IF(COUNTIFS($B$2:B661,B661,$C$2:C661,C661,$D$2:D661,"&lt;&gt;Negative*",$T$2:T661,"&lt;&gt;Retracted")=1,1,0))</f>
        <v>0</v>
      </c>
    </row>
    <row r="662" spans="1:21" x14ac:dyDescent="0.2">
      <c r="A662" t="s">
        <v>2443</v>
      </c>
      <c r="B662" t="s">
        <v>510</v>
      </c>
      <c r="C662" t="s">
        <v>1179</v>
      </c>
      <c r="D662" t="s">
        <v>1613</v>
      </c>
      <c r="E662" t="s">
        <v>511</v>
      </c>
      <c r="F662" t="s">
        <v>1583</v>
      </c>
      <c r="I662" t="s">
        <v>1058</v>
      </c>
      <c r="K662">
        <v>1909</v>
      </c>
      <c r="L662">
        <v>1909</v>
      </c>
      <c r="M662" t="s">
        <v>209</v>
      </c>
      <c r="N662" t="s">
        <v>203</v>
      </c>
      <c r="Q662" s="2" t="str">
        <f>IF($C662="","",IFERROR(VLOOKUP($C662,sources!$A$2:$N$200,2,FALSE()),"?"))</f>
        <v>Map</v>
      </c>
      <c r="R662" s="2" t="str">
        <f t="shared" si="10"/>
        <v>Map</v>
      </c>
      <c r="S662" s="2" t="str">
        <f>IF($C662="","",IFERROR(VLOOKUP($C662,sources!$A$2:$N$200,9,FALSE()),"?"))</f>
        <v>US official</v>
      </c>
      <c r="T662" t="s">
        <v>5692</v>
      </c>
      <c r="U662">
        <f>IF(OR(B662="",C662="",T662="Retracted",LEFT(D662,8)="Negative"),0,IF(COUNTIFS($B$2:B662,B662,$C$2:C662,C662,$D$2:D662,"&lt;&gt;Negative*",$T$2:T662,"&lt;&gt;Retracted")=1,1,0))</f>
        <v>0</v>
      </c>
    </row>
    <row r="663" spans="1:21" x14ac:dyDescent="0.2">
      <c r="A663" t="s">
        <v>2444</v>
      </c>
      <c r="B663" t="s">
        <v>565</v>
      </c>
      <c r="C663" t="s">
        <v>1179</v>
      </c>
      <c r="D663" t="s">
        <v>1613</v>
      </c>
      <c r="E663" t="s">
        <v>566</v>
      </c>
      <c r="F663" t="s">
        <v>1583</v>
      </c>
      <c r="I663" t="s">
        <v>1058</v>
      </c>
      <c r="K663">
        <v>1909</v>
      </c>
      <c r="L663">
        <v>1909</v>
      </c>
      <c r="M663" t="s">
        <v>209</v>
      </c>
      <c r="N663" t="s">
        <v>203</v>
      </c>
      <c r="Q663" s="2" t="str">
        <f>IF($C663="","",IFERROR(VLOOKUP($C663,sources!$A$2:$N$200,2,FALSE()),"?"))</f>
        <v>Map</v>
      </c>
      <c r="R663" s="2" t="str">
        <f t="shared" si="10"/>
        <v>Map</v>
      </c>
      <c r="S663" s="2" t="str">
        <f>IF($C663="","",IFERROR(VLOOKUP($C663,sources!$A$2:$N$200,9,FALSE()),"?"))</f>
        <v>US official</v>
      </c>
      <c r="T663" t="s">
        <v>5692</v>
      </c>
      <c r="U663">
        <f>IF(OR(B663="",C663="",T663="Retracted",LEFT(D663,8)="Negative"),0,IF(COUNTIFS($B$2:B663,B663,$C$2:C663,C663,$D$2:D663,"&lt;&gt;Negative*",$T$2:T663,"&lt;&gt;Retracted")=1,1,0))</f>
        <v>0</v>
      </c>
    </row>
    <row r="664" spans="1:21" x14ac:dyDescent="0.2">
      <c r="A664" t="s">
        <v>2445</v>
      </c>
      <c r="B664" t="s">
        <v>570</v>
      </c>
      <c r="C664" t="s">
        <v>1179</v>
      </c>
      <c r="D664" t="s">
        <v>1613</v>
      </c>
      <c r="E664" t="s">
        <v>571</v>
      </c>
      <c r="F664" t="s">
        <v>1583</v>
      </c>
      <c r="I664" t="s">
        <v>1058</v>
      </c>
      <c r="K664">
        <v>1909</v>
      </c>
      <c r="L664">
        <v>1909</v>
      </c>
      <c r="M664" t="s">
        <v>209</v>
      </c>
      <c r="N664" t="s">
        <v>209</v>
      </c>
      <c r="Q664" s="2" t="str">
        <f>IF($C664="","",IFERROR(VLOOKUP($C664,sources!$A$2:$N$200,2,FALSE()),"?"))</f>
        <v>Map</v>
      </c>
      <c r="R664" s="2" t="str">
        <f t="shared" si="10"/>
        <v>Map</v>
      </c>
      <c r="S664" s="2" t="str">
        <f>IF($C664="","",IFERROR(VLOOKUP($C664,sources!$A$2:$N$200,9,FALSE()),"?"))</f>
        <v>US official</v>
      </c>
      <c r="T664" t="s">
        <v>5692</v>
      </c>
      <c r="U664">
        <f>IF(OR(B664="",C664="",T664="Retracted",LEFT(D664,8)="Negative"),0,IF(COUNTIFS($B$2:B664,B664,$C$2:C664,C664,$D$2:D664,"&lt;&gt;Negative*",$T$2:T664,"&lt;&gt;Retracted")=1,1,0))</f>
        <v>0</v>
      </c>
    </row>
    <row r="665" spans="1:21" x14ac:dyDescent="0.2">
      <c r="A665" t="s">
        <v>2446</v>
      </c>
      <c r="B665" t="s">
        <v>575</v>
      </c>
      <c r="C665" t="s">
        <v>1179</v>
      </c>
      <c r="D665" t="s">
        <v>1613</v>
      </c>
      <c r="E665" t="s">
        <v>576</v>
      </c>
      <c r="F665" t="s">
        <v>1583</v>
      </c>
      <c r="I665" t="s">
        <v>1058</v>
      </c>
      <c r="K665">
        <v>1909</v>
      </c>
      <c r="L665">
        <v>1909</v>
      </c>
      <c r="M665" t="s">
        <v>209</v>
      </c>
      <c r="N665" t="s">
        <v>203</v>
      </c>
      <c r="Q665" s="2" t="str">
        <f>IF($C665="","",IFERROR(VLOOKUP($C665,sources!$A$2:$N$200,2,FALSE()),"?"))</f>
        <v>Map</v>
      </c>
      <c r="R665" s="2" t="str">
        <f t="shared" si="10"/>
        <v>Map</v>
      </c>
      <c r="S665" s="2" t="str">
        <f>IF($C665="","",IFERROR(VLOOKUP($C665,sources!$A$2:$N$200,9,FALSE()),"?"))</f>
        <v>US official</v>
      </c>
      <c r="T665" t="s">
        <v>5692</v>
      </c>
      <c r="U665">
        <f>IF(OR(B665="",C665="",T665="Retracted",LEFT(D665,8)="Negative"),0,IF(COUNTIFS($B$2:B665,B665,$C$2:C665,C665,$D$2:D665,"&lt;&gt;Negative*",$T$2:T665,"&lt;&gt;Retracted")=1,1,0))</f>
        <v>0</v>
      </c>
    </row>
    <row r="666" spans="1:21" x14ac:dyDescent="0.2">
      <c r="A666" t="s">
        <v>2447</v>
      </c>
      <c r="B666" t="s">
        <v>584</v>
      </c>
      <c r="C666" t="s">
        <v>1179</v>
      </c>
      <c r="D666" t="s">
        <v>1613</v>
      </c>
      <c r="E666" t="s">
        <v>585</v>
      </c>
      <c r="F666" t="s">
        <v>1583</v>
      </c>
      <c r="I666" t="s">
        <v>1058</v>
      </c>
      <c r="K666">
        <v>1909</v>
      </c>
      <c r="L666">
        <v>1909</v>
      </c>
      <c r="M666" t="s">
        <v>209</v>
      </c>
      <c r="N666" t="s">
        <v>203</v>
      </c>
      <c r="Q666" s="2" t="str">
        <f>IF($C666="","",IFERROR(VLOOKUP($C666,sources!$A$2:$N$200,2,FALSE()),"?"))</f>
        <v>Map</v>
      </c>
      <c r="R666" s="2" t="str">
        <f t="shared" si="10"/>
        <v>Map</v>
      </c>
      <c r="S666" s="2" t="str">
        <f>IF($C666="","",IFERROR(VLOOKUP($C666,sources!$A$2:$N$200,9,FALSE()),"?"))</f>
        <v>US official</v>
      </c>
      <c r="T666" t="s">
        <v>5692</v>
      </c>
      <c r="U666">
        <f>IF(OR(B666="",C666="",T666="Retracted",LEFT(D666,8)="Negative"),0,IF(COUNTIFS($B$2:B666,B666,$C$2:C666,C666,$D$2:D666,"&lt;&gt;Negative*",$T$2:T666,"&lt;&gt;Retracted")=1,1,0))</f>
        <v>0</v>
      </c>
    </row>
    <row r="667" spans="1:21" x14ac:dyDescent="0.2">
      <c r="A667" t="s">
        <v>2448</v>
      </c>
      <c r="B667" t="s">
        <v>592</v>
      </c>
      <c r="C667" t="s">
        <v>1179</v>
      </c>
      <c r="D667" t="s">
        <v>1613</v>
      </c>
      <c r="E667" t="s">
        <v>593</v>
      </c>
      <c r="F667" t="s">
        <v>1583</v>
      </c>
      <c r="I667" t="s">
        <v>1058</v>
      </c>
      <c r="K667">
        <v>1909</v>
      </c>
      <c r="L667">
        <v>1909</v>
      </c>
      <c r="M667" t="s">
        <v>209</v>
      </c>
      <c r="N667" t="s">
        <v>203</v>
      </c>
      <c r="Q667" s="2" t="str">
        <f>IF($C667="","",IFERROR(VLOOKUP($C667,sources!$A$2:$N$200,2,FALSE()),"?"))</f>
        <v>Map</v>
      </c>
      <c r="R667" s="2" t="str">
        <f t="shared" si="10"/>
        <v>Map</v>
      </c>
      <c r="S667" s="2" t="str">
        <f>IF($C667="","",IFERROR(VLOOKUP($C667,sources!$A$2:$N$200,9,FALSE()),"?"))</f>
        <v>US official</v>
      </c>
      <c r="T667" t="s">
        <v>5692</v>
      </c>
      <c r="U667">
        <f>IF(OR(B667="",C667="",T667="Retracted",LEFT(D667,8)="Negative"),0,IF(COUNTIFS($B$2:B667,B667,$C$2:C667,C667,$D$2:D667,"&lt;&gt;Negative*",$T$2:T667,"&lt;&gt;Retracted")=1,1,0))</f>
        <v>0</v>
      </c>
    </row>
    <row r="668" spans="1:21" x14ac:dyDescent="0.2">
      <c r="A668" t="s">
        <v>2449</v>
      </c>
      <c r="B668" t="s">
        <v>599</v>
      </c>
      <c r="C668" t="s">
        <v>1179</v>
      </c>
      <c r="D668" t="s">
        <v>1613</v>
      </c>
      <c r="E668" t="s">
        <v>600</v>
      </c>
      <c r="F668" t="s">
        <v>1583</v>
      </c>
      <c r="I668" t="s">
        <v>1058</v>
      </c>
      <c r="K668">
        <v>1909</v>
      </c>
      <c r="L668">
        <v>1909</v>
      </c>
      <c r="M668" t="s">
        <v>209</v>
      </c>
      <c r="N668" t="s">
        <v>203</v>
      </c>
      <c r="Q668" s="2" t="str">
        <f>IF($C668="","",IFERROR(VLOOKUP($C668,sources!$A$2:$N$200,2,FALSE()),"?"))</f>
        <v>Map</v>
      </c>
      <c r="R668" s="2" t="str">
        <f t="shared" si="10"/>
        <v>Map</v>
      </c>
      <c r="S668" s="2" t="str">
        <f>IF($C668="","",IFERROR(VLOOKUP($C668,sources!$A$2:$N$200,9,FALSE()),"?"))</f>
        <v>US official</v>
      </c>
      <c r="T668" t="s">
        <v>5692</v>
      </c>
      <c r="U668">
        <f>IF(OR(B668="",C668="",T668="Retracted",LEFT(D668,8)="Negative"),0,IF(COUNTIFS($B$2:B668,B668,$C$2:C668,C668,$D$2:D668,"&lt;&gt;Negative*",$T$2:T668,"&lt;&gt;Retracted")=1,1,0))</f>
        <v>0</v>
      </c>
    </row>
    <row r="669" spans="1:21" x14ac:dyDescent="0.2">
      <c r="A669" t="s">
        <v>2450</v>
      </c>
      <c r="B669" t="s">
        <v>611</v>
      </c>
      <c r="C669" t="s">
        <v>1179</v>
      </c>
      <c r="D669" t="s">
        <v>1613</v>
      </c>
      <c r="E669" t="s">
        <v>2451</v>
      </c>
      <c r="F669" t="s">
        <v>1583</v>
      </c>
      <c r="I669" t="s">
        <v>1058</v>
      </c>
      <c r="K669">
        <v>1909</v>
      </c>
      <c r="L669">
        <v>1909</v>
      </c>
      <c r="M669" t="s">
        <v>209</v>
      </c>
      <c r="N669" t="s">
        <v>190</v>
      </c>
      <c r="Q669" s="2" t="str">
        <f>IF($C669="","",IFERROR(VLOOKUP($C669,sources!$A$2:$N$200,2,FALSE()),"?"))</f>
        <v>Map</v>
      </c>
      <c r="R669" s="2" t="str">
        <f t="shared" si="10"/>
        <v>Map</v>
      </c>
      <c r="S669" s="2" t="str">
        <f>IF($C669="","",IFERROR(VLOOKUP($C669,sources!$A$2:$N$200,9,FALSE()),"?"))</f>
        <v>US official</v>
      </c>
      <c r="T669" t="s">
        <v>5693</v>
      </c>
      <c r="U669">
        <f>IF(OR(B669="",C669="",T669="Retracted",LEFT(D669,8)="Negative"),0,IF(COUNTIFS($B$2:B669,B669,$C$2:C669,C669,$D$2:D669,"&lt;&gt;Negative*",$T$2:T669,"&lt;&gt;Retracted")=1,1,0))</f>
        <v>0</v>
      </c>
    </row>
    <row r="670" spans="1:21" x14ac:dyDescent="0.2">
      <c r="A670" t="s">
        <v>2452</v>
      </c>
      <c r="B670" t="s">
        <v>615</v>
      </c>
      <c r="C670" t="s">
        <v>1179</v>
      </c>
      <c r="D670" t="s">
        <v>1613</v>
      </c>
      <c r="E670" t="s">
        <v>505</v>
      </c>
      <c r="F670" t="s">
        <v>1583</v>
      </c>
      <c r="I670" t="s">
        <v>1058</v>
      </c>
      <c r="K670">
        <v>1909</v>
      </c>
      <c r="L670">
        <v>1909</v>
      </c>
      <c r="M670" t="s">
        <v>209</v>
      </c>
      <c r="N670" t="s">
        <v>190</v>
      </c>
      <c r="Q670" s="2" t="str">
        <f>IF($C670="","",IFERROR(VLOOKUP($C670,sources!$A$2:$N$200,2,FALSE()),"?"))</f>
        <v>Map</v>
      </c>
      <c r="R670" s="2" t="str">
        <f t="shared" si="10"/>
        <v>Map</v>
      </c>
      <c r="S670" s="2" t="str">
        <f>IF($C670="","",IFERROR(VLOOKUP($C670,sources!$A$2:$N$200,9,FALSE()),"?"))</f>
        <v>US official</v>
      </c>
      <c r="T670" t="s">
        <v>5693</v>
      </c>
      <c r="U670">
        <f>IF(OR(B670="",C670="",T670="Retracted",LEFT(D670,8)="Negative"),0,IF(COUNTIFS($B$2:B670,B670,$C$2:C670,C670,$D$2:D670,"&lt;&gt;Negative*",$T$2:T670,"&lt;&gt;Retracted")=1,1,0))</f>
        <v>0</v>
      </c>
    </row>
    <row r="671" spans="1:21" x14ac:dyDescent="0.2">
      <c r="A671" t="s">
        <v>2453</v>
      </c>
      <c r="B671" t="s">
        <v>276</v>
      </c>
      <c r="C671" t="s">
        <v>1179</v>
      </c>
      <c r="D671" t="s">
        <v>1613</v>
      </c>
      <c r="E671" t="s">
        <v>277</v>
      </c>
      <c r="F671" t="s">
        <v>1583</v>
      </c>
      <c r="I671" t="s">
        <v>1058</v>
      </c>
      <c r="K671">
        <v>1909</v>
      </c>
      <c r="L671">
        <v>1909</v>
      </c>
      <c r="M671" t="s">
        <v>209</v>
      </c>
      <c r="N671" t="s">
        <v>203</v>
      </c>
      <c r="Q671" s="2" t="str">
        <f>IF($C671="","",IFERROR(VLOOKUP($C671,sources!$A$2:$N$200,2,FALSE()),"?"))</f>
        <v>Map</v>
      </c>
      <c r="R671" s="2" t="str">
        <f t="shared" si="10"/>
        <v>Map</v>
      </c>
      <c r="S671" s="2" t="str">
        <f>IF($C671="","",IFERROR(VLOOKUP($C671,sources!$A$2:$N$200,9,FALSE()),"?"))</f>
        <v>US official</v>
      </c>
      <c r="T671" t="s">
        <v>5692</v>
      </c>
      <c r="U671">
        <f>IF(OR(B671="",C671="",T671="Retracted",LEFT(D671,8)="Negative"),0,IF(COUNTIFS($B$2:B671,B671,$C$2:C671,C671,$D$2:D671,"&lt;&gt;Negative*",$T$2:T671,"&lt;&gt;Retracted")=1,1,0))</f>
        <v>0</v>
      </c>
    </row>
    <row r="672" spans="1:21" x14ac:dyDescent="0.2">
      <c r="A672" t="s">
        <v>2454</v>
      </c>
      <c r="B672" t="s">
        <v>677</v>
      </c>
      <c r="C672" t="s">
        <v>1179</v>
      </c>
      <c r="D672" t="s">
        <v>1613</v>
      </c>
      <c r="E672" t="s">
        <v>281</v>
      </c>
      <c r="F672" t="s">
        <v>1583</v>
      </c>
      <c r="I672" t="s">
        <v>1058</v>
      </c>
      <c r="K672">
        <v>1909</v>
      </c>
      <c r="L672">
        <v>1909</v>
      </c>
      <c r="M672" t="s">
        <v>209</v>
      </c>
      <c r="N672" t="s">
        <v>203</v>
      </c>
      <c r="Q672" s="2" t="str">
        <f>IF($C672="","",IFERROR(VLOOKUP($C672,sources!$A$2:$N$200,2,FALSE()),"?"))</f>
        <v>Map</v>
      </c>
      <c r="R672" s="2" t="str">
        <f t="shared" si="10"/>
        <v>Map</v>
      </c>
      <c r="S672" s="2" t="str">
        <f>IF($C672="","",IFERROR(VLOOKUP($C672,sources!$A$2:$N$200,9,FALSE()),"?"))</f>
        <v>US official</v>
      </c>
      <c r="T672" t="s">
        <v>5692</v>
      </c>
      <c r="U672">
        <f>IF(OR(B672="",C672="",T672="Retracted",LEFT(D672,8)="Negative"),0,IF(COUNTIFS($B$2:B672,B672,$C$2:C672,C672,$D$2:D672,"&lt;&gt;Negative*",$T$2:T672,"&lt;&gt;Retracted")=1,1,0))</f>
        <v>0</v>
      </c>
    </row>
    <row r="673" spans="1:21" x14ac:dyDescent="0.2">
      <c r="A673" t="s">
        <v>2455</v>
      </c>
      <c r="B673" t="s">
        <v>294</v>
      </c>
      <c r="C673" t="s">
        <v>1179</v>
      </c>
      <c r="D673" t="s">
        <v>1613</v>
      </c>
      <c r="E673" t="s">
        <v>295</v>
      </c>
      <c r="F673" t="s">
        <v>1583</v>
      </c>
      <c r="I673" t="s">
        <v>1058</v>
      </c>
      <c r="K673">
        <v>1909</v>
      </c>
      <c r="L673">
        <v>1909</v>
      </c>
      <c r="M673" t="s">
        <v>209</v>
      </c>
      <c r="N673" t="s">
        <v>203</v>
      </c>
      <c r="Q673" s="2" t="str">
        <f>IF($C673="","",IFERROR(VLOOKUP($C673,sources!$A$2:$N$200,2,FALSE()),"?"))</f>
        <v>Map</v>
      </c>
      <c r="R673" s="2" t="str">
        <f t="shared" si="10"/>
        <v>Map</v>
      </c>
      <c r="S673" s="2" t="str">
        <f>IF($C673="","",IFERROR(VLOOKUP($C673,sources!$A$2:$N$200,9,FALSE()),"?"))</f>
        <v>US official</v>
      </c>
      <c r="T673" t="s">
        <v>5692</v>
      </c>
      <c r="U673">
        <f>IF(OR(B673="",C673="",T673="Retracted",LEFT(D673,8)="Negative"),0,IF(COUNTIFS($B$2:B673,B673,$C$2:C673,C673,$D$2:D673,"&lt;&gt;Negative*",$T$2:T673,"&lt;&gt;Retracted")=1,1,0))</f>
        <v>0</v>
      </c>
    </row>
    <row r="674" spans="1:21" x14ac:dyDescent="0.2">
      <c r="A674" t="s">
        <v>2456</v>
      </c>
      <c r="B674" t="s">
        <v>317</v>
      </c>
      <c r="C674" t="s">
        <v>1179</v>
      </c>
      <c r="D674" t="s">
        <v>1613</v>
      </c>
      <c r="E674" t="s">
        <v>318</v>
      </c>
      <c r="F674" t="s">
        <v>1583</v>
      </c>
      <c r="I674" t="s">
        <v>1058</v>
      </c>
      <c r="K674">
        <v>1909</v>
      </c>
      <c r="L674">
        <v>1909</v>
      </c>
      <c r="M674" t="s">
        <v>209</v>
      </c>
      <c r="N674" t="s">
        <v>203</v>
      </c>
      <c r="Q674" s="2" t="str">
        <f>IF($C674="","",IFERROR(VLOOKUP($C674,sources!$A$2:$N$200,2,FALSE()),"?"))</f>
        <v>Map</v>
      </c>
      <c r="R674" s="2" t="str">
        <f t="shared" si="10"/>
        <v>Map</v>
      </c>
      <c r="S674" s="2" t="str">
        <f>IF($C674="","",IFERROR(VLOOKUP($C674,sources!$A$2:$N$200,9,FALSE()),"?"))</f>
        <v>US official</v>
      </c>
      <c r="T674" t="s">
        <v>5692</v>
      </c>
      <c r="U674">
        <f>IF(OR(B674="",C674="",T674="Retracted",LEFT(D674,8)="Negative"),0,IF(COUNTIFS($B$2:B674,B674,$C$2:C674,C674,$D$2:D674,"&lt;&gt;Negative*",$T$2:T674,"&lt;&gt;Retracted")=1,1,0))</f>
        <v>0</v>
      </c>
    </row>
    <row r="675" spans="1:21" x14ac:dyDescent="0.2">
      <c r="A675" t="s">
        <v>2457</v>
      </c>
      <c r="B675" t="s">
        <v>326</v>
      </c>
      <c r="C675" t="s">
        <v>1179</v>
      </c>
      <c r="D675" t="s">
        <v>1613</v>
      </c>
      <c r="E675" t="s">
        <v>327</v>
      </c>
      <c r="F675" t="s">
        <v>1583</v>
      </c>
      <c r="I675" t="s">
        <v>1058</v>
      </c>
      <c r="K675">
        <v>1909</v>
      </c>
      <c r="L675">
        <v>1909</v>
      </c>
      <c r="M675" t="s">
        <v>209</v>
      </c>
      <c r="N675" t="s">
        <v>203</v>
      </c>
      <c r="Q675" s="2" t="str">
        <f>IF($C675="","",IFERROR(VLOOKUP($C675,sources!$A$2:$N$200,2,FALSE()),"?"))</f>
        <v>Map</v>
      </c>
      <c r="R675" s="2" t="str">
        <f t="shared" si="10"/>
        <v>Map</v>
      </c>
      <c r="S675" s="2" t="str">
        <f>IF($C675="","",IFERROR(VLOOKUP($C675,sources!$A$2:$N$200,9,FALSE()),"?"))</f>
        <v>US official</v>
      </c>
      <c r="T675" t="s">
        <v>5692</v>
      </c>
      <c r="U675">
        <f>IF(OR(B675="",C675="",T675="Retracted",LEFT(D675,8)="Negative"),0,IF(COUNTIFS($B$2:B675,B675,$C$2:C675,C675,$D$2:D675,"&lt;&gt;Negative*",$T$2:T675,"&lt;&gt;Retracted")=1,1,0))</f>
        <v>0</v>
      </c>
    </row>
    <row r="676" spans="1:21" x14ac:dyDescent="0.2">
      <c r="A676" t="s">
        <v>2458</v>
      </c>
      <c r="B676" t="s">
        <v>348</v>
      </c>
      <c r="C676" t="s">
        <v>1179</v>
      </c>
      <c r="D676" t="s">
        <v>1613</v>
      </c>
      <c r="E676" t="s">
        <v>349</v>
      </c>
      <c r="F676" t="s">
        <v>1583</v>
      </c>
      <c r="I676" t="s">
        <v>1058</v>
      </c>
      <c r="K676">
        <v>1909</v>
      </c>
      <c r="L676">
        <v>1909</v>
      </c>
      <c r="M676" t="s">
        <v>209</v>
      </c>
      <c r="N676" t="s">
        <v>203</v>
      </c>
      <c r="Q676" s="2" t="str">
        <f>IF($C676="","",IFERROR(VLOOKUP($C676,sources!$A$2:$N$200,2,FALSE()),"?"))</f>
        <v>Map</v>
      </c>
      <c r="R676" s="2" t="str">
        <f t="shared" si="10"/>
        <v>Map</v>
      </c>
      <c r="S676" s="2" t="str">
        <f>IF($C676="","",IFERROR(VLOOKUP($C676,sources!$A$2:$N$200,9,FALSE()),"?"))</f>
        <v>US official</v>
      </c>
      <c r="T676" t="s">
        <v>5692</v>
      </c>
      <c r="U676">
        <f>IF(OR(B676="",C676="",T676="Retracted",LEFT(D676,8)="Negative"),0,IF(COUNTIFS($B$2:B676,B676,$C$2:C676,C676,$D$2:D676,"&lt;&gt;Negative*",$T$2:T676,"&lt;&gt;Retracted")=1,1,0))</f>
        <v>0</v>
      </c>
    </row>
    <row r="677" spans="1:21" x14ac:dyDescent="0.2">
      <c r="A677" t="s">
        <v>2459</v>
      </c>
      <c r="B677" t="s">
        <v>205</v>
      </c>
      <c r="C677" t="s">
        <v>1168</v>
      </c>
      <c r="D677" t="s">
        <v>1572</v>
      </c>
      <c r="E677" t="s">
        <v>2460</v>
      </c>
      <c r="F677" t="s">
        <v>1566</v>
      </c>
      <c r="G677">
        <v>9.2157</v>
      </c>
      <c r="H677">
        <v>-79.903199999999998</v>
      </c>
      <c r="I677" t="s">
        <v>1573</v>
      </c>
      <c r="J677">
        <v>350</v>
      </c>
      <c r="K677">
        <v>1911</v>
      </c>
      <c r="L677">
        <v>1911</v>
      </c>
      <c r="M677" t="s">
        <v>203</v>
      </c>
      <c r="N677" t="s">
        <v>209</v>
      </c>
      <c r="Q677" s="2" t="str">
        <f>IF($C677="","",IFERROR(VLOOKUP($C677,sources!$A$2:$N$200,2,FALSE()),"?"))</f>
        <v>Map</v>
      </c>
      <c r="R677" s="2" t="str">
        <f t="shared" si="10"/>
        <v>Map</v>
      </c>
      <c r="S677" s="2" t="str">
        <f>IF($C677="","",IFERROR(VLOOKUP($C677,sources!$A$2:$N$200,9,FALSE()),"?"))</f>
        <v>US official</v>
      </c>
      <c r="T677" t="s">
        <v>5692</v>
      </c>
      <c r="U677">
        <f>IF(OR(B677="",C677="",T677="Retracted",LEFT(D677,8)="Negative"),0,IF(COUNTIFS($B$2:B677,B677,$C$2:C677,C677,$D$2:D677,"&lt;&gt;Negative*",$T$2:T677,"&lt;&gt;Retracted")=1,1,0))</f>
        <v>1</v>
      </c>
    </row>
    <row r="678" spans="1:21" x14ac:dyDescent="0.2">
      <c r="A678" t="s">
        <v>2461</v>
      </c>
      <c r="B678" t="s">
        <v>213</v>
      </c>
      <c r="C678" t="s">
        <v>1168</v>
      </c>
      <c r="D678" t="s">
        <v>1572</v>
      </c>
      <c r="E678" t="s">
        <v>2462</v>
      </c>
      <c r="F678" t="s">
        <v>1566</v>
      </c>
      <c r="G678">
        <v>9.1168800000000001</v>
      </c>
      <c r="H678">
        <v>-79.698210000000003</v>
      </c>
      <c r="I678" t="s">
        <v>1573</v>
      </c>
      <c r="J678">
        <v>300</v>
      </c>
      <c r="K678">
        <v>1911</v>
      </c>
      <c r="L678">
        <v>1911</v>
      </c>
      <c r="M678" t="s">
        <v>203</v>
      </c>
      <c r="N678" t="s">
        <v>203</v>
      </c>
      <c r="Q678" s="2" t="str">
        <f>IF($C678="","",IFERROR(VLOOKUP($C678,sources!$A$2:$N$200,2,FALSE()),"?"))</f>
        <v>Map</v>
      </c>
      <c r="R678" s="2" t="str">
        <f t="shared" si="10"/>
        <v>Map</v>
      </c>
      <c r="S678" s="2" t="str">
        <f>IF($C678="","",IFERROR(VLOOKUP($C678,sources!$A$2:$N$200,9,FALSE()),"?"))</f>
        <v>US official</v>
      </c>
      <c r="T678" t="s">
        <v>5692</v>
      </c>
      <c r="U678">
        <f>IF(OR(B678="",C678="",T678="Retracted",LEFT(D678,8)="Negative"),0,IF(COUNTIFS($B$2:B678,B678,$C$2:C678,C678,$D$2:D678,"&lt;&gt;Negative*",$T$2:T678,"&lt;&gt;Retracted")=1,1,0))</f>
        <v>0</v>
      </c>
    </row>
    <row r="679" spans="1:21" x14ac:dyDescent="0.2">
      <c r="A679" t="s">
        <v>2463</v>
      </c>
      <c r="B679" t="s">
        <v>226</v>
      </c>
      <c r="C679" t="s">
        <v>1168</v>
      </c>
      <c r="D679" t="s">
        <v>1572</v>
      </c>
      <c r="E679" t="s">
        <v>2464</v>
      </c>
      <c r="F679" t="s">
        <v>1583</v>
      </c>
      <c r="G679">
        <v>9.2731100000000009</v>
      </c>
      <c r="H679">
        <v>-79.915570000000002</v>
      </c>
      <c r="I679" t="s">
        <v>1573</v>
      </c>
      <c r="J679">
        <v>300</v>
      </c>
      <c r="K679">
        <v>1911</v>
      </c>
      <c r="L679">
        <v>1911</v>
      </c>
      <c r="M679" t="s">
        <v>203</v>
      </c>
      <c r="N679" t="s">
        <v>203</v>
      </c>
      <c r="Q679" s="2" t="str">
        <f>IF($C679="","",IFERROR(VLOOKUP($C679,sources!$A$2:$N$200,2,FALSE()),"?"))</f>
        <v>Map</v>
      </c>
      <c r="R679" s="2" t="str">
        <f t="shared" si="10"/>
        <v>Map</v>
      </c>
      <c r="S679" s="2" t="str">
        <f>IF($C679="","",IFERROR(VLOOKUP($C679,sources!$A$2:$N$200,9,FALSE()),"?"))</f>
        <v>US official</v>
      </c>
      <c r="T679" t="s">
        <v>5692</v>
      </c>
      <c r="U679">
        <f>IF(OR(B679="",C679="",T679="Retracted",LEFT(D679,8)="Negative"),0,IF(COUNTIFS($B$2:B679,B679,$C$2:C679,C679,$D$2:D679,"&lt;&gt;Negative*",$T$2:T679,"&lt;&gt;Retracted")=1,1,0))</f>
        <v>0</v>
      </c>
    </row>
    <row r="680" spans="1:21" x14ac:dyDescent="0.2">
      <c r="A680" t="s">
        <v>2465</v>
      </c>
      <c r="B680" t="s">
        <v>242</v>
      </c>
      <c r="C680" t="s">
        <v>1168</v>
      </c>
      <c r="D680" t="s">
        <v>1572</v>
      </c>
      <c r="E680" t="s">
        <v>2273</v>
      </c>
      <c r="F680" t="s">
        <v>1566</v>
      </c>
      <c r="G680">
        <v>9.1140100000000004</v>
      </c>
      <c r="H680">
        <v>-79.724149999999995</v>
      </c>
      <c r="I680" t="s">
        <v>1573</v>
      </c>
      <c r="J680">
        <v>300</v>
      </c>
      <c r="K680">
        <v>1911</v>
      </c>
      <c r="L680">
        <v>1911</v>
      </c>
      <c r="M680" t="s">
        <v>203</v>
      </c>
      <c r="N680" t="s">
        <v>209</v>
      </c>
      <c r="Q680" s="2" t="str">
        <f>IF($C680="","",IFERROR(VLOOKUP($C680,sources!$A$2:$N$200,2,FALSE()),"?"))</f>
        <v>Map</v>
      </c>
      <c r="R680" s="2" t="str">
        <f t="shared" si="10"/>
        <v>Map</v>
      </c>
      <c r="S680" s="2" t="str">
        <f>IF($C680="","",IFERROR(VLOOKUP($C680,sources!$A$2:$N$200,9,FALSE()),"?"))</f>
        <v>US official</v>
      </c>
      <c r="T680" t="s">
        <v>5692</v>
      </c>
      <c r="U680">
        <f>IF(OR(B680="",C680="",T680="Retracted",LEFT(D680,8)="Negative"),0,IF(COUNTIFS($B$2:B680,B680,$C$2:C680,C680,$D$2:D680,"&lt;&gt;Negative*",$T$2:T680,"&lt;&gt;Retracted")=1,1,0))</f>
        <v>1</v>
      </c>
    </row>
    <row r="681" spans="1:21" x14ac:dyDescent="0.2">
      <c r="A681" t="s">
        <v>2466</v>
      </c>
      <c r="B681" t="s">
        <v>247</v>
      </c>
      <c r="C681" t="s">
        <v>1168</v>
      </c>
      <c r="D681" t="s">
        <v>1572</v>
      </c>
      <c r="E681" t="s">
        <v>2467</v>
      </c>
      <c r="F681" t="s">
        <v>1566</v>
      </c>
      <c r="G681">
        <v>9.0408399999999993</v>
      </c>
      <c r="H681">
        <v>-79.648539999999997</v>
      </c>
      <c r="I681" t="s">
        <v>1573</v>
      </c>
      <c r="J681">
        <v>400</v>
      </c>
      <c r="K681">
        <v>1911</v>
      </c>
      <c r="L681">
        <v>1911</v>
      </c>
      <c r="M681" t="s">
        <v>203</v>
      </c>
      <c r="N681" t="s">
        <v>209</v>
      </c>
      <c r="Q681" s="2" t="str">
        <f>IF($C681="","",IFERROR(VLOOKUP($C681,sources!$A$2:$N$200,2,FALSE()),"?"))</f>
        <v>Map</v>
      </c>
      <c r="R681" s="2" t="str">
        <f t="shared" si="10"/>
        <v>Map</v>
      </c>
      <c r="S681" s="2" t="str">
        <f>IF($C681="","",IFERROR(VLOOKUP($C681,sources!$A$2:$N$200,9,FALSE()),"?"))</f>
        <v>US official</v>
      </c>
      <c r="T681" t="s">
        <v>5692</v>
      </c>
      <c r="U681">
        <f>IF(OR(B681="",C681="",T681="Retracted",LEFT(D681,8)="Negative"),0,IF(COUNTIFS($B$2:B681,B681,$C$2:C681,C681,$D$2:D681,"&lt;&gt;Negative*",$T$2:T681,"&lt;&gt;Retracted")=1,1,0))</f>
        <v>1</v>
      </c>
    </row>
    <row r="682" spans="1:21" x14ac:dyDescent="0.2">
      <c r="A682" t="s">
        <v>2468</v>
      </c>
      <c r="B682" t="s">
        <v>340</v>
      </c>
      <c r="C682" t="s">
        <v>1168</v>
      </c>
      <c r="D682" t="s">
        <v>1572</v>
      </c>
      <c r="E682" t="s">
        <v>2469</v>
      </c>
      <c r="F682" t="s">
        <v>1566</v>
      </c>
      <c r="G682">
        <v>9.0322300000000002</v>
      </c>
      <c r="H682">
        <v>-79.662390000000002</v>
      </c>
      <c r="I682" t="s">
        <v>1573</v>
      </c>
      <c r="J682">
        <v>300</v>
      </c>
      <c r="K682">
        <v>1911</v>
      </c>
      <c r="L682">
        <v>1911</v>
      </c>
      <c r="M682" t="s">
        <v>203</v>
      </c>
      <c r="N682" t="s">
        <v>209</v>
      </c>
      <c r="Q682" s="2" t="str">
        <f>IF($C682="","",IFERROR(VLOOKUP($C682,sources!$A$2:$N$200,2,FALSE()),"?"))</f>
        <v>Map</v>
      </c>
      <c r="R682" s="2" t="str">
        <f t="shared" si="10"/>
        <v>Map</v>
      </c>
      <c r="S682" s="2" t="str">
        <f>IF($C682="","",IFERROR(VLOOKUP($C682,sources!$A$2:$N$200,9,FALSE()),"?"))</f>
        <v>US official</v>
      </c>
      <c r="T682" t="s">
        <v>5692</v>
      </c>
      <c r="U682">
        <f>IF(OR(B682="",C682="",T682="Retracted",LEFT(D682,8)="Negative"),0,IF(COUNTIFS($B$2:B682,B682,$C$2:C682,C682,$D$2:D682,"&lt;&gt;Negative*",$T$2:T682,"&lt;&gt;Retracted")=1,1,0))</f>
        <v>1</v>
      </c>
    </row>
    <row r="683" spans="1:21" x14ac:dyDescent="0.2">
      <c r="A683" t="s">
        <v>2470</v>
      </c>
      <c r="B683" t="s">
        <v>344</v>
      </c>
      <c r="C683" t="s">
        <v>1168</v>
      </c>
      <c r="D683" t="s">
        <v>1572</v>
      </c>
      <c r="E683" t="s">
        <v>2471</v>
      </c>
      <c r="F683" t="s">
        <v>1566</v>
      </c>
      <c r="G683">
        <v>9.0237800000000004</v>
      </c>
      <c r="H683">
        <v>-79.601070000000007</v>
      </c>
      <c r="I683" t="s">
        <v>1573</v>
      </c>
      <c r="J683">
        <v>400</v>
      </c>
      <c r="K683">
        <v>1911</v>
      </c>
      <c r="L683">
        <v>1911</v>
      </c>
      <c r="M683" t="s">
        <v>203</v>
      </c>
      <c r="N683" t="s">
        <v>209</v>
      </c>
      <c r="Q683" s="2" t="str">
        <f>IF($C683="","",IFERROR(VLOOKUP($C683,sources!$A$2:$N$200,2,FALSE()),"?"))</f>
        <v>Map</v>
      </c>
      <c r="R683" s="2" t="str">
        <f t="shared" si="10"/>
        <v>Map</v>
      </c>
      <c r="S683" s="2" t="str">
        <f>IF($C683="","",IFERROR(VLOOKUP($C683,sources!$A$2:$N$200,9,FALSE()),"?"))</f>
        <v>US official</v>
      </c>
      <c r="T683" t="s">
        <v>5692</v>
      </c>
      <c r="U683">
        <f>IF(OR(B683="",C683="",T683="Retracted",LEFT(D683,8)="Negative"),0,IF(COUNTIFS($B$2:B683,B683,$C$2:C683,C683,$D$2:D683,"&lt;&gt;Negative*",$T$2:T683,"&lt;&gt;Retracted")=1,1,0))</f>
        <v>1</v>
      </c>
    </row>
    <row r="684" spans="1:21" x14ac:dyDescent="0.2">
      <c r="A684" t="s">
        <v>2472</v>
      </c>
      <c r="B684" t="s">
        <v>357</v>
      </c>
      <c r="C684" t="s">
        <v>1168</v>
      </c>
      <c r="D684" t="s">
        <v>1572</v>
      </c>
      <c r="E684" t="s">
        <v>2473</v>
      </c>
      <c r="F684" t="s">
        <v>1566</v>
      </c>
      <c r="G684">
        <v>9.0269700000000004</v>
      </c>
      <c r="H684">
        <v>-79.624989999999997</v>
      </c>
      <c r="I684" t="s">
        <v>1573</v>
      </c>
      <c r="J684">
        <v>250</v>
      </c>
      <c r="K684">
        <v>1911</v>
      </c>
      <c r="L684">
        <v>1911</v>
      </c>
      <c r="M684" t="s">
        <v>203</v>
      </c>
      <c r="N684" t="s">
        <v>203</v>
      </c>
      <c r="Q684" s="2" t="str">
        <f>IF($C684="","",IFERROR(VLOOKUP($C684,sources!$A$2:$N$200,2,FALSE()),"?"))</f>
        <v>Map</v>
      </c>
      <c r="R684" s="2" t="str">
        <f t="shared" si="10"/>
        <v>Map</v>
      </c>
      <c r="S684" s="2" t="str">
        <f>IF($C684="","",IFERROR(VLOOKUP($C684,sources!$A$2:$N$200,9,FALSE()),"?"))</f>
        <v>US official</v>
      </c>
      <c r="T684" t="s">
        <v>5692</v>
      </c>
      <c r="U684">
        <f>IF(OR(B684="",C684="",T684="Retracted",LEFT(D684,8)="Negative"),0,IF(COUNTIFS($B$2:B684,B684,$C$2:C684,C684,$D$2:D684,"&lt;&gt;Negative*",$T$2:T684,"&lt;&gt;Retracted")=1,1,0))</f>
        <v>1</v>
      </c>
    </row>
    <row r="685" spans="1:21" x14ac:dyDescent="0.2">
      <c r="A685" t="s">
        <v>2474</v>
      </c>
      <c r="B685" t="s">
        <v>398</v>
      </c>
      <c r="C685" t="s">
        <v>1168</v>
      </c>
      <c r="D685" t="s">
        <v>1575</v>
      </c>
      <c r="E685" t="s">
        <v>2475</v>
      </c>
      <c r="F685" t="s">
        <v>1566</v>
      </c>
      <c r="G685">
        <v>9.0966699999999996</v>
      </c>
      <c r="H685">
        <v>-79.699809999999999</v>
      </c>
      <c r="I685" t="s">
        <v>1573</v>
      </c>
      <c r="J685">
        <v>350</v>
      </c>
      <c r="K685">
        <v>1911</v>
      </c>
      <c r="L685">
        <v>1911</v>
      </c>
      <c r="M685" t="s">
        <v>203</v>
      </c>
      <c r="N685" t="s">
        <v>209</v>
      </c>
      <c r="Q685" s="2" t="str">
        <f>IF($C685="","",IFERROR(VLOOKUP($C685,sources!$A$2:$N$200,2,FALSE()),"?"))</f>
        <v>Map</v>
      </c>
      <c r="R685" s="2" t="str">
        <f t="shared" si="10"/>
        <v>Map</v>
      </c>
      <c r="S685" s="2" t="str">
        <f>IF($C685="","",IFERROR(VLOOKUP($C685,sources!$A$2:$N$200,9,FALSE()),"?"))</f>
        <v>US official</v>
      </c>
      <c r="T685" t="s">
        <v>5692</v>
      </c>
      <c r="U685">
        <f>IF(OR(B685="",C685="",T685="Retracted",LEFT(D685,8)="Negative"),0,IF(COUNTIFS($B$2:B685,B685,$C$2:C685,C685,$D$2:D685,"&lt;&gt;Negative*",$T$2:T685,"&lt;&gt;Retracted")=1,1,0))</f>
        <v>0</v>
      </c>
    </row>
    <row r="686" spans="1:21" x14ac:dyDescent="0.2">
      <c r="A686" t="s">
        <v>2476</v>
      </c>
      <c r="B686" t="s">
        <v>407</v>
      </c>
      <c r="C686" t="s">
        <v>1168</v>
      </c>
      <c r="D686" t="s">
        <v>1572</v>
      </c>
      <c r="E686" t="s">
        <v>2477</v>
      </c>
      <c r="F686" t="s">
        <v>1583</v>
      </c>
      <c r="G686">
        <v>9.3695500000000003</v>
      </c>
      <c r="H686">
        <v>-79.947069999999997</v>
      </c>
      <c r="I686" t="s">
        <v>1573</v>
      </c>
      <c r="J686">
        <v>200</v>
      </c>
      <c r="K686">
        <v>1911</v>
      </c>
      <c r="L686">
        <v>1911</v>
      </c>
      <c r="M686" t="s">
        <v>203</v>
      </c>
      <c r="N686" t="s">
        <v>203</v>
      </c>
      <c r="Q686" s="2" t="str">
        <f>IF($C686="","",IFERROR(VLOOKUP($C686,sources!$A$2:$N$200,2,FALSE()),"?"))</f>
        <v>Map</v>
      </c>
      <c r="R686" s="2" t="str">
        <f t="shared" si="10"/>
        <v>Map</v>
      </c>
      <c r="S686" s="2" t="str">
        <f>IF($C686="","",IFERROR(VLOOKUP($C686,sources!$A$2:$N$200,9,FALSE()),"?"))</f>
        <v>US official</v>
      </c>
      <c r="T686" t="s">
        <v>5692</v>
      </c>
      <c r="U686">
        <f>IF(OR(B686="",C686="",T686="Retracted",LEFT(D686,8)="Negative"),0,IF(COUNTIFS($B$2:B686,B686,$C$2:C686,C686,$D$2:D686,"&lt;&gt;Negative*",$T$2:T686,"&lt;&gt;Retracted")=1,1,0))</f>
        <v>1</v>
      </c>
    </row>
    <row r="687" spans="1:21" x14ac:dyDescent="0.2">
      <c r="A687" t="s">
        <v>2478</v>
      </c>
      <c r="B687" t="s">
        <v>429</v>
      </c>
      <c r="C687" t="s">
        <v>1168</v>
      </c>
      <c r="D687" t="s">
        <v>1572</v>
      </c>
      <c r="E687" t="s">
        <v>2479</v>
      </c>
      <c r="F687" t="s">
        <v>1566</v>
      </c>
      <c r="G687">
        <v>9.2063000000000006</v>
      </c>
      <c r="H687">
        <v>-79.605099999999993</v>
      </c>
      <c r="I687" t="s">
        <v>1573</v>
      </c>
      <c r="J687">
        <v>800</v>
      </c>
      <c r="K687">
        <v>1911</v>
      </c>
      <c r="L687">
        <v>1911</v>
      </c>
      <c r="M687" t="s">
        <v>203</v>
      </c>
      <c r="N687" t="s">
        <v>209</v>
      </c>
      <c r="Q687" s="2" t="str">
        <f>IF($C687="","",IFERROR(VLOOKUP($C687,sources!$A$2:$N$200,2,FALSE()),"?"))</f>
        <v>Map</v>
      </c>
      <c r="R687" s="2" t="str">
        <f t="shared" si="10"/>
        <v>Map</v>
      </c>
      <c r="S687" s="2" t="str">
        <f>IF($C687="","",IFERROR(VLOOKUP($C687,sources!$A$2:$N$200,9,FALSE()),"?"))</f>
        <v>US official</v>
      </c>
      <c r="T687" t="s">
        <v>5692</v>
      </c>
      <c r="U687">
        <f>IF(OR(B687="",C687="",T687="Retracted",LEFT(D687,8)="Negative"),0,IF(COUNTIFS($B$2:B687,B687,$C$2:C687,C687,$D$2:D687,"&lt;&gt;Negative*",$T$2:T687,"&lt;&gt;Retracted")=1,1,0))</f>
        <v>1</v>
      </c>
    </row>
    <row r="688" spans="1:21" x14ac:dyDescent="0.2">
      <c r="A688" t="s">
        <v>2480</v>
      </c>
      <c r="B688" t="s">
        <v>465</v>
      </c>
      <c r="C688" t="s">
        <v>1168</v>
      </c>
      <c r="D688" t="s">
        <v>1572</v>
      </c>
      <c r="E688" t="s">
        <v>2481</v>
      </c>
      <c r="F688" t="s">
        <v>1566</v>
      </c>
      <c r="G688">
        <v>9.0516000000000005</v>
      </c>
      <c r="H688">
        <v>-79.663319999999999</v>
      </c>
      <c r="I688" t="s">
        <v>1573</v>
      </c>
      <c r="J688">
        <v>350</v>
      </c>
      <c r="K688">
        <v>1911</v>
      </c>
      <c r="L688">
        <v>1911</v>
      </c>
      <c r="M688" t="s">
        <v>203</v>
      </c>
      <c r="N688" t="s">
        <v>203</v>
      </c>
      <c r="Q688" s="2" t="str">
        <f>IF($C688="","",IFERROR(VLOOKUP($C688,sources!$A$2:$N$200,2,FALSE()),"?"))</f>
        <v>Map</v>
      </c>
      <c r="R688" s="2" t="str">
        <f t="shared" si="10"/>
        <v>Map</v>
      </c>
      <c r="S688" s="2" t="str">
        <f>IF($C688="","",IFERROR(VLOOKUP($C688,sources!$A$2:$N$200,9,FALSE()),"?"))</f>
        <v>US official</v>
      </c>
      <c r="T688" t="s">
        <v>5692</v>
      </c>
      <c r="U688">
        <f>IF(OR(B688="",C688="",T688="Retracted",LEFT(D688,8)="Negative"),0,IF(COUNTIFS($B$2:B688,B688,$C$2:C688,C688,$D$2:D688,"&lt;&gt;Negative*",$T$2:T688,"&lt;&gt;Retracted")=1,1,0))</f>
        <v>0</v>
      </c>
    </row>
    <row r="689" spans="1:21" x14ac:dyDescent="0.2">
      <c r="A689" t="s">
        <v>2482</v>
      </c>
      <c r="B689" t="s">
        <v>484</v>
      </c>
      <c r="C689" t="s">
        <v>1168</v>
      </c>
      <c r="D689" t="s">
        <v>1572</v>
      </c>
      <c r="E689" t="s">
        <v>2483</v>
      </c>
      <c r="F689" t="s">
        <v>1566</v>
      </c>
      <c r="G689">
        <v>9.1664999999999992</v>
      </c>
      <c r="H689">
        <v>-79.6477</v>
      </c>
      <c r="I689" t="s">
        <v>1573</v>
      </c>
      <c r="J689">
        <v>400</v>
      </c>
      <c r="K689">
        <v>1911</v>
      </c>
      <c r="L689">
        <v>1911</v>
      </c>
      <c r="M689" t="s">
        <v>203</v>
      </c>
      <c r="N689" t="s">
        <v>209</v>
      </c>
      <c r="Q689" s="2" t="str">
        <f>IF($C689="","",IFERROR(VLOOKUP($C689,sources!$A$2:$N$200,2,FALSE()),"?"))</f>
        <v>Map</v>
      </c>
      <c r="R689" s="2" t="str">
        <f t="shared" si="10"/>
        <v>Map</v>
      </c>
      <c r="S689" s="2" t="str">
        <f>IF($C689="","",IFERROR(VLOOKUP($C689,sources!$A$2:$N$200,9,FALSE()),"?"))</f>
        <v>US official</v>
      </c>
      <c r="T689" t="s">
        <v>5692</v>
      </c>
      <c r="U689">
        <f>IF(OR(B689="",C689="",T689="Retracted",LEFT(D689,8)="Negative"),0,IF(COUNTIFS($B$2:B689,B689,$C$2:C689,C689,$D$2:D689,"&lt;&gt;Negative*",$T$2:T689,"&lt;&gt;Retracted")=1,1,0))</f>
        <v>1</v>
      </c>
    </row>
    <row r="690" spans="1:21" x14ac:dyDescent="0.2">
      <c r="A690" t="s">
        <v>2484</v>
      </c>
      <c r="B690" t="s">
        <v>490</v>
      </c>
      <c r="C690" t="s">
        <v>1168</v>
      </c>
      <c r="D690" t="s">
        <v>1572</v>
      </c>
      <c r="E690" t="s">
        <v>2485</v>
      </c>
      <c r="F690" t="s">
        <v>1583</v>
      </c>
      <c r="G690">
        <v>9.0784099999999999</v>
      </c>
      <c r="H690">
        <v>-79.679720000000003</v>
      </c>
      <c r="I690" t="s">
        <v>1573</v>
      </c>
      <c r="J690">
        <v>350</v>
      </c>
      <c r="K690">
        <v>1911</v>
      </c>
      <c r="L690">
        <v>1911</v>
      </c>
      <c r="M690" t="s">
        <v>203</v>
      </c>
      <c r="N690" t="s">
        <v>209</v>
      </c>
      <c r="Q690" s="2" t="str">
        <f>IF($C690="","",IFERROR(VLOOKUP($C690,sources!$A$2:$N$200,2,FALSE()),"?"))</f>
        <v>Map</v>
      </c>
      <c r="R690" s="2" t="str">
        <f t="shared" si="10"/>
        <v>Map</v>
      </c>
      <c r="S690" s="2" t="str">
        <f>IF($C690="","",IFERROR(VLOOKUP($C690,sources!$A$2:$N$200,9,FALSE()),"?"))</f>
        <v>US official</v>
      </c>
      <c r="T690" t="s">
        <v>5692</v>
      </c>
      <c r="U690">
        <f>IF(OR(B690="",C690="",T690="Retracted",LEFT(D690,8)="Negative"),0,IF(COUNTIFS($B$2:B690,B690,$C$2:C690,C690,$D$2:D690,"&lt;&gt;Negative*",$T$2:T690,"&lt;&gt;Retracted")=1,1,0))</f>
        <v>0</v>
      </c>
    </row>
    <row r="691" spans="1:21" x14ac:dyDescent="0.2">
      <c r="A691" t="s">
        <v>2486</v>
      </c>
      <c r="B691" t="s">
        <v>498</v>
      </c>
      <c r="C691" t="s">
        <v>1168</v>
      </c>
      <c r="D691" t="s">
        <v>1572</v>
      </c>
      <c r="E691" t="s">
        <v>2487</v>
      </c>
      <c r="F691" t="s">
        <v>1566</v>
      </c>
      <c r="G691">
        <v>9.1789000000000005</v>
      </c>
      <c r="H691">
        <v>-79.870339999999999</v>
      </c>
      <c r="I691" t="s">
        <v>1573</v>
      </c>
      <c r="J691">
        <v>350</v>
      </c>
      <c r="K691">
        <v>1911</v>
      </c>
      <c r="L691">
        <v>1911</v>
      </c>
      <c r="M691" t="s">
        <v>203</v>
      </c>
      <c r="N691" t="s">
        <v>209</v>
      </c>
      <c r="Q691" s="2" t="str">
        <f>IF($C691="","",IFERROR(VLOOKUP($C691,sources!$A$2:$N$200,2,FALSE()),"?"))</f>
        <v>Map</v>
      </c>
      <c r="R691" s="2" t="str">
        <f t="shared" si="10"/>
        <v>Map</v>
      </c>
      <c r="S691" s="2" t="str">
        <f>IF($C691="","",IFERROR(VLOOKUP($C691,sources!$A$2:$N$200,9,FALSE()),"?"))</f>
        <v>US official</v>
      </c>
      <c r="T691" t="s">
        <v>5692</v>
      </c>
      <c r="U691">
        <f>IF(OR(B691="",C691="",T691="Retracted",LEFT(D691,8)="Negative"),0,IF(COUNTIFS($B$2:B691,B691,$C$2:C691,C691,$D$2:D691,"&lt;&gt;Negative*",$T$2:T691,"&lt;&gt;Retracted")=1,1,0))</f>
        <v>1</v>
      </c>
    </row>
    <row r="692" spans="1:21" x14ac:dyDescent="0.2">
      <c r="A692" t="s">
        <v>2488</v>
      </c>
      <c r="B692" t="s">
        <v>503</v>
      </c>
      <c r="C692" t="s">
        <v>1168</v>
      </c>
      <c r="D692" t="s">
        <v>1572</v>
      </c>
      <c r="E692" t="s">
        <v>2489</v>
      </c>
      <c r="F692" t="s">
        <v>1566</v>
      </c>
      <c r="G692">
        <v>9.0227380000000004</v>
      </c>
      <c r="H692">
        <v>-79.627855999999994</v>
      </c>
      <c r="I692" t="s">
        <v>1573</v>
      </c>
      <c r="J692">
        <v>350</v>
      </c>
      <c r="K692">
        <v>1911</v>
      </c>
      <c r="L692">
        <v>1911</v>
      </c>
      <c r="M692" t="s">
        <v>203</v>
      </c>
      <c r="N692" t="s">
        <v>209</v>
      </c>
      <c r="Q692" s="2" t="str">
        <f>IF($C692="","",IFERROR(VLOOKUP($C692,sources!$A$2:$N$200,2,FALSE()),"?"))</f>
        <v>Map</v>
      </c>
      <c r="R692" s="2" t="str">
        <f t="shared" si="10"/>
        <v>Map</v>
      </c>
      <c r="S692" s="2" t="str">
        <f>IF($C692="","",IFERROR(VLOOKUP($C692,sources!$A$2:$N$200,9,FALSE()),"?"))</f>
        <v>US official</v>
      </c>
      <c r="T692" t="s">
        <v>5692</v>
      </c>
      <c r="U692">
        <f>IF(OR(B692="",C692="",T692="Retracted",LEFT(D692,8)="Negative"),0,IF(COUNTIFS($B$2:B692,B692,$C$2:C692,C692,$D$2:D692,"&lt;&gt;Negative*",$T$2:T692,"&lt;&gt;Retracted")=1,1,0))</f>
        <v>1</v>
      </c>
    </row>
    <row r="693" spans="1:21" x14ac:dyDescent="0.2">
      <c r="A693" t="s">
        <v>2490</v>
      </c>
      <c r="B693" t="s">
        <v>507</v>
      </c>
      <c r="C693" t="s">
        <v>1168</v>
      </c>
      <c r="D693" t="s">
        <v>1572</v>
      </c>
      <c r="E693" t="s">
        <v>2491</v>
      </c>
      <c r="F693" t="s">
        <v>1566</v>
      </c>
      <c r="G693">
        <v>9.1405999999999992</v>
      </c>
      <c r="H693">
        <v>-79.668899999999994</v>
      </c>
      <c r="I693" t="s">
        <v>1573</v>
      </c>
      <c r="J693">
        <v>400</v>
      </c>
      <c r="K693">
        <v>1911</v>
      </c>
      <c r="L693">
        <v>1911</v>
      </c>
      <c r="M693" t="s">
        <v>203</v>
      </c>
      <c r="N693" t="s">
        <v>209</v>
      </c>
      <c r="Q693" s="2" t="str">
        <f>IF($C693="","",IFERROR(VLOOKUP($C693,sources!$A$2:$N$200,2,FALSE()),"?"))</f>
        <v>Map</v>
      </c>
      <c r="R693" s="2" t="str">
        <f t="shared" si="10"/>
        <v>Map</v>
      </c>
      <c r="S693" s="2" t="str">
        <f>IF($C693="","",IFERROR(VLOOKUP($C693,sources!$A$2:$N$200,9,FALSE()),"?"))</f>
        <v>US official</v>
      </c>
      <c r="T693" t="s">
        <v>5692</v>
      </c>
      <c r="U693">
        <f>IF(OR(B693="",C693="",T693="Retracted",LEFT(D693,8)="Negative"),0,IF(COUNTIFS($B$2:B693,B693,$C$2:C693,C693,$D$2:D693,"&lt;&gt;Negative*",$T$2:T693,"&lt;&gt;Retracted")=1,1,0))</f>
        <v>1</v>
      </c>
    </row>
    <row r="694" spans="1:21" x14ac:dyDescent="0.2">
      <c r="A694" t="s">
        <v>2492</v>
      </c>
      <c r="B694" t="s">
        <v>565</v>
      </c>
      <c r="C694" t="s">
        <v>1168</v>
      </c>
      <c r="D694" t="s">
        <v>1572</v>
      </c>
      <c r="E694" t="s">
        <v>2493</v>
      </c>
      <c r="F694" t="s">
        <v>2423</v>
      </c>
      <c r="G694">
        <v>9.0977189999999997</v>
      </c>
      <c r="H694">
        <v>-79.685924</v>
      </c>
      <c r="I694" t="s">
        <v>1573</v>
      </c>
      <c r="J694">
        <v>350</v>
      </c>
      <c r="K694">
        <v>1911</v>
      </c>
      <c r="L694">
        <v>1911</v>
      </c>
      <c r="M694" t="s">
        <v>203</v>
      </c>
      <c r="N694" t="s">
        <v>209</v>
      </c>
      <c r="Q694" s="2" t="str">
        <f>IF($C694="","",IFERROR(VLOOKUP($C694,sources!$A$2:$N$200,2,FALSE()),"?"))</f>
        <v>Map</v>
      </c>
      <c r="R694" s="2" t="str">
        <f t="shared" si="10"/>
        <v>Map</v>
      </c>
      <c r="S694" s="2" t="str">
        <f>IF($C694="","",IFERROR(VLOOKUP($C694,sources!$A$2:$N$200,9,FALSE()),"?"))</f>
        <v>US official</v>
      </c>
      <c r="T694" t="s">
        <v>5692</v>
      </c>
      <c r="U694">
        <f>IF(OR(B694="",C694="",T694="Retracted",LEFT(D694,8)="Negative"),0,IF(COUNTIFS($B$2:B694,B694,$C$2:C694,C694,$D$2:D694,"&lt;&gt;Negative*",$T$2:T694,"&lt;&gt;Retracted")=1,1,0))</f>
        <v>1</v>
      </c>
    </row>
    <row r="695" spans="1:21" x14ac:dyDescent="0.2">
      <c r="A695" t="s">
        <v>2494</v>
      </c>
      <c r="B695" t="s">
        <v>580</v>
      </c>
      <c r="C695" t="s">
        <v>1168</v>
      </c>
      <c r="D695" t="s">
        <v>1572</v>
      </c>
      <c r="E695" t="s">
        <v>2495</v>
      </c>
      <c r="F695" t="s">
        <v>2423</v>
      </c>
      <c r="G695">
        <v>9.0670999999999999</v>
      </c>
      <c r="H695">
        <v>-79.673699999999997</v>
      </c>
      <c r="I695" t="s">
        <v>1573</v>
      </c>
      <c r="J695">
        <v>400</v>
      </c>
      <c r="K695">
        <v>1911</v>
      </c>
      <c r="L695">
        <v>1911</v>
      </c>
      <c r="M695" t="s">
        <v>203</v>
      </c>
      <c r="N695" t="s">
        <v>209</v>
      </c>
      <c r="Q695" s="2" t="str">
        <f>IF($C695="","",IFERROR(VLOOKUP($C695,sources!$A$2:$N$200,2,FALSE()),"?"))</f>
        <v>Map</v>
      </c>
      <c r="R695" s="2" t="str">
        <f t="shared" si="10"/>
        <v>Map</v>
      </c>
      <c r="S695" s="2" t="str">
        <f>IF($C695="","",IFERROR(VLOOKUP($C695,sources!$A$2:$N$200,9,FALSE()),"?"))</f>
        <v>US official</v>
      </c>
      <c r="T695" t="s">
        <v>5692</v>
      </c>
      <c r="U695">
        <f>IF(OR(B695="",C695="",T695="Retracted",LEFT(D695,8)="Negative"),0,IF(COUNTIFS($B$2:B695,B695,$C$2:C695,C695,$D$2:D695,"&lt;&gt;Negative*",$T$2:T695,"&lt;&gt;Retracted")=1,1,0))</f>
        <v>1</v>
      </c>
    </row>
    <row r="696" spans="1:21" x14ac:dyDescent="0.2">
      <c r="A696" t="s">
        <v>2496</v>
      </c>
      <c r="B696" t="s">
        <v>584</v>
      </c>
      <c r="C696" t="s">
        <v>1168</v>
      </c>
      <c r="D696" t="s">
        <v>1572</v>
      </c>
      <c r="E696" t="s">
        <v>2497</v>
      </c>
      <c r="F696" t="s">
        <v>1566</v>
      </c>
      <c r="G696">
        <v>9.0574100000000008</v>
      </c>
      <c r="H696">
        <v>-79.674409999999995</v>
      </c>
      <c r="I696" t="s">
        <v>1573</v>
      </c>
      <c r="J696">
        <v>400</v>
      </c>
      <c r="K696">
        <v>1911</v>
      </c>
      <c r="L696">
        <v>1911</v>
      </c>
      <c r="M696" t="s">
        <v>203</v>
      </c>
      <c r="N696" t="s">
        <v>209</v>
      </c>
      <c r="Q696" s="2" t="str">
        <f>IF($C696="","",IFERROR(VLOOKUP($C696,sources!$A$2:$N$200,2,FALSE()),"?"))</f>
        <v>Map</v>
      </c>
      <c r="R696" s="2" t="str">
        <f t="shared" si="10"/>
        <v>Map</v>
      </c>
      <c r="S696" s="2" t="str">
        <f>IF($C696="","",IFERROR(VLOOKUP($C696,sources!$A$2:$N$200,9,FALSE()),"?"))</f>
        <v>US official</v>
      </c>
      <c r="T696" t="s">
        <v>5692</v>
      </c>
      <c r="U696">
        <f>IF(OR(B696="",C696="",T696="Retracted",LEFT(D696,8)="Negative"),0,IF(COUNTIFS($B$2:B696,B696,$C$2:C696,C696,$D$2:D696,"&lt;&gt;Negative*",$T$2:T696,"&lt;&gt;Retracted")=1,1,0))</f>
        <v>1</v>
      </c>
    </row>
    <row r="697" spans="1:21" x14ac:dyDescent="0.2">
      <c r="A697" t="s">
        <v>2498</v>
      </c>
      <c r="B697" t="s">
        <v>588</v>
      </c>
      <c r="C697" t="s">
        <v>1168</v>
      </c>
      <c r="D697" t="s">
        <v>1572</v>
      </c>
      <c r="E697" t="s">
        <v>2499</v>
      </c>
      <c r="F697" t="s">
        <v>1566</v>
      </c>
      <c r="G697">
        <v>9.0529650000000004</v>
      </c>
      <c r="H697">
        <v>-79.656103999999999</v>
      </c>
      <c r="I697" t="s">
        <v>1573</v>
      </c>
      <c r="J697">
        <v>300</v>
      </c>
      <c r="K697">
        <v>1911</v>
      </c>
      <c r="L697">
        <v>1911</v>
      </c>
      <c r="M697" t="s">
        <v>203</v>
      </c>
      <c r="N697" t="s">
        <v>203</v>
      </c>
      <c r="Q697" s="2" t="str">
        <f>IF($C697="","",IFERROR(VLOOKUP($C697,sources!$A$2:$N$200,2,FALSE()),"?"))</f>
        <v>Map</v>
      </c>
      <c r="R697" s="2" t="str">
        <f t="shared" si="10"/>
        <v>Map</v>
      </c>
      <c r="S697" s="2" t="str">
        <f>IF($C697="","",IFERROR(VLOOKUP($C697,sources!$A$2:$N$200,9,FALSE()),"?"))</f>
        <v>US official</v>
      </c>
      <c r="T697" t="s">
        <v>5692</v>
      </c>
      <c r="U697">
        <f>IF(OR(B697="",C697="",T697="Retracted",LEFT(D697,8)="Negative"),0,IF(COUNTIFS($B$2:B697,B697,$C$2:C697,C697,$D$2:D697,"&lt;&gt;Negative*",$T$2:T697,"&lt;&gt;Retracted")=1,1,0))</f>
        <v>1</v>
      </c>
    </row>
    <row r="698" spans="1:21" x14ac:dyDescent="0.2">
      <c r="A698" t="s">
        <v>2500</v>
      </c>
      <c r="B698" t="s">
        <v>592</v>
      </c>
      <c r="C698" t="s">
        <v>1168</v>
      </c>
      <c r="D698" t="s">
        <v>1572</v>
      </c>
      <c r="E698" t="s">
        <v>2501</v>
      </c>
      <c r="F698" t="s">
        <v>1566</v>
      </c>
      <c r="G698">
        <v>9.1164400000000008</v>
      </c>
      <c r="H698">
        <v>-79.733369999999994</v>
      </c>
      <c r="I698" t="s">
        <v>1573</v>
      </c>
      <c r="J698">
        <v>350</v>
      </c>
      <c r="K698">
        <v>1911</v>
      </c>
      <c r="L698">
        <v>1911</v>
      </c>
      <c r="M698" t="s">
        <v>203</v>
      </c>
      <c r="N698" t="s">
        <v>209</v>
      </c>
      <c r="Q698" s="2" t="str">
        <f>IF($C698="","",IFERROR(VLOOKUP($C698,sources!$A$2:$N$200,2,FALSE()),"?"))</f>
        <v>Map</v>
      </c>
      <c r="R698" s="2" t="str">
        <f t="shared" si="10"/>
        <v>Map</v>
      </c>
      <c r="S698" s="2" t="str">
        <f>IF($C698="","",IFERROR(VLOOKUP($C698,sources!$A$2:$N$200,9,FALSE()),"?"))</f>
        <v>US official</v>
      </c>
      <c r="T698" t="s">
        <v>5692</v>
      </c>
      <c r="U698">
        <f>IF(OR(B698="",C698="",T698="Retracted",LEFT(D698,8)="Negative"),0,IF(COUNTIFS($B$2:B698,B698,$C$2:C698,C698,$D$2:D698,"&lt;&gt;Negative*",$T$2:T698,"&lt;&gt;Retracted")=1,1,0))</f>
        <v>1</v>
      </c>
    </row>
    <row r="699" spans="1:21" x14ac:dyDescent="0.2">
      <c r="A699" t="s">
        <v>2502</v>
      </c>
      <c r="B699" t="s">
        <v>603</v>
      </c>
      <c r="C699" t="s">
        <v>1168</v>
      </c>
      <c r="D699" t="s">
        <v>1572</v>
      </c>
      <c r="E699" t="s">
        <v>2503</v>
      </c>
      <c r="F699" t="s">
        <v>1566</v>
      </c>
      <c r="G699">
        <v>9.2022200000000005</v>
      </c>
      <c r="H699">
        <v>-79.894170000000003</v>
      </c>
      <c r="I699" t="s">
        <v>1573</v>
      </c>
      <c r="J699">
        <v>350</v>
      </c>
      <c r="K699">
        <v>1911</v>
      </c>
      <c r="L699">
        <v>1911</v>
      </c>
      <c r="M699" t="s">
        <v>203</v>
      </c>
      <c r="N699" t="s">
        <v>209</v>
      </c>
      <c r="Q699" s="2" t="str">
        <f>IF($C699="","",IFERROR(VLOOKUP($C699,sources!$A$2:$N$200,2,FALSE()),"?"))</f>
        <v>Map</v>
      </c>
      <c r="R699" s="2" t="str">
        <f t="shared" si="10"/>
        <v>Map</v>
      </c>
      <c r="S699" s="2" t="str">
        <f>IF($C699="","",IFERROR(VLOOKUP($C699,sources!$A$2:$N$200,9,FALSE()),"?"))</f>
        <v>US official</v>
      </c>
      <c r="T699" t="s">
        <v>5692</v>
      </c>
      <c r="U699">
        <f>IF(OR(B699="",C699="",T699="Retracted",LEFT(D699,8)="Negative"),0,IF(COUNTIFS($B$2:B699,B699,$C$2:C699,C699,$D$2:D699,"&lt;&gt;Negative*",$T$2:T699,"&lt;&gt;Retracted")=1,1,0))</f>
        <v>1</v>
      </c>
    </row>
    <row r="700" spans="1:21" x14ac:dyDescent="0.2">
      <c r="A700" t="s">
        <v>2504</v>
      </c>
      <c r="B700" t="s">
        <v>607</v>
      </c>
      <c r="C700" t="s">
        <v>1168</v>
      </c>
      <c r="D700" t="s">
        <v>1572</v>
      </c>
      <c r="E700" t="s">
        <v>2505</v>
      </c>
      <c r="F700" t="s">
        <v>1566</v>
      </c>
      <c r="G700">
        <v>9.1985600000000005</v>
      </c>
      <c r="H700">
        <v>-79.895020000000002</v>
      </c>
      <c r="I700" t="s">
        <v>1573</v>
      </c>
      <c r="J700">
        <v>350</v>
      </c>
      <c r="K700">
        <v>1911</v>
      </c>
      <c r="L700">
        <v>1911</v>
      </c>
      <c r="M700" t="s">
        <v>203</v>
      </c>
      <c r="N700" t="s">
        <v>209</v>
      </c>
      <c r="Q700" s="2" t="str">
        <f>IF($C700="","",IFERROR(VLOOKUP($C700,sources!$A$2:$N$200,2,FALSE()),"?"))</f>
        <v>Map</v>
      </c>
      <c r="R700" s="2" t="str">
        <f t="shared" si="10"/>
        <v>Map</v>
      </c>
      <c r="S700" s="2" t="str">
        <f>IF($C700="","",IFERROR(VLOOKUP($C700,sources!$A$2:$N$200,9,FALSE()),"?"))</f>
        <v>US official</v>
      </c>
      <c r="T700" t="s">
        <v>5692</v>
      </c>
      <c r="U700">
        <f>IF(OR(B700="",C700="",T700="Retracted",LEFT(D700,8)="Negative"),0,IF(COUNTIFS($B$2:B700,B700,$C$2:C700,C700,$D$2:D700,"&lt;&gt;Negative*",$T$2:T700,"&lt;&gt;Retracted")=1,1,0))</f>
        <v>1</v>
      </c>
    </row>
    <row r="701" spans="1:21" x14ac:dyDescent="0.2">
      <c r="A701" t="s">
        <v>2506</v>
      </c>
      <c r="B701" t="s">
        <v>217</v>
      </c>
      <c r="C701" t="s">
        <v>1168</v>
      </c>
      <c r="D701" t="s">
        <v>1613</v>
      </c>
      <c r="E701" t="s">
        <v>218</v>
      </c>
      <c r="F701" t="s">
        <v>1583</v>
      </c>
      <c r="I701" t="s">
        <v>1058</v>
      </c>
      <c r="K701">
        <v>1911</v>
      </c>
      <c r="L701">
        <v>1911</v>
      </c>
      <c r="M701" t="s">
        <v>209</v>
      </c>
      <c r="N701" t="s">
        <v>203</v>
      </c>
      <c r="Q701" s="2" t="str">
        <f>IF($C701="","",IFERROR(VLOOKUP($C701,sources!$A$2:$N$200,2,FALSE()),"?"))</f>
        <v>Map</v>
      </c>
      <c r="R701" s="2" t="str">
        <f t="shared" si="10"/>
        <v>Map</v>
      </c>
      <c r="S701" s="2" t="str">
        <f>IF($C701="","",IFERROR(VLOOKUP($C701,sources!$A$2:$N$200,9,FALSE()),"?"))</f>
        <v>US official</v>
      </c>
      <c r="T701" t="s">
        <v>5692</v>
      </c>
      <c r="U701">
        <f>IF(OR(B701="",C701="",T701="Retracted",LEFT(D701,8)="Negative"),0,IF(COUNTIFS($B$2:B701,B701,$C$2:C701,C701,$D$2:D701,"&lt;&gt;Negative*",$T$2:T701,"&lt;&gt;Retracted")=1,1,0))</f>
        <v>0</v>
      </c>
    </row>
    <row r="702" spans="1:21" x14ac:dyDescent="0.2">
      <c r="A702" t="s">
        <v>2507</v>
      </c>
      <c r="B702" t="s">
        <v>217</v>
      </c>
      <c r="C702" t="s">
        <v>1168</v>
      </c>
      <c r="D702" t="s">
        <v>1564</v>
      </c>
      <c r="E702" t="s">
        <v>2508</v>
      </c>
      <c r="F702" t="s">
        <v>1566</v>
      </c>
      <c r="I702" t="s">
        <v>1058</v>
      </c>
      <c r="K702">
        <v>1911</v>
      </c>
      <c r="L702">
        <v>1911</v>
      </c>
      <c r="M702" t="s">
        <v>203</v>
      </c>
      <c r="N702" t="s">
        <v>203</v>
      </c>
      <c r="Q702" s="2" t="str">
        <f>IF($C702="","",IFERROR(VLOOKUP($C702,sources!$A$2:$N$200,2,FALSE()),"?"))</f>
        <v>Map</v>
      </c>
      <c r="R702" s="2" t="str">
        <f t="shared" si="10"/>
        <v>Map</v>
      </c>
      <c r="S702" s="2" t="str">
        <f>IF($C702="","",IFERROR(VLOOKUP($C702,sources!$A$2:$N$200,9,FALSE()),"?"))</f>
        <v>US official</v>
      </c>
      <c r="T702" t="s">
        <v>5692</v>
      </c>
      <c r="U702">
        <f>IF(OR(B702="",C702="",T702="Retracted",LEFT(D702,8)="Negative"),0,IF(COUNTIFS($B$2:B702,B702,$C$2:C702,C702,$D$2:D702,"&lt;&gt;Negative*",$T$2:T702,"&lt;&gt;Retracted")=1,1,0))</f>
        <v>1</v>
      </c>
    </row>
    <row r="703" spans="1:21" x14ac:dyDescent="0.2">
      <c r="A703" t="s">
        <v>2509</v>
      </c>
      <c r="B703" t="s">
        <v>219</v>
      </c>
      <c r="C703" t="s">
        <v>1168</v>
      </c>
      <c r="D703" t="s">
        <v>1613</v>
      </c>
      <c r="E703" t="s">
        <v>220</v>
      </c>
      <c r="F703" t="s">
        <v>1583</v>
      </c>
      <c r="I703" t="s">
        <v>1058</v>
      </c>
      <c r="K703">
        <v>1911</v>
      </c>
      <c r="L703">
        <v>1911</v>
      </c>
      <c r="M703" t="s">
        <v>209</v>
      </c>
      <c r="N703" t="s">
        <v>203</v>
      </c>
      <c r="Q703" s="2" t="str">
        <f>IF($C703="","",IFERROR(VLOOKUP($C703,sources!$A$2:$N$200,2,FALSE()),"?"))</f>
        <v>Map</v>
      </c>
      <c r="R703" s="2" t="str">
        <f t="shared" si="10"/>
        <v>Map</v>
      </c>
      <c r="S703" s="2" t="str">
        <f>IF($C703="","",IFERROR(VLOOKUP($C703,sources!$A$2:$N$200,9,FALSE()),"?"))</f>
        <v>US official</v>
      </c>
      <c r="T703" t="s">
        <v>5692</v>
      </c>
      <c r="U703">
        <f>IF(OR(B703="",C703="",T703="Retracted",LEFT(D703,8)="Negative"),0,IF(COUNTIFS($B$2:B703,B703,$C$2:C703,C703,$D$2:D703,"&lt;&gt;Negative*",$T$2:T703,"&lt;&gt;Retracted")=1,1,0))</f>
        <v>0</v>
      </c>
    </row>
    <row r="704" spans="1:21" x14ac:dyDescent="0.2">
      <c r="A704" t="s">
        <v>2510</v>
      </c>
      <c r="B704" t="s">
        <v>265</v>
      </c>
      <c r="C704" t="s">
        <v>1168</v>
      </c>
      <c r="D704" t="s">
        <v>1613</v>
      </c>
      <c r="E704" t="s">
        <v>266</v>
      </c>
      <c r="F704" t="s">
        <v>1583</v>
      </c>
      <c r="I704" t="s">
        <v>1058</v>
      </c>
      <c r="K704">
        <v>1911</v>
      </c>
      <c r="L704">
        <v>1911</v>
      </c>
      <c r="M704" t="s">
        <v>209</v>
      </c>
      <c r="N704" t="s">
        <v>203</v>
      </c>
      <c r="Q704" s="2" t="str">
        <f>IF($C704="","",IFERROR(VLOOKUP($C704,sources!$A$2:$N$200,2,FALSE()),"?"))</f>
        <v>Map</v>
      </c>
      <c r="R704" s="2" t="str">
        <f t="shared" si="10"/>
        <v>Map</v>
      </c>
      <c r="S704" s="2" t="str">
        <f>IF($C704="","",IFERROR(VLOOKUP($C704,sources!$A$2:$N$200,9,FALSE()),"?"))</f>
        <v>US official</v>
      </c>
      <c r="T704" t="s">
        <v>5692</v>
      </c>
      <c r="U704">
        <f>IF(OR(B704="",C704="",T704="Retracted",LEFT(D704,8)="Negative"),0,IF(COUNTIFS($B$2:B704,B704,$C$2:C704,C704,$D$2:D704,"&lt;&gt;Negative*",$T$2:T704,"&lt;&gt;Retracted")=1,1,0))</f>
        <v>0</v>
      </c>
    </row>
    <row r="705" spans="1:21" x14ac:dyDescent="0.2">
      <c r="A705" t="s">
        <v>2511</v>
      </c>
      <c r="B705" t="s">
        <v>265</v>
      </c>
      <c r="C705" t="s">
        <v>1168</v>
      </c>
      <c r="D705" t="s">
        <v>1564</v>
      </c>
      <c r="E705" t="s">
        <v>2512</v>
      </c>
      <c r="F705" t="s">
        <v>1566</v>
      </c>
      <c r="I705" t="s">
        <v>1058</v>
      </c>
      <c r="K705">
        <v>1911</v>
      </c>
      <c r="L705">
        <v>1911</v>
      </c>
      <c r="M705" t="s">
        <v>203</v>
      </c>
      <c r="N705" t="s">
        <v>203</v>
      </c>
      <c r="Q705" s="2" t="str">
        <f>IF($C705="","",IFERROR(VLOOKUP($C705,sources!$A$2:$N$200,2,FALSE()),"?"))</f>
        <v>Map</v>
      </c>
      <c r="R705" s="2" t="str">
        <f t="shared" si="10"/>
        <v>Map</v>
      </c>
      <c r="S705" s="2" t="str">
        <f>IF($C705="","",IFERROR(VLOOKUP($C705,sources!$A$2:$N$200,9,FALSE()),"?"))</f>
        <v>US official</v>
      </c>
      <c r="T705" t="s">
        <v>5692</v>
      </c>
      <c r="U705">
        <f>IF(OR(B705="",C705="",T705="Retracted",LEFT(D705,8)="Negative"),0,IF(COUNTIFS($B$2:B705,B705,$C$2:C705,C705,$D$2:D705,"&lt;&gt;Negative*",$T$2:T705,"&lt;&gt;Retracted")=1,1,0))</f>
        <v>1</v>
      </c>
    </row>
    <row r="706" spans="1:21" x14ac:dyDescent="0.2">
      <c r="A706" t="s">
        <v>2513</v>
      </c>
      <c r="B706" t="s">
        <v>378</v>
      </c>
      <c r="C706" t="s">
        <v>1168</v>
      </c>
      <c r="D706" t="s">
        <v>1613</v>
      </c>
      <c r="E706" t="s">
        <v>379</v>
      </c>
      <c r="F706" t="s">
        <v>1583</v>
      </c>
      <c r="I706" t="s">
        <v>1058</v>
      </c>
      <c r="K706">
        <v>1911</v>
      </c>
      <c r="L706">
        <v>1911</v>
      </c>
      <c r="M706" t="s">
        <v>209</v>
      </c>
      <c r="N706" t="s">
        <v>203</v>
      </c>
      <c r="Q706" s="2" t="str">
        <f>IF($C706="","",IFERROR(VLOOKUP($C706,sources!$A$2:$N$200,2,FALSE()),"?"))</f>
        <v>Map</v>
      </c>
      <c r="R706" s="2" t="str">
        <f t="shared" ref="R706:R769" si="11">IF($Q706="","",IF($Q706="Map","Map",IF(OR($Q706="Photograph",$Q706="Postcard"),"Image",IF(OR($Q706="Census or roll",$Q706="Report",$Q706="Newspaper",$Q706="Letter",$Q706="Memoir",$Q706="Administrative",$Q706="Web compilation"),"Textual",IF($Q706="Legal claim","Legal/admin",IF($Q706="Secondary","Secondary","Other"))))))</f>
        <v>Map</v>
      </c>
      <c r="S706" s="2" t="str">
        <f>IF($C706="","",IFERROR(VLOOKUP($C706,sources!$A$2:$N$200,9,FALSE()),"?"))</f>
        <v>US official</v>
      </c>
      <c r="T706" t="s">
        <v>5692</v>
      </c>
      <c r="U706">
        <f>IF(OR(B706="",C706="",T706="Retracted",LEFT(D706,8)="Negative"),0,IF(COUNTIFS($B$2:B706,B706,$C$2:C706,C706,$D$2:D706,"&lt;&gt;Negative*",$T$2:T706,"&lt;&gt;Retracted")=1,1,0))</f>
        <v>0</v>
      </c>
    </row>
    <row r="707" spans="1:21" x14ac:dyDescent="0.2">
      <c r="A707" t="s">
        <v>2514</v>
      </c>
      <c r="B707" t="s">
        <v>392</v>
      </c>
      <c r="C707" t="s">
        <v>1168</v>
      </c>
      <c r="D707" t="s">
        <v>1613</v>
      </c>
      <c r="E707" t="s">
        <v>393</v>
      </c>
      <c r="F707" t="s">
        <v>1583</v>
      </c>
      <c r="I707" t="s">
        <v>1058</v>
      </c>
      <c r="K707">
        <v>1911</v>
      </c>
      <c r="L707">
        <v>1911</v>
      </c>
      <c r="M707" t="s">
        <v>209</v>
      </c>
      <c r="N707" t="s">
        <v>203</v>
      </c>
      <c r="Q707" s="2" t="str">
        <f>IF($C707="","",IFERROR(VLOOKUP($C707,sources!$A$2:$N$200,2,FALSE()),"?"))</f>
        <v>Map</v>
      </c>
      <c r="R707" s="2" t="str">
        <f t="shared" si="11"/>
        <v>Map</v>
      </c>
      <c r="S707" s="2" t="str">
        <f>IF($C707="","",IFERROR(VLOOKUP($C707,sources!$A$2:$N$200,9,FALSE()),"?"))</f>
        <v>US official</v>
      </c>
      <c r="T707" t="s">
        <v>5692</v>
      </c>
      <c r="U707">
        <f>IF(OR(B707="",C707="",T707="Retracted",LEFT(D707,8)="Negative"),0,IF(COUNTIFS($B$2:B707,B707,$C$2:C707,C707,$D$2:D707,"&lt;&gt;Negative*",$T$2:T707,"&lt;&gt;Retracted")=1,1,0))</f>
        <v>0</v>
      </c>
    </row>
    <row r="708" spans="1:21" x14ac:dyDescent="0.2">
      <c r="A708" t="s">
        <v>2515</v>
      </c>
      <c r="B708" t="s">
        <v>436</v>
      </c>
      <c r="C708" t="s">
        <v>1168</v>
      </c>
      <c r="D708" t="s">
        <v>1613</v>
      </c>
      <c r="E708" t="s">
        <v>437</v>
      </c>
      <c r="F708" t="s">
        <v>1583</v>
      </c>
      <c r="I708" t="s">
        <v>1058</v>
      </c>
      <c r="K708">
        <v>1911</v>
      </c>
      <c r="L708">
        <v>1911</v>
      </c>
      <c r="M708" t="s">
        <v>209</v>
      </c>
      <c r="N708" t="s">
        <v>203</v>
      </c>
      <c r="Q708" s="2" t="str">
        <f>IF($C708="","",IFERROR(VLOOKUP($C708,sources!$A$2:$N$200,2,FALSE()),"?"))</f>
        <v>Map</v>
      </c>
      <c r="R708" s="2" t="str">
        <f t="shared" si="11"/>
        <v>Map</v>
      </c>
      <c r="S708" s="2" t="str">
        <f>IF($C708="","",IFERROR(VLOOKUP($C708,sources!$A$2:$N$200,9,FALSE()),"?"))</f>
        <v>US official</v>
      </c>
      <c r="T708" t="s">
        <v>5692</v>
      </c>
      <c r="U708">
        <f>IF(OR(B708="",C708="",T708="Retracted",LEFT(D708,8)="Negative"),0,IF(COUNTIFS($B$2:B708,B708,$C$2:C708,C708,$D$2:D708,"&lt;&gt;Negative*",$T$2:T708,"&lt;&gt;Retracted")=1,1,0))</f>
        <v>0</v>
      </c>
    </row>
    <row r="709" spans="1:21" x14ac:dyDescent="0.2">
      <c r="A709" t="s">
        <v>2516</v>
      </c>
      <c r="B709" t="s">
        <v>447</v>
      </c>
      <c r="C709" t="s">
        <v>1168</v>
      </c>
      <c r="D709" t="s">
        <v>1613</v>
      </c>
      <c r="E709" t="s">
        <v>2517</v>
      </c>
      <c r="F709" t="s">
        <v>1583</v>
      </c>
      <c r="I709" t="s">
        <v>1058</v>
      </c>
      <c r="K709">
        <v>1911</v>
      </c>
      <c r="L709">
        <v>1911</v>
      </c>
      <c r="M709" t="s">
        <v>209</v>
      </c>
      <c r="N709" t="s">
        <v>203</v>
      </c>
      <c r="Q709" s="2" t="str">
        <f>IF($C709="","",IFERROR(VLOOKUP($C709,sources!$A$2:$N$200,2,FALSE()),"?"))</f>
        <v>Map</v>
      </c>
      <c r="R709" s="2" t="str">
        <f t="shared" si="11"/>
        <v>Map</v>
      </c>
      <c r="S709" s="2" t="str">
        <f>IF($C709="","",IFERROR(VLOOKUP($C709,sources!$A$2:$N$200,9,FALSE()),"?"))</f>
        <v>US official</v>
      </c>
      <c r="T709" t="s">
        <v>5692</v>
      </c>
      <c r="U709">
        <f>IF(OR(B709="",C709="",T709="Retracted",LEFT(D709,8)="Negative"),0,IF(COUNTIFS($B$2:B709,B709,$C$2:C709,C709,$D$2:D709,"&lt;&gt;Negative*",$T$2:T709,"&lt;&gt;Retracted")=1,1,0))</f>
        <v>0</v>
      </c>
    </row>
    <row r="710" spans="1:21" x14ac:dyDescent="0.2">
      <c r="A710" t="s">
        <v>2518</v>
      </c>
      <c r="B710" t="s">
        <v>447</v>
      </c>
      <c r="C710" t="s">
        <v>1168</v>
      </c>
      <c r="D710" t="s">
        <v>1564</v>
      </c>
      <c r="E710" t="s">
        <v>2519</v>
      </c>
      <c r="F710" t="s">
        <v>1566</v>
      </c>
      <c r="I710" t="s">
        <v>1058</v>
      </c>
      <c r="K710">
        <v>1911</v>
      </c>
      <c r="L710">
        <v>1911</v>
      </c>
      <c r="M710" t="s">
        <v>203</v>
      </c>
      <c r="N710" t="s">
        <v>203</v>
      </c>
      <c r="Q710" s="2" t="str">
        <f>IF($C710="","",IFERROR(VLOOKUP($C710,sources!$A$2:$N$200,2,FALSE()),"?"))</f>
        <v>Map</v>
      </c>
      <c r="R710" s="2" t="str">
        <f t="shared" si="11"/>
        <v>Map</v>
      </c>
      <c r="S710" s="2" t="str">
        <f>IF($C710="","",IFERROR(VLOOKUP($C710,sources!$A$2:$N$200,9,FALSE()),"?"))</f>
        <v>US official</v>
      </c>
      <c r="T710" t="s">
        <v>5692</v>
      </c>
      <c r="U710">
        <f>IF(OR(B710="",C710="",T710="Retracted",LEFT(D710,8)="Negative"),0,IF(COUNTIFS($B$2:B710,B710,$C$2:C710,C710,$D$2:D710,"&lt;&gt;Negative*",$T$2:T710,"&lt;&gt;Retracted")=1,1,0))</f>
        <v>1</v>
      </c>
    </row>
    <row r="711" spans="1:21" x14ac:dyDescent="0.2">
      <c r="A711" t="s">
        <v>2520</v>
      </c>
      <c r="B711" t="s">
        <v>472</v>
      </c>
      <c r="C711" t="s">
        <v>1168</v>
      </c>
      <c r="D711" t="s">
        <v>1613</v>
      </c>
      <c r="E711" t="s">
        <v>473</v>
      </c>
      <c r="F711" t="s">
        <v>1583</v>
      </c>
      <c r="I711" t="s">
        <v>1058</v>
      </c>
      <c r="K711">
        <v>1911</v>
      </c>
      <c r="L711">
        <v>1911</v>
      </c>
      <c r="M711" t="s">
        <v>209</v>
      </c>
      <c r="N711" t="s">
        <v>209</v>
      </c>
      <c r="Q711" s="2" t="str">
        <f>IF($C711="","",IFERROR(VLOOKUP($C711,sources!$A$2:$N$200,2,FALSE()),"?"))</f>
        <v>Map</v>
      </c>
      <c r="R711" s="2" t="str">
        <f t="shared" si="11"/>
        <v>Map</v>
      </c>
      <c r="S711" s="2" t="str">
        <f>IF($C711="","",IFERROR(VLOOKUP($C711,sources!$A$2:$N$200,9,FALSE()),"?"))</f>
        <v>US official</v>
      </c>
      <c r="T711" t="s">
        <v>5692</v>
      </c>
      <c r="U711">
        <f>IF(OR(B711="",C711="",T711="Retracted",LEFT(D711,8)="Negative"),0,IF(COUNTIFS($B$2:B711,B711,$C$2:C711,C711,$D$2:D711,"&lt;&gt;Negative*",$T$2:T711,"&lt;&gt;Retracted")=1,1,0))</f>
        <v>0</v>
      </c>
    </row>
    <row r="712" spans="1:21" x14ac:dyDescent="0.2">
      <c r="A712" t="s">
        <v>2521</v>
      </c>
      <c r="B712" t="s">
        <v>475</v>
      </c>
      <c r="C712" t="s">
        <v>1168</v>
      </c>
      <c r="D712" t="s">
        <v>1613</v>
      </c>
      <c r="E712" t="s">
        <v>476</v>
      </c>
      <c r="F712" t="s">
        <v>1583</v>
      </c>
      <c r="I712" t="s">
        <v>1058</v>
      </c>
      <c r="K712">
        <v>1911</v>
      </c>
      <c r="L712">
        <v>1911</v>
      </c>
      <c r="M712" t="s">
        <v>209</v>
      </c>
      <c r="N712" t="s">
        <v>203</v>
      </c>
      <c r="Q712" s="2" t="str">
        <f>IF($C712="","",IFERROR(VLOOKUP($C712,sources!$A$2:$N$200,2,FALSE()),"?"))</f>
        <v>Map</v>
      </c>
      <c r="R712" s="2" t="str">
        <f t="shared" si="11"/>
        <v>Map</v>
      </c>
      <c r="S712" s="2" t="str">
        <f>IF($C712="","",IFERROR(VLOOKUP($C712,sources!$A$2:$N$200,9,FALSE()),"?"))</f>
        <v>US official</v>
      </c>
      <c r="T712" t="s">
        <v>5692</v>
      </c>
      <c r="U712">
        <f>IF(OR(B712="",C712="",T712="Retracted",LEFT(D712,8)="Negative"),0,IF(COUNTIFS($B$2:B712,B712,$C$2:C712,C712,$D$2:D712,"&lt;&gt;Negative*",$T$2:T712,"&lt;&gt;Retracted")=1,1,0))</f>
        <v>0</v>
      </c>
    </row>
    <row r="713" spans="1:21" x14ac:dyDescent="0.2">
      <c r="A713" t="s">
        <v>2522</v>
      </c>
      <c r="B713" t="s">
        <v>480</v>
      </c>
      <c r="C713" t="s">
        <v>1168</v>
      </c>
      <c r="D713" t="s">
        <v>1613</v>
      </c>
      <c r="E713" t="s">
        <v>481</v>
      </c>
      <c r="F713" t="s">
        <v>1583</v>
      </c>
      <c r="I713" t="s">
        <v>1058</v>
      </c>
      <c r="K713">
        <v>1911</v>
      </c>
      <c r="L713">
        <v>1911</v>
      </c>
      <c r="M713" t="s">
        <v>209</v>
      </c>
      <c r="N713" t="s">
        <v>203</v>
      </c>
      <c r="Q713" s="2" t="str">
        <f>IF($C713="","",IFERROR(VLOOKUP($C713,sources!$A$2:$N$200,2,FALSE()),"?"))</f>
        <v>Map</v>
      </c>
      <c r="R713" s="2" t="str">
        <f t="shared" si="11"/>
        <v>Map</v>
      </c>
      <c r="S713" s="2" t="str">
        <f>IF($C713="","",IFERROR(VLOOKUP($C713,sources!$A$2:$N$200,9,FALSE()),"?"))</f>
        <v>US official</v>
      </c>
      <c r="T713" t="s">
        <v>5692</v>
      </c>
      <c r="U713">
        <f>IF(OR(B713="",C713="",T713="Retracted",LEFT(D713,8)="Negative"),0,IF(COUNTIFS($B$2:B713,B713,$C$2:C713,C713,$D$2:D713,"&lt;&gt;Negative*",$T$2:T713,"&lt;&gt;Retracted")=1,1,0))</f>
        <v>0</v>
      </c>
    </row>
    <row r="714" spans="1:21" x14ac:dyDescent="0.2">
      <c r="A714" t="s">
        <v>2523</v>
      </c>
      <c r="B714" t="s">
        <v>495</v>
      </c>
      <c r="C714" t="s">
        <v>1168</v>
      </c>
      <c r="D714" t="s">
        <v>1613</v>
      </c>
      <c r="E714" t="s">
        <v>496</v>
      </c>
      <c r="F714" t="s">
        <v>1583</v>
      </c>
      <c r="I714" t="s">
        <v>1058</v>
      </c>
      <c r="K714">
        <v>1911</v>
      </c>
      <c r="L714">
        <v>1911</v>
      </c>
      <c r="M714" t="s">
        <v>209</v>
      </c>
      <c r="N714" t="s">
        <v>203</v>
      </c>
      <c r="Q714" s="2" t="str">
        <f>IF($C714="","",IFERROR(VLOOKUP($C714,sources!$A$2:$N$200,2,FALSE()),"?"))</f>
        <v>Map</v>
      </c>
      <c r="R714" s="2" t="str">
        <f t="shared" si="11"/>
        <v>Map</v>
      </c>
      <c r="S714" s="2" t="str">
        <f>IF($C714="","",IFERROR(VLOOKUP($C714,sources!$A$2:$N$200,9,FALSE()),"?"))</f>
        <v>US official</v>
      </c>
      <c r="T714" t="s">
        <v>5692</v>
      </c>
      <c r="U714">
        <f>IF(OR(B714="",C714="",T714="Retracted",LEFT(D714,8)="Negative"),0,IF(COUNTIFS($B$2:B714,B714,$C$2:C714,C714,$D$2:D714,"&lt;&gt;Negative*",$T$2:T714,"&lt;&gt;Retracted")=1,1,0))</f>
        <v>0</v>
      </c>
    </row>
    <row r="715" spans="1:21" x14ac:dyDescent="0.2">
      <c r="A715" t="s">
        <v>2524</v>
      </c>
      <c r="B715" t="s">
        <v>495</v>
      </c>
      <c r="C715" t="s">
        <v>1168</v>
      </c>
      <c r="D715" t="s">
        <v>1564</v>
      </c>
      <c r="E715" t="s">
        <v>2525</v>
      </c>
      <c r="F715" t="s">
        <v>1566</v>
      </c>
      <c r="I715" t="s">
        <v>1058</v>
      </c>
      <c r="K715">
        <v>1911</v>
      </c>
      <c r="L715">
        <v>1911</v>
      </c>
      <c r="M715" t="s">
        <v>203</v>
      </c>
      <c r="N715" t="s">
        <v>203</v>
      </c>
      <c r="Q715" s="2" t="str">
        <f>IF($C715="","",IFERROR(VLOOKUP($C715,sources!$A$2:$N$200,2,FALSE()),"?"))</f>
        <v>Map</v>
      </c>
      <c r="R715" s="2" t="str">
        <f t="shared" si="11"/>
        <v>Map</v>
      </c>
      <c r="S715" s="2" t="str">
        <f>IF($C715="","",IFERROR(VLOOKUP($C715,sources!$A$2:$N$200,9,FALSE()),"?"))</f>
        <v>US official</v>
      </c>
      <c r="T715" t="s">
        <v>5692</v>
      </c>
      <c r="U715">
        <f>IF(OR(B715="",C715="",T715="Retracted",LEFT(D715,8)="Negative"),0,IF(COUNTIFS($B$2:B715,B715,$C$2:C715,C715,$D$2:D715,"&lt;&gt;Negative*",$T$2:T715,"&lt;&gt;Retracted")=1,1,0))</f>
        <v>1</v>
      </c>
    </row>
    <row r="716" spans="1:21" x14ac:dyDescent="0.2">
      <c r="A716" t="s">
        <v>2526</v>
      </c>
      <c r="B716" t="s">
        <v>570</v>
      </c>
      <c r="C716" t="s">
        <v>1168</v>
      </c>
      <c r="D716" t="s">
        <v>1613</v>
      </c>
      <c r="E716" t="s">
        <v>571</v>
      </c>
      <c r="F716" t="s">
        <v>1583</v>
      </c>
      <c r="I716" t="s">
        <v>1058</v>
      </c>
      <c r="K716">
        <v>1911</v>
      </c>
      <c r="L716">
        <v>1911</v>
      </c>
      <c r="M716" t="s">
        <v>209</v>
      </c>
      <c r="N716" t="s">
        <v>209</v>
      </c>
      <c r="Q716" s="2" t="str">
        <f>IF($C716="","",IFERROR(VLOOKUP($C716,sources!$A$2:$N$200,2,FALSE()),"?"))</f>
        <v>Map</v>
      </c>
      <c r="R716" s="2" t="str">
        <f t="shared" si="11"/>
        <v>Map</v>
      </c>
      <c r="S716" s="2" t="str">
        <f>IF($C716="","",IFERROR(VLOOKUP($C716,sources!$A$2:$N$200,9,FALSE()),"?"))</f>
        <v>US official</v>
      </c>
      <c r="T716" t="s">
        <v>5692</v>
      </c>
      <c r="U716">
        <f>IF(OR(B716="",C716="",T716="Retracted",LEFT(D716,8)="Negative"),0,IF(COUNTIFS($B$2:B716,B716,$C$2:C716,C716,$D$2:D716,"&lt;&gt;Negative*",$T$2:T716,"&lt;&gt;Retracted")=1,1,0))</f>
        <v>0</v>
      </c>
    </row>
    <row r="717" spans="1:21" x14ac:dyDescent="0.2">
      <c r="A717" t="s">
        <v>2527</v>
      </c>
      <c r="B717" t="s">
        <v>575</v>
      </c>
      <c r="C717" t="s">
        <v>1168</v>
      </c>
      <c r="D717" t="s">
        <v>1613</v>
      </c>
      <c r="E717" t="s">
        <v>576</v>
      </c>
      <c r="F717" t="s">
        <v>1583</v>
      </c>
      <c r="I717" t="s">
        <v>1058</v>
      </c>
      <c r="K717">
        <v>1911</v>
      </c>
      <c r="L717">
        <v>1911</v>
      </c>
      <c r="M717" t="s">
        <v>209</v>
      </c>
      <c r="N717" t="s">
        <v>203</v>
      </c>
      <c r="Q717" s="2" t="str">
        <f>IF($C717="","",IFERROR(VLOOKUP($C717,sources!$A$2:$N$200,2,FALSE()),"?"))</f>
        <v>Map</v>
      </c>
      <c r="R717" s="2" t="str">
        <f t="shared" si="11"/>
        <v>Map</v>
      </c>
      <c r="S717" s="2" t="str">
        <f>IF($C717="","",IFERROR(VLOOKUP($C717,sources!$A$2:$N$200,9,FALSE()),"?"))</f>
        <v>US official</v>
      </c>
      <c r="T717" t="s">
        <v>5692</v>
      </c>
      <c r="U717">
        <f>IF(OR(B717="",C717="",T717="Retracted",LEFT(D717,8)="Negative"),0,IF(COUNTIFS($B$2:B717,B717,$C$2:C717,C717,$D$2:D717,"&lt;&gt;Negative*",$T$2:T717,"&lt;&gt;Retracted")=1,1,0))</f>
        <v>0</v>
      </c>
    </row>
    <row r="718" spans="1:21" x14ac:dyDescent="0.2">
      <c r="A718" t="s">
        <v>2528</v>
      </c>
      <c r="B718" t="s">
        <v>611</v>
      </c>
      <c r="C718" t="s">
        <v>1168</v>
      </c>
      <c r="D718" t="s">
        <v>1613</v>
      </c>
      <c r="E718" t="s">
        <v>2451</v>
      </c>
      <c r="F718" t="s">
        <v>1583</v>
      </c>
      <c r="I718" t="s">
        <v>1058</v>
      </c>
      <c r="K718">
        <v>1911</v>
      </c>
      <c r="L718">
        <v>1911</v>
      </c>
      <c r="M718" t="s">
        <v>209</v>
      </c>
      <c r="N718" t="s">
        <v>190</v>
      </c>
      <c r="Q718" s="2" t="str">
        <f>IF($C718="","",IFERROR(VLOOKUP($C718,sources!$A$2:$N$200,2,FALSE()),"?"))</f>
        <v>Map</v>
      </c>
      <c r="R718" s="2" t="str">
        <f t="shared" si="11"/>
        <v>Map</v>
      </c>
      <c r="S718" s="2" t="str">
        <f>IF($C718="","",IFERROR(VLOOKUP($C718,sources!$A$2:$N$200,9,FALSE()),"?"))</f>
        <v>US official</v>
      </c>
      <c r="T718" t="s">
        <v>5693</v>
      </c>
      <c r="U718">
        <f>IF(OR(B718="",C718="",T718="Retracted",LEFT(D718,8)="Negative"),0,IF(COUNTIFS($B$2:B718,B718,$C$2:C718,C718,$D$2:D718,"&lt;&gt;Negative*",$T$2:T718,"&lt;&gt;Retracted")=1,1,0))</f>
        <v>0</v>
      </c>
    </row>
    <row r="719" spans="1:21" x14ac:dyDescent="0.2">
      <c r="A719" t="s">
        <v>2529</v>
      </c>
      <c r="B719" t="s">
        <v>615</v>
      </c>
      <c r="C719" t="s">
        <v>1168</v>
      </c>
      <c r="D719" t="s">
        <v>1613</v>
      </c>
      <c r="E719" t="s">
        <v>505</v>
      </c>
      <c r="F719" t="s">
        <v>1583</v>
      </c>
      <c r="I719" t="s">
        <v>1058</v>
      </c>
      <c r="K719">
        <v>1911</v>
      </c>
      <c r="L719">
        <v>1911</v>
      </c>
      <c r="M719" t="s">
        <v>209</v>
      </c>
      <c r="N719" t="s">
        <v>190</v>
      </c>
      <c r="Q719" s="2" t="str">
        <f>IF($C719="","",IFERROR(VLOOKUP($C719,sources!$A$2:$N$200,2,FALSE()),"?"))</f>
        <v>Map</v>
      </c>
      <c r="R719" s="2" t="str">
        <f t="shared" si="11"/>
        <v>Map</v>
      </c>
      <c r="S719" s="2" t="str">
        <f>IF($C719="","",IFERROR(VLOOKUP($C719,sources!$A$2:$N$200,9,FALSE()),"?"))</f>
        <v>US official</v>
      </c>
      <c r="T719" t="s">
        <v>5693</v>
      </c>
      <c r="U719">
        <f>IF(OR(B719="",C719="",T719="Retracted",LEFT(D719,8)="Negative"),0,IF(COUNTIFS($B$2:B719,B719,$C$2:C719,C719,$D$2:D719,"&lt;&gt;Negative*",$T$2:T719,"&lt;&gt;Retracted")=1,1,0))</f>
        <v>0</v>
      </c>
    </row>
    <row r="720" spans="1:21" x14ac:dyDescent="0.2">
      <c r="A720" t="s">
        <v>2530</v>
      </c>
      <c r="B720" t="s">
        <v>269</v>
      </c>
      <c r="C720" t="s">
        <v>1168</v>
      </c>
      <c r="D720" t="s">
        <v>1613</v>
      </c>
      <c r="E720" t="s">
        <v>270</v>
      </c>
      <c r="F720" t="s">
        <v>1583</v>
      </c>
      <c r="I720" t="s">
        <v>1058</v>
      </c>
      <c r="K720">
        <v>1911</v>
      </c>
      <c r="L720">
        <v>1911</v>
      </c>
      <c r="M720" t="s">
        <v>209</v>
      </c>
      <c r="N720" t="s">
        <v>203</v>
      </c>
      <c r="Q720" s="2" t="str">
        <f>IF($C720="","",IFERROR(VLOOKUP($C720,sources!$A$2:$N$200,2,FALSE()),"?"))</f>
        <v>Map</v>
      </c>
      <c r="R720" s="2" t="str">
        <f t="shared" si="11"/>
        <v>Map</v>
      </c>
      <c r="S720" s="2" t="str">
        <f>IF($C720="","",IFERROR(VLOOKUP($C720,sources!$A$2:$N$200,9,FALSE()),"?"))</f>
        <v>US official</v>
      </c>
      <c r="T720" t="s">
        <v>5692</v>
      </c>
      <c r="U720">
        <f>IF(OR(B720="",C720="",T720="Retracted",LEFT(D720,8)="Negative"),0,IF(COUNTIFS($B$2:B720,B720,$C$2:C720,C720,$D$2:D720,"&lt;&gt;Negative*",$T$2:T720,"&lt;&gt;Retracted")=1,1,0))</f>
        <v>0</v>
      </c>
    </row>
    <row r="721" spans="1:21" x14ac:dyDescent="0.2">
      <c r="A721" t="s">
        <v>2531</v>
      </c>
      <c r="B721" t="s">
        <v>276</v>
      </c>
      <c r="C721" t="s">
        <v>1168</v>
      </c>
      <c r="D721" t="s">
        <v>1613</v>
      </c>
      <c r="E721" t="s">
        <v>277</v>
      </c>
      <c r="F721" t="s">
        <v>1583</v>
      </c>
      <c r="I721" t="s">
        <v>1058</v>
      </c>
      <c r="K721">
        <v>1911</v>
      </c>
      <c r="L721">
        <v>1911</v>
      </c>
      <c r="M721" t="s">
        <v>209</v>
      </c>
      <c r="N721" t="s">
        <v>203</v>
      </c>
      <c r="Q721" s="2" t="str">
        <f>IF($C721="","",IFERROR(VLOOKUP($C721,sources!$A$2:$N$200,2,FALSE()),"?"))</f>
        <v>Map</v>
      </c>
      <c r="R721" s="2" t="str">
        <f t="shared" si="11"/>
        <v>Map</v>
      </c>
      <c r="S721" s="2" t="str">
        <f>IF($C721="","",IFERROR(VLOOKUP($C721,sources!$A$2:$N$200,9,FALSE()),"?"))</f>
        <v>US official</v>
      </c>
      <c r="T721" t="s">
        <v>5692</v>
      </c>
      <c r="U721">
        <f>IF(OR(B721="",C721="",T721="Retracted",LEFT(D721,8)="Negative"),0,IF(COUNTIFS($B$2:B721,B721,$C$2:C721,C721,$D$2:D721,"&lt;&gt;Negative*",$T$2:T721,"&lt;&gt;Retracted")=1,1,0))</f>
        <v>0</v>
      </c>
    </row>
    <row r="722" spans="1:21" x14ac:dyDescent="0.2">
      <c r="A722" t="s">
        <v>2532</v>
      </c>
      <c r="B722" t="s">
        <v>677</v>
      </c>
      <c r="C722" t="s">
        <v>1168</v>
      </c>
      <c r="D722" t="s">
        <v>1613</v>
      </c>
      <c r="E722" t="s">
        <v>281</v>
      </c>
      <c r="F722" t="s">
        <v>1583</v>
      </c>
      <c r="I722" t="s">
        <v>1058</v>
      </c>
      <c r="K722">
        <v>1911</v>
      </c>
      <c r="L722">
        <v>1911</v>
      </c>
      <c r="M722" t="s">
        <v>209</v>
      </c>
      <c r="N722" t="s">
        <v>203</v>
      </c>
      <c r="Q722" s="2" t="str">
        <f>IF($C722="","",IFERROR(VLOOKUP($C722,sources!$A$2:$N$200,2,FALSE()),"?"))</f>
        <v>Map</v>
      </c>
      <c r="R722" s="2" t="str">
        <f t="shared" si="11"/>
        <v>Map</v>
      </c>
      <c r="S722" s="2" t="str">
        <f>IF($C722="","",IFERROR(VLOOKUP($C722,sources!$A$2:$N$200,9,FALSE()),"?"))</f>
        <v>US official</v>
      </c>
      <c r="T722" t="s">
        <v>5692</v>
      </c>
      <c r="U722">
        <f>IF(OR(B722="",C722="",T722="Retracted",LEFT(D722,8)="Negative"),0,IF(COUNTIFS($B$2:B722,B722,$C$2:C722,C722,$D$2:D722,"&lt;&gt;Negative*",$T$2:T722,"&lt;&gt;Retracted")=1,1,0))</f>
        <v>0</v>
      </c>
    </row>
    <row r="723" spans="1:21" x14ac:dyDescent="0.2">
      <c r="A723" t="s">
        <v>2533</v>
      </c>
      <c r="B723" t="s">
        <v>287</v>
      </c>
      <c r="C723" t="s">
        <v>1168</v>
      </c>
      <c r="D723" t="s">
        <v>1613</v>
      </c>
      <c r="E723" t="s">
        <v>288</v>
      </c>
      <c r="F723" t="s">
        <v>1583</v>
      </c>
      <c r="I723" t="s">
        <v>1058</v>
      </c>
      <c r="K723">
        <v>1911</v>
      </c>
      <c r="L723">
        <v>1911</v>
      </c>
      <c r="M723" t="s">
        <v>209</v>
      </c>
      <c r="N723" t="s">
        <v>203</v>
      </c>
      <c r="Q723" s="2" t="str">
        <f>IF($C723="","",IFERROR(VLOOKUP($C723,sources!$A$2:$N$200,2,FALSE()),"?"))</f>
        <v>Map</v>
      </c>
      <c r="R723" s="2" t="str">
        <f t="shared" si="11"/>
        <v>Map</v>
      </c>
      <c r="S723" s="2" t="str">
        <f>IF($C723="","",IFERROR(VLOOKUP($C723,sources!$A$2:$N$200,9,FALSE()),"?"))</f>
        <v>US official</v>
      </c>
      <c r="T723" t="s">
        <v>5692</v>
      </c>
      <c r="U723">
        <f>IF(OR(B723="",C723="",T723="Retracted",LEFT(D723,8)="Negative"),0,IF(COUNTIFS($B$2:B723,B723,$C$2:C723,C723,$D$2:D723,"&lt;&gt;Negative*",$T$2:T723,"&lt;&gt;Retracted")=1,1,0))</f>
        <v>0</v>
      </c>
    </row>
    <row r="724" spans="1:21" x14ac:dyDescent="0.2">
      <c r="A724" t="s">
        <v>2534</v>
      </c>
      <c r="B724" t="s">
        <v>660</v>
      </c>
      <c r="C724" t="s">
        <v>1168</v>
      </c>
      <c r="D724" t="s">
        <v>1613</v>
      </c>
      <c r="E724" t="s">
        <v>298</v>
      </c>
      <c r="F724" t="s">
        <v>1583</v>
      </c>
      <c r="I724" t="s">
        <v>1058</v>
      </c>
      <c r="K724">
        <v>1911</v>
      </c>
      <c r="L724">
        <v>1911</v>
      </c>
      <c r="M724" t="s">
        <v>209</v>
      </c>
      <c r="N724" t="s">
        <v>203</v>
      </c>
      <c r="Q724" s="2" t="str">
        <f>IF($C724="","",IFERROR(VLOOKUP($C724,sources!$A$2:$N$200,2,FALSE()),"?"))</f>
        <v>Map</v>
      </c>
      <c r="R724" s="2" t="str">
        <f t="shared" si="11"/>
        <v>Map</v>
      </c>
      <c r="S724" s="2" t="str">
        <f>IF($C724="","",IFERROR(VLOOKUP($C724,sources!$A$2:$N$200,9,FALSE()),"?"))</f>
        <v>US official</v>
      </c>
      <c r="T724" t="s">
        <v>5692</v>
      </c>
      <c r="U724">
        <f>IF(OR(B724="",C724="",T724="Retracted",LEFT(D724,8)="Negative"),0,IF(COUNTIFS($B$2:B724,B724,$C$2:C724,C724,$D$2:D724,"&lt;&gt;Negative*",$T$2:T724,"&lt;&gt;Retracted")=1,1,0))</f>
        <v>0</v>
      </c>
    </row>
    <row r="725" spans="1:21" x14ac:dyDescent="0.2">
      <c r="A725" t="s">
        <v>2535</v>
      </c>
      <c r="B725" t="s">
        <v>317</v>
      </c>
      <c r="C725" t="s">
        <v>1168</v>
      </c>
      <c r="D725" t="s">
        <v>1613</v>
      </c>
      <c r="E725" t="s">
        <v>318</v>
      </c>
      <c r="F725" t="s">
        <v>1583</v>
      </c>
      <c r="I725" t="s">
        <v>1058</v>
      </c>
      <c r="K725">
        <v>1911</v>
      </c>
      <c r="L725">
        <v>1911</v>
      </c>
      <c r="M725" t="s">
        <v>209</v>
      </c>
      <c r="N725" t="s">
        <v>203</v>
      </c>
      <c r="Q725" s="2" t="str">
        <f>IF($C725="","",IFERROR(VLOOKUP($C725,sources!$A$2:$N$200,2,FALSE()),"?"))</f>
        <v>Map</v>
      </c>
      <c r="R725" s="2" t="str">
        <f t="shared" si="11"/>
        <v>Map</v>
      </c>
      <c r="S725" s="2" t="str">
        <f>IF($C725="","",IFERROR(VLOOKUP($C725,sources!$A$2:$N$200,9,FALSE()),"?"))</f>
        <v>US official</v>
      </c>
      <c r="T725" t="s">
        <v>5692</v>
      </c>
      <c r="U725">
        <f>IF(OR(B725="",C725="",T725="Retracted",LEFT(D725,8)="Negative"),0,IF(COUNTIFS($B$2:B725,B725,$C$2:C725,C725,$D$2:D725,"&lt;&gt;Negative*",$T$2:T725,"&lt;&gt;Retracted")=1,1,0))</f>
        <v>0</v>
      </c>
    </row>
    <row r="726" spans="1:21" x14ac:dyDescent="0.2">
      <c r="A726" t="s">
        <v>2536</v>
      </c>
      <c r="B726" t="s">
        <v>322</v>
      </c>
      <c r="C726" t="s">
        <v>1168</v>
      </c>
      <c r="D726" t="s">
        <v>1613</v>
      </c>
      <c r="E726" t="s">
        <v>323</v>
      </c>
      <c r="F726" t="s">
        <v>1583</v>
      </c>
      <c r="I726" t="s">
        <v>1058</v>
      </c>
      <c r="K726">
        <v>1911</v>
      </c>
      <c r="L726">
        <v>1911</v>
      </c>
      <c r="M726" t="s">
        <v>209</v>
      </c>
      <c r="N726" t="s">
        <v>203</v>
      </c>
      <c r="Q726" s="2" t="str">
        <f>IF($C726="","",IFERROR(VLOOKUP($C726,sources!$A$2:$N$200,2,FALSE()),"?"))</f>
        <v>Map</v>
      </c>
      <c r="R726" s="2" t="str">
        <f t="shared" si="11"/>
        <v>Map</v>
      </c>
      <c r="S726" s="2" t="str">
        <f>IF($C726="","",IFERROR(VLOOKUP($C726,sources!$A$2:$N$200,9,FALSE()),"?"))</f>
        <v>US official</v>
      </c>
      <c r="T726" t="s">
        <v>5692</v>
      </c>
      <c r="U726">
        <f>IF(OR(B726="",C726="",T726="Retracted",LEFT(D726,8)="Negative"),0,IF(COUNTIFS($B$2:B726,B726,$C$2:C726,C726,$D$2:D726,"&lt;&gt;Negative*",$T$2:T726,"&lt;&gt;Retracted")=1,1,0))</f>
        <v>0</v>
      </c>
    </row>
    <row r="727" spans="1:21" x14ac:dyDescent="0.2">
      <c r="A727" t="s">
        <v>2537</v>
      </c>
      <c r="B727" t="s">
        <v>326</v>
      </c>
      <c r="C727" t="s">
        <v>1168</v>
      </c>
      <c r="D727" t="s">
        <v>1613</v>
      </c>
      <c r="E727" t="s">
        <v>327</v>
      </c>
      <c r="F727" t="s">
        <v>1583</v>
      </c>
      <c r="I727" t="s">
        <v>1058</v>
      </c>
      <c r="K727">
        <v>1911</v>
      </c>
      <c r="L727">
        <v>1911</v>
      </c>
      <c r="M727" t="s">
        <v>209</v>
      </c>
      <c r="N727" t="s">
        <v>203</v>
      </c>
      <c r="Q727" s="2" t="str">
        <f>IF($C727="","",IFERROR(VLOOKUP($C727,sources!$A$2:$N$200,2,FALSE()),"?"))</f>
        <v>Map</v>
      </c>
      <c r="R727" s="2" t="str">
        <f t="shared" si="11"/>
        <v>Map</v>
      </c>
      <c r="S727" s="2" t="str">
        <f>IF($C727="","",IFERROR(VLOOKUP($C727,sources!$A$2:$N$200,9,FALSE()),"?"))</f>
        <v>US official</v>
      </c>
      <c r="T727" t="s">
        <v>5692</v>
      </c>
      <c r="U727">
        <f>IF(OR(B727="",C727="",T727="Retracted",LEFT(D727,8)="Negative"),0,IF(COUNTIFS($B$2:B727,B727,$C$2:C727,C727,$D$2:D727,"&lt;&gt;Negative*",$T$2:T727,"&lt;&gt;Retracted")=1,1,0))</f>
        <v>0</v>
      </c>
    </row>
    <row r="728" spans="1:21" x14ac:dyDescent="0.2">
      <c r="A728" t="s">
        <v>2538</v>
      </c>
      <c r="B728" t="s">
        <v>330</v>
      </c>
      <c r="C728" t="s">
        <v>1356</v>
      </c>
      <c r="D728" t="s">
        <v>1572</v>
      </c>
      <c r="E728" t="s">
        <v>2539</v>
      </c>
      <c r="F728" t="s">
        <v>1583</v>
      </c>
      <c r="G728">
        <v>9.3558900000000005</v>
      </c>
      <c r="H728">
        <v>-79.900599999999997</v>
      </c>
      <c r="I728" t="s">
        <v>1573</v>
      </c>
      <c r="J728">
        <v>300</v>
      </c>
      <c r="K728">
        <v>1947</v>
      </c>
      <c r="L728">
        <v>1947</v>
      </c>
      <c r="M728" t="s">
        <v>203</v>
      </c>
      <c r="N728" t="s">
        <v>203</v>
      </c>
      <c r="Q728" s="2" t="str">
        <f>IF($C728="","",IFERROR(VLOOKUP($C728,sources!$A$2:$N$200,2,FALSE()),"?"))</f>
        <v>Map</v>
      </c>
      <c r="R728" s="2" t="str">
        <f t="shared" si="11"/>
        <v>Map</v>
      </c>
      <c r="S728" s="2" t="str">
        <f>IF($C728="","",IFERROR(VLOOKUP($C728,sources!$A$2:$N$200,9,FALSE()),"?"))</f>
        <v>US official</v>
      </c>
      <c r="T728" t="s">
        <v>5692</v>
      </c>
      <c r="U728">
        <f>IF(OR(B728="",C728="",T728="Retracted",LEFT(D728,8)="Negative"),0,IF(COUNTIFS($B$2:B728,B728,$C$2:C728,C728,$D$2:D728,"&lt;&gt;Negative*",$T$2:T728,"&lt;&gt;Retracted")=1,1,0))</f>
        <v>1</v>
      </c>
    </row>
    <row r="729" spans="1:21" x14ac:dyDescent="0.2">
      <c r="A729" t="s">
        <v>2540</v>
      </c>
      <c r="B729" t="s">
        <v>335</v>
      </c>
      <c r="C729" t="s">
        <v>1356</v>
      </c>
      <c r="D729" t="s">
        <v>1572</v>
      </c>
      <c r="E729" t="s">
        <v>2541</v>
      </c>
      <c r="F729" t="s">
        <v>1583</v>
      </c>
      <c r="G729">
        <v>8.9594100000000001</v>
      </c>
      <c r="H729">
        <v>-79.561989999999994</v>
      </c>
      <c r="I729" t="s">
        <v>1573</v>
      </c>
      <c r="J729">
        <v>300</v>
      </c>
      <c r="K729">
        <v>1947</v>
      </c>
      <c r="L729">
        <v>1947</v>
      </c>
      <c r="M729" t="s">
        <v>203</v>
      </c>
      <c r="N729" t="s">
        <v>203</v>
      </c>
      <c r="Q729" s="2" t="str">
        <f>IF($C729="","",IFERROR(VLOOKUP($C729,sources!$A$2:$N$200,2,FALSE()),"?"))</f>
        <v>Map</v>
      </c>
      <c r="R729" s="2" t="str">
        <f t="shared" si="11"/>
        <v>Map</v>
      </c>
      <c r="S729" s="2" t="str">
        <f>IF($C729="","",IFERROR(VLOOKUP($C729,sources!$A$2:$N$200,9,FALSE()),"?"))</f>
        <v>US official</v>
      </c>
      <c r="T729" t="s">
        <v>5692</v>
      </c>
      <c r="U729">
        <f>IF(OR(B729="",C729="",T729="Retracted",LEFT(D729,8)="Negative"),0,IF(COUNTIFS($B$2:B729,B729,$C$2:C729,C729,$D$2:D729,"&lt;&gt;Negative*",$T$2:T729,"&lt;&gt;Retracted")=1,1,0))</f>
        <v>1</v>
      </c>
    </row>
    <row r="730" spans="1:21" x14ac:dyDescent="0.2">
      <c r="A730" t="s">
        <v>2542</v>
      </c>
      <c r="B730" t="s">
        <v>344</v>
      </c>
      <c r="C730" t="s">
        <v>1356</v>
      </c>
      <c r="D730" t="s">
        <v>1572</v>
      </c>
      <c r="E730" t="s">
        <v>345</v>
      </c>
      <c r="F730" t="s">
        <v>1583</v>
      </c>
      <c r="G730">
        <v>9.0237800000000004</v>
      </c>
      <c r="H730">
        <v>-79.601070000000007</v>
      </c>
      <c r="I730" t="s">
        <v>1573</v>
      </c>
      <c r="J730">
        <v>300</v>
      </c>
      <c r="K730">
        <v>1947</v>
      </c>
      <c r="L730">
        <v>1947</v>
      </c>
      <c r="M730" t="s">
        <v>203</v>
      </c>
      <c r="N730" t="s">
        <v>203</v>
      </c>
      <c r="Q730" s="2" t="str">
        <f>IF($C730="","",IFERROR(VLOOKUP($C730,sources!$A$2:$N$200,2,FALSE()),"?"))</f>
        <v>Map</v>
      </c>
      <c r="R730" s="2" t="str">
        <f t="shared" si="11"/>
        <v>Map</v>
      </c>
      <c r="S730" s="2" t="str">
        <f>IF($C730="","",IFERROR(VLOOKUP($C730,sources!$A$2:$N$200,9,FALSE()),"?"))</f>
        <v>US official</v>
      </c>
      <c r="T730" t="s">
        <v>5692</v>
      </c>
      <c r="U730">
        <f>IF(OR(B730="",C730="",T730="Retracted",LEFT(D730,8)="Negative"),0,IF(COUNTIFS($B$2:B730,B730,$C$2:C730,C730,$D$2:D730,"&lt;&gt;Negative*",$T$2:T730,"&lt;&gt;Retracted")=1,1,0))</f>
        <v>1</v>
      </c>
    </row>
    <row r="731" spans="1:21" x14ac:dyDescent="0.2">
      <c r="A731" t="s">
        <v>2543</v>
      </c>
      <c r="B731" t="s">
        <v>351</v>
      </c>
      <c r="C731" t="s">
        <v>1356</v>
      </c>
      <c r="D731" t="s">
        <v>1572</v>
      </c>
      <c r="E731" t="s">
        <v>2544</v>
      </c>
      <c r="F731" t="s">
        <v>1583</v>
      </c>
      <c r="G731">
        <v>8.9853769999999997</v>
      </c>
      <c r="H731">
        <v>-79.575430999999995</v>
      </c>
      <c r="I731" t="s">
        <v>1573</v>
      </c>
      <c r="J731">
        <v>200</v>
      </c>
      <c r="K731">
        <v>1947</v>
      </c>
      <c r="L731">
        <v>1947</v>
      </c>
      <c r="M731" t="s">
        <v>203</v>
      </c>
      <c r="N731" t="s">
        <v>203</v>
      </c>
      <c r="Q731" s="2" t="str">
        <f>IF($C731="","",IFERROR(VLOOKUP($C731,sources!$A$2:$N$200,2,FALSE()),"?"))</f>
        <v>Map</v>
      </c>
      <c r="R731" s="2" t="str">
        <f t="shared" si="11"/>
        <v>Map</v>
      </c>
      <c r="S731" s="2" t="str">
        <f>IF($C731="","",IFERROR(VLOOKUP($C731,sources!$A$2:$N$200,9,FALSE()),"?"))</f>
        <v>US official</v>
      </c>
      <c r="T731" t="s">
        <v>5692</v>
      </c>
      <c r="U731">
        <f>IF(OR(B731="",C731="",T731="Retracted",LEFT(D731,8)="Negative"),0,IF(COUNTIFS($B$2:B731,B731,$C$2:C731,C731,$D$2:D731,"&lt;&gt;Negative*",$T$2:T731,"&lt;&gt;Retracted")=1,1,0))</f>
        <v>1</v>
      </c>
    </row>
    <row r="732" spans="1:21" x14ac:dyDescent="0.2">
      <c r="A732" t="s">
        <v>2545</v>
      </c>
      <c r="B732" t="s">
        <v>357</v>
      </c>
      <c r="C732" t="s">
        <v>1356</v>
      </c>
      <c r="D732" t="s">
        <v>1572</v>
      </c>
      <c r="E732" t="s">
        <v>358</v>
      </c>
      <c r="F732" t="s">
        <v>1583</v>
      </c>
      <c r="G732">
        <v>9.0269700000000004</v>
      </c>
      <c r="H732">
        <v>-79.624989999999997</v>
      </c>
      <c r="I732" t="s">
        <v>1573</v>
      </c>
      <c r="J732">
        <v>250</v>
      </c>
      <c r="K732">
        <v>1947</v>
      </c>
      <c r="L732">
        <v>1947</v>
      </c>
      <c r="M732" t="s">
        <v>203</v>
      </c>
      <c r="N732" t="s">
        <v>203</v>
      </c>
      <c r="Q732" s="2" t="str">
        <f>IF($C732="","",IFERROR(VLOOKUP($C732,sources!$A$2:$N$200,2,FALSE()),"?"))</f>
        <v>Map</v>
      </c>
      <c r="R732" s="2" t="str">
        <f t="shared" si="11"/>
        <v>Map</v>
      </c>
      <c r="S732" s="2" t="str">
        <f>IF($C732="","",IFERROR(VLOOKUP($C732,sources!$A$2:$N$200,9,FALSE()),"?"))</f>
        <v>US official</v>
      </c>
      <c r="T732" t="s">
        <v>5692</v>
      </c>
      <c r="U732">
        <f>IF(OR(B732="",C732="",T732="Retracted",LEFT(D732,8)="Negative"),0,IF(COUNTIFS($B$2:B732,B732,$C$2:C732,C732,$D$2:D732,"&lt;&gt;Negative*",$T$2:T732,"&lt;&gt;Retracted")=1,1,0))</f>
        <v>1</v>
      </c>
    </row>
    <row r="733" spans="1:21" x14ac:dyDescent="0.2">
      <c r="A733" t="s">
        <v>2546</v>
      </c>
      <c r="B733" t="s">
        <v>369</v>
      </c>
      <c r="C733" t="s">
        <v>1356</v>
      </c>
      <c r="D733" t="s">
        <v>1572</v>
      </c>
      <c r="E733" t="s">
        <v>370</v>
      </c>
      <c r="F733" t="s">
        <v>1583</v>
      </c>
      <c r="G733">
        <v>9.1204079999999994</v>
      </c>
      <c r="H733">
        <v>-79.705160000000006</v>
      </c>
      <c r="I733" t="s">
        <v>1573</v>
      </c>
      <c r="J733">
        <v>200</v>
      </c>
      <c r="K733">
        <v>1947</v>
      </c>
      <c r="L733">
        <v>1947</v>
      </c>
      <c r="M733" t="s">
        <v>203</v>
      </c>
      <c r="N733" t="s">
        <v>203</v>
      </c>
      <c r="Q733" s="2" t="str">
        <f>IF($C733="","",IFERROR(VLOOKUP($C733,sources!$A$2:$N$200,2,FALSE()),"?"))</f>
        <v>Map</v>
      </c>
      <c r="R733" s="2" t="str">
        <f t="shared" si="11"/>
        <v>Map</v>
      </c>
      <c r="S733" s="2" t="str">
        <f>IF($C733="","",IFERROR(VLOOKUP($C733,sources!$A$2:$N$200,9,FALSE()),"?"))</f>
        <v>US official</v>
      </c>
      <c r="T733" t="s">
        <v>5692</v>
      </c>
      <c r="U733">
        <f>IF(OR(B733="",C733="",T733="Retracted",LEFT(D733,8)="Negative"),0,IF(COUNTIFS($B$2:B733,B733,$C$2:C733,C733,$D$2:D733,"&lt;&gt;Negative*",$T$2:T733,"&lt;&gt;Retracted")=1,1,0))</f>
        <v>1</v>
      </c>
    </row>
    <row r="734" spans="1:21" x14ac:dyDescent="0.2">
      <c r="A734" t="s">
        <v>2547</v>
      </c>
      <c r="B734" t="s">
        <v>403</v>
      </c>
      <c r="C734" t="s">
        <v>1356</v>
      </c>
      <c r="D734" t="s">
        <v>1572</v>
      </c>
      <c r="E734" t="s">
        <v>404</v>
      </c>
      <c r="F734" t="s">
        <v>1583</v>
      </c>
      <c r="G734">
        <v>9.2376000000000005</v>
      </c>
      <c r="H734">
        <v>-79.860399999999998</v>
      </c>
      <c r="I734" t="s">
        <v>1573</v>
      </c>
      <c r="J734">
        <v>250</v>
      </c>
      <c r="K734">
        <v>1947</v>
      </c>
      <c r="L734">
        <v>1947</v>
      </c>
      <c r="M734" t="s">
        <v>203</v>
      </c>
      <c r="N734" t="s">
        <v>209</v>
      </c>
      <c r="Q734" s="2" t="str">
        <f>IF($C734="","",IFERROR(VLOOKUP($C734,sources!$A$2:$N$200,2,FALSE()),"?"))</f>
        <v>Map</v>
      </c>
      <c r="R734" s="2" t="str">
        <f t="shared" si="11"/>
        <v>Map</v>
      </c>
      <c r="S734" s="2" t="str">
        <f>IF($C734="","",IFERROR(VLOOKUP($C734,sources!$A$2:$N$200,9,FALSE()),"?"))</f>
        <v>US official</v>
      </c>
      <c r="T734" t="s">
        <v>5692</v>
      </c>
      <c r="U734">
        <f>IF(OR(B734="",C734="",T734="Retracted",LEFT(D734,8)="Negative"),0,IF(COUNTIFS($B$2:B734,B734,$C$2:C734,C734,$D$2:D734,"&lt;&gt;Negative*",$T$2:T734,"&lt;&gt;Retracted")=1,1,0))</f>
        <v>1</v>
      </c>
    </row>
    <row r="735" spans="1:21" x14ac:dyDescent="0.2">
      <c r="A735" t="s">
        <v>2548</v>
      </c>
      <c r="B735" t="s">
        <v>411</v>
      </c>
      <c r="C735" t="s">
        <v>1356</v>
      </c>
      <c r="D735" t="s">
        <v>1572</v>
      </c>
      <c r="E735" t="s">
        <v>2549</v>
      </c>
      <c r="F735" t="s">
        <v>1583</v>
      </c>
      <c r="G735">
        <v>8.9633000000000003</v>
      </c>
      <c r="H735">
        <v>-79.572900000000004</v>
      </c>
      <c r="I735" t="s">
        <v>1573</v>
      </c>
      <c r="J735">
        <v>300</v>
      </c>
      <c r="K735">
        <v>1947</v>
      </c>
      <c r="L735">
        <v>1947</v>
      </c>
      <c r="M735" t="s">
        <v>203</v>
      </c>
      <c r="N735" t="s">
        <v>203</v>
      </c>
      <c r="Q735" s="2" t="str">
        <f>IF($C735="","",IFERROR(VLOOKUP($C735,sources!$A$2:$N$200,2,FALSE()),"?"))</f>
        <v>Map</v>
      </c>
      <c r="R735" s="2" t="str">
        <f t="shared" si="11"/>
        <v>Map</v>
      </c>
      <c r="S735" s="2" t="str">
        <f>IF($C735="","",IFERROR(VLOOKUP($C735,sources!$A$2:$N$200,9,FALSE()),"?"))</f>
        <v>US official</v>
      </c>
      <c r="T735" t="s">
        <v>5692</v>
      </c>
      <c r="U735">
        <f>IF(OR(B735="",C735="",T735="Retracted",LEFT(D735,8)="Negative"),0,IF(COUNTIFS($B$2:B735,B735,$C$2:C735,C735,$D$2:D735,"&lt;&gt;Negative*",$T$2:T735,"&lt;&gt;Retracted")=1,1,0))</f>
        <v>1</v>
      </c>
    </row>
    <row r="736" spans="1:21" x14ac:dyDescent="0.2">
      <c r="A736" t="s">
        <v>2550</v>
      </c>
      <c r="B736" t="s">
        <v>415</v>
      </c>
      <c r="C736" t="s">
        <v>1356</v>
      </c>
      <c r="D736" t="s">
        <v>1572</v>
      </c>
      <c r="E736" t="s">
        <v>2551</v>
      </c>
      <c r="F736" t="s">
        <v>1583</v>
      </c>
      <c r="G736">
        <v>9.3409750000000003</v>
      </c>
      <c r="H736">
        <v>-79.908527000000007</v>
      </c>
      <c r="I736" t="s">
        <v>1573</v>
      </c>
      <c r="J736">
        <v>250</v>
      </c>
      <c r="K736">
        <v>1947</v>
      </c>
      <c r="L736">
        <v>1947</v>
      </c>
      <c r="M736" t="s">
        <v>203</v>
      </c>
      <c r="N736" t="s">
        <v>203</v>
      </c>
      <c r="Q736" s="2" t="str">
        <f>IF($C736="","",IFERROR(VLOOKUP($C736,sources!$A$2:$N$200,2,FALSE()),"?"))</f>
        <v>Map</v>
      </c>
      <c r="R736" s="2" t="str">
        <f t="shared" si="11"/>
        <v>Map</v>
      </c>
      <c r="S736" s="2" t="str">
        <f>IF($C736="","",IFERROR(VLOOKUP($C736,sources!$A$2:$N$200,9,FALSE()),"?"))</f>
        <v>US official</v>
      </c>
      <c r="T736" t="s">
        <v>5692</v>
      </c>
      <c r="U736">
        <f>IF(OR(B736="",C736="",T736="Retracted",LEFT(D736,8)="Negative"),0,IF(COUNTIFS($B$2:B736,B736,$C$2:C736,C736,$D$2:D736,"&lt;&gt;Negative*",$T$2:T736,"&lt;&gt;Retracted")=1,1,0))</f>
        <v>1</v>
      </c>
    </row>
    <row r="737" spans="1:21" x14ac:dyDescent="0.2">
      <c r="A737" t="s">
        <v>2552</v>
      </c>
      <c r="B737" t="s">
        <v>468</v>
      </c>
      <c r="C737" t="s">
        <v>1356</v>
      </c>
      <c r="D737" t="s">
        <v>1572</v>
      </c>
      <c r="E737" t="s">
        <v>2553</v>
      </c>
      <c r="F737" t="s">
        <v>1583</v>
      </c>
      <c r="G737">
        <v>8.9151000000000007</v>
      </c>
      <c r="H737">
        <v>-79.532480000000007</v>
      </c>
      <c r="I737" t="s">
        <v>1573</v>
      </c>
      <c r="J737">
        <v>250</v>
      </c>
      <c r="K737">
        <v>1947</v>
      </c>
      <c r="L737">
        <v>1947</v>
      </c>
      <c r="M737" t="s">
        <v>203</v>
      </c>
      <c r="N737" t="s">
        <v>203</v>
      </c>
      <c r="Q737" s="2" t="str">
        <f>IF($C737="","",IFERROR(VLOOKUP($C737,sources!$A$2:$N$200,2,FALSE()),"?"))</f>
        <v>Map</v>
      </c>
      <c r="R737" s="2" t="str">
        <f t="shared" si="11"/>
        <v>Map</v>
      </c>
      <c r="S737" s="2" t="str">
        <f>IF($C737="","",IFERROR(VLOOKUP($C737,sources!$A$2:$N$200,9,FALSE()),"?"))</f>
        <v>US official</v>
      </c>
      <c r="T737" t="s">
        <v>5692</v>
      </c>
      <c r="U737">
        <f>IF(OR(B737="",C737="",T737="Retracted",LEFT(D737,8)="Negative"),0,IF(COUNTIFS($B$2:B737,B737,$C$2:C737,C737,$D$2:D737,"&lt;&gt;Negative*",$T$2:T737,"&lt;&gt;Retracted")=1,1,0))</f>
        <v>1</v>
      </c>
    </row>
    <row r="738" spans="1:21" x14ac:dyDescent="0.2">
      <c r="A738" t="s">
        <v>2554</v>
      </c>
      <c r="B738" t="s">
        <v>253</v>
      </c>
      <c r="C738" t="s">
        <v>1356</v>
      </c>
      <c r="D738" t="s">
        <v>1613</v>
      </c>
      <c r="E738" t="s">
        <v>254</v>
      </c>
      <c r="F738" t="s">
        <v>1583</v>
      </c>
      <c r="I738" t="s">
        <v>1058</v>
      </c>
      <c r="K738">
        <v>1947</v>
      </c>
      <c r="L738">
        <v>1947</v>
      </c>
      <c r="M738" t="s">
        <v>209</v>
      </c>
      <c r="N738" t="s">
        <v>203</v>
      </c>
      <c r="Q738" s="2" t="str">
        <f>IF($C738="","",IFERROR(VLOOKUP($C738,sources!$A$2:$N$200,2,FALSE()),"?"))</f>
        <v>Map</v>
      </c>
      <c r="R738" s="2" t="str">
        <f t="shared" si="11"/>
        <v>Map</v>
      </c>
      <c r="S738" s="2" t="str">
        <f>IF($C738="","",IFERROR(VLOOKUP($C738,sources!$A$2:$N$200,9,FALSE()),"?"))</f>
        <v>US official</v>
      </c>
      <c r="T738" t="s">
        <v>5692</v>
      </c>
      <c r="U738">
        <f>IF(OR(B738="",C738="",T738="Retracted",LEFT(D738,8)="Negative"),0,IF(COUNTIFS($B$2:B738,B738,$C$2:C738,C738,$D$2:D738,"&lt;&gt;Negative*",$T$2:T738,"&lt;&gt;Retracted")=1,1,0))</f>
        <v>0</v>
      </c>
    </row>
    <row r="739" spans="1:21" x14ac:dyDescent="0.2">
      <c r="A739" t="s">
        <v>2555</v>
      </c>
      <c r="B739" t="s">
        <v>261</v>
      </c>
      <c r="C739" t="s">
        <v>1356</v>
      </c>
      <c r="D739" t="s">
        <v>1613</v>
      </c>
      <c r="E739" t="s">
        <v>262</v>
      </c>
      <c r="F739" t="s">
        <v>1583</v>
      </c>
      <c r="I739" t="s">
        <v>1058</v>
      </c>
      <c r="K739">
        <v>1947</v>
      </c>
      <c r="L739">
        <v>1947</v>
      </c>
      <c r="M739" t="s">
        <v>209</v>
      </c>
      <c r="N739" t="s">
        <v>203</v>
      </c>
      <c r="Q739" s="2" t="str">
        <f>IF($C739="","",IFERROR(VLOOKUP($C739,sources!$A$2:$N$200,2,FALSE()),"?"))</f>
        <v>Map</v>
      </c>
      <c r="R739" s="2" t="str">
        <f t="shared" si="11"/>
        <v>Map</v>
      </c>
      <c r="S739" s="2" t="str">
        <f>IF($C739="","",IFERROR(VLOOKUP($C739,sources!$A$2:$N$200,9,FALSE()),"?"))</f>
        <v>US official</v>
      </c>
      <c r="T739" t="s">
        <v>5692</v>
      </c>
      <c r="U739">
        <f>IF(OR(B739="",C739="",T739="Retracted",LEFT(D739,8)="Negative"),0,IF(COUNTIFS($B$2:B739,B739,$C$2:C739,C739,$D$2:D739,"&lt;&gt;Negative*",$T$2:T739,"&lt;&gt;Retracted")=1,1,0))</f>
        <v>0</v>
      </c>
    </row>
    <row r="740" spans="1:21" x14ac:dyDescent="0.2">
      <c r="A740" t="s">
        <v>2556</v>
      </c>
      <c r="B740" t="s">
        <v>265</v>
      </c>
      <c r="C740" t="s">
        <v>1356</v>
      </c>
      <c r="D740" t="s">
        <v>1613</v>
      </c>
      <c r="E740" t="s">
        <v>266</v>
      </c>
      <c r="F740" t="s">
        <v>1583</v>
      </c>
      <c r="I740" t="s">
        <v>1058</v>
      </c>
      <c r="K740">
        <v>1947</v>
      </c>
      <c r="L740">
        <v>1947</v>
      </c>
      <c r="M740" t="s">
        <v>209</v>
      </c>
      <c r="N740" t="s">
        <v>203</v>
      </c>
      <c r="Q740" s="2" t="str">
        <f>IF($C740="","",IFERROR(VLOOKUP($C740,sources!$A$2:$N$200,2,FALSE()),"?"))</f>
        <v>Map</v>
      </c>
      <c r="R740" s="2" t="str">
        <f t="shared" si="11"/>
        <v>Map</v>
      </c>
      <c r="S740" s="2" t="str">
        <f>IF($C740="","",IFERROR(VLOOKUP($C740,sources!$A$2:$N$200,9,FALSE()),"?"))</f>
        <v>US official</v>
      </c>
      <c r="T740" t="s">
        <v>5692</v>
      </c>
      <c r="U740">
        <f>IF(OR(B740="",C740="",T740="Retracted",LEFT(D740,8)="Negative"),0,IF(COUNTIFS($B$2:B740,B740,$C$2:C740,C740,$D$2:D740,"&lt;&gt;Negative*",$T$2:T740,"&lt;&gt;Retracted")=1,1,0))</f>
        <v>0</v>
      </c>
    </row>
    <row r="741" spans="1:21" x14ac:dyDescent="0.2">
      <c r="A741" t="s">
        <v>2557</v>
      </c>
      <c r="B741" t="s">
        <v>383</v>
      </c>
      <c r="C741" t="s">
        <v>1356</v>
      </c>
      <c r="D741" t="s">
        <v>1613</v>
      </c>
      <c r="E741" t="s">
        <v>384</v>
      </c>
      <c r="F741" t="s">
        <v>1583</v>
      </c>
      <c r="I741" t="s">
        <v>1058</v>
      </c>
      <c r="K741">
        <v>1947</v>
      </c>
      <c r="L741">
        <v>1947</v>
      </c>
      <c r="M741" t="s">
        <v>209</v>
      </c>
      <c r="N741" t="s">
        <v>203</v>
      </c>
      <c r="Q741" s="2" t="str">
        <f>IF($C741="","",IFERROR(VLOOKUP($C741,sources!$A$2:$N$200,2,FALSE()),"?"))</f>
        <v>Map</v>
      </c>
      <c r="R741" s="2" t="str">
        <f t="shared" si="11"/>
        <v>Map</v>
      </c>
      <c r="S741" s="2" t="str">
        <f>IF($C741="","",IFERROR(VLOOKUP($C741,sources!$A$2:$N$200,9,FALSE()),"?"))</f>
        <v>US official</v>
      </c>
      <c r="T741" t="s">
        <v>5692</v>
      </c>
      <c r="U741">
        <f>IF(OR(B741="",C741="",T741="Retracted",LEFT(D741,8)="Negative"),0,IF(COUNTIFS($B$2:B741,B741,$C$2:C741,C741,$D$2:D741,"&lt;&gt;Negative*",$T$2:T741,"&lt;&gt;Retracted")=1,1,0))</f>
        <v>0</v>
      </c>
    </row>
    <row r="742" spans="1:21" x14ac:dyDescent="0.2">
      <c r="A742" t="s">
        <v>2558</v>
      </c>
      <c r="B742" t="s">
        <v>407</v>
      </c>
      <c r="C742" t="s">
        <v>1356</v>
      </c>
      <c r="D742" t="s">
        <v>1613</v>
      </c>
      <c r="E742" t="s">
        <v>408</v>
      </c>
      <c r="F742" t="s">
        <v>1583</v>
      </c>
      <c r="I742" t="s">
        <v>1058</v>
      </c>
      <c r="K742">
        <v>1947</v>
      </c>
      <c r="L742">
        <v>1947</v>
      </c>
      <c r="M742" t="s">
        <v>209</v>
      </c>
      <c r="N742" t="s">
        <v>209</v>
      </c>
      <c r="Q742" s="2" t="str">
        <f>IF($C742="","",IFERROR(VLOOKUP($C742,sources!$A$2:$N$200,2,FALSE()),"?"))</f>
        <v>Map</v>
      </c>
      <c r="R742" s="2" t="str">
        <f t="shared" si="11"/>
        <v>Map</v>
      </c>
      <c r="S742" s="2" t="str">
        <f>IF($C742="","",IFERROR(VLOOKUP($C742,sources!$A$2:$N$200,9,FALSE()),"?"))</f>
        <v>US official</v>
      </c>
      <c r="T742" t="s">
        <v>5692</v>
      </c>
      <c r="U742">
        <f>IF(OR(B742="",C742="",T742="Retracted",LEFT(D742,8)="Negative"),0,IF(COUNTIFS($B$2:B742,B742,$C$2:C742,C742,$D$2:D742,"&lt;&gt;Negative*",$T$2:T742,"&lt;&gt;Retracted")=1,1,0))</f>
        <v>0</v>
      </c>
    </row>
    <row r="743" spans="1:21" x14ac:dyDescent="0.2">
      <c r="A743" t="s">
        <v>2559</v>
      </c>
      <c r="B743" t="s">
        <v>429</v>
      </c>
      <c r="C743" t="s">
        <v>1356</v>
      </c>
      <c r="D743" t="s">
        <v>1613</v>
      </c>
      <c r="E743" t="s">
        <v>430</v>
      </c>
      <c r="F743" t="s">
        <v>1583</v>
      </c>
      <c r="I743" t="s">
        <v>1058</v>
      </c>
      <c r="K743">
        <v>1947</v>
      </c>
      <c r="L743">
        <v>1947</v>
      </c>
      <c r="M743" t="s">
        <v>209</v>
      </c>
      <c r="N743" t="s">
        <v>203</v>
      </c>
      <c r="Q743" s="2" t="str">
        <f>IF($C743="","",IFERROR(VLOOKUP($C743,sources!$A$2:$N$200,2,FALSE()),"?"))</f>
        <v>Map</v>
      </c>
      <c r="R743" s="2" t="str">
        <f t="shared" si="11"/>
        <v>Map</v>
      </c>
      <c r="S743" s="2" t="str">
        <f>IF($C743="","",IFERROR(VLOOKUP($C743,sources!$A$2:$N$200,9,FALSE()),"?"))</f>
        <v>US official</v>
      </c>
      <c r="T743" t="s">
        <v>5692</v>
      </c>
      <c r="U743">
        <f>IF(OR(B743="",C743="",T743="Retracted",LEFT(D743,8)="Negative"),0,IF(COUNTIFS($B$2:B743,B743,$C$2:C743,C743,$D$2:D743,"&lt;&gt;Negative*",$T$2:T743,"&lt;&gt;Retracted")=1,1,0))</f>
        <v>0</v>
      </c>
    </row>
    <row r="744" spans="1:21" x14ac:dyDescent="0.2">
      <c r="A744" t="s">
        <v>2560</v>
      </c>
      <c r="B744" t="s">
        <v>433</v>
      </c>
      <c r="C744" t="s">
        <v>1356</v>
      </c>
      <c r="D744" t="s">
        <v>1613</v>
      </c>
      <c r="E744" t="s">
        <v>434</v>
      </c>
      <c r="F744" t="s">
        <v>1583</v>
      </c>
      <c r="I744" t="s">
        <v>1058</v>
      </c>
      <c r="K744">
        <v>1947</v>
      </c>
      <c r="L744">
        <v>1947</v>
      </c>
      <c r="M744" t="s">
        <v>209</v>
      </c>
      <c r="N744" t="s">
        <v>203</v>
      </c>
      <c r="Q744" s="2" t="str">
        <f>IF($C744="","",IFERROR(VLOOKUP($C744,sources!$A$2:$N$200,2,FALSE()),"?"))</f>
        <v>Map</v>
      </c>
      <c r="R744" s="2" t="str">
        <f t="shared" si="11"/>
        <v>Map</v>
      </c>
      <c r="S744" s="2" t="str">
        <f>IF($C744="","",IFERROR(VLOOKUP($C744,sources!$A$2:$N$200,9,FALSE()),"?"))</f>
        <v>US official</v>
      </c>
      <c r="T744" t="s">
        <v>5692</v>
      </c>
      <c r="U744">
        <f>IF(OR(B744="",C744="",T744="Retracted",LEFT(D744,8)="Negative"),0,IF(COUNTIFS($B$2:B744,B744,$C$2:C744,C744,$D$2:D744,"&lt;&gt;Negative*",$T$2:T744,"&lt;&gt;Retracted")=1,1,0))</f>
        <v>0</v>
      </c>
    </row>
    <row r="745" spans="1:21" x14ac:dyDescent="0.2">
      <c r="A745" t="s">
        <v>2561</v>
      </c>
      <c r="B745" t="s">
        <v>436</v>
      </c>
      <c r="C745" t="s">
        <v>1356</v>
      </c>
      <c r="D745" t="s">
        <v>1613</v>
      </c>
      <c r="E745" t="s">
        <v>437</v>
      </c>
      <c r="F745" t="s">
        <v>1583</v>
      </c>
      <c r="I745" t="s">
        <v>1058</v>
      </c>
      <c r="K745">
        <v>1947</v>
      </c>
      <c r="L745">
        <v>1947</v>
      </c>
      <c r="M745" t="s">
        <v>209</v>
      </c>
      <c r="N745" t="s">
        <v>203</v>
      </c>
      <c r="Q745" s="2" t="str">
        <f>IF($C745="","",IFERROR(VLOOKUP($C745,sources!$A$2:$N$200,2,FALSE()),"?"))</f>
        <v>Map</v>
      </c>
      <c r="R745" s="2" t="str">
        <f t="shared" si="11"/>
        <v>Map</v>
      </c>
      <c r="S745" s="2" t="str">
        <f>IF($C745="","",IFERROR(VLOOKUP($C745,sources!$A$2:$N$200,9,FALSE()),"?"))</f>
        <v>US official</v>
      </c>
      <c r="T745" t="s">
        <v>5692</v>
      </c>
      <c r="U745">
        <f>IF(OR(B745="",C745="",T745="Retracted",LEFT(D745,8)="Negative"),0,IF(COUNTIFS($B$2:B745,B745,$C$2:C745,C745,$D$2:D745,"&lt;&gt;Negative*",$T$2:T745,"&lt;&gt;Retracted")=1,1,0))</f>
        <v>0</v>
      </c>
    </row>
    <row r="746" spans="1:21" x14ac:dyDescent="0.2">
      <c r="A746" t="s">
        <v>2562</v>
      </c>
      <c r="B746" t="s">
        <v>439</v>
      </c>
      <c r="C746" t="s">
        <v>1356</v>
      </c>
      <c r="D746" t="s">
        <v>1613</v>
      </c>
      <c r="E746" t="s">
        <v>440</v>
      </c>
      <c r="F746" t="s">
        <v>1583</v>
      </c>
      <c r="I746" t="s">
        <v>1058</v>
      </c>
      <c r="K746">
        <v>1947</v>
      </c>
      <c r="L746">
        <v>1947</v>
      </c>
      <c r="M746" t="s">
        <v>209</v>
      </c>
      <c r="N746" t="s">
        <v>203</v>
      </c>
      <c r="Q746" s="2" t="str">
        <f>IF($C746="","",IFERROR(VLOOKUP($C746,sources!$A$2:$N$200,2,FALSE()),"?"))</f>
        <v>Map</v>
      </c>
      <c r="R746" s="2" t="str">
        <f t="shared" si="11"/>
        <v>Map</v>
      </c>
      <c r="S746" s="2" t="str">
        <f>IF($C746="","",IFERROR(VLOOKUP($C746,sources!$A$2:$N$200,9,FALSE()),"?"))</f>
        <v>US official</v>
      </c>
      <c r="T746" t="s">
        <v>5692</v>
      </c>
      <c r="U746">
        <f>IF(OR(B746="",C746="",T746="Retracted",LEFT(D746,8)="Negative"),0,IF(COUNTIFS($B$2:B746,B746,$C$2:C746,C746,$D$2:D746,"&lt;&gt;Negative*",$T$2:T746,"&lt;&gt;Retracted")=1,1,0))</f>
        <v>0</v>
      </c>
    </row>
    <row r="747" spans="1:21" x14ac:dyDescent="0.2">
      <c r="A747" t="s">
        <v>2563</v>
      </c>
      <c r="B747" t="s">
        <v>465</v>
      </c>
      <c r="C747" t="s">
        <v>1356</v>
      </c>
      <c r="D747" t="s">
        <v>1613</v>
      </c>
      <c r="E747" t="s">
        <v>466</v>
      </c>
      <c r="F747" t="s">
        <v>1583</v>
      </c>
      <c r="I747" t="s">
        <v>1058</v>
      </c>
      <c r="K747">
        <v>1947</v>
      </c>
      <c r="L747">
        <v>1947</v>
      </c>
      <c r="M747" t="s">
        <v>209</v>
      </c>
      <c r="N747" t="s">
        <v>203</v>
      </c>
      <c r="Q747" s="2" t="str">
        <f>IF($C747="","",IFERROR(VLOOKUP($C747,sources!$A$2:$N$200,2,FALSE()),"?"))</f>
        <v>Map</v>
      </c>
      <c r="R747" s="2" t="str">
        <f t="shared" si="11"/>
        <v>Map</v>
      </c>
      <c r="S747" s="2" t="str">
        <f>IF($C747="","",IFERROR(VLOOKUP($C747,sources!$A$2:$N$200,9,FALSE()),"?"))</f>
        <v>US official</v>
      </c>
      <c r="T747" t="s">
        <v>5692</v>
      </c>
      <c r="U747">
        <f>IF(OR(B747="",C747="",T747="Retracted",LEFT(D747,8)="Negative"),0,IF(COUNTIFS($B$2:B747,B747,$C$2:C747,C747,$D$2:D747,"&lt;&gt;Negative*",$T$2:T747,"&lt;&gt;Retracted")=1,1,0))</f>
        <v>0</v>
      </c>
    </row>
    <row r="748" spans="1:21" x14ac:dyDescent="0.2">
      <c r="A748" t="s">
        <v>2564</v>
      </c>
      <c r="B748" t="s">
        <v>472</v>
      </c>
      <c r="C748" t="s">
        <v>1356</v>
      </c>
      <c r="D748" t="s">
        <v>1613</v>
      </c>
      <c r="E748" t="s">
        <v>473</v>
      </c>
      <c r="F748" t="s">
        <v>1583</v>
      </c>
      <c r="I748" t="s">
        <v>1058</v>
      </c>
      <c r="K748">
        <v>1947</v>
      </c>
      <c r="L748">
        <v>1947</v>
      </c>
      <c r="M748" t="s">
        <v>209</v>
      </c>
      <c r="N748" t="s">
        <v>203</v>
      </c>
      <c r="Q748" s="2" t="str">
        <f>IF($C748="","",IFERROR(VLOOKUP($C748,sources!$A$2:$N$200,2,FALSE()),"?"))</f>
        <v>Map</v>
      </c>
      <c r="R748" s="2" t="str">
        <f t="shared" si="11"/>
        <v>Map</v>
      </c>
      <c r="S748" s="2" t="str">
        <f>IF($C748="","",IFERROR(VLOOKUP($C748,sources!$A$2:$N$200,9,FALSE()),"?"))</f>
        <v>US official</v>
      </c>
      <c r="T748" t="s">
        <v>5692</v>
      </c>
      <c r="U748">
        <f>IF(OR(B748="",C748="",T748="Retracted",LEFT(D748,8)="Negative"),0,IF(COUNTIFS($B$2:B748,B748,$C$2:C748,C748,$D$2:D748,"&lt;&gt;Negative*",$T$2:T748,"&lt;&gt;Retracted")=1,1,0))</f>
        <v>0</v>
      </c>
    </row>
    <row r="749" spans="1:21" x14ac:dyDescent="0.2">
      <c r="A749" t="s">
        <v>2565</v>
      </c>
      <c r="B749" t="s">
        <v>484</v>
      </c>
      <c r="C749" t="s">
        <v>1356</v>
      </c>
      <c r="D749" t="s">
        <v>1613</v>
      </c>
      <c r="E749" t="s">
        <v>485</v>
      </c>
      <c r="F749" t="s">
        <v>1583</v>
      </c>
      <c r="I749" t="s">
        <v>1058</v>
      </c>
      <c r="K749">
        <v>1947</v>
      </c>
      <c r="L749">
        <v>1947</v>
      </c>
      <c r="M749" t="s">
        <v>209</v>
      </c>
      <c r="N749" t="s">
        <v>203</v>
      </c>
      <c r="Q749" s="2" t="str">
        <f>IF($C749="","",IFERROR(VLOOKUP($C749,sources!$A$2:$N$200,2,FALSE()),"?"))</f>
        <v>Map</v>
      </c>
      <c r="R749" s="2" t="str">
        <f t="shared" si="11"/>
        <v>Map</v>
      </c>
      <c r="S749" s="2" t="str">
        <f>IF($C749="","",IFERROR(VLOOKUP($C749,sources!$A$2:$N$200,9,FALSE()),"?"))</f>
        <v>US official</v>
      </c>
      <c r="T749" t="s">
        <v>5692</v>
      </c>
      <c r="U749">
        <f>IF(OR(B749="",C749="",T749="Retracted",LEFT(D749,8)="Negative"),0,IF(COUNTIFS($B$2:B749,B749,$C$2:C749,C749,$D$2:D749,"&lt;&gt;Negative*",$T$2:T749,"&lt;&gt;Retracted")=1,1,0))</f>
        <v>0</v>
      </c>
    </row>
    <row r="750" spans="1:21" x14ac:dyDescent="0.2">
      <c r="A750" t="s">
        <v>2566</v>
      </c>
      <c r="B750" t="s">
        <v>487</v>
      </c>
      <c r="C750" t="s">
        <v>1356</v>
      </c>
      <c r="D750" t="s">
        <v>1613</v>
      </c>
      <c r="E750" t="s">
        <v>488</v>
      </c>
      <c r="F750" t="s">
        <v>1583</v>
      </c>
      <c r="I750" t="s">
        <v>1058</v>
      </c>
      <c r="K750">
        <v>1947</v>
      </c>
      <c r="L750">
        <v>1947</v>
      </c>
      <c r="M750" t="s">
        <v>209</v>
      </c>
      <c r="N750" t="s">
        <v>203</v>
      </c>
      <c r="Q750" s="2" t="str">
        <f>IF($C750="","",IFERROR(VLOOKUP($C750,sources!$A$2:$N$200,2,FALSE()),"?"))</f>
        <v>Map</v>
      </c>
      <c r="R750" s="2" t="str">
        <f t="shared" si="11"/>
        <v>Map</v>
      </c>
      <c r="S750" s="2" t="str">
        <f>IF($C750="","",IFERROR(VLOOKUP($C750,sources!$A$2:$N$200,9,FALSE()),"?"))</f>
        <v>US official</v>
      </c>
      <c r="T750" t="s">
        <v>5692</v>
      </c>
      <c r="U750">
        <f>IF(OR(B750="",C750="",T750="Retracted",LEFT(D750,8)="Negative"),0,IF(COUNTIFS($B$2:B750,B750,$C$2:C750,C750,$D$2:D750,"&lt;&gt;Negative*",$T$2:T750,"&lt;&gt;Retracted")=1,1,0))</f>
        <v>0</v>
      </c>
    </row>
    <row r="751" spans="1:21" x14ac:dyDescent="0.2">
      <c r="A751" t="s">
        <v>2567</v>
      </c>
      <c r="B751" t="s">
        <v>490</v>
      </c>
      <c r="C751" t="s">
        <v>1356</v>
      </c>
      <c r="D751" t="s">
        <v>1613</v>
      </c>
      <c r="E751" t="s">
        <v>491</v>
      </c>
      <c r="F751" t="s">
        <v>1583</v>
      </c>
      <c r="I751" t="s">
        <v>1058</v>
      </c>
      <c r="K751">
        <v>1947</v>
      </c>
      <c r="L751">
        <v>1947</v>
      </c>
      <c r="M751" t="s">
        <v>209</v>
      </c>
      <c r="N751" t="s">
        <v>203</v>
      </c>
      <c r="Q751" s="2" t="str">
        <f>IF($C751="","",IFERROR(VLOOKUP($C751,sources!$A$2:$N$200,2,FALSE()),"?"))</f>
        <v>Map</v>
      </c>
      <c r="R751" s="2" t="str">
        <f t="shared" si="11"/>
        <v>Map</v>
      </c>
      <c r="S751" s="2" t="str">
        <f>IF($C751="","",IFERROR(VLOOKUP($C751,sources!$A$2:$N$200,9,FALSE()),"?"))</f>
        <v>US official</v>
      </c>
      <c r="T751" t="s">
        <v>5692</v>
      </c>
      <c r="U751">
        <f>IF(OR(B751="",C751="",T751="Retracted",LEFT(D751,8)="Negative"),0,IF(COUNTIFS($B$2:B751,B751,$C$2:C751,C751,$D$2:D751,"&lt;&gt;Negative*",$T$2:T751,"&lt;&gt;Retracted")=1,1,0))</f>
        <v>0</v>
      </c>
    </row>
    <row r="752" spans="1:21" x14ac:dyDescent="0.2">
      <c r="A752" t="s">
        <v>2568</v>
      </c>
      <c r="B752" t="s">
        <v>503</v>
      </c>
      <c r="C752" t="s">
        <v>1356</v>
      </c>
      <c r="D752" t="s">
        <v>1613</v>
      </c>
      <c r="E752" t="s">
        <v>504</v>
      </c>
      <c r="F752" t="s">
        <v>1583</v>
      </c>
      <c r="I752" t="s">
        <v>1058</v>
      </c>
      <c r="K752">
        <v>1947</v>
      </c>
      <c r="L752">
        <v>1947</v>
      </c>
      <c r="M752" t="s">
        <v>209</v>
      </c>
      <c r="N752" t="s">
        <v>203</v>
      </c>
      <c r="Q752" s="2" t="str">
        <f>IF($C752="","",IFERROR(VLOOKUP($C752,sources!$A$2:$N$200,2,FALSE()),"?"))</f>
        <v>Map</v>
      </c>
      <c r="R752" s="2" t="str">
        <f t="shared" si="11"/>
        <v>Map</v>
      </c>
      <c r="S752" s="2" t="str">
        <f>IF($C752="","",IFERROR(VLOOKUP($C752,sources!$A$2:$N$200,9,FALSE()),"?"))</f>
        <v>US official</v>
      </c>
      <c r="T752" t="s">
        <v>5692</v>
      </c>
      <c r="U752">
        <f>IF(OR(B752="",C752="",T752="Retracted",LEFT(D752,8)="Negative"),0,IF(COUNTIFS($B$2:B752,B752,$C$2:C752,C752,$D$2:D752,"&lt;&gt;Negative*",$T$2:T752,"&lt;&gt;Retracted")=1,1,0))</f>
        <v>0</v>
      </c>
    </row>
    <row r="753" spans="1:21" x14ac:dyDescent="0.2">
      <c r="A753" t="s">
        <v>2569</v>
      </c>
      <c r="B753" t="s">
        <v>507</v>
      </c>
      <c r="C753" t="s">
        <v>1356</v>
      </c>
      <c r="D753" t="s">
        <v>1613</v>
      </c>
      <c r="E753" t="s">
        <v>508</v>
      </c>
      <c r="F753" t="s">
        <v>1583</v>
      </c>
      <c r="I753" t="s">
        <v>1058</v>
      </c>
      <c r="K753">
        <v>1947</v>
      </c>
      <c r="L753">
        <v>1947</v>
      </c>
      <c r="M753" t="s">
        <v>209</v>
      </c>
      <c r="N753" t="s">
        <v>203</v>
      </c>
      <c r="Q753" s="2" t="str">
        <f>IF($C753="","",IFERROR(VLOOKUP($C753,sources!$A$2:$N$200,2,FALSE()),"?"))</f>
        <v>Map</v>
      </c>
      <c r="R753" s="2" t="str">
        <f t="shared" si="11"/>
        <v>Map</v>
      </c>
      <c r="S753" s="2" t="str">
        <f>IF($C753="","",IFERROR(VLOOKUP($C753,sources!$A$2:$N$200,9,FALSE()),"?"))</f>
        <v>US official</v>
      </c>
      <c r="T753" t="s">
        <v>5692</v>
      </c>
      <c r="U753">
        <f>IF(OR(B753="",C753="",T753="Retracted",LEFT(D753,8)="Negative"),0,IF(COUNTIFS($B$2:B753,B753,$C$2:C753,C753,$D$2:D753,"&lt;&gt;Negative*",$T$2:T753,"&lt;&gt;Retracted")=1,1,0))</f>
        <v>0</v>
      </c>
    </row>
    <row r="754" spans="1:21" x14ac:dyDescent="0.2">
      <c r="A754" t="s">
        <v>2570</v>
      </c>
      <c r="B754" t="s">
        <v>547</v>
      </c>
      <c r="C754" t="s">
        <v>1356</v>
      </c>
      <c r="D754" t="s">
        <v>1613</v>
      </c>
      <c r="E754" t="s">
        <v>548</v>
      </c>
      <c r="F754" t="s">
        <v>1583</v>
      </c>
      <c r="I754" t="s">
        <v>1058</v>
      </c>
      <c r="K754">
        <v>1947</v>
      </c>
      <c r="L754">
        <v>1947</v>
      </c>
      <c r="M754" t="s">
        <v>209</v>
      </c>
      <c r="N754" t="s">
        <v>203</v>
      </c>
      <c r="Q754" s="2" t="str">
        <f>IF($C754="","",IFERROR(VLOOKUP($C754,sources!$A$2:$N$200,2,FALSE()),"?"))</f>
        <v>Map</v>
      </c>
      <c r="R754" s="2" t="str">
        <f t="shared" si="11"/>
        <v>Map</v>
      </c>
      <c r="S754" s="2" t="str">
        <f>IF($C754="","",IFERROR(VLOOKUP($C754,sources!$A$2:$N$200,9,FALSE()),"?"))</f>
        <v>US official</v>
      </c>
      <c r="T754" t="s">
        <v>5692</v>
      </c>
      <c r="U754">
        <f>IF(OR(B754="",C754="",T754="Retracted",LEFT(D754,8)="Negative"),0,IF(COUNTIFS($B$2:B754,B754,$C$2:C754,C754,$D$2:D754,"&lt;&gt;Negative*",$T$2:T754,"&lt;&gt;Retracted")=1,1,0))</f>
        <v>0</v>
      </c>
    </row>
    <row r="755" spans="1:21" x14ac:dyDescent="0.2">
      <c r="A755" t="s">
        <v>2571</v>
      </c>
      <c r="B755" t="s">
        <v>348</v>
      </c>
      <c r="C755" t="s">
        <v>1356</v>
      </c>
      <c r="D755" t="s">
        <v>1572</v>
      </c>
      <c r="E755" t="s">
        <v>349</v>
      </c>
      <c r="F755" t="s">
        <v>1566</v>
      </c>
      <c r="G755">
        <v>8.9466280000000005</v>
      </c>
      <c r="H755">
        <v>-79.554738</v>
      </c>
      <c r="I755" t="s">
        <v>1573</v>
      </c>
      <c r="J755">
        <v>200</v>
      </c>
      <c r="K755">
        <v>1947</v>
      </c>
      <c r="L755">
        <v>1947</v>
      </c>
      <c r="M755" t="s">
        <v>203</v>
      </c>
      <c r="N755" t="s">
        <v>203</v>
      </c>
      <c r="Q755" s="2" t="str">
        <f>IF($C755="","",IFERROR(VLOOKUP($C755,sources!$A$2:$N$200,2,FALSE()),"?"))</f>
        <v>Map</v>
      </c>
      <c r="R755" s="2" t="str">
        <f t="shared" si="11"/>
        <v>Map</v>
      </c>
      <c r="S755" s="2" t="str">
        <f>IF($C755="","",IFERROR(VLOOKUP($C755,sources!$A$2:$N$200,9,FALSE()),"?"))</f>
        <v>US official</v>
      </c>
      <c r="T755" t="s">
        <v>5692</v>
      </c>
      <c r="U755">
        <f>IF(OR(B755="",C755="",T755="Retracted",LEFT(D755,8)="Negative"),0,IF(COUNTIFS($B$2:B755,B755,$C$2:C755,C755,$D$2:D755,"&lt;&gt;Negative*",$T$2:T755,"&lt;&gt;Retracted")=1,1,0))</f>
        <v>1</v>
      </c>
    </row>
    <row r="756" spans="1:21" x14ac:dyDescent="0.2">
      <c r="A756" t="s">
        <v>2572</v>
      </c>
      <c r="B756" t="s">
        <v>348</v>
      </c>
      <c r="C756" t="s">
        <v>1356</v>
      </c>
      <c r="D756" t="s">
        <v>1564</v>
      </c>
      <c r="E756" t="s">
        <v>349</v>
      </c>
      <c r="F756" t="s">
        <v>1566</v>
      </c>
      <c r="I756" t="s">
        <v>1058</v>
      </c>
      <c r="K756">
        <v>1947</v>
      </c>
      <c r="L756">
        <v>1947</v>
      </c>
      <c r="M756" t="s">
        <v>203</v>
      </c>
      <c r="N756" t="s">
        <v>203</v>
      </c>
      <c r="Q756" s="2" t="str">
        <f>IF($C756="","",IFERROR(VLOOKUP($C756,sources!$A$2:$N$200,2,FALSE()),"?"))</f>
        <v>Map</v>
      </c>
      <c r="R756" s="2" t="str">
        <f t="shared" si="11"/>
        <v>Map</v>
      </c>
      <c r="S756" s="2" t="str">
        <f>IF($C756="","",IFERROR(VLOOKUP($C756,sources!$A$2:$N$200,9,FALSE()),"?"))</f>
        <v>US official</v>
      </c>
      <c r="T756" t="s">
        <v>5692</v>
      </c>
      <c r="U756">
        <f>IF(OR(B756="",C756="",T756="Retracted",LEFT(D756,8)="Negative"),0,IF(COUNTIFS($B$2:B756,B756,$C$2:C756,C756,$D$2:D756,"&lt;&gt;Negative*",$T$2:T756,"&lt;&gt;Retracted")=1,1,0))</f>
        <v>0</v>
      </c>
    </row>
    <row r="757" spans="1:21" x14ac:dyDescent="0.2">
      <c r="A757" t="s">
        <v>2573</v>
      </c>
      <c r="B757" t="s">
        <v>619</v>
      </c>
      <c r="C757" t="s">
        <v>1168</v>
      </c>
      <c r="D757" t="s">
        <v>1572</v>
      </c>
      <c r="E757" t="s">
        <v>2574</v>
      </c>
      <c r="F757" t="s">
        <v>1583</v>
      </c>
      <c r="G757">
        <v>9.0296400000000006</v>
      </c>
      <c r="H757">
        <v>-79.622910000000005</v>
      </c>
      <c r="I757" t="s">
        <v>1573</v>
      </c>
      <c r="J757">
        <v>350</v>
      </c>
      <c r="K757">
        <v>1911</v>
      </c>
      <c r="L757">
        <v>1911</v>
      </c>
      <c r="M757" t="s">
        <v>203</v>
      </c>
      <c r="N757" t="s">
        <v>209</v>
      </c>
      <c r="Q757" s="2" t="str">
        <f>IF($C757="","",IFERROR(VLOOKUP($C757,sources!$A$2:$N$200,2,FALSE()),"?"))</f>
        <v>Map</v>
      </c>
      <c r="R757" s="2" t="str">
        <f t="shared" si="11"/>
        <v>Map</v>
      </c>
      <c r="S757" s="2" t="str">
        <f>IF($C757="","",IFERROR(VLOOKUP($C757,sources!$A$2:$N$200,9,FALSE()),"?"))</f>
        <v>US official</v>
      </c>
      <c r="T757" t="s">
        <v>5692</v>
      </c>
      <c r="U757">
        <f>IF(OR(B757="",C757="",T757="Retracted",LEFT(D757,8)="Negative"),0,IF(COUNTIFS($B$2:B757,B757,$C$2:C757,C757,$D$2:D757,"&lt;&gt;Negative*",$T$2:T757,"&lt;&gt;Retracted")=1,1,0))</f>
        <v>1</v>
      </c>
    </row>
    <row r="758" spans="1:21" x14ac:dyDescent="0.2">
      <c r="A758" t="s">
        <v>2575</v>
      </c>
      <c r="B758" t="s">
        <v>625</v>
      </c>
      <c r="C758" t="s">
        <v>1168</v>
      </c>
      <c r="D758" t="s">
        <v>1572</v>
      </c>
      <c r="E758" t="s">
        <v>2576</v>
      </c>
      <c r="F758" t="s">
        <v>1566</v>
      </c>
      <c r="G758">
        <v>9.0556000000000001</v>
      </c>
      <c r="H758">
        <v>-79.662400000000005</v>
      </c>
      <c r="I758" t="s">
        <v>1573</v>
      </c>
      <c r="J758">
        <v>350</v>
      </c>
      <c r="K758">
        <v>1911</v>
      </c>
      <c r="L758">
        <v>1911</v>
      </c>
      <c r="M758" t="s">
        <v>203</v>
      </c>
      <c r="N758" t="s">
        <v>209</v>
      </c>
      <c r="Q758" s="2" t="str">
        <f>IF($C758="","",IFERROR(VLOOKUP($C758,sources!$A$2:$N$200,2,FALSE()),"?"))</f>
        <v>Map</v>
      </c>
      <c r="R758" s="2" t="str">
        <f t="shared" si="11"/>
        <v>Map</v>
      </c>
      <c r="S758" s="2" t="str">
        <f>IF($C758="","",IFERROR(VLOOKUP($C758,sources!$A$2:$N$200,9,FALSE()),"?"))</f>
        <v>US official</v>
      </c>
      <c r="T758" t="s">
        <v>5692</v>
      </c>
      <c r="U758">
        <f>IF(OR(B758="",C758="",T758="Retracted",LEFT(D758,8)="Negative"),0,IF(COUNTIFS($B$2:B758,B758,$C$2:C758,C758,$D$2:D758,"&lt;&gt;Negative*",$T$2:T758,"&lt;&gt;Retracted")=1,1,0))</f>
        <v>1</v>
      </c>
    </row>
    <row r="759" spans="1:21" x14ac:dyDescent="0.2">
      <c r="A759" t="s">
        <v>2577</v>
      </c>
      <c r="B759" t="s">
        <v>630</v>
      </c>
      <c r="C759" t="s">
        <v>1168</v>
      </c>
      <c r="D759" t="s">
        <v>1572</v>
      </c>
      <c r="E759" t="s">
        <v>2578</v>
      </c>
      <c r="F759" t="s">
        <v>1566</v>
      </c>
      <c r="G759">
        <v>9.1045800000000003</v>
      </c>
      <c r="H759">
        <v>-79.722070000000002</v>
      </c>
      <c r="I759" t="s">
        <v>1573</v>
      </c>
      <c r="J759">
        <v>500</v>
      </c>
      <c r="K759">
        <v>1911</v>
      </c>
      <c r="L759">
        <v>1911</v>
      </c>
      <c r="M759" t="s">
        <v>203</v>
      </c>
      <c r="N759" t="s">
        <v>190</v>
      </c>
      <c r="Q759" s="2" t="str">
        <f>IF($C759="","",IFERROR(VLOOKUP($C759,sources!$A$2:$N$200,2,FALSE()),"?"))</f>
        <v>Map</v>
      </c>
      <c r="R759" s="2" t="str">
        <f t="shared" si="11"/>
        <v>Map</v>
      </c>
      <c r="S759" s="2" t="str">
        <f>IF($C759="","",IFERROR(VLOOKUP($C759,sources!$A$2:$N$200,9,FALSE()),"?"))</f>
        <v>US official</v>
      </c>
      <c r="T759" t="s">
        <v>5692</v>
      </c>
      <c r="U759">
        <f>IF(OR(B759="",C759="",T759="Retracted",LEFT(D759,8)="Negative"),0,IF(COUNTIFS($B$2:B759,B759,$C$2:C759,C759,$D$2:D759,"&lt;&gt;Negative*",$T$2:T759,"&lt;&gt;Retracted")=1,1,0))</f>
        <v>1</v>
      </c>
    </row>
    <row r="760" spans="1:21" x14ac:dyDescent="0.2">
      <c r="A760" t="s">
        <v>2579</v>
      </c>
      <c r="B760" t="s">
        <v>233</v>
      </c>
      <c r="C760" t="s">
        <v>1362</v>
      </c>
      <c r="D760" t="s">
        <v>1575</v>
      </c>
      <c r="E760" t="s">
        <v>2580</v>
      </c>
      <c r="F760" t="s">
        <v>1566</v>
      </c>
      <c r="K760" t="s">
        <v>2581</v>
      </c>
      <c r="L760" t="s">
        <v>1181</v>
      </c>
      <c r="M760" t="s">
        <v>209</v>
      </c>
      <c r="N760" t="s">
        <v>209</v>
      </c>
      <c r="Q760" s="2" t="str">
        <f>IF($C760="","",IFERROR(VLOOKUP($C760,sources!$A$2:$N$200,2,FALSE()),"?"))</f>
        <v>Secondary</v>
      </c>
      <c r="R760" s="2" t="str">
        <f t="shared" si="11"/>
        <v>Secondary</v>
      </c>
      <c r="S760" s="2" t="str">
        <f>IF($C760="","",IFERROR(VLOOKUP($C760,sources!$A$2:$N$200,9,FALSE()),"?"))</f>
        <v>Panamanian</v>
      </c>
      <c r="T760" t="s">
        <v>5692</v>
      </c>
      <c r="U760">
        <f>IF(OR(B760="",C760="",T760="Retracted",LEFT(D760,8)="Negative"),0,IF(COUNTIFS($B$2:B760,B760,$C$2:C760,C760,$D$2:D760,"&lt;&gt;Negative*",$T$2:T760,"&lt;&gt;Retracted")=1,1,0))</f>
        <v>1</v>
      </c>
    </row>
    <row r="761" spans="1:21" x14ac:dyDescent="0.2">
      <c r="A761" t="s">
        <v>2582</v>
      </c>
      <c r="B761" t="s">
        <v>242</v>
      </c>
      <c r="C761" t="s">
        <v>1362</v>
      </c>
      <c r="D761" t="s">
        <v>1575</v>
      </c>
      <c r="E761" t="s">
        <v>243</v>
      </c>
      <c r="F761" t="s">
        <v>1566</v>
      </c>
      <c r="K761" t="s">
        <v>231</v>
      </c>
      <c r="L761" t="s">
        <v>231</v>
      </c>
      <c r="M761" t="s">
        <v>203</v>
      </c>
      <c r="N761" t="s">
        <v>209</v>
      </c>
      <c r="Q761" s="2" t="str">
        <f>IF($C761="","",IFERROR(VLOOKUP($C761,sources!$A$2:$N$200,2,FALSE()),"?"))</f>
        <v>Secondary</v>
      </c>
      <c r="R761" s="2" t="str">
        <f t="shared" si="11"/>
        <v>Secondary</v>
      </c>
      <c r="S761" s="2" t="str">
        <f>IF($C761="","",IFERROR(VLOOKUP($C761,sources!$A$2:$N$200,9,FALSE()),"?"))</f>
        <v>Panamanian</v>
      </c>
      <c r="T761" t="s">
        <v>5692</v>
      </c>
      <c r="U761">
        <f>IF(OR(B761="",C761="",T761="Retracted",LEFT(D761,8)="Negative"),0,IF(COUNTIFS($B$2:B761,B761,$C$2:C761,C761,$D$2:D761,"&lt;&gt;Negative*",$T$2:T761,"&lt;&gt;Retracted")=1,1,0))</f>
        <v>1</v>
      </c>
    </row>
    <row r="762" spans="1:21" x14ac:dyDescent="0.2">
      <c r="A762" t="s">
        <v>2583</v>
      </c>
      <c r="B762" t="s">
        <v>179</v>
      </c>
      <c r="C762" t="s">
        <v>1362</v>
      </c>
      <c r="D762" t="s">
        <v>1575</v>
      </c>
      <c r="E762" t="s">
        <v>2584</v>
      </c>
      <c r="F762" t="s">
        <v>1566</v>
      </c>
      <c r="M762" t="s">
        <v>190</v>
      </c>
      <c r="N762" t="s">
        <v>209</v>
      </c>
      <c r="Q762" s="2" t="str">
        <f>IF($C762="","",IFERROR(VLOOKUP($C762,sources!$A$2:$N$200,2,FALSE()),"?"))</f>
        <v>Secondary</v>
      </c>
      <c r="R762" s="2" t="str">
        <f t="shared" si="11"/>
        <v>Secondary</v>
      </c>
      <c r="S762" s="2" t="str">
        <f>IF($C762="","",IFERROR(VLOOKUP($C762,sources!$A$2:$N$200,9,FALSE()),"?"))</f>
        <v>Panamanian</v>
      </c>
      <c r="T762" t="s">
        <v>5692</v>
      </c>
      <c r="U762">
        <f>IF(OR(B762="",C762="",T762="Retracted",LEFT(D762,8)="Negative"),0,IF(COUNTIFS($B$2:B762,B762,$C$2:C762,C762,$D$2:D762,"&lt;&gt;Negative*",$T$2:T762,"&lt;&gt;Retracted")=1,1,0))</f>
        <v>1</v>
      </c>
    </row>
    <row r="763" spans="1:21" x14ac:dyDescent="0.2">
      <c r="A763" t="s">
        <v>2585</v>
      </c>
      <c r="B763" t="s">
        <v>357</v>
      </c>
      <c r="C763" t="s">
        <v>1362</v>
      </c>
      <c r="D763" t="s">
        <v>1575</v>
      </c>
      <c r="E763" t="s">
        <v>2586</v>
      </c>
      <c r="F763" t="s">
        <v>1566</v>
      </c>
      <c r="M763" t="s">
        <v>190</v>
      </c>
      <c r="N763" t="s">
        <v>209</v>
      </c>
      <c r="Q763" s="2" t="str">
        <f>IF($C763="","",IFERROR(VLOOKUP($C763,sources!$A$2:$N$200,2,FALSE()),"?"))</f>
        <v>Secondary</v>
      </c>
      <c r="R763" s="2" t="str">
        <f t="shared" si="11"/>
        <v>Secondary</v>
      </c>
      <c r="S763" s="2" t="str">
        <f>IF($C763="","",IFERROR(VLOOKUP($C763,sources!$A$2:$N$200,9,FALSE()),"?"))</f>
        <v>Panamanian</v>
      </c>
      <c r="T763" t="s">
        <v>5692</v>
      </c>
      <c r="U763">
        <f>IF(OR(B763="",C763="",T763="Retracted",LEFT(D763,8)="Negative"),0,IF(COUNTIFS($B$2:B763,B763,$C$2:C763,C763,$D$2:D763,"&lt;&gt;Negative*",$T$2:T763,"&lt;&gt;Retracted")=1,1,0))</f>
        <v>1</v>
      </c>
    </row>
    <row r="764" spans="1:21" x14ac:dyDescent="0.2">
      <c r="A764" t="s">
        <v>2587</v>
      </c>
      <c r="B764" t="s">
        <v>635</v>
      </c>
      <c r="C764" t="s">
        <v>1179</v>
      </c>
      <c r="D764" t="s">
        <v>1572</v>
      </c>
      <c r="E764" t="s">
        <v>636</v>
      </c>
      <c r="F764" t="s">
        <v>1566</v>
      </c>
      <c r="G764">
        <v>9.1839999999999993</v>
      </c>
      <c r="H764">
        <v>-79.564999999999998</v>
      </c>
      <c r="I764" t="s">
        <v>1573</v>
      </c>
      <c r="J764">
        <v>500</v>
      </c>
      <c r="K764">
        <v>1909</v>
      </c>
      <c r="L764">
        <v>1909</v>
      </c>
      <c r="M764" t="s">
        <v>203</v>
      </c>
      <c r="N764" t="s">
        <v>209</v>
      </c>
      <c r="Q764" s="2" t="str">
        <f>IF($C764="","",IFERROR(VLOOKUP($C764,sources!$A$2:$N$200,2,FALSE()),"?"))</f>
        <v>Map</v>
      </c>
      <c r="R764" s="2" t="str">
        <f t="shared" si="11"/>
        <v>Map</v>
      </c>
      <c r="S764" s="2" t="str">
        <f>IF($C764="","",IFERROR(VLOOKUP($C764,sources!$A$2:$N$200,9,FALSE()),"?"))</f>
        <v>US official</v>
      </c>
      <c r="T764" t="s">
        <v>5692</v>
      </c>
      <c r="U764">
        <f>IF(OR(B764="",C764="",T764="Retracted",LEFT(D764,8)="Negative"),0,IF(COUNTIFS($B$2:B764,B764,$C$2:C764,C764,$D$2:D764,"&lt;&gt;Negative*",$T$2:T764,"&lt;&gt;Retracted")=1,1,0))</f>
        <v>1</v>
      </c>
    </row>
    <row r="765" spans="1:21" x14ac:dyDescent="0.2">
      <c r="A765" t="s">
        <v>2588</v>
      </c>
      <c r="B765" t="s">
        <v>639</v>
      </c>
      <c r="C765" t="s">
        <v>1179</v>
      </c>
      <c r="D765" t="s">
        <v>1572</v>
      </c>
      <c r="E765" t="s">
        <v>640</v>
      </c>
      <c r="F765" t="s">
        <v>1566</v>
      </c>
      <c r="G765">
        <v>9.2528000000000006</v>
      </c>
      <c r="H765">
        <v>-79.579300000000003</v>
      </c>
      <c r="I765" t="s">
        <v>1573</v>
      </c>
      <c r="J765">
        <v>600</v>
      </c>
      <c r="K765">
        <v>1909</v>
      </c>
      <c r="L765">
        <v>1909</v>
      </c>
      <c r="M765" t="s">
        <v>203</v>
      </c>
      <c r="N765" t="s">
        <v>209</v>
      </c>
      <c r="Q765" s="2" t="str">
        <f>IF($C765="","",IFERROR(VLOOKUP($C765,sources!$A$2:$N$200,2,FALSE()),"?"))</f>
        <v>Map</v>
      </c>
      <c r="R765" s="2" t="str">
        <f t="shared" si="11"/>
        <v>Map</v>
      </c>
      <c r="S765" s="2" t="str">
        <f>IF($C765="","",IFERROR(VLOOKUP($C765,sources!$A$2:$N$200,9,FALSE()),"?"))</f>
        <v>US official</v>
      </c>
      <c r="T765" t="s">
        <v>5692</v>
      </c>
      <c r="U765">
        <f>IF(OR(B765="",C765="",T765="Retracted",LEFT(D765,8)="Negative"),0,IF(COUNTIFS($B$2:B765,B765,$C$2:C765,C765,$D$2:D765,"&lt;&gt;Negative*",$T$2:T765,"&lt;&gt;Retracted")=1,1,0))</f>
        <v>1</v>
      </c>
    </row>
    <row r="766" spans="1:21" x14ac:dyDescent="0.2">
      <c r="A766" t="s">
        <v>2589</v>
      </c>
      <c r="B766" t="s">
        <v>643</v>
      </c>
      <c r="C766" t="s">
        <v>1179</v>
      </c>
      <c r="D766" t="s">
        <v>1572</v>
      </c>
      <c r="E766" t="s">
        <v>644</v>
      </c>
      <c r="F766" t="s">
        <v>1566</v>
      </c>
      <c r="G766">
        <v>9.2383000000000006</v>
      </c>
      <c r="H766">
        <v>-79.566400000000002</v>
      </c>
      <c r="I766" t="s">
        <v>1573</v>
      </c>
      <c r="J766">
        <v>600</v>
      </c>
      <c r="K766">
        <v>1909</v>
      </c>
      <c r="L766">
        <v>1909</v>
      </c>
      <c r="M766" t="s">
        <v>203</v>
      </c>
      <c r="N766" t="s">
        <v>209</v>
      </c>
      <c r="Q766" s="2" t="str">
        <f>IF($C766="","",IFERROR(VLOOKUP($C766,sources!$A$2:$N$200,2,FALSE()),"?"))</f>
        <v>Map</v>
      </c>
      <c r="R766" s="2" t="str">
        <f t="shared" si="11"/>
        <v>Map</v>
      </c>
      <c r="S766" s="2" t="str">
        <f>IF($C766="","",IFERROR(VLOOKUP($C766,sources!$A$2:$N$200,9,FALSE()),"?"))</f>
        <v>US official</v>
      </c>
      <c r="T766" t="s">
        <v>5692</v>
      </c>
      <c r="U766">
        <f>IF(OR(B766="",C766="",T766="Retracted",LEFT(D766,8)="Negative"),0,IF(COUNTIFS($B$2:B766,B766,$C$2:C766,C766,$D$2:D766,"&lt;&gt;Negative*",$T$2:T766,"&lt;&gt;Retracted")=1,1,0))</f>
        <v>1</v>
      </c>
    </row>
    <row r="767" spans="1:21" x14ac:dyDescent="0.2">
      <c r="A767" t="s">
        <v>2590</v>
      </c>
      <c r="B767" t="s">
        <v>646</v>
      </c>
      <c r="C767" t="s">
        <v>1179</v>
      </c>
      <c r="D767" t="s">
        <v>1572</v>
      </c>
      <c r="E767" t="s">
        <v>647</v>
      </c>
      <c r="F767" t="s">
        <v>1566</v>
      </c>
      <c r="G767">
        <v>9.2378999999999998</v>
      </c>
      <c r="H767">
        <v>-79.577699999999993</v>
      </c>
      <c r="I767" t="s">
        <v>1573</v>
      </c>
      <c r="J767">
        <v>700</v>
      </c>
      <c r="K767">
        <v>1909</v>
      </c>
      <c r="L767">
        <v>1909</v>
      </c>
      <c r="M767" t="s">
        <v>203</v>
      </c>
      <c r="N767" t="s">
        <v>190</v>
      </c>
      <c r="Q767" s="2" t="str">
        <f>IF($C767="","",IFERROR(VLOOKUP($C767,sources!$A$2:$N$200,2,FALSE()),"?"))</f>
        <v>Map</v>
      </c>
      <c r="R767" s="2" t="str">
        <f t="shared" si="11"/>
        <v>Map</v>
      </c>
      <c r="S767" s="2" t="str">
        <f>IF($C767="","",IFERROR(VLOOKUP($C767,sources!$A$2:$N$200,9,FALSE()),"?"))</f>
        <v>US official</v>
      </c>
      <c r="T767" t="s">
        <v>5692</v>
      </c>
      <c r="U767">
        <f>IF(OR(B767="",C767="",T767="Retracted",LEFT(D767,8)="Negative"),0,IF(COUNTIFS($B$2:B767,B767,$C$2:C767,C767,$D$2:D767,"&lt;&gt;Negative*",$T$2:T767,"&lt;&gt;Retracted")=1,1,0))</f>
        <v>1</v>
      </c>
    </row>
    <row r="768" spans="1:21" x14ac:dyDescent="0.2">
      <c r="A768" t="s">
        <v>2591</v>
      </c>
      <c r="B768" t="s">
        <v>649</v>
      </c>
      <c r="C768" t="s">
        <v>1179</v>
      </c>
      <c r="D768" t="s">
        <v>1572</v>
      </c>
      <c r="E768" t="s">
        <v>650</v>
      </c>
      <c r="F768" t="s">
        <v>1566</v>
      </c>
      <c r="G768">
        <v>9.2248999999999999</v>
      </c>
      <c r="H768">
        <v>-79.598600000000005</v>
      </c>
      <c r="I768" t="s">
        <v>1573</v>
      </c>
      <c r="J768">
        <v>600</v>
      </c>
      <c r="K768">
        <v>1909</v>
      </c>
      <c r="L768">
        <v>1909</v>
      </c>
      <c r="M768" t="s">
        <v>203</v>
      </c>
      <c r="N768" t="s">
        <v>209</v>
      </c>
      <c r="Q768" s="2" t="str">
        <f>IF($C768="","",IFERROR(VLOOKUP($C768,sources!$A$2:$N$200,2,FALSE()),"?"))</f>
        <v>Map</v>
      </c>
      <c r="R768" s="2" t="str">
        <f t="shared" si="11"/>
        <v>Map</v>
      </c>
      <c r="S768" s="2" t="str">
        <f>IF($C768="","",IFERROR(VLOOKUP($C768,sources!$A$2:$N$200,9,FALSE()),"?"))</f>
        <v>US official</v>
      </c>
      <c r="T768" t="s">
        <v>5692</v>
      </c>
      <c r="U768">
        <f>IF(OR(B768="",C768="",T768="Retracted",LEFT(D768,8)="Negative"),0,IF(COUNTIFS($B$2:B768,B768,$C$2:C768,C768,$D$2:D768,"&lt;&gt;Negative*",$T$2:T768,"&lt;&gt;Retracted")=1,1,0))</f>
        <v>1</v>
      </c>
    </row>
    <row r="769" spans="1:21" x14ac:dyDescent="0.2">
      <c r="A769" t="s">
        <v>2592</v>
      </c>
      <c r="B769" t="s">
        <v>652</v>
      </c>
      <c r="C769" t="s">
        <v>1304</v>
      </c>
      <c r="D769" t="s">
        <v>1572</v>
      </c>
      <c r="E769" t="s">
        <v>653</v>
      </c>
      <c r="G769">
        <v>9.0616920000000007</v>
      </c>
      <c r="H769">
        <v>-79.672240000000002</v>
      </c>
      <c r="I769" t="s">
        <v>1573</v>
      </c>
      <c r="J769">
        <v>200</v>
      </c>
      <c r="K769">
        <v>1907</v>
      </c>
      <c r="L769">
        <v>1907</v>
      </c>
      <c r="M769" t="s">
        <v>203</v>
      </c>
      <c r="N769" t="s">
        <v>203</v>
      </c>
      <c r="Q769" s="2" t="str">
        <f>IF($C769="","",IFERROR(VLOOKUP($C769,sources!$A$2:$N$200,2,FALSE()),"?"))</f>
        <v>Map</v>
      </c>
      <c r="R769" s="2" t="str">
        <f t="shared" si="11"/>
        <v>Map</v>
      </c>
      <c r="S769" s="2" t="str">
        <f>IF($C769="","",IFERROR(VLOOKUP($C769,sources!$A$2:$N$200,9,FALSE()),"?"))</f>
        <v>US official</v>
      </c>
      <c r="T769" t="s">
        <v>5692</v>
      </c>
      <c r="U769">
        <f>IF(OR(B769="",C769="",T769="Retracted",LEFT(D769,8)="Negative"),0,IF(COUNTIFS($B$2:B769,B769,$C$2:C769,C769,$D$2:D769,"&lt;&gt;Negative*",$T$2:T769,"&lt;&gt;Retracted")=1,1,0))</f>
        <v>1</v>
      </c>
    </row>
    <row r="770" spans="1:21" x14ac:dyDescent="0.2">
      <c r="A770" t="s">
        <v>2593</v>
      </c>
      <c r="B770" t="s">
        <v>656</v>
      </c>
      <c r="C770" t="s">
        <v>1304</v>
      </c>
      <c r="D770" t="s">
        <v>1572</v>
      </c>
      <c r="E770" t="s">
        <v>657</v>
      </c>
      <c r="G770">
        <v>9.0624140000000004</v>
      </c>
      <c r="H770">
        <v>-79.671114000000003</v>
      </c>
      <c r="I770" t="s">
        <v>1573</v>
      </c>
      <c r="J770">
        <v>200</v>
      </c>
      <c r="K770">
        <v>1907</v>
      </c>
      <c r="L770">
        <v>1907</v>
      </c>
      <c r="M770" t="s">
        <v>203</v>
      </c>
      <c r="N770" t="s">
        <v>203</v>
      </c>
      <c r="Q770" s="2" t="str">
        <f>IF($C770="","",IFERROR(VLOOKUP($C770,sources!$A$2:$N$200,2,FALSE()),"?"))</f>
        <v>Map</v>
      </c>
      <c r="R770" s="2" t="str">
        <f t="shared" ref="R770:R833" si="12">IF($Q770="","",IF($Q770="Map","Map",IF(OR($Q770="Photograph",$Q770="Postcard"),"Image",IF(OR($Q770="Census or roll",$Q770="Report",$Q770="Newspaper",$Q770="Letter",$Q770="Memoir",$Q770="Administrative",$Q770="Web compilation"),"Textual",IF($Q770="Legal claim","Legal/admin",IF($Q770="Secondary","Secondary","Other"))))))</f>
        <v>Map</v>
      </c>
      <c r="S770" s="2" t="str">
        <f>IF($C770="","",IFERROR(VLOOKUP($C770,sources!$A$2:$N$200,9,FALSE()),"?"))</f>
        <v>US official</v>
      </c>
      <c r="T770" t="s">
        <v>5692</v>
      </c>
      <c r="U770">
        <f>IF(OR(B770="",C770="",T770="Retracted",LEFT(D770,8)="Negative"),0,IF(COUNTIFS($B$2:B770,B770,$C$2:C770,C770,$D$2:D770,"&lt;&gt;Negative*",$T$2:T770,"&lt;&gt;Retracted")=1,1,0))</f>
        <v>1</v>
      </c>
    </row>
    <row r="771" spans="1:21" x14ac:dyDescent="0.2">
      <c r="A771" t="s">
        <v>2594</v>
      </c>
      <c r="B771" t="s">
        <v>660</v>
      </c>
      <c r="C771" t="s">
        <v>1304</v>
      </c>
      <c r="D771" t="s">
        <v>1572</v>
      </c>
      <c r="E771" t="s">
        <v>661</v>
      </c>
      <c r="G771">
        <v>9.0602499999999999</v>
      </c>
      <c r="H771">
        <v>-79.671850000000006</v>
      </c>
      <c r="I771" t="s">
        <v>1573</v>
      </c>
      <c r="J771">
        <v>200</v>
      </c>
      <c r="K771">
        <v>1907</v>
      </c>
      <c r="L771">
        <v>1907</v>
      </c>
      <c r="M771" t="s">
        <v>203</v>
      </c>
      <c r="N771" t="s">
        <v>203</v>
      </c>
      <c r="Q771" s="2" t="str">
        <f>IF($C771="","",IFERROR(VLOOKUP($C771,sources!$A$2:$N$200,2,FALSE()),"?"))</f>
        <v>Map</v>
      </c>
      <c r="R771" s="2" t="str">
        <f t="shared" si="12"/>
        <v>Map</v>
      </c>
      <c r="S771" s="2" t="str">
        <f>IF($C771="","",IFERROR(VLOOKUP($C771,sources!$A$2:$N$200,9,FALSE()),"?"))</f>
        <v>US official</v>
      </c>
      <c r="T771" t="s">
        <v>5692</v>
      </c>
      <c r="U771">
        <f>IF(OR(B771="",C771="",T771="Retracted",LEFT(D771,8)="Negative"),0,IF(COUNTIFS($B$2:B771,B771,$C$2:C771,C771,$D$2:D771,"&lt;&gt;Negative*",$T$2:T771,"&lt;&gt;Retracted")=1,1,0))</f>
        <v>0</v>
      </c>
    </row>
    <row r="772" spans="1:21" x14ac:dyDescent="0.2">
      <c r="A772" t="s">
        <v>2595</v>
      </c>
      <c r="B772" t="s">
        <v>663</v>
      </c>
      <c r="C772" t="s">
        <v>1304</v>
      </c>
      <c r="D772" t="s">
        <v>1572</v>
      </c>
      <c r="E772" t="s">
        <v>664</v>
      </c>
      <c r="G772">
        <v>9.0620740000000009</v>
      </c>
      <c r="H772">
        <v>-79.669970000000006</v>
      </c>
      <c r="I772" t="s">
        <v>1573</v>
      </c>
      <c r="J772">
        <v>200</v>
      </c>
      <c r="K772">
        <v>1907</v>
      </c>
      <c r="L772">
        <v>1907</v>
      </c>
      <c r="M772" t="s">
        <v>203</v>
      </c>
      <c r="N772" t="s">
        <v>203</v>
      </c>
      <c r="Q772" s="2" t="str">
        <f>IF($C772="","",IFERROR(VLOOKUP($C772,sources!$A$2:$N$200,2,FALSE()),"?"))</f>
        <v>Map</v>
      </c>
      <c r="R772" s="2" t="str">
        <f t="shared" si="12"/>
        <v>Map</v>
      </c>
      <c r="S772" s="2" t="str">
        <f>IF($C772="","",IFERROR(VLOOKUP($C772,sources!$A$2:$N$200,9,FALSE()),"?"))</f>
        <v>US official</v>
      </c>
      <c r="T772" t="s">
        <v>5692</v>
      </c>
      <c r="U772">
        <f>IF(OR(B772="",C772="",T772="Retracted",LEFT(D772,8)="Negative"),0,IF(COUNTIFS($B$2:B772,B772,$C$2:C772,C772,$D$2:D772,"&lt;&gt;Negative*",$T$2:T772,"&lt;&gt;Retracted")=1,1,0))</f>
        <v>1</v>
      </c>
    </row>
    <row r="773" spans="1:21" x14ac:dyDescent="0.2">
      <c r="A773" t="s">
        <v>2596</v>
      </c>
      <c r="B773" t="s">
        <v>667</v>
      </c>
      <c r="C773" t="s">
        <v>1304</v>
      </c>
      <c r="D773" t="s">
        <v>1572</v>
      </c>
      <c r="E773" t="s">
        <v>668</v>
      </c>
      <c r="G773">
        <v>9.0635519999999996</v>
      </c>
      <c r="H773">
        <v>-79.672604000000007</v>
      </c>
      <c r="I773" t="s">
        <v>1573</v>
      </c>
      <c r="J773">
        <v>200</v>
      </c>
      <c r="K773">
        <v>1907</v>
      </c>
      <c r="L773">
        <v>1907</v>
      </c>
      <c r="M773" t="s">
        <v>203</v>
      </c>
      <c r="N773" t="s">
        <v>190</v>
      </c>
      <c r="Q773" s="2" t="str">
        <f>IF($C773="","",IFERROR(VLOOKUP($C773,sources!$A$2:$N$200,2,FALSE()),"?"))</f>
        <v>Map</v>
      </c>
      <c r="R773" s="2" t="str">
        <f t="shared" si="12"/>
        <v>Map</v>
      </c>
      <c r="S773" s="2" t="str">
        <f>IF($C773="","",IFERROR(VLOOKUP($C773,sources!$A$2:$N$200,9,FALSE()),"?"))</f>
        <v>US official</v>
      </c>
      <c r="T773" t="s">
        <v>5692</v>
      </c>
      <c r="U773">
        <f>IF(OR(B773="",C773="",T773="Retracted",LEFT(D773,8)="Negative"),0,IF(COUNTIFS($B$2:B773,B773,$C$2:C773,C773,$D$2:D773,"&lt;&gt;Negative*",$T$2:T773,"&lt;&gt;Retracted")=1,1,0))</f>
        <v>1</v>
      </c>
    </row>
    <row r="774" spans="1:21" x14ac:dyDescent="0.2">
      <c r="A774" t="s">
        <v>2597</v>
      </c>
      <c r="B774" t="s">
        <v>670</v>
      </c>
      <c r="C774" t="s">
        <v>1304</v>
      </c>
      <c r="D774" t="s">
        <v>1572</v>
      </c>
      <c r="E774" t="s">
        <v>671</v>
      </c>
      <c r="G774">
        <v>9.0637539999999994</v>
      </c>
      <c r="H774">
        <v>-79.673452999999995</v>
      </c>
      <c r="I774" t="s">
        <v>1573</v>
      </c>
      <c r="J774">
        <v>200</v>
      </c>
      <c r="K774">
        <v>1907</v>
      </c>
      <c r="L774">
        <v>1907</v>
      </c>
      <c r="M774" t="s">
        <v>203</v>
      </c>
      <c r="N774" t="s">
        <v>203</v>
      </c>
      <c r="Q774" s="2" t="str">
        <f>IF($C774="","",IFERROR(VLOOKUP($C774,sources!$A$2:$N$200,2,FALSE()),"?"))</f>
        <v>Map</v>
      </c>
      <c r="R774" s="2" t="str">
        <f t="shared" si="12"/>
        <v>Map</v>
      </c>
      <c r="S774" s="2" t="str">
        <f>IF($C774="","",IFERROR(VLOOKUP($C774,sources!$A$2:$N$200,9,FALSE()),"?"))</f>
        <v>US official</v>
      </c>
      <c r="T774" t="s">
        <v>5692</v>
      </c>
      <c r="U774">
        <f>IF(OR(B774="",C774="",T774="Retracted",LEFT(D774,8)="Negative"),0,IF(COUNTIFS($B$2:B774,B774,$C$2:C774,C774,$D$2:D774,"&lt;&gt;Negative*",$T$2:T774,"&lt;&gt;Retracted")=1,1,0))</f>
        <v>1</v>
      </c>
    </row>
    <row r="775" spans="1:21" x14ac:dyDescent="0.2">
      <c r="A775" t="s">
        <v>2598</v>
      </c>
      <c r="B775" t="s">
        <v>673</v>
      </c>
      <c r="C775" t="s">
        <v>1304</v>
      </c>
      <c r="D775" t="s">
        <v>1572</v>
      </c>
      <c r="E775" t="s">
        <v>2599</v>
      </c>
      <c r="G775">
        <v>9.0652819999999998</v>
      </c>
      <c r="H775">
        <v>-79.671914000000001</v>
      </c>
      <c r="I775" t="s">
        <v>1573</v>
      </c>
      <c r="J775">
        <v>200</v>
      </c>
      <c r="K775">
        <v>1907</v>
      </c>
      <c r="L775">
        <v>1907</v>
      </c>
      <c r="M775" t="s">
        <v>203</v>
      </c>
      <c r="N775" t="s">
        <v>203</v>
      </c>
      <c r="Q775" s="2" t="str">
        <f>IF($C775="","",IFERROR(VLOOKUP($C775,sources!$A$2:$N$200,2,FALSE()),"?"))</f>
        <v>Map</v>
      </c>
      <c r="R775" s="2" t="str">
        <f t="shared" si="12"/>
        <v>Map</v>
      </c>
      <c r="S775" s="2" t="str">
        <f>IF($C775="","",IFERROR(VLOOKUP($C775,sources!$A$2:$N$200,9,FALSE()),"?"))</f>
        <v>US official</v>
      </c>
      <c r="T775" t="s">
        <v>5692</v>
      </c>
      <c r="U775">
        <f>IF(OR(B775="",C775="",T775="Retracted",LEFT(D775,8)="Negative"),0,IF(COUNTIFS($B$2:B775,B775,$C$2:C775,C775,$D$2:D775,"&lt;&gt;Negative*",$T$2:T775,"&lt;&gt;Retracted")=1,1,0))</f>
        <v>1</v>
      </c>
    </row>
    <row r="776" spans="1:21" x14ac:dyDescent="0.2">
      <c r="A776" t="s">
        <v>2600</v>
      </c>
      <c r="B776" t="s">
        <v>673</v>
      </c>
      <c r="C776" t="s">
        <v>1304</v>
      </c>
      <c r="D776" t="s">
        <v>1572</v>
      </c>
      <c r="E776" t="s">
        <v>2601</v>
      </c>
      <c r="G776">
        <v>9.0654470000000007</v>
      </c>
      <c r="H776">
        <v>-79.671491000000003</v>
      </c>
      <c r="I776" t="s">
        <v>1573</v>
      </c>
      <c r="J776">
        <v>200</v>
      </c>
      <c r="K776">
        <v>1907</v>
      </c>
      <c r="L776">
        <v>1907</v>
      </c>
      <c r="M776" t="s">
        <v>203</v>
      </c>
      <c r="N776" t="s">
        <v>203</v>
      </c>
      <c r="Q776" s="2" t="str">
        <f>IF($C776="","",IFERROR(VLOOKUP($C776,sources!$A$2:$N$200,2,FALSE()),"?"))</f>
        <v>Map</v>
      </c>
      <c r="R776" s="2" t="str">
        <f t="shared" si="12"/>
        <v>Map</v>
      </c>
      <c r="S776" s="2" t="str">
        <f>IF($C776="","",IFERROR(VLOOKUP($C776,sources!$A$2:$N$200,9,FALSE()),"?"))</f>
        <v>US official</v>
      </c>
      <c r="T776" t="s">
        <v>5692</v>
      </c>
      <c r="U776">
        <f>IF(OR(B776="",C776="",T776="Retracted",LEFT(D776,8)="Negative"),0,IF(COUNTIFS($B$2:B776,B776,$C$2:C776,C776,$D$2:D776,"&lt;&gt;Negative*",$T$2:T776,"&lt;&gt;Retracted")=1,1,0))</f>
        <v>0</v>
      </c>
    </row>
    <row r="777" spans="1:21" x14ac:dyDescent="0.2">
      <c r="A777" t="s">
        <v>2602</v>
      </c>
      <c r="B777" t="s">
        <v>673</v>
      </c>
      <c r="C777" t="s">
        <v>1304</v>
      </c>
      <c r="D777" t="s">
        <v>1572</v>
      </c>
      <c r="E777" t="s">
        <v>2603</v>
      </c>
      <c r="G777">
        <v>9.0655730000000005</v>
      </c>
      <c r="H777">
        <v>-79.671105999999995</v>
      </c>
      <c r="I777" t="s">
        <v>1573</v>
      </c>
      <c r="J777">
        <v>200</v>
      </c>
      <c r="K777">
        <v>1907</v>
      </c>
      <c r="L777">
        <v>1907</v>
      </c>
      <c r="M777" t="s">
        <v>203</v>
      </c>
      <c r="N777" t="s">
        <v>203</v>
      </c>
      <c r="Q777" s="2" t="str">
        <f>IF($C777="","",IFERROR(VLOOKUP($C777,sources!$A$2:$N$200,2,FALSE()),"?"))</f>
        <v>Map</v>
      </c>
      <c r="R777" s="2" t="str">
        <f t="shared" si="12"/>
        <v>Map</v>
      </c>
      <c r="S777" s="2" t="str">
        <f>IF($C777="","",IFERROR(VLOOKUP($C777,sources!$A$2:$N$200,9,FALSE()),"?"))</f>
        <v>US official</v>
      </c>
      <c r="T777" t="s">
        <v>5692</v>
      </c>
      <c r="U777">
        <f>IF(OR(B777="",C777="",T777="Retracted",LEFT(D777,8)="Negative"),0,IF(COUNTIFS($B$2:B777,B777,$C$2:C777,C777,$D$2:D777,"&lt;&gt;Negative*",$T$2:T777,"&lt;&gt;Retracted")=1,1,0))</f>
        <v>0</v>
      </c>
    </row>
    <row r="778" spans="1:21" x14ac:dyDescent="0.2">
      <c r="A778" t="s">
        <v>2604</v>
      </c>
      <c r="B778" t="s">
        <v>673</v>
      </c>
      <c r="C778" t="s">
        <v>1304</v>
      </c>
      <c r="D778" t="s">
        <v>1572</v>
      </c>
      <c r="E778" t="s">
        <v>2605</v>
      </c>
      <c r="G778">
        <v>9.0649549999999994</v>
      </c>
      <c r="H778">
        <v>-79.671531999999999</v>
      </c>
      <c r="I778" t="s">
        <v>1573</v>
      </c>
      <c r="J778">
        <v>200</v>
      </c>
      <c r="K778">
        <v>1907</v>
      </c>
      <c r="L778">
        <v>1907</v>
      </c>
      <c r="M778" t="s">
        <v>203</v>
      </c>
      <c r="N778" t="s">
        <v>203</v>
      </c>
      <c r="Q778" s="2" t="str">
        <f>IF($C778="","",IFERROR(VLOOKUP($C778,sources!$A$2:$N$200,2,FALSE()),"?"))</f>
        <v>Map</v>
      </c>
      <c r="R778" s="2" t="str">
        <f t="shared" si="12"/>
        <v>Map</v>
      </c>
      <c r="S778" s="2" t="str">
        <f>IF($C778="","",IFERROR(VLOOKUP($C778,sources!$A$2:$N$200,9,FALSE()),"?"))</f>
        <v>US official</v>
      </c>
      <c r="T778" t="s">
        <v>5692</v>
      </c>
      <c r="U778">
        <f>IF(OR(B778="",C778="",T778="Retracted",LEFT(D778,8)="Negative"),0,IF(COUNTIFS($B$2:B778,B778,$C$2:C778,C778,$D$2:D778,"&lt;&gt;Negative*",$T$2:T778,"&lt;&gt;Retracted")=1,1,0))</f>
        <v>0</v>
      </c>
    </row>
    <row r="779" spans="1:21" x14ac:dyDescent="0.2">
      <c r="A779" t="s">
        <v>2606</v>
      </c>
      <c r="B779" t="s">
        <v>673</v>
      </c>
      <c r="C779" t="s">
        <v>1304</v>
      </c>
      <c r="D779" t="s">
        <v>1572</v>
      </c>
      <c r="E779" t="s">
        <v>2607</v>
      </c>
      <c r="G779">
        <v>9.0646419999999992</v>
      </c>
      <c r="H779">
        <v>-79.671297999999993</v>
      </c>
      <c r="I779" t="s">
        <v>1573</v>
      </c>
      <c r="J779">
        <v>200</v>
      </c>
      <c r="K779">
        <v>1907</v>
      </c>
      <c r="L779">
        <v>1907</v>
      </c>
      <c r="M779" t="s">
        <v>203</v>
      </c>
      <c r="N779" t="s">
        <v>203</v>
      </c>
      <c r="Q779" s="2" t="str">
        <f>IF($C779="","",IFERROR(VLOOKUP($C779,sources!$A$2:$N$200,2,FALSE()),"?"))</f>
        <v>Map</v>
      </c>
      <c r="R779" s="2" t="str">
        <f t="shared" si="12"/>
        <v>Map</v>
      </c>
      <c r="S779" s="2" t="str">
        <f>IF($C779="","",IFERROR(VLOOKUP($C779,sources!$A$2:$N$200,9,FALSE()),"?"))</f>
        <v>US official</v>
      </c>
      <c r="T779" t="s">
        <v>5692</v>
      </c>
      <c r="U779">
        <f>IF(OR(B779="",C779="",T779="Retracted",LEFT(D779,8)="Negative"),0,IF(COUNTIFS($B$2:B779,B779,$C$2:C779,C779,$D$2:D779,"&lt;&gt;Negative*",$T$2:T779,"&lt;&gt;Retracted")=1,1,0))</f>
        <v>0</v>
      </c>
    </row>
    <row r="780" spans="1:21" x14ac:dyDescent="0.2">
      <c r="A780" t="s">
        <v>2608</v>
      </c>
      <c r="B780" t="s">
        <v>673</v>
      </c>
      <c r="C780" t="s">
        <v>1304</v>
      </c>
      <c r="D780" t="s">
        <v>1572</v>
      </c>
      <c r="E780" t="s">
        <v>2609</v>
      </c>
      <c r="G780">
        <v>9.0640389999999993</v>
      </c>
      <c r="H780">
        <v>-79.671462000000005</v>
      </c>
      <c r="I780" t="s">
        <v>1573</v>
      </c>
      <c r="J780">
        <v>200</v>
      </c>
      <c r="K780">
        <v>1907</v>
      </c>
      <c r="L780">
        <v>1907</v>
      </c>
      <c r="M780" t="s">
        <v>203</v>
      </c>
      <c r="N780" t="s">
        <v>203</v>
      </c>
      <c r="Q780" s="2" t="str">
        <f>IF($C780="","",IFERROR(VLOOKUP($C780,sources!$A$2:$N$200,2,FALSE()),"?"))</f>
        <v>Map</v>
      </c>
      <c r="R780" s="2" t="str">
        <f t="shared" si="12"/>
        <v>Map</v>
      </c>
      <c r="S780" s="2" t="str">
        <f>IF($C780="","",IFERROR(VLOOKUP($C780,sources!$A$2:$N$200,9,FALSE()),"?"))</f>
        <v>US official</v>
      </c>
      <c r="T780" t="s">
        <v>5692</v>
      </c>
      <c r="U780">
        <f>IF(OR(B780="",C780="",T780="Retracted",LEFT(D780,8)="Negative"),0,IF(COUNTIFS($B$2:B780,B780,$C$2:C780,C780,$D$2:D780,"&lt;&gt;Negative*",$T$2:T780,"&lt;&gt;Retracted")=1,1,0))</f>
        <v>0</v>
      </c>
    </row>
    <row r="781" spans="1:21" x14ac:dyDescent="0.2">
      <c r="A781" t="s">
        <v>2610</v>
      </c>
      <c r="B781" t="s">
        <v>677</v>
      </c>
      <c r="C781" t="s">
        <v>1304</v>
      </c>
      <c r="D781" t="s">
        <v>1572</v>
      </c>
      <c r="E781" t="s">
        <v>678</v>
      </c>
      <c r="G781">
        <v>9.0621469999999995</v>
      </c>
      <c r="H781">
        <v>-79.672213999999997</v>
      </c>
      <c r="I781" t="s">
        <v>1573</v>
      </c>
      <c r="J781">
        <v>200</v>
      </c>
      <c r="K781">
        <v>1907</v>
      </c>
      <c r="L781">
        <v>1907</v>
      </c>
      <c r="M781" t="s">
        <v>203</v>
      </c>
      <c r="N781" t="s">
        <v>203</v>
      </c>
      <c r="Q781" s="2" t="str">
        <f>IF($C781="","",IFERROR(VLOOKUP($C781,sources!$A$2:$N$200,2,FALSE()),"?"))</f>
        <v>Map</v>
      </c>
      <c r="R781" s="2" t="str">
        <f t="shared" si="12"/>
        <v>Map</v>
      </c>
      <c r="S781" s="2" t="str">
        <f>IF($C781="","",IFERROR(VLOOKUP($C781,sources!$A$2:$N$200,9,FALSE()),"?"))</f>
        <v>US official</v>
      </c>
      <c r="T781" t="s">
        <v>5692</v>
      </c>
      <c r="U781">
        <f>IF(OR(B781="",C781="",T781="Retracted",LEFT(D781,8)="Negative"),0,IF(COUNTIFS($B$2:B781,B781,$C$2:C781,C781,$D$2:D781,"&lt;&gt;Negative*",$T$2:T781,"&lt;&gt;Retracted")=1,1,0))</f>
        <v>1</v>
      </c>
    </row>
    <row r="782" spans="1:21" x14ac:dyDescent="0.2">
      <c r="A782" t="s">
        <v>2611</v>
      </c>
      <c r="B782" t="s">
        <v>680</v>
      </c>
      <c r="C782" t="s">
        <v>1304</v>
      </c>
      <c r="D782" t="s">
        <v>1572</v>
      </c>
      <c r="E782" t="s">
        <v>681</v>
      </c>
      <c r="G782">
        <v>9.0623579999999997</v>
      </c>
      <c r="H782">
        <v>-79.671839000000006</v>
      </c>
      <c r="I782" t="s">
        <v>1573</v>
      </c>
      <c r="J782">
        <v>200</v>
      </c>
      <c r="K782">
        <v>1907</v>
      </c>
      <c r="L782">
        <v>1907</v>
      </c>
      <c r="M782" t="s">
        <v>203</v>
      </c>
      <c r="N782" t="s">
        <v>203</v>
      </c>
      <c r="Q782" s="2" t="str">
        <f>IF($C782="","",IFERROR(VLOOKUP($C782,sources!$A$2:$N$200,2,FALSE()),"?"))</f>
        <v>Map</v>
      </c>
      <c r="R782" s="2" t="str">
        <f t="shared" si="12"/>
        <v>Map</v>
      </c>
      <c r="S782" s="2" t="str">
        <f>IF($C782="","",IFERROR(VLOOKUP($C782,sources!$A$2:$N$200,9,FALSE()),"?"))</f>
        <v>US official</v>
      </c>
      <c r="T782" t="s">
        <v>5692</v>
      </c>
      <c r="U782">
        <f>IF(OR(B782="",C782="",T782="Retracted",LEFT(D782,8)="Negative"),0,IF(COUNTIFS($B$2:B782,B782,$C$2:C782,C782,$D$2:D782,"&lt;&gt;Negative*",$T$2:T782,"&lt;&gt;Retracted")=1,1,0))</f>
        <v>1</v>
      </c>
    </row>
    <row r="783" spans="1:21" x14ac:dyDescent="0.2">
      <c r="A783" t="s">
        <v>2612</v>
      </c>
      <c r="B783" t="s">
        <v>683</v>
      </c>
      <c r="C783" t="s">
        <v>1304</v>
      </c>
      <c r="D783" t="s">
        <v>1572</v>
      </c>
      <c r="E783" t="s">
        <v>684</v>
      </c>
      <c r="G783">
        <v>9.0619580000000006</v>
      </c>
      <c r="H783">
        <v>-79.671924000000004</v>
      </c>
      <c r="I783" t="s">
        <v>1573</v>
      </c>
      <c r="J783">
        <v>200</v>
      </c>
      <c r="K783">
        <v>1907</v>
      </c>
      <c r="L783">
        <v>1907</v>
      </c>
      <c r="M783" t="s">
        <v>203</v>
      </c>
      <c r="N783" t="s">
        <v>203</v>
      </c>
      <c r="Q783" s="2" t="str">
        <f>IF($C783="","",IFERROR(VLOOKUP($C783,sources!$A$2:$N$200,2,FALSE()),"?"))</f>
        <v>Map</v>
      </c>
      <c r="R783" s="2" t="str">
        <f t="shared" si="12"/>
        <v>Map</v>
      </c>
      <c r="S783" s="2" t="str">
        <f>IF($C783="","",IFERROR(VLOOKUP($C783,sources!$A$2:$N$200,9,FALSE()),"?"))</f>
        <v>US official</v>
      </c>
      <c r="T783" t="s">
        <v>5692</v>
      </c>
      <c r="U783">
        <f>IF(OR(B783="",C783="",T783="Retracted",LEFT(D783,8)="Negative"),0,IF(COUNTIFS($B$2:B783,B783,$C$2:C783,C783,$D$2:D783,"&lt;&gt;Negative*",$T$2:T783,"&lt;&gt;Retracted")=1,1,0))</f>
        <v>1</v>
      </c>
    </row>
    <row r="784" spans="1:21" x14ac:dyDescent="0.2">
      <c r="A784" t="s">
        <v>2613</v>
      </c>
      <c r="B784" t="s">
        <v>686</v>
      </c>
      <c r="C784" t="s">
        <v>1304</v>
      </c>
      <c r="D784" t="s">
        <v>1572</v>
      </c>
      <c r="E784" t="s">
        <v>687</v>
      </c>
      <c r="G784">
        <v>9.0621360000000006</v>
      </c>
      <c r="H784">
        <v>-79.671717000000001</v>
      </c>
      <c r="I784" t="s">
        <v>1573</v>
      </c>
      <c r="J784">
        <v>200</v>
      </c>
      <c r="K784">
        <v>1907</v>
      </c>
      <c r="L784">
        <v>1907</v>
      </c>
      <c r="M784" t="s">
        <v>203</v>
      </c>
      <c r="N784" t="s">
        <v>203</v>
      </c>
      <c r="Q784" s="2" t="str">
        <f>IF($C784="","",IFERROR(VLOOKUP($C784,sources!$A$2:$N$200,2,FALSE()),"?"))</f>
        <v>Map</v>
      </c>
      <c r="R784" s="2" t="str">
        <f t="shared" si="12"/>
        <v>Map</v>
      </c>
      <c r="S784" s="2" t="str">
        <f>IF($C784="","",IFERROR(VLOOKUP($C784,sources!$A$2:$N$200,9,FALSE()),"?"))</f>
        <v>US official</v>
      </c>
      <c r="T784" t="s">
        <v>5692</v>
      </c>
      <c r="U784">
        <f>IF(OR(B784="",C784="",T784="Retracted",LEFT(D784,8)="Negative"),0,IF(COUNTIFS($B$2:B784,B784,$C$2:C784,C784,$D$2:D784,"&lt;&gt;Negative*",$T$2:T784,"&lt;&gt;Retracted")=1,1,0))</f>
        <v>1</v>
      </c>
    </row>
    <row r="785" spans="1:21" x14ac:dyDescent="0.2">
      <c r="A785" t="s">
        <v>2614</v>
      </c>
      <c r="B785" t="s">
        <v>689</v>
      </c>
      <c r="C785" t="s">
        <v>1304</v>
      </c>
      <c r="D785" t="s">
        <v>1572</v>
      </c>
      <c r="E785" t="s">
        <v>690</v>
      </c>
      <c r="G785">
        <v>9.0631190000000004</v>
      </c>
      <c r="H785">
        <v>-79.669803999999999</v>
      </c>
      <c r="I785" t="s">
        <v>1573</v>
      </c>
      <c r="J785">
        <v>200</v>
      </c>
      <c r="K785">
        <v>1907</v>
      </c>
      <c r="L785">
        <v>1907</v>
      </c>
      <c r="M785" t="s">
        <v>203</v>
      </c>
      <c r="N785" t="s">
        <v>203</v>
      </c>
      <c r="Q785" s="2" t="str">
        <f>IF($C785="","",IFERROR(VLOOKUP($C785,sources!$A$2:$N$200,2,FALSE()),"?"))</f>
        <v>Map</v>
      </c>
      <c r="R785" s="2" t="str">
        <f t="shared" si="12"/>
        <v>Map</v>
      </c>
      <c r="S785" s="2" t="str">
        <f>IF($C785="","",IFERROR(VLOOKUP($C785,sources!$A$2:$N$200,9,FALSE()),"?"))</f>
        <v>US official</v>
      </c>
      <c r="T785" t="s">
        <v>5692</v>
      </c>
      <c r="U785">
        <f>IF(OR(B785="",C785="",T785="Retracted",LEFT(D785,8)="Negative"),0,IF(COUNTIFS($B$2:B785,B785,$C$2:C785,C785,$D$2:D785,"&lt;&gt;Negative*",$T$2:T785,"&lt;&gt;Retracted")=1,1,0))</f>
        <v>1</v>
      </c>
    </row>
    <row r="786" spans="1:21" x14ac:dyDescent="0.2">
      <c r="A786" t="s">
        <v>2615</v>
      </c>
      <c r="B786" t="s">
        <v>693</v>
      </c>
      <c r="C786" t="s">
        <v>1323</v>
      </c>
      <c r="D786" t="s">
        <v>1572</v>
      </c>
      <c r="E786" t="s">
        <v>694</v>
      </c>
      <c r="G786">
        <v>9.1162919999999996</v>
      </c>
      <c r="H786">
        <v>-79.724699999999999</v>
      </c>
      <c r="I786" t="s">
        <v>1573</v>
      </c>
      <c r="J786">
        <v>150</v>
      </c>
      <c r="K786">
        <v>1908</v>
      </c>
      <c r="L786">
        <v>1908</v>
      </c>
      <c r="M786" t="s">
        <v>203</v>
      </c>
      <c r="N786" t="s">
        <v>203</v>
      </c>
      <c r="Q786" s="2" t="str">
        <f>IF($C786="","",IFERROR(VLOOKUP($C786,sources!$A$2:$N$200,2,FALSE()),"?"))</f>
        <v>Map</v>
      </c>
      <c r="R786" s="2" t="str">
        <f t="shared" si="12"/>
        <v>Map</v>
      </c>
      <c r="S786" s="2" t="str">
        <f>IF($C786="","",IFERROR(VLOOKUP($C786,sources!$A$2:$N$200,9,FALSE()),"?"))</f>
        <v>US official</v>
      </c>
      <c r="T786" t="s">
        <v>5692</v>
      </c>
      <c r="U786">
        <f>IF(OR(B786="",C786="",T786="Retracted",LEFT(D786,8)="Negative"),0,IF(COUNTIFS($B$2:B786,B786,$C$2:C786,C786,$D$2:D786,"&lt;&gt;Negative*",$T$2:T786,"&lt;&gt;Retracted")=1,1,0))</f>
        <v>1</v>
      </c>
    </row>
    <row r="787" spans="1:21" x14ac:dyDescent="0.2">
      <c r="A787" t="s">
        <v>2616</v>
      </c>
      <c r="B787" t="s">
        <v>698</v>
      </c>
      <c r="C787" t="s">
        <v>1323</v>
      </c>
      <c r="D787" t="s">
        <v>1572</v>
      </c>
      <c r="E787" t="s">
        <v>699</v>
      </c>
      <c r="G787">
        <v>9.1146259999999995</v>
      </c>
      <c r="H787">
        <v>-79.723693999999995</v>
      </c>
      <c r="I787" t="s">
        <v>1573</v>
      </c>
      <c r="J787">
        <v>150</v>
      </c>
      <c r="K787">
        <v>1908</v>
      </c>
      <c r="L787">
        <v>1908</v>
      </c>
      <c r="M787" t="s">
        <v>203</v>
      </c>
      <c r="N787" t="s">
        <v>203</v>
      </c>
      <c r="Q787" s="2" t="str">
        <f>IF($C787="","",IFERROR(VLOOKUP($C787,sources!$A$2:$N$200,2,FALSE()),"?"))</f>
        <v>Map</v>
      </c>
      <c r="R787" s="2" t="str">
        <f t="shared" si="12"/>
        <v>Map</v>
      </c>
      <c r="S787" s="2" t="str">
        <f>IF($C787="","",IFERROR(VLOOKUP($C787,sources!$A$2:$N$200,9,FALSE()),"?"))</f>
        <v>US official</v>
      </c>
      <c r="T787" t="s">
        <v>5692</v>
      </c>
      <c r="U787">
        <f>IF(OR(B787="",C787="",T787="Retracted",LEFT(D787,8)="Negative"),0,IF(COUNTIFS($B$2:B787,B787,$C$2:C787,C787,$D$2:D787,"&lt;&gt;Negative*",$T$2:T787,"&lt;&gt;Retracted")=1,1,0))</f>
        <v>1</v>
      </c>
    </row>
    <row r="788" spans="1:21" x14ac:dyDescent="0.2">
      <c r="A788" t="s">
        <v>2617</v>
      </c>
      <c r="B788" t="s">
        <v>701</v>
      </c>
      <c r="C788" t="s">
        <v>1323</v>
      </c>
      <c r="D788" t="s">
        <v>1572</v>
      </c>
      <c r="E788" t="s">
        <v>702</v>
      </c>
      <c r="G788">
        <v>9.1159879999999998</v>
      </c>
      <c r="H788">
        <v>-79.724287000000004</v>
      </c>
      <c r="I788" t="s">
        <v>1573</v>
      </c>
      <c r="J788">
        <v>150</v>
      </c>
      <c r="K788">
        <v>1908</v>
      </c>
      <c r="L788">
        <v>1908</v>
      </c>
      <c r="M788" t="s">
        <v>203</v>
      </c>
      <c r="N788" t="s">
        <v>203</v>
      </c>
      <c r="Q788" s="2" t="str">
        <f>IF($C788="","",IFERROR(VLOOKUP($C788,sources!$A$2:$N$200,2,FALSE()),"?"))</f>
        <v>Map</v>
      </c>
      <c r="R788" s="2" t="str">
        <f t="shared" si="12"/>
        <v>Map</v>
      </c>
      <c r="S788" s="2" t="str">
        <f>IF($C788="","",IFERROR(VLOOKUP($C788,sources!$A$2:$N$200,9,FALSE()),"?"))</f>
        <v>US official</v>
      </c>
      <c r="T788" t="s">
        <v>5692</v>
      </c>
      <c r="U788">
        <f>IF(OR(B788="",C788="",T788="Retracted",LEFT(D788,8)="Negative"),0,IF(COUNTIFS($B$2:B788,B788,$C$2:C788,C788,$D$2:D788,"&lt;&gt;Negative*",$T$2:T788,"&lt;&gt;Retracted")=1,1,0))</f>
        <v>1</v>
      </c>
    </row>
    <row r="789" spans="1:21" x14ac:dyDescent="0.2">
      <c r="A789" t="s">
        <v>2618</v>
      </c>
      <c r="B789" t="s">
        <v>704</v>
      </c>
      <c r="C789" t="s">
        <v>1323</v>
      </c>
      <c r="D789" t="s">
        <v>1572</v>
      </c>
      <c r="E789" t="s">
        <v>705</v>
      </c>
      <c r="G789">
        <v>9.1136759999999999</v>
      </c>
      <c r="H789">
        <v>-79.724626999999998</v>
      </c>
      <c r="I789" t="s">
        <v>1573</v>
      </c>
      <c r="J789">
        <v>150</v>
      </c>
      <c r="K789">
        <v>1908</v>
      </c>
      <c r="L789">
        <v>1908</v>
      </c>
      <c r="M789" t="s">
        <v>203</v>
      </c>
      <c r="N789" t="s">
        <v>203</v>
      </c>
      <c r="Q789" s="2" t="str">
        <f>IF($C789="","",IFERROR(VLOOKUP($C789,sources!$A$2:$N$200,2,FALSE()),"?"))</f>
        <v>Map</v>
      </c>
      <c r="R789" s="2" t="str">
        <f t="shared" si="12"/>
        <v>Map</v>
      </c>
      <c r="S789" s="2" t="str">
        <f>IF($C789="","",IFERROR(VLOOKUP($C789,sources!$A$2:$N$200,9,FALSE()),"?"))</f>
        <v>US official</v>
      </c>
      <c r="T789" t="s">
        <v>5692</v>
      </c>
      <c r="U789">
        <f>IF(OR(B789="",C789="",T789="Retracted",LEFT(D789,8)="Negative"),0,IF(COUNTIFS($B$2:B789,B789,$C$2:C789,C789,$D$2:D789,"&lt;&gt;Negative*",$T$2:T789,"&lt;&gt;Retracted")=1,1,0))</f>
        <v>1</v>
      </c>
    </row>
    <row r="790" spans="1:21" x14ac:dyDescent="0.2">
      <c r="A790" t="s">
        <v>2619</v>
      </c>
      <c r="B790" t="s">
        <v>707</v>
      </c>
      <c r="C790" t="s">
        <v>1323</v>
      </c>
      <c r="D790" t="s">
        <v>1572</v>
      </c>
      <c r="E790" t="s">
        <v>708</v>
      </c>
      <c r="G790">
        <v>9.1167320000000007</v>
      </c>
      <c r="H790">
        <v>-79.725119000000007</v>
      </c>
      <c r="I790" t="s">
        <v>1573</v>
      </c>
      <c r="J790">
        <v>150</v>
      </c>
      <c r="K790">
        <v>1908</v>
      </c>
      <c r="L790">
        <v>1908</v>
      </c>
      <c r="M790" t="s">
        <v>203</v>
      </c>
      <c r="N790" t="s">
        <v>203</v>
      </c>
      <c r="Q790" s="2" t="str">
        <f>IF($C790="","",IFERROR(VLOOKUP($C790,sources!$A$2:$N$200,2,FALSE()),"?"))</f>
        <v>Map</v>
      </c>
      <c r="R790" s="2" t="str">
        <f t="shared" si="12"/>
        <v>Map</v>
      </c>
      <c r="S790" s="2" t="str">
        <f>IF($C790="","",IFERROR(VLOOKUP($C790,sources!$A$2:$N$200,9,FALSE()),"?"))</f>
        <v>US official</v>
      </c>
      <c r="T790" t="s">
        <v>5692</v>
      </c>
      <c r="U790">
        <f>IF(OR(B790="",C790="",T790="Retracted",LEFT(D790,8)="Negative"),0,IF(COUNTIFS($B$2:B790,B790,$C$2:C790,C790,$D$2:D790,"&lt;&gt;Negative*",$T$2:T790,"&lt;&gt;Retracted")=1,1,0))</f>
        <v>1</v>
      </c>
    </row>
    <row r="791" spans="1:21" x14ac:dyDescent="0.2">
      <c r="A791" t="s">
        <v>2620</v>
      </c>
      <c r="B791" t="s">
        <v>711</v>
      </c>
      <c r="C791" t="s">
        <v>1352</v>
      </c>
      <c r="D791" t="s">
        <v>1572</v>
      </c>
      <c r="E791" t="s">
        <v>712</v>
      </c>
      <c r="G791">
        <v>9.0494240000000001</v>
      </c>
      <c r="H791">
        <v>-79.655895000000001</v>
      </c>
      <c r="I791" t="s">
        <v>1573</v>
      </c>
      <c r="J791">
        <v>200</v>
      </c>
      <c r="K791">
        <v>1907</v>
      </c>
      <c r="L791">
        <v>1907</v>
      </c>
      <c r="M791" t="s">
        <v>203</v>
      </c>
      <c r="N791" t="s">
        <v>203</v>
      </c>
      <c r="Q791" s="2" t="str">
        <f>IF($C791="","",IFERROR(VLOOKUP($C791,sources!$A$2:$N$200,2,FALSE()),"?"))</f>
        <v>Map</v>
      </c>
      <c r="R791" s="2" t="str">
        <f t="shared" si="12"/>
        <v>Map</v>
      </c>
      <c r="S791" s="2" t="str">
        <f>IF($C791="","",IFERROR(VLOOKUP($C791,sources!$A$2:$N$200,9,FALSE()),"?"))</f>
        <v>US official</v>
      </c>
      <c r="T791" t="s">
        <v>5692</v>
      </c>
      <c r="U791">
        <f>IF(OR(B791="",C791="",T791="Retracted",LEFT(D791,8)="Negative"),0,IF(COUNTIFS($B$2:B791,B791,$C$2:C791,C791,$D$2:D791,"&lt;&gt;Negative*",$T$2:T791,"&lt;&gt;Retracted")=1,1,0))</f>
        <v>1</v>
      </c>
    </row>
    <row r="792" spans="1:21" x14ac:dyDescent="0.2">
      <c r="A792" t="s">
        <v>2621</v>
      </c>
      <c r="B792" t="s">
        <v>714</v>
      </c>
      <c r="C792" t="s">
        <v>1352</v>
      </c>
      <c r="D792" t="s">
        <v>1572</v>
      </c>
      <c r="E792" t="s">
        <v>715</v>
      </c>
      <c r="G792">
        <v>9.0485900000000008</v>
      </c>
      <c r="H792">
        <v>-79.655124999999998</v>
      </c>
      <c r="I792" t="s">
        <v>1573</v>
      </c>
      <c r="J792">
        <v>200</v>
      </c>
      <c r="K792">
        <v>1907</v>
      </c>
      <c r="L792">
        <v>1907</v>
      </c>
      <c r="M792" t="s">
        <v>203</v>
      </c>
      <c r="N792" t="s">
        <v>203</v>
      </c>
      <c r="Q792" s="2" t="str">
        <f>IF($C792="","",IFERROR(VLOOKUP($C792,sources!$A$2:$N$200,2,FALSE()),"?"))</f>
        <v>Map</v>
      </c>
      <c r="R792" s="2" t="str">
        <f t="shared" si="12"/>
        <v>Map</v>
      </c>
      <c r="S792" s="2" t="str">
        <f>IF($C792="","",IFERROR(VLOOKUP($C792,sources!$A$2:$N$200,9,FALSE()),"?"))</f>
        <v>US official</v>
      </c>
      <c r="T792" t="s">
        <v>5692</v>
      </c>
      <c r="U792">
        <f>IF(OR(B792="",C792="",T792="Retracted",LEFT(D792,8)="Negative"),0,IF(COUNTIFS($B$2:B792,B792,$C$2:C792,C792,$D$2:D792,"&lt;&gt;Negative*",$T$2:T792,"&lt;&gt;Retracted")=1,1,0))</f>
        <v>1</v>
      </c>
    </row>
    <row r="793" spans="1:21" x14ac:dyDescent="0.2">
      <c r="A793" t="s">
        <v>2622</v>
      </c>
      <c r="B793" t="s">
        <v>717</v>
      </c>
      <c r="C793" t="s">
        <v>1352</v>
      </c>
      <c r="D793" t="s">
        <v>1572</v>
      </c>
      <c r="E793" t="s">
        <v>718</v>
      </c>
      <c r="G793">
        <v>9.0488560000000007</v>
      </c>
      <c r="H793">
        <v>-79.654494</v>
      </c>
      <c r="I793" t="s">
        <v>1573</v>
      </c>
      <c r="J793">
        <v>200</v>
      </c>
      <c r="K793">
        <v>1907</v>
      </c>
      <c r="L793">
        <v>1907</v>
      </c>
      <c r="M793" t="s">
        <v>203</v>
      </c>
      <c r="N793" t="s">
        <v>203</v>
      </c>
      <c r="Q793" s="2" t="str">
        <f>IF($C793="","",IFERROR(VLOOKUP($C793,sources!$A$2:$N$200,2,FALSE()),"?"))</f>
        <v>Map</v>
      </c>
      <c r="R793" s="2" t="str">
        <f t="shared" si="12"/>
        <v>Map</v>
      </c>
      <c r="S793" s="2" t="str">
        <f>IF($C793="","",IFERROR(VLOOKUP($C793,sources!$A$2:$N$200,9,FALSE()),"?"))</f>
        <v>US official</v>
      </c>
      <c r="T793" t="s">
        <v>5692</v>
      </c>
      <c r="U793">
        <f>IF(OR(B793="",C793="",T793="Retracted",LEFT(D793,8)="Negative"),0,IF(COUNTIFS($B$2:B793,B793,$C$2:C793,C793,$D$2:D793,"&lt;&gt;Negative*",$T$2:T793,"&lt;&gt;Retracted")=1,1,0))</f>
        <v>1</v>
      </c>
    </row>
    <row r="794" spans="1:21" x14ac:dyDescent="0.2">
      <c r="A794" t="s">
        <v>2623</v>
      </c>
      <c r="B794" t="s">
        <v>720</v>
      </c>
      <c r="C794" t="s">
        <v>1352</v>
      </c>
      <c r="D794" t="s">
        <v>1572</v>
      </c>
      <c r="E794" t="s">
        <v>721</v>
      </c>
      <c r="G794">
        <v>9.0482089999999999</v>
      </c>
      <c r="H794">
        <v>-79.654803999999999</v>
      </c>
      <c r="I794" t="s">
        <v>1573</v>
      </c>
      <c r="J794">
        <v>200</v>
      </c>
      <c r="K794">
        <v>1907</v>
      </c>
      <c r="L794">
        <v>1907</v>
      </c>
      <c r="M794" t="s">
        <v>203</v>
      </c>
      <c r="N794" t="s">
        <v>203</v>
      </c>
      <c r="Q794" s="2" t="str">
        <f>IF($C794="","",IFERROR(VLOOKUP($C794,sources!$A$2:$N$200,2,FALSE()),"?"))</f>
        <v>Map</v>
      </c>
      <c r="R794" s="2" t="str">
        <f t="shared" si="12"/>
        <v>Map</v>
      </c>
      <c r="S794" s="2" t="str">
        <f>IF($C794="","",IFERROR(VLOOKUP($C794,sources!$A$2:$N$200,9,FALSE()),"?"))</f>
        <v>US official</v>
      </c>
      <c r="T794" t="s">
        <v>5692</v>
      </c>
      <c r="U794">
        <f>IF(OR(B794="",C794="",T794="Retracted",LEFT(D794,8)="Negative"),0,IF(COUNTIFS($B$2:B794,B794,$C$2:C794,C794,$D$2:D794,"&lt;&gt;Negative*",$T$2:T794,"&lt;&gt;Retracted")=1,1,0))</f>
        <v>1</v>
      </c>
    </row>
    <row r="795" spans="1:21" x14ac:dyDescent="0.2">
      <c r="A795" t="s">
        <v>2624</v>
      </c>
      <c r="B795" t="s">
        <v>723</v>
      </c>
      <c r="C795" t="s">
        <v>1352</v>
      </c>
      <c r="D795" t="s">
        <v>1572</v>
      </c>
      <c r="E795" t="s">
        <v>724</v>
      </c>
      <c r="G795">
        <v>9.0500349999999994</v>
      </c>
      <c r="H795">
        <v>-79.655356999999995</v>
      </c>
      <c r="I795" t="s">
        <v>1573</v>
      </c>
      <c r="J795">
        <v>200</v>
      </c>
      <c r="K795">
        <v>1907</v>
      </c>
      <c r="L795">
        <v>1907</v>
      </c>
      <c r="M795" t="s">
        <v>203</v>
      </c>
      <c r="N795" t="s">
        <v>203</v>
      </c>
      <c r="Q795" s="2" t="str">
        <f>IF($C795="","",IFERROR(VLOOKUP($C795,sources!$A$2:$N$200,2,FALSE()),"?"))</f>
        <v>Map</v>
      </c>
      <c r="R795" s="2" t="str">
        <f t="shared" si="12"/>
        <v>Map</v>
      </c>
      <c r="S795" s="2" t="str">
        <f>IF($C795="","",IFERROR(VLOOKUP($C795,sources!$A$2:$N$200,9,FALSE()),"?"))</f>
        <v>US official</v>
      </c>
      <c r="T795" t="s">
        <v>5692</v>
      </c>
      <c r="U795">
        <f>IF(OR(B795="",C795="",T795="Retracted",LEFT(D795,8)="Negative"),0,IF(COUNTIFS($B$2:B795,B795,$C$2:C795,C795,$D$2:D795,"&lt;&gt;Negative*",$T$2:T795,"&lt;&gt;Retracted")=1,1,0))</f>
        <v>1</v>
      </c>
    </row>
    <row r="796" spans="1:21" x14ac:dyDescent="0.2">
      <c r="A796" t="s">
        <v>2625</v>
      </c>
      <c r="B796" t="s">
        <v>727</v>
      </c>
      <c r="C796" t="s">
        <v>1352</v>
      </c>
      <c r="D796" t="s">
        <v>1572</v>
      </c>
      <c r="E796" t="s">
        <v>728</v>
      </c>
      <c r="G796">
        <v>9.0498440000000002</v>
      </c>
      <c r="H796">
        <v>-79.655026000000007</v>
      </c>
      <c r="I796" t="s">
        <v>1573</v>
      </c>
      <c r="J796">
        <v>200</v>
      </c>
      <c r="K796">
        <v>1907</v>
      </c>
      <c r="L796">
        <v>1907</v>
      </c>
      <c r="M796" t="s">
        <v>203</v>
      </c>
      <c r="N796" t="s">
        <v>203</v>
      </c>
      <c r="Q796" s="2" t="str">
        <f>IF($C796="","",IFERROR(VLOOKUP($C796,sources!$A$2:$N$200,2,FALSE()),"?"))</f>
        <v>Map</v>
      </c>
      <c r="R796" s="2" t="str">
        <f t="shared" si="12"/>
        <v>Map</v>
      </c>
      <c r="S796" s="2" t="str">
        <f>IF($C796="","",IFERROR(VLOOKUP($C796,sources!$A$2:$N$200,9,FALSE()),"?"))</f>
        <v>US official</v>
      </c>
      <c r="T796" t="s">
        <v>5692</v>
      </c>
      <c r="U796">
        <f>IF(OR(B796="",C796="",T796="Retracted",LEFT(D796,8)="Negative"),0,IF(COUNTIFS($B$2:B796,B796,$C$2:C796,C796,$D$2:D796,"&lt;&gt;Negative*",$T$2:T796,"&lt;&gt;Retracted")=1,1,0))</f>
        <v>1</v>
      </c>
    </row>
    <row r="797" spans="1:21" x14ac:dyDescent="0.2">
      <c r="A797" t="s">
        <v>2626</v>
      </c>
      <c r="B797" t="s">
        <v>730</v>
      </c>
      <c r="C797" t="s">
        <v>1352</v>
      </c>
      <c r="D797" t="s">
        <v>1572</v>
      </c>
      <c r="E797" t="s">
        <v>731</v>
      </c>
      <c r="G797">
        <v>9.0493249999999996</v>
      </c>
      <c r="H797">
        <v>-79.655420000000007</v>
      </c>
      <c r="I797" t="s">
        <v>1573</v>
      </c>
      <c r="J797">
        <v>200</v>
      </c>
      <c r="K797">
        <v>1907</v>
      </c>
      <c r="L797">
        <v>1907</v>
      </c>
      <c r="M797" t="s">
        <v>203</v>
      </c>
      <c r="N797" t="s">
        <v>203</v>
      </c>
      <c r="Q797" s="2" t="str">
        <f>IF($C797="","",IFERROR(VLOOKUP($C797,sources!$A$2:$N$200,2,FALSE()),"?"))</f>
        <v>Map</v>
      </c>
      <c r="R797" s="2" t="str">
        <f t="shared" si="12"/>
        <v>Map</v>
      </c>
      <c r="S797" s="2" t="str">
        <f>IF($C797="","",IFERROR(VLOOKUP($C797,sources!$A$2:$N$200,9,FALSE()),"?"))</f>
        <v>US official</v>
      </c>
      <c r="T797" t="s">
        <v>5692</v>
      </c>
      <c r="U797">
        <f>IF(OR(B797="",C797="",T797="Retracted",LEFT(D797,8)="Negative"),0,IF(COUNTIFS($B$2:B797,B797,$C$2:C797,C797,$D$2:D797,"&lt;&gt;Negative*",$T$2:T797,"&lt;&gt;Retracted")=1,1,0))</f>
        <v>1</v>
      </c>
    </row>
    <row r="798" spans="1:21" x14ac:dyDescent="0.2">
      <c r="A798" t="s">
        <v>2627</v>
      </c>
      <c r="B798" t="s">
        <v>733</v>
      </c>
      <c r="C798" t="s">
        <v>1352</v>
      </c>
      <c r="D798" t="s">
        <v>1572</v>
      </c>
      <c r="E798" t="s">
        <v>734</v>
      </c>
      <c r="G798">
        <v>9.0483820000000001</v>
      </c>
      <c r="H798">
        <v>-79.655512999999999</v>
      </c>
      <c r="I798" t="s">
        <v>1573</v>
      </c>
      <c r="J798">
        <v>200</v>
      </c>
      <c r="K798">
        <v>1907</v>
      </c>
      <c r="L798">
        <v>1907</v>
      </c>
      <c r="M798" t="s">
        <v>203</v>
      </c>
      <c r="N798" t="s">
        <v>203</v>
      </c>
      <c r="Q798" s="2" t="str">
        <f>IF($C798="","",IFERROR(VLOOKUP($C798,sources!$A$2:$N$200,2,FALSE()),"?"))</f>
        <v>Map</v>
      </c>
      <c r="R798" s="2" t="str">
        <f t="shared" si="12"/>
        <v>Map</v>
      </c>
      <c r="S798" s="2" t="str">
        <f>IF($C798="","",IFERROR(VLOOKUP($C798,sources!$A$2:$N$200,9,FALSE()),"?"))</f>
        <v>US official</v>
      </c>
      <c r="T798" t="s">
        <v>5692</v>
      </c>
      <c r="U798">
        <f>IF(OR(B798="",C798="",T798="Retracted",LEFT(D798,8)="Negative"),0,IF(COUNTIFS($B$2:B798,B798,$C$2:C798,C798,$D$2:D798,"&lt;&gt;Negative*",$T$2:T798,"&lt;&gt;Retracted")=1,1,0))</f>
        <v>1</v>
      </c>
    </row>
    <row r="799" spans="1:21" x14ac:dyDescent="0.2">
      <c r="A799" t="s">
        <v>2628</v>
      </c>
      <c r="B799" t="s">
        <v>737</v>
      </c>
      <c r="C799" t="s">
        <v>1352</v>
      </c>
      <c r="D799" t="s">
        <v>1572</v>
      </c>
      <c r="E799" t="s">
        <v>738</v>
      </c>
      <c r="G799">
        <v>9.0496680000000005</v>
      </c>
      <c r="H799">
        <v>-79.654655000000005</v>
      </c>
      <c r="I799" t="s">
        <v>1573</v>
      </c>
      <c r="J799">
        <v>200</v>
      </c>
      <c r="K799">
        <v>1907</v>
      </c>
      <c r="L799">
        <v>1907</v>
      </c>
      <c r="M799" t="s">
        <v>203</v>
      </c>
      <c r="N799" t="s">
        <v>203</v>
      </c>
      <c r="Q799" s="2" t="str">
        <f>IF($C799="","",IFERROR(VLOOKUP($C799,sources!$A$2:$N$200,2,FALSE()),"?"))</f>
        <v>Map</v>
      </c>
      <c r="R799" s="2" t="str">
        <f t="shared" si="12"/>
        <v>Map</v>
      </c>
      <c r="S799" s="2" t="str">
        <f>IF($C799="","",IFERROR(VLOOKUP($C799,sources!$A$2:$N$200,9,FALSE()),"?"))</f>
        <v>US official</v>
      </c>
      <c r="T799" t="s">
        <v>5692</v>
      </c>
      <c r="U799">
        <f>IF(OR(B799="",C799="",T799="Retracted",LEFT(D799,8)="Negative"),0,IF(COUNTIFS($B$2:B799,B799,$C$2:C799,C799,$D$2:D799,"&lt;&gt;Negative*",$T$2:T799,"&lt;&gt;Retracted")=1,1,0))</f>
        <v>1</v>
      </c>
    </row>
    <row r="800" spans="1:21" x14ac:dyDescent="0.2">
      <c r="A800" t="s">
        <v>2629</v>
      </c>
      <c r="B800" t="s">
        <v>740</v>
      </c>
      <c r="C800" t="s">
        <v>1352</v>
      </c>
      <c r="D800" t="s">
        <v>1572</v>
      </c>
      <c r="E800" t="s">
        <v>741</v>
      </c>
      <c r="G800">
        <v>9.0474370000000004</v>
      </c>
      <c r="H800">
        <v>-79.656308999999993</v>
      </c>
      <c r="I800" t="s">
        <v>1573</v>
      </c>
      <c r="J800">
        <v>200</v>
      </c>
      <c r="K800">
        <v>1907</v>
      </c>
      <c r="L800">
        <v>1907</v>
      </c>
      <c r="M800" t="s">
        <v>203</v>
      </c>
      <c r="N800" t="s">
        <v>209</v>
      </c>
      <c r="Q800" s="2" t="str">
        <f>IF($C800="","",IFERROR(VLOOKUP($C800,sources!$A$2:$N$200,2,FALSE()),"?"))</f>
        <v>Map</v>
      </c>
      <c r="R800" s="2" t="str">
        <f t="shared" si="12"/>
        <v>Map</v>
      </c>
      <c r="S800" s="2" t="str">
        <f>IF($C800="","",IFERROR(VLOOKUP($C800,sources!$A$2:$N$200,9,FALSE()),"?"))</f>
        <v>US official</v>
      </c>
      <c r="T800" t="s">
        <v>5692</v>
      </c>
      <c r="U800">
        <f>IF(OR(B800="",C800="",T800="Retracted",LEFT(D800,8)="Negative"),0,IF(COUNTIFS($B$2:B800,B800,$C$2:C800,C800,$D$2:D800,"&lt;&gt;Negative*",$T$2:T800,"&lt;&gt;Retracted")=1,1,0))</f>
        <v>1</v>
      </c>
    </row>
    <row r="801" spans="1:21" x14ac:dyDescent="0.2">
      <c r="A801" t="s">
        <v>2630</v>
      </c>
      <c r="B801" t="s">
        <v>743</v>
      </c>
      <c r="C801" t="s">
        <v>1352</v>
      </c>
      <c r="D801" t="s">
        <v>1572</v>
      </c>
      <c r="E801" t="s">
        <v>744</v>
      </c>
      <c r="G801">
        <v>9.0519770000000008</v>
      </c>
      <c r="H801">
        <v>-79.658513999999997</v>
      </c>
      <c r="I801" t="s">
        <v>1573</v>
      </c>
      <c r="J801">
        <v>200</v>
      </c>
      <c r="K801">
        <v>1907</v>
      </c>
      <c r="L801">
        <v>1907</v>
      </c>
      <c r="M801" t="s">
        <v>203</v>
      </c>
      <c r="N801" t="s">
        <v>203</v>
      </c>
      <c r="Q801" s="2" t="str">
        <f>IF($C801="","",IFERROR(VLOOKUP($C801,sources!$A$2:$N$200,2,FALSE()),"?"))</f>
        <v>Map</v>
      </c>
      <c r="R801" s="2" t="str">
        <f t="shared" si="12"/>
        <v>Map</v>
      </c>
      <c r="S801" s="2" t="str">
        <f>IF($C801="","",IFERROR(VLOOKUP($C801,sources!$A$2:$N$200,9,FALSE()),"?"))</f>
        <v>US official</v>
      </c>
      <c r="T801" t="s">
        <v>5692</v>
      </c>
      <c r="U801">
        <f>IF(OR(B801="",C801="",T801="Retracted",LEFT(D801,8)="Negative"),0,IF(COUNTIFS($B$2:B801,B801,$C$2:C801,C801,$D$2:D801,"&lt;&gt;Negative*",$T$2:T801,"&lt;&gt;Retracted")=1,1,0))</f>
        <v>1</v>
      </c>
    </row>
    <row r="802" spans="1:21" x14ac:dyDescent="0.2">
      <c r="A802" t="s">
        <v>2631</v>
      </c>
      <c r="B802" t="s">
        <v>746</v>
      </c>
      <c r="C802" t="s">
        <v>1352</v>
      </c>
      <c r="D802" t="s">
        <v>1572</v>
      </c>
      <c r="E802" t="s">
        <v>747</v>
      </c>
      <c r="G802">
        <v>9.0490189999999995</v>
      </c>
      <c r="H802">
        <v>-79.654976000000005</v>
      </c>
      <c r="I802" t="s">
        <v>1573</v>
      </c>
      <c r="J802">
        <v>200</v>
      </c>
      <c r="K802">
        <v>1907</v>
      </c>
      <c r="L802">
        <v>1907</v>
      </c>
      <c r="M802" t="s">
        <v>203</v>
      </c>
      <c r="N802" t="s">
        <v>203</v>
      </c>
      <c r="Q802" s="2" t="str">
        <f>IF($C802="","",IFERROR(VLOOKUP($C802,sources!$A$2:$N$200,2,FALSE()),"?"))</f>
        <v>Map</v>
      </c>
      <c r="R802" s="2" t="str">
        <f t="shared" si="12"/>
        <v>Map</v>
      </c>
      <c r="S802" s="2" t="str">
        <f>IF($C802="","",IFERROR(VLOOKUP($C802,sources!$A$2:$N$200,9,FALSE()),"?"))</f>
        <v>US official</v>
      </c>
      <c r="T802" t="s">
        <v>5692</v>
      </c>
      <c r="U802">
        <f>IF(OR(B802="",C802="",T802="Retracted",LEFT(D802,8)="Negative"),0,IF(COUNTIFS($B$2:B802,B802,$C$2:C802,C802,$D$2:D802,"&lt;&gt;Negative*",$T$2:T802,"&lt;&gt;Retracted")=1,1,0))</f>
        <v>1</v>
      </c>
    </row>
    <row r="803" spans="1:21" x14ac:dyDescent="0.2">
      <c r="A803" t="s">
        <v>2632</v>
      </c>
      <c r="B803" t="s">
        <v>749</v>
      </c>
      <c r="C803" t="s">
        <v>1352</v>
      </c>
      <c r="D803" t="s">
        <v>1572</v>
      </c>
      <c r="E803" t="s">
        <v>750</v>
      </c>
      <c r="G803">
        <v>9.0496490000000005</v>
      </c>
      <c r="H803">
        <v>-79.654657999999998</v>
      </c>
      <c r="I803" t="s">
        <v>1573</v>
      </c>
      <c r="J803">
        <v>200</v>
      </c>
      <c r="K803">
        <v>1907</v>
      </c>
      <c r="L803">
        <v>1907</v>
      </c>
      <c r="M803" t="s">
        <v>203</v>
      </c>
      <c r="N803" t="s">
        <v>203</v>
      </c>
      <c r="Q803" s="2" t="str">
        <f>IF($C803="","",IFERROR(VLOOKUP($C803,sources!$A$2:$N$200,2,FALSE()),"?"))</f>
        <v>Map</v>
      </c>
      <c r="R803" s="2" t="str">
        <f t="shared" si="12"/>
        <v>Map</v>
      </c>
      <c r="S803" s="2" t="str">
        <f>IF($C803="","",IFERROR(VLOOKUP($C803,sources!$A$2:$N$200,9,FALSE()),"?"))</f>
        <v>US official</v>
      </c>
      <c r="T803" t="s">
        <v>5692</v>
      </c>
      <c r="U803">
        <f>IF(OR(B803="",C803="",T803="Retracted",LEFT(D803,8)="Negative"),0,IF(COUNTIFS($B$2:B803,B803,$C$2:C803,C803,$D$2:D803,"&lt;&gt;Negative*",$T$2:T803,"&lt;&gt;Retracted")=1,1,0))</f>
        <v>1</v>
      </c>
    </row>
    <row r="804" spans="1:21" x14ac:dyDescent="0.2">
      <c r="A804" t="s">
        <v>2633</v>
      </c>
      <c r="B804" t="s">
        <v>752</v>
      </c>
      <c r="C804" t="s">
        <v>1352</v>
      </c>
      <c r="D804" t="s">
        <v>1572</v>
      </c>
      <c r="E804" t="s">
        <v>753</v>
      </c>
      <c r="G804">
        <v>9.0858369999999997</v>
      </c>
      <c r="H804">
        <v>-79.681055000000001</v>
      </c>
      <c r="I804" t="s">
        <v>1573</v>
      </c>
      <c r="J804">
        <v>200</v>
      </c>
      <c r="K804">
        <v>1907</v>
      </c>
      <c r="L804">
        <v>1907</v>
      </c>
      <c r="M804" t="s">
        <v>203</v>
      </c>
      <c r="N804" t="s">
        <v>203</v>
      </c>
      <c r="Q804" s="2" t="str">
        <f>IF($C804="","",IFERROR(VLOOKUP($C804,sources!$A$2:$N$200,2,FALSE()),"?"))</f>
        <v>Map</v>
      </c>
      <c r="R804" s="2" t="str">
        <f t="shared" si="12"/>
        <v>Map</v>
      </c>
      <c r="S804" s="2" t="str">
        <f>IF($C804="","",IFERROR(VLOOKUP($C804,sources!$A$2:$N$200,9,FALSE()),"?"))</f>
        <v>US official</v>
      </c>
      <c r="T804" t="s">
        <v>5692</v>
      </c>
      <c r="U804">
        <f>IF(OR(B804="",C804="",T804="Retracted",LEFT(D804,8)="Negative"),0,IF(COUNTIFS($B$2:B804,B804,$C$2:C804,C804,$D$2:D804,"&lt;&gt;Negative*",$T$2:T804,"&lt;&gt;Retracted")=1,1,0))</f>
        <v>1</v>
      </c>
    </row>
    <row r="805" spans="1:21" x14ac:dyDescent="0.2">
      <c r="A805" t="s">
        <v>2634</v>
      </c>
      <c r="B805" t="s">
        <v>755</v>
      </c>
      <c r="C805" t="s">
        <v>1352</v>
      </c>
      <c r="D805" t="s">
        <v>1572</v>
      </c>
      <c r="E805" t="s">
        <v>756</v>
      </c>
      <c r="G805">
        <v>9.0855099999999993</v>
      </c>
      <c r="H805">
        <v>-79.681569999999994</v>
      </c>
      <c r="I805" t="s">
        <v>1573</v>
      </c>
      <c r="J805">
        <v>200</v>
      </c>
      <c r="K805">
        <v>1907</v>
      </c>
      <c r="L805">
        <v>1907</v>
      </c>
      <c r="M805" t="s">
        <v>203</v>
      </c>
      <c r="N805" t="s">
        <v>203</v>
      </c>
      <c r="Q805" s="2" t="str">
        <f>IF($C805="","",IFERROR(VLOOKUP($C805,sources!$A$2:$N$200,2,FALSE()),"?"))</f>
        <v>Map</v>
      </c>
      <c r="R805" s="2" t="str">
        <f t="shared" si="12"/>
        <v>Map</v>
      </c>
      <c r="S805" s="2" t="str">
        <f>IF($C805="","",IFERROR(VLOOKUP($C805,sources!$A$2:$N$200,9,FALSE()),"?"))</f>
        <v>US official</v>
      </c>
      <c r="T805" t="s">
        <v>5692</v>
      </c>
      <c r="U805">
        <f>IF(OR(B805="",C805="",T805="Retracted",LEFT(D805,8)="Negative"),0,IF(COUNTIFS($B$2:B805,B805,$C$2:C805,C805,$D$2:D805,"&lt;&gt;Negative*",$T$2:T805,"&lt;&gt;Retracted")=1,1,0))</f>
        <v>1</v>
      </c>
    </row>
    <row r="806" spans="1:21" x14ac:dyDescent="0.2">
      <c r="A806" t="s">
        <v>2635</v>
      </c>
      <c r="B806" t="s">
        <v>758</v>
      </c>
      <c r="C806" t="s">
        <v>1352</v>
      </c>
      <c r="D806" t="s">
        <v>1572</v>
      </c>
      <c r="E806" t="s">
        <v>759</v>
      </c>
      <c r="G806">
        <v>9.0288850000000007</v>
      </c>
      <c r="H806">
        <v>-79.627707999999998</v>
      </c>
      <c r="I806" t="s">
        <v>1573</v>
      </c>
      <c r="J806">
        <v>200</v>
      </c>
      <c r="K806">
        <v>1907</v>
      </c>
      <c r="L806">
        <v>1907</v>
      </c>
      <c r="M806" t="s">
        <v>203</v>
      </c>
      <c r="N806" t="s">
        <v>209</v>
      </c>
      <c r="Q806" s="2" t="str">
        <f>IF($C806="","",IFERROR(VLOOKUP($C806,sources!$A$2:$N$200,2,FALSE()),"?"))</f>
        <v>Map</v>
      </c>
      <c r="R806" s="2" t="str">
        <f t="shared" si="12"/>
        <v>Map</v>
      </c>
      <c r="S806" s="2" t="str">
        <f>IF($C806="","",IFERROR(VLOOKUP($C806,sources!$A$2:$N$200,9,FALSE()),"?"))</f>
        <v>US official</v>
      </c>
      <c r="T806" t="s">
        <v>5692</v>
      </c>
      <c r="U806">
        <f>IF(OR(B806="",C806="",T806="Retracted",LEFT(D806,8)="Negative"),0,IF(COUNTIFS($B$2:B806,B806,$C$2:C806,C806,$D$2:D806,"&lt;&gt;Negative*",$T$2:T806,"&lt;&gt;Retracted")=1,1,0))</f>
        <v>1</v>
      </c>
    </row>
    <row r="807" spans="1:21" x14ac:dyDescent="0.2">
      <c r="A807" t="s">
        <v>2636</v>
      </c>
      <c r="B807" t="s">
        <v>761</v>
      </c>
      <c r="C807" t="s">
        <v>1352</v>
      </c>
      <c r="D807" t="s">
        <v>1572</v>
      </c>
      <c r="E807" t="s">
        <v>762</v>
      </c>
      <c r="G807">
        <v>9.0305319999999991</v>
      </c>
      <c r="H807">
        <v>-79.630274999999997</v>
      </c>
      <c r="I807" t="s">
        <v>1573</v>
      </c>
      <c r="J807">
        <v>200</v>
      </c>
      <c r="K807">
        <v>1907</v>
      </c>
      <c r="L807">
        <v>1907</v>
      </c>
      <c r="M807" t="s">
        <v>203</v>
      </c>
      <c r="N807" t="s">
        <v>209</v>
      </c>
      <c r="Q807" s="2" t="str">
        <f>IF($C807="","",IFERROR(VLOOKUP($C807,sources!$A$2:$N$200,2,FALSE()),"?"))</f>
        <v>Map</v>
      </c>
      <c r="R807" s="2" t="str">
        <f t="shared" si="12"/>
        <v>Map</v>
      </c>
      <c r="S807" s="2" t="str">
        <f>IF($C807="","",IFERROR(VLOOKUP($C807,sources!$A$2:$N$200,9,FALSE()),"?"))</f>
        <v>US official</v>
      </c>
      <c r="T807" t="s">
        <v>5692</v>
      </c>
      <c r="U807">
        <f>IF(OR(B807="",C807="",T807="Retracted",LEFT(D807,8)="Negative"),0,IF(COUNTIFS($B$2:B807,B807,$C$2:C807,C807,$D$2:D807,"&lt;&gt;Negative*",$T$2:T807,"&lt;&gt;Retracted")=1,1,0))</f>
        <v>1</v>
      </c>
    </row>
    <row r="808" spans="1:21" x14ac:dyDescent="0.2">
      <c r="A808" t="s">
        <v>2637</v>
      </c>
      <c r="B808" t="s">
        <v>764</v>
      </c>
      <c r="C808" t="s">
        <v>1352</v>
      </c>
      <c r="D808" t="s">
        <v>1572</v>
      </c>
      <c r="E808" t="s">
        <v>765</v>
      </c>
      <c r="G808">
        <v>9.0198549999999997</v>
      </c>
      <c r="H808">
        <v>-79.613703999999998</v>
      </c>
      <c r="I808" t="s">
        <v>1573</v>
      </c>
      <c r="J808">
        <v>200</v>
      </c>
      <c r="K808">
        <v>1907</v>
      </c>
      <c r="L808">
        <v>1907</v>
      </c>
      <c r="M808" t="s">
        <v>203</v>
      </c>
      <c r="N808" t="s">
        <v>203</v>
      </c>
      <c r="Q808" s="2" t="str">
        <f>IF($C808="","",IFERROR(VLOOKUP($C808,sources!$A$2:$N$200,2,FALSE()),"?"))</f>
        <v>Map</v>
      </c>
      <c r="R808" s="2" t="str">
        <f t="shared" si="12"/>
        <v>Map</v>
      </c>
      <c r="S808" s="2" t="str">
        <f>IF($C808="","",IFERROR(VLOOKUP($C808,sources!$A$2:$N$200,9,FALSE()),"?"))</f>
        <v>US official</v>
      </c>
      <c r="T808" t="s">
        <v>5692</v>
      </c>
      <c r="U808">
        <f>IF(OR(B808="",C808="",T808="Retracted",LEFT(D808,8)="Negative"),0,IF(COUNTIFS($B$2:B808,B808,$C$2:C808,C808,$D$2:D808,"&lt;&gt;Negative*",$T$2:T808,"&lt;&gt;Retracted")=1,1,0))</f>
        <v>1</v>
      </c>
    </row>
    <row r="809" spans="1:21" x14ac:dyDescent="0.2">
      <c r="A809" t="s">
        <v>2638</v>
      </c>
      <c r="B809" t="s">
        <v>767</v>
      </c>
      <c r="C809" t="s">
        <v>1352</v>
      </c>
      <c r="D809" t="s">
        <v>1572</v>
      </c>
      <c r="E809" t="s">
        <v>768</v>
      </c>
      <c r="G809">
        <v>9.0177069999999997</v>
      </c>
      <c r="H809">
        <v>-79.608486999999997</v>
      </c>
      <c r="I809" t="s">
        <v>1573</v>
      </c>
      <c r="J809">
        <v>200</v>
      </c>
      <c r="K809">
        <v>1907</v>
      </c>
      <c r="L809">
        <v>1907</v>
      </c>
      <c r="M809" t="s">
        <v>203</v>
      </c>
      <c r="N809" t="s">
        <v>190</v>
      </c>
      <c r="Q809" s="2" t="str">
        <f>IF($C809="","",IFERROR(VLOOKUP($C809,sources!$A$2:$N$200,2,FALSE()),"?"))</f>
        <v>Map</v>
      </c>
      <c r="R809" s="2" t="str">
        <f t="shared" si="12"/>
        <v>Map</v>
      </c>
      <c r="S809" s="2" t="str">
        <f>IF($C809="","",IFERROR(VLOOKUP($C809,sources!$A$2:$N$200,9,FALSE()),"?"))</f>
        <v>US official</v>
      </c>
      <c r="T809" t="s">
        <v>5692</v>
      </c>
      <c r="U809">
        <f>IF(OR(B809="",C809="",T809="Retracted",LEFT(D809,8)="Negative"),0,IF(COUNTIFS($B$2:B809,B809,$C$2:C809,C809,$D$2:D809,"&lt;&gt;Negative*",$T$2:T809,"&lt;&gt;Retracted")=1,1,0))</f>
        <v>1</v>
      </c>
    </row>
    <row r="810" spans="1:21" x14ac:dyDescent="0.2">
      <c r="A810" t="s">
        <v>2639</v>
      </c>
      <c r="B810" t="s">
        <v>233</v>
      </c>
      <c r="C810" t="s">
        <v>1352</v>
      </c>
      <c r="D810" t="s">
        <v>1572</v>
      </c>
      <c r="E810" t="s">
        <v>2640</v>
      </c>
      <c r="G810">
        <v>9.0585129999999996</v>
      </c>
      <c r="H810">
        <v>-79.672196</v>
      </c>
      <c r="I810" t="s">
        <v>1573</v>
      </c>
      <c r="J810">
        <v>200</v>
      </c>
      <c r="K810">
        <v>1907</v>
      </c>
      <c r="L810">
        <v>1907</v>
      </c>
      <c r="M810" t="s">
        <v>203</v>
      </c>
      <c r="N810" t="s">
        <v>209</v>
      </c>
      <c r="Q810" s="2" t="str">
        <f>IF($C810="","",IFERROR(VLOOKUP($C810,sources!$A$2:$N$200,2,FALSE()),"?"))</f>
        <v>Map</v>
      </c>
      <c r="R810" s="2" t="str">
        <f t="shared" si="12"/>
        <v>Map</v>
      </c>
      <c r="S810" s="2" t="str">
        <f>IF($C810="","",IFERROR(VLOOKUP($C810,sources!$A$2:$N$200,9,FALSE()),"?"))</f>
        <v>US official</v>
      </c>
      <c r="T810" t="s">
        <v>5692</v>
      </c>
      <c r="U810">
        <f>IF(OR(B810="",C810="",T810="Retracted",LEFT(D810,8)="Negative"),0,IF(COUNTIFS($B$2:B810,B810,$C$2:C810,C810,$D$2:D810,"&lt;&gt;Negative*",$T$2:T810,"&lt;&gt;Retracted")=1,1,0))</f>
        <v>0</v>
      </c>
    </row>
    <row r="811" spans="1:21" x14ac:dyDescent="0.2">
      <c r="A811" t="s">
        <v>2641</v>
      </c>
      <c r="B811" t="s">
        <v>233</v>
      </c>
      <c r="C811" t="s">
        <v>1352</v>
      </c>
      <c r="D811" t="s">
        <v>1572</v>
      </c>
      <c r="E811" t="s">
        <v>2642</v>
      </c>
      <c r="G811">
        <v>9.0590499999999992</v>
      </c>
      <c r="H811">
        <v>-79.675314999999998</v>
      </c>
      <c r="I811" t="s">
        <v>1573</v>
      </c>
      <c r="J811">
        <v>200</v>
      </c>
      <c r="K811">
        <v>1907</v>
      </c>
      <c r="L811">
        <v>1907</v>
      </c>
      <c r="M811" t="s">
        <v>203</v>
      </c>
      <c r="N811" t="s">
        <v>209</v>
      </c>
      <c r="Q811" s="2" t="str">
        <f>IF($C811="","",IFERROR(VLOOKUP($C811,sources!$A$2:$N$200,2,FALSE()),"?"))</f>
        <v>Map</v>
      </c>
      <c r="R811" s="2" t="str">
        <f t="shared" si="12"/>
        <v>Map</v>
      </c>
      <c r="S811" s="2" t="str">
        <f>IF($C811="","",IFERROR(VLOOKUP($C811,sources!$A$2:$N$200,9,FALSE()),"?"))</f>
        <v>US official</v>
      </c>
      <c r="T811" t="s">
        <v>5692</v>
      </c>
      <c r="U811">
        <f>IF(OR(B811="",C811="",T811="Retracted",LEFT(D811,8)="Negative"),0,IF(COUNTIFS($B$2:B811,B811,$C$2:C811,C811,$D$2:D811,"&lt;&gt;Negative*",$T$2:T811,"&lt;&gt;Retracted")=1,1,0))</f>
        <v>0</v>
      </c>
    </row>
    <row r="812" spans="1:21" x14ac:dyDescent="0.2">
      <c r="A812" t="s">
        <v>2643</v>
      </c>
      <c r="B812" t="s">
        <v>247</v>
      </c>
      <c r="C812" t="s">
        <v>1352</v>
      </c>
      <c r="D812" t="s">
        <v>1572</v>
      </c>
      <c r="E812" t="s">
        <v>2644</v>
      </c>
      <c r="G812">
        <v>9.0529879999999991</v>
      </c>
      <c r="H812">
        <v>-79.658379999999994</v>
      </c>
      <c r="I812" t="s">
        <v>1573</v>
      </c>
      <c r="J812">
        <v>200</v>
      </c>
      <c r="K812">
        <v>1907</v>
      </c>
      <c r="L812">
        <v>1907</v>
      </c>
      <c r="M812" t="s">
        <v>203</v>
      </c>
      <c r="N812" t="s">
        <v>203</v>
      </c>
      <c r="Q812" s="2" t="str">
        <f>IF($C812="","",IFERROR(VLOOKUP($C812,sources!$A$2:$N$200,2,FALSE()),"?"))</f>
        <v>Map</v>
      </c>
      <c r="R812" s="2" t="str">
        <f t="shared" si="12"/>
        <v>Map</v>
      </c>
      <c r="S812" s="2" t="str">
        <f>IF($C812="","",IFERROR(VLOOKUP($C812,sources!$A$2:$N$200,9,FALSE()),"?"))</f>
        <v>US official</v>
      </c>
      <c r="T812" t="s">
        <v>5692</v>
      </c>
      <c r="U812">
        <f>IF(OR(B812="",C812="",T812="Retracted",LEFT(D812,8)="Negative"),0,IF(COUNTIFS($B$2:B812,B812,$C$2:C812,C812,$D$2:D812,"&lt;&gt;Negative*",$T$2:T812,"&lt;&gt;Retracted")=1,1,0))</f>
        <v>0</v>
      </c>
    </row>
    <row r="813" spans="1:21" x14ac:dyDescent="0.2">
      <c r="A813" t="s">
        <v>2645</v>
      </c>
      <c r="B813" t="s">
        <v>253</v>
      </c>
      <c r="C813" t="s">
        <v>1352</v>
      </c>
      <c r="D813" t="s">
        <v>1572</v>
      </c>
      <c r="E813" t="s">
        <v>2646</v>
      </c>
      <c r="G813">
        <v>9.1083379999999998</v>
      </c>
      <c r="H813">
        <v>-79.693038000000001</v>
      </c>
      <c r="I813" t="s">
        <v>1573</v>
      </c>
      <c r="J813">
        <v>200</v>
      </c>
      <c r="K813">
        <v>1907</v>
      </c>
      <c r="L813">
        <v>1907</v>
      </c>
      <c r="M813" t="s">
        <v>203</v>
      </c>
      <c r="N813" t="s">
        <v>209</v>
      </c>
      <c r="Q813" s="2" t="str">
        <f>IF($C813="","",IFERROR(VLOOKUP($C813,sources!$A$2:$N$200,2,FALSE()),"?"))</f>
        <v>Map</v>
      </c>
      <c r="R813" s="2" t="str">
        <f t="shared" si="12"/>
        <v>Map</v>
      </c>
      <c r="S813" s="2" t="str">
        <f>IF($C813="","",IFERROR(VLOOKUP($C813,sources!$A$2:$N$200,9,FALSE()),"?"))</f>
        <v>US official</v>
      </c>
      <c r="T813" t="s">
        <v>5692</v>
      </c>
      <c r="U813">
        <f>IF(OR(B813="",C813="",T813="Retracted",LEFT(D813,8)="Negative"),0,IF(COUNTIFS($B$2:B813,B813,$C$2:C813,C813,$D$2:D813,"&lt;&gt;Negative*",$T$2:T813,"&lt;&gt;Retracted")=1,1,0))</f>
        <v>0</v>
      </c>
    </row>
    <row r="814" spans="1:21" x14ac:dyDescent="0.2">
      <c r="A814" t="s">
        <v>2647</v>
      </c>
      <c r="B814" t="s">
        <v>253</v>
      </c>
      <c r="C814" t="s">
        <v>1352</v>
      </c>
      <c r="D814" t="s">
        <v>1572</v>
      </c>
      <c r="E814" t="s">
        <v>2648</v>
      </c>
      <c r="G814">
        <v>9.1024080000000005</v>
      </c>
      <c r="H814">
        <v>-79.691165999999996</v>
      </c>
      <c r="I814" t="s">
        <v>1573</v>
      </c>
      <c r="J814">
        <v>200</v>
      </c>
      <c r="K814">
        <v>1907</v>
      </c>
      <c r="L814">
        <v>1907</v>
      </c>
      <c r="M814" t="s">
        <v>203</v>
      </c>
      <c r="N814" t="s">
        <v>209</v>
      </c>
      <c r="Q814" s="2" t="str">
        <f>IF($C814="","",IFERROR(VLOOKUP($C814,sources!$A$2:$N$200,2,FALSE()),"?"))</f>
        <v>Map</v>
      </c>
      <c r="R814" s="2" t="str">
        <f t="shared" si="12"/>
        <v>Map</v>
      </c>
      <c r="S814" s="2" t="str">
        <f>IF($C814="","",IFERROR(VLOOKUP($C814,sources!$A$2:$N$200,9,FALSE()),"?"))</f>
        <v>US official</v>
      </c>
      <c r="T814" t="s">
        <v>5692</v>
      </c>
      <c r="U814">
        <f>IF(OR(B814="",C814="",T814="Retracted",LEFT(D814,8)="Negative"),0,IF(COUNTIFS($B$2:B814,B814,$C$2:C814,C814,$D$2:D814,"&lt;&gt;Negative*",$T$2:T814,"&lt;&gt;Retracted")=1,1,0))</f>
        <v>0</v>
      </c>
    </row>
    <row r="815" spans="1:21" x14ac:dyDescent="0.2">
      <c r="A815" t="s">
        <v>2649</v>
      </c>
      <c r="B815" t="s">
        <v>261</v>
      </c>
      <c r="C815" t="s">
        <v>1352</v>
      </c>
      <c r="D815" t="s">
        <v>1572</v>
      </c>
      <c r="E815" t="s">
        <v>2650</v>
      </c>
      <c r="G815">
        <v>9.0870739999999994</v>
      </c>
      <c r="H815">
        <v>-79.680245999999997</v>
      </c>
      <c r="I815" t="s">
        <v>1573</v>
      </c>
      <c r="J815">
        <v>200</v>
      </c>
      <c r="K815">
        <v>1907</v>
      </c>
      <c r="L815">
        <v>1907</v>
      </c>
      <c r="M815" t="s">
        <v>203</v>
      </c>
      <c r="N815" t="s">
        <v>203</v>
      </c>
      <c r="Q815" s="2" t="str">
        <f>IF($C815="","",IFERROR(VLOOKUP($C815,sources!$A$2:$N$200,2,FALSE()),"?"))</f>
        <v>Map</v>
      </c>
      <c r="R815" s="2" t="str">
        <f t="shared" si="12"/>
        <v>Map</v>
      </c>
      <c r="S815" s="2" t="str">
        <f>IF($C815="","",IFERROR(VLOOKUP($C815,sources!$A$2:$N$200,9,FALSE()),"?"))</f>
        <v>US official</v>
      </c>
      <c r="T815" t="s">
        <v>5692</v>
      </c>
      <c r="U815">
        <f>IF(OR(B815="",C815="",T815="Retracted",LEFT(D815,8)="Negative"),0,IF(COUNTIFS($B$2:B815,B815,$C$2:C815,C815,$D$2:D815,"&lt;&gt;Negative*",$T$2:T815,"&lt;&gt;Retracted")=1,1,0))</f>
        <v>0</v>
      </c>
    </row>
    <row r="816" spans="1:21" x14ac:dyDescent="0.2">
      <c r="A816" t="s">
        <v>2651</v>
      </c>
      <c r="B816" t="s">
        <v>378</v>
      </c>
      <c r="C816" t="s">
        <v>1352</v>
      </c>
      <c r="D816" t="s">
        <v>1572</v>
      </c>
      <c r="E816" t="s">
        <v>2652</v>
      </c>
      <c r="G816">
        <v>9.0331449999999993</v>
      </c>
      <c r="H816">
        <v>-79.634118999999998</v>
      </c>
      <c r="I816" t="s">
        <v>1573</v>
      </c>
      <c r="J816">
        <v>200</v>
      </c>
      <c r="K816">
        <v>1907</v>
      </c>
      <c r="L816">
        <v>1907</v>
      </c>
      <c r="M816" t="s">
        <v>203</v>
      </c>
      <c r="N816" t="s">
        <v>209</v>
      </c>
      <c r="Q816" s="2" t="str">
        <f>IF($C816="","",IFERROR(VLOOKUP($C816,sources!$A$2:$N$200,2,FALSE()),"?"))</f>
        <v>Map</v>
      </c>
      <c r="R816" s="2" t="str">
        <f t="shared" si="12"/>
        <v>Map</v>
      </c>
      <c r="S816" s="2" t="str">
        <f>IF($C816="","",IFERROR(VLOOKUP($C816,sources!$A$2:$N$200,9,FALSE()),"?"))</f>
        <v>US official</v>
      </c>
      <c r="T816" t="s">
        <v>5692</v>
      </c>
      <c r="U816">
        <f>IF(OR(B816="",C816="",T816="Retracted",LEFT(D816,8)="Negative"),0,IF(COUNTIFS($B$2:B816,B816,$C$2:C816,C816,$D$2:D816,"&lt;&gt;Negative*",$T$2:T816,"&lt;&gt;Retracted")=1,1,0))</f>
        <v>0</v>
      </c>
    </row>
    <row r="817" spans="1:21" x14ac:dyDescent="0.2">
      <c r="A817" t="s">
        <v>2653</v>
      </c>
      <c r="B817" t="s">
        <v>378</v>
      </c>
      <c r="C817" t="s">
        <v>1352</v>
      </c>
      <c r="D817" t="s">
        <v>1572</v>
      </c>
      <c r="E817" t="s">
        <v>2654</v>
      </c>
      <c r="G817">
        <v>9.0363100000000003</v>
      </c>
      <c r="H817">
        <v>-79.637167000000005</v>
      </c>
      <c r="I817" t="s">
        <v>1573</v>
      </c>
      <c r="J817">
        <v>200</v>
      </c>
      <c r="K817">
        <v>1907</v>
      </c>
      <c r="L817">
        <v>1907</v>
      </c>
      <c r="M817" t="s">
        <v>203</v>
      </c>
      <c r="N817" t="s">
        <v>190</v>
      </c>
      <c r="Q817" s="2" t="str">
        <f>IF($C817="","",IFERROR(VLOOKUP($C817,sources!$A$2:$N$200,2,FALSE()),"?"))</f>
        <v>Map</v>
      </c>
      <c r="R817" s="2" t="str">
        <f t="shared" si="12"/>
        <v>Map</v>
      </c>
      <c r="S817" s="2" t="str">
        <f>IF($C817="","",IFERROR(VLOOKUP($C817,sources!$A$2:$N$200,9,FALSE()),"?"))</f>
        <v>US official</v>
      </c>
      <c r="T817" t="s">
        <v>5692</v>
      </c>
      <c r="U817">
        <f>IF(OR(B817="",C817="",T817="Retracted",LEFT(D817,8)="Negative"),0,IF(COUNTIFS($B$2:B817,B817,$C$2:C817,C817,$D$2:D817,"&lt;&gt;Negative*",$T$2:T817,"&lt;&gt;Retracted")=1,1,0))</f>
        <v>0</v>
      </c>
    </row>
    <row r="818" spans="1:21" x14ac:dyDescent="0.2">
      <c r="A818" t="s">
        <v>2655</v>
      </c>
      <c r="B818" t="s">
        <v>357</v>
      </c>
      <c r="C818" t="s">
        <v>1352</v>
      </c>
      <c r="D818" t="s">
        <v>1572</v>
      </c>
      <c r="E818" t="s">
        <v>2656</v>
      </c>
      <c r="G818">
        <v>9.0327979999999997</v>
      </c>
      <c r="H818">
        <v>-79.629660999999999</v>
      </c>
      <c r="I818" t="s">
        <v>1573</v>
      </c>
      <c r="J818">
        <v>200</v>
      </c>
      <c r="K818">
        <v>1907</v>
      </c>
      <c r="L818">
        <v>1907</v>
      </c>
      <c r="M818" t="s">
        <v>203</v>
      </c>
      <c r="N818" t="s">
        <v>209</v>
      </c>
      <c r="Q818" s="2" t="str">
        <f>IF($C818="","",IFERROR(VLOOKUP($C818,sources!$A$2:$N$200,2,FALSE()),"?"))</f>
        <v>Map</v>
      </c>
      <c r="R818" s="2" t="str">
        <f t="shared" si="12"/>
        <v>Map</v>
      </c>
      <c r="S818" s="2" t="str">
        <f>IF($C818="","",IFERROR(VLOOKUP($C818,sources!$A$2:$N$200,9,FALSE()),"?"))</f>
        <v>US official</v>
      </c>
      <c r="T818" t="s">
        <v>5692</v>
      </c>
      <c r="U818">
        <f>IF(OR(B818="",C818="",T818="Retracted",LEFT(D818,8)="Negative"),0,IF(COUNTIFS($B$2:B818,B818,$C$2:C818,C818,$D$2:D818,"&lt;&gt;Negative*",$T$2:T818,"&lt;&gt;Retracted")=1,1,0))</f>
        <v>0</v>
      </c>
    </row>
    <row r="819" spans="1:21" x14ac:dyDescent="0.2">
      <c r="A819" t="s">
        <v>2657</v>
      </c>
      <c r="B819" t="s">
        <v>344</v>
      </c>
      <c r="C819" t="s">
        <v>1352</v>
      </c>
      <c r="D819" t="s">
        <v>1572</v>
      </c>
      <c r="E819" t="s">
        <v>2658</v>
      </c>
      <c r="G819">
        <v>9.0194530000000004</v>
      </c>
      <c r="H819">
        <v>-79.610462999999996</v>
      </c>
      <c r="I819" t="s">
        <v>1573</v>
      </c>
      <c r="J819">
        <v>200</v>
      </c>
      <c r="K819">
        <v>1907</v>
      </c>
      <c r="L819">
        <v>1907</v>
      </c>
      <c r="M819" t="s">
        <v>203</v>
      </c>
      <c r="N819" t="s">
        <v>209</v>
      </c>
      <c r="Q819" s="2" t="str">
        <f>IF($C819="","",IFERROR(VLOOKUP($C819,sources!$A$2:$N$200,2,FALSE()),"?"))</f>
        <v>Map</v>
      </c>
      <c r="R819" s="2" t="str">
        <f t="shared" si="12"/>
        <v>Map</v>
      </c>
      <c r="S819" s="2" t="str">
        <f>IF($C819="","",IFERROR(VLOOKUP($C819,sources!$A$2:$N$200,9,FALSE()),"?"))</f>
        <v>US official</v>
      </c>
      <c r="T819" t="s">
        <v>5692</v>
      </c>
      <c r="U819">
        <f>IF(OR(B819="",C819="",T819="Retracted",LEFT(D819,8)="Negative"),0,IF(COUNTIFS($B$2:B819,B819,$C$2:C819,C819,$D$2:D819,"&lt;&gt;Negative*",$T$2:T819,"&lt;&gt;Retracted")=1,1,0))</f>
        <v>0</v>
      </c>
    </row>
    <row r="820" spans="1:21" x14ac:dyDescent="0.2">
      <c r="A820" t="s">
        <v>2659</v>
      </c>
      <c r="B820" t="s">
        <v>580</v>
      </c>
      <c r="C820" t="s">
        <v>1352</v>
      </c>
      <c r="D820" t="s">
        <v>1572</v>
      </c>
      <c r="E820" t="s">
        <v>2660</v>
      </c>
      <c r="G820">
        <v>9.0904980000000002</v>
      </c>
      <c r="H820">
        <v>-79.681186999999994</v>
      </c>
      <c r="I820" t="s">
        <v>1573</v>
      </c>
      <c r="J820">
        <v>200</v>
      </c>
      <c r="K820">
        <v>1907</v>
      </c>
      <c r="L820">
        <v>1907</v>
      </c>
      <c r="M820" t="s">
        <v>203</v>
      </c>
      <c r="N820" t="s">
        <v>203</v>
      </c>
      <c r="Q820" s="2" t="str">
        <f>IF($C820="","",IFERROR(VLOOKUP($C820,sources!$A$2:$N$200,2,FALSE()),"?"))</f>
        <v>Map</v>
      </c>
      <c r="R820" s="2" t="str">
        <f t="shared" si="12"/>
        <v>Map</v>
      </c>
      <c r="S820" s="2" t="str">
        <f>IF($C820="","",IFERROR(VLOOKUP($C820,sources!$A$2:$N$200,9,FALSE()),"?"))</f>
        <v>US official</v>
      </c>
      <c r="T820" t="s">
        <v>5692</v>
      </c>
      <c r="U820">
        <f>IF(OR(B820="",C820="",T820="Retracted",LEFT(D820,8)="Negative"),0,IF(COUNTIFS($B$2:B820,B820,$C$2:C820,C820,$D$2:D820,"&lt;&gt;Negative*",$T$2:T820,"&lt;&gt;Retracted")=1,1,0))</f>
        <v>0</v>
      </c>
    </row>
    <row r="821" spans="1:21" x14ac:dyDescent="0.2">
      <c r="A821" t="s">
        <v>2661</v>
      </c>
      <c r="B821" t="s">
        <v>580</v>
      </c>
      <c r="C821" t="s">
        <v>1352</v>
      </c>
      <c r="D821" t="s">
        <v>1572</v>
      </c>
      <c r="E821" t="s">
        <v>2662</v>
      </c>
      <c r="G821">
        <v>9.0885149999999992</v>
      </c>
      <c r="H821">
        <v>-79.682078000000004</v>
      </c>
      <c r="I821" t="s">
        <v>1573</v>
      </c>
      <c r="J821">
        <v>200</v>
      </c>
      <c r="K821">
        <v>1907</v>
      </c>
      <c r="L821">
        <v>1907</v>
      </c>
      <c r="M821" t="s">
        <v>203</v>
      </c>
      <c r="N821" t="s">
        <v>209</v>
      </c>
      <c r="Q821" s="2" t="str">
        <f>IF($C821="","",IFERROR(VLOOKUP($C821,sources!$A$2:$N$200,2,FALSE()),"?"))</f>
        <v>Map</v>
      </c>
      <c r="R821" s="2" t="str">
        <f t="shared" si="12"/>
        <v>Map</v>
      </c>
      <c r="S821" s="2" t="str">
        <f>IF($C821="","",IFERROR(VLOOKUP($C821,sources!$A$2:$N$200,9,FALSE()),"?"))</f>
        <v>US official</v>
      </c>
      <c r="T821" t="s">
        <v>5692</v>
      </c>
      <c r="U821">
        <f>IF(OR(B821="",C821="",T821="Retracted",LEFT(D821,8)="Negative"),0,IF(COUNTIFS($B$2:B821,B821,$C$2:C821,C821,$D$2:D821,"&lt;&gt;Negative*",$T$2:T821,"&lt;&gt;Retracted")=1,1,0))</f>
        <v>0</v>
      </c>
    </row>
    <row r="822" spans="1:21" x14ac:dyDescent="0.2">
      <c r="A822" t="s">
        <v>2663</v>
      </c>
      <c r="B822" t="s">
        <v>580</v>
      </c>
      <c r="C822" t="s">
        <v>1352</v>
      </c>
      <c r="D822" t="s">
        <v>1572</v>
      </c>
      <c r="E822" t="s">
        <v>2664</v>
      </c>
      <c r="G822">
        <v>9.086646</v>
      </c>
      <c r="H822">
        <v>-79.681676999999993</v>
      </c>
      <c r="I822" t="s">
        <v>1573</v>
      </c>
      <c r="J822">
        <v>200</v>
      </c>
      <c r="K822">
        <v>1907</v>
      </c>
      <c r="L822">
        <v>1907</v>
      </c>
      <c r="M822" t="s">
        <v>203</v>
      </c>
      <c r="N822" t="s">
        <v>209</v>
      </c>
      <c r="Q822" s="2" t="str">
        <f>IF($C822="","",IFERROR(VLOOKUP($C822,sources!$A$2:$N$200,2,FALSE()),"?"))</f>
        <v>Map</v>
      </c>
      <c r="R822" s="2" t="str">
        <f t="shared" si="12"/>
        <v>Map</v>
      </c>
      <c r="S822" s="2" t="str">
        <f>IF($C822="","",IFERROR(VLOOKUP($C822,sources!$A$2:$N$200,9,FALSE()),"?"))</f>
        <v>US official</v>
      </c>
      <c r="T822" t="s">
        <v>5692</v>
      </c>
      <c r="U822">
        <f>IF(OR(B822="",C822="",T822="Retracted",LEFT(D822,8)="Negative"),0,IF(COUNTIFS($B$2:B822,B822,$C$2:C822,C822,$D$2:D822,"&lt;&gt;Negative*",$T$2:T822,"&lt;&gt;Retracted")=1,1,0))</f>
        <v>0</v>
      </c>
    </row>
    <row r="823" spans="1:21" x14ac:dyDescent="0.2">
      <c r="A823" t="s">
        <v>2665</v>
      </c>
      <c r="B823" t="s">
        <v>770</v>
      </c>
      <c r="C823" t="s">
        <v>1352</v>
      </c>
      <c r="D823" t="s">
        <v>1572</v>
      </c>
      <c r="E823" t="s">
        <v>2666</v>
      </c>
      <c r="G823">
        <v>9.0299040000000002</v>
      </c>
      <c r="H823">
        <v>-79.627313000000001</v>
      </c>
      <c r="I823" t="s">
        <v>1573</v>
      </c>
      <c r="J823">
        <v>200</v>
      </c>
      <c r="K823">
        <v>1907</v>
      </c>
      <c r="L823">
        <v>1907</v>
      </c>
      <c r="M823" t="s">
        <v>203</v>
      </c>
      <c r="N823" t="s">
        <v>203</v>
      </c>
      <c r="Q823" s="2" t="str">
        <f>IF($C823="","",IFERROR(VLOOKUP($C823,sources!$A$2:$N$200,2,FALSE()),"?"))</f>
        <v>Map</v>
      </c>
      <c r="R823" s="2" t="str">
        <f t="shared" si="12"/>
        <v>Map</v>
      </c>
      <c r="S823" s="2" t="str">
        <f>IF($C823="","",IFERROR(VLOOKUP($C823,sources!$A$2:$N$200,9,FALSE()),"?"))</f>
        <v>US official</v>
      </c>
      <c r="T823" t="s">
        <v>5692</v>
      </c>
      <c r="U823">
        <f>IF(OR(B823="",C823="",T823="Retracted",LEFT(D823,8)="Negative"),0,IF(COUNTIFS($B$2:B823,B823,$C$2:C823,C823,$D$2:D823,"&lt;&gt;Negative*",$T$2:T823,"&lt;&gt;Retracted")=1,1,0))</f>
        <v>1</v>
      </c>
    </row>
    <row r="824" spans="1:21" x14ac:dyDescent="0.2">
      <c r="A824" t="s">
        <v>2667</v>
      </c>
      <c r="B824" t="s">
        <v>758</v>
      </c>
      <c r="C824" t="s">
        <v>1352</v>
      </c>
      <c r="D824" t="s">
        <v>1572</v>
      </c>
      <c r="E824" t="s">
        <v>2668</v>
      </c>
      <c r="G824">
        <v>9.0289999999999999</v>
      </c>
      <c r="H824">
        <v>-79.627515000000002</v>
      </c>
      <c r="I824" t="s">
        <v>1573</v>
      </c>
      <c r="J824">
        <v>200</v>
      </c>
      <c r="K824">
        <v>1907</v>
      </c>
      <c r="L824">
        <v>1907</v>
      </c>
      <c r="M824" t="s">
        <v>203</v>
      </c>
      <c r="N824" t="s">
        <v>203</v>
      </c>
      <c r="Q824" s="2" t="str">
        <f>IF($C824="","",IFERROR(VLOOKUP($C824,sources!$A$2:$N$200,2,FALSE()),"?"))</f>
        <v>Map</v>
      </c>
      <c r="R824" s="2" t="str">
        <f t="shared" si="12"/>
        <v>Map</v>
      </c>
      <c r="S824" s="2" t="str">
        <f>IF($C824="","",IFERROR(VLOOKUP($C824,sources!$A$2:$N$200,9,FALSE()),"?"))</f>
        <v>US official</v>
      </c>
      <c r="T824" t="s">
        <v>5692</v>
      </c>
      <c r="U824">
        <f>IF(OR(B824="",C824="",T824="Retracted",LEFT(D824,8)="Negative"),0,IF(COUNTIFS($B$2:B824,B824,$C$2:C824,C824,$D$2:D824,"&lt;&gt;Negative*",$T$2:T824,"&lt;&gt;Retracted")=1,1,0))</f>
        <v>0</v>
      </c>
    </row>
    <row r="825" spans="1:21" x14ac:dyDescent="0.2">
      <c r="A825" t="s">
        <v>2669</v>
      </c>
      <c r="B825" t="s">
        <v>758</v>
      </c>
      <c r="C825" t="s">
        <v>1352</v>
      </c>
      <c r="D825" t="s">
        <v>1572</v>
      </c>
      <c r="E825" t="s">
        <v>2670</v>
      </c>
      <c r="G825">
        <v>9.0288050000000002</v>
      </c>
      <c r="H825">
        <v>-79.627449999999996</v>
      </c>
      <c r="I825" t="s">
        <v>1573</v>
      </c>
      <c r="J825">
        <v>200</v>
      </c>
      <c r="K825">
        <v>1907</v>
      </c>
      <c r="L825">
        <v>1907</v>
      </c>
      <c r="M825" t="s">
        <v>203</v>
      </c>
      <c r="N825" t="s">
        <v>203</v>
      </c>
      <c r="Q825" s="2" t="str">
        <f>IF($C825="","",IFERROR(VLOOKUP($C825,sources!$A$2:$N$200,2,FALSE()),"?"))</f>
        <v>Map</v>
      </c>
      <c r="R825" s="2" t="str">
        <f t="shared" si="12"/>
        <v>Map</v>
      </c>
      <c r="S825" s="2" t="str">
        <f>IF($C825="","",IFERROR(VLOOKUP($C825,sources!$A$2:$N$200,9,FALSE()),"?"))</f>
        <v>US official</v>
      </c>
      <c r="T825" t="s">
        <v>5692</v>
      </c>
      <c r="U825">
        <f>IF(OR(B825="",C825="",T825="Retracted",LEFT(D825,8)="Negative"),0,IF(COUNTIFS($B$2:B825,B825,$C$2:C825,C825,$D$2:D825,"&lt;&gt;Negative*",$T$2:T825,"&lt;&gt;Retracted")=1,1,0))</f>
        <v>0</v>
      </c>
    </row>
    <row r="826" spans="1:21" x14ac:dyDescent="0.2">
      <c r="A826" t="s">
        <v>2671</v>
      </c>
      <c r="B826" t="s">
        <v>758</v>
      </c>
      <c r="C826" t="s">
        <v>1352</v>
      </c>
      <c r="D826" t="s">
        <v>1572</v>
      </c>
      <c r="E826" t="s">
        <v>2672</v>
      </c>
      <c r="G826">
        <v>9.0286910000000002</v>
      </c>
      <c r="H826">
        <v>-79.627486000000005</v>
      </c>
      <c r="I826" t="s">
        <v>1573</v>
      </c>
      <c r="J826">
        <v>200</v>
      </c>
      <c r="K826">
        <v>1907</v>
      </c>
      <c r="L826">
        <v>1907</v>
      </c>
      <c r="M826" t="s">
        <v>203</v>
      </c>
      <c r="N826" t="s">
        <v>203</v>
      </c>
      <c r="Q826" s="2" t="str">
        <f>IF($C826="","",IFERROR(VLOOKUP($C826,sources!$A$2:$N$200,2,FALSE()),"?"))</f>
        <v>Map</v>
      </c>
      <c r="R826" s="2" t="str">
        <f t="shared" si="12"/>
        <v>Map</v>
      </c>
      <c r="S826" s="2" t="str">
        <f>IF($C826="","",IFERROR(VLOOKUP($C826,sources!$A$2:$N$200,9,FALSE()),"?"))</f>
        <v>US official</v>
      </c>
      <c r="T826" t="s">
        <v>5692</v>
      </c>
      <c r="U826">
        <f>IF(OR(B826="",C826="",T826="Retracted",LEFT(D826,8)="Negative"),0,IF(COUNTIFS($B$2:B826,B826,$C$2:C826,C826,$D$2:D826,"&lt;&gt;Negative*",$T$2:T826,"&lt;&gt;Retracted")=1,1,0))</f>
        <v>0</v>
      </c>
    </row>
    <row r="827" spans="1:21" x14ac:dyDescent="0.2">
      <c r="A827" t="s">
        <v>2673</v>
      </c>
      <c r="B827" t="s">
        <v>758</v>
      </c>
      <c r="C827" t="s">
        <v>1352</v>
      </c>
      <c r="D827" t="s">
        <v>1572</v>
      </c>
      <c r="E827" t="s">
        <v>2674</v>
      </c>
      <c r="G827">
        <v>9.0288579999999996</v>
      </c>
      <c r="H827">
        <v>-79.627036000000004</v>
      </c>
      <c r="I827" t="s">
        <v>1573</v>
      </c>
      <c r="J827">
        <v>200</v>
      </c>
      <c r="K827">
        <v>1907</v>
      </c>
      <c r="L827">
        <v>1907</v>
      </c>
      <c r="M827" t="s">
        <v>203</v>
      </c>
      <c r="N827" t="s">
        <v>203</v>
      </c>
      <c r="Q827" s="2" t="str">
        <f>IF($C827="","",IFERROR(VLOOKUP($C827,sources!$A$2:$N$200,2,FALSE()),"?"))</f>
        <v>Map</v>
      </c>
      <c r="R827" s="2" t="str">
        <f t="shared" si="12"/>
        <v>Map</v>
      </c>
      <c r="S827" s="2" t="str">
        <f>IF($C827="","",IFERROR(VLOOKUP($C827,sources!$A$2:$N$200,9,FALSE()),"?"))</f>
        <v>US official</v>
      </c>
      <c r="T827" t="s">
        <v>5692</v>
      </c>
      <c r="U827">
        <f>IF(OR(B827="",C827="",T827="Retracted",LEFT(D827,8)="Negative"),0,IF(COUNTIFS($B$2:B827,B827,$C$2:C827,C827,$D$2:D827,"&lt;&gt;Negative*",$T$2:T827,"&lt;&gt;Retracted")=1,1,0))</f>
        <v>0</v>
      </c>
    </row>
    <row r="828" spans="1:21" x14ac:dyDescent="0.2">
      <c r="A828" t="s">
        <v>2675</v>
      </c>
      <c r="B828" t="s">
        <v>758</v>
      </c>
      <c r="C828" t="s">
        <v>1352</v>
      </c>
      <c r="D828" t="s">
        <v>1572</v>
      </c>
      <c r="E828" t="s">
        <v>2676</v>
      </c>
      <c r="G828">
        <v>9.0286439999999999</v>
      </c>
      <c r="H828">
        <v>-79.627127000000002</v>
      </c>
      <c r="I828" t="s">
        <v>1573</v>
      </c>
      <c r="J828">
        <v>200</v>
      </c>
      <c r="K828">
        <v>1907</v>
      </c>
      <c r="L828">
        <v>1907</v>
      </c>
      <c r="M828" t="s">
        <v>203</v>
      </c>
      <c r="N828" t="s">
        <v>203</v>
      </c>
      <c r="Q828" s="2" t="str">
        <f>IF($C828="","",IFERROR(VLOOKUP($C828,sources!$A$2:$N$200,2,FALSE()),"?"))</f>
        <v>Map</v>
      </c>
      <c r="R828" s="2" t="str">
        <f t="shared" si="12"/>
        <v>Map</v>
      </c>
      <c r="S828" s="2" t="str">
        <f>IF($C828="","",IFERROR(VLOOKUP($C828,sources!$A$2:$N$200,9,FALSE()),"?"))</f>
        <v>US official</v>
      </c>
      <c r="T828" t="s">
        <v>5692</v>
      </c>
      <c r="U828">
        <f>IF(OR(B828="",C828="",T828="Retracted",LEFT(D828,8)="Negative"),0,IF(COUNTIFS($B$2:B828,B828,$C$2:C828,C828,$D$2:D828,"&lt;&gt;Negative*",$T$2:T828,"&lt;&gt;Retracted")=1,1,0))</f>
        <v>0</v>
      </c>
    </row>
    <row r="829" spans="1:21" x14ac:dyDescent="0.2">
      <c r="A829" t="s">
        <v>2677</v>
      </c>
      <c r="B829" t="s">
        <v>592</v>
      </c>
      <c r="C829" t="s">
        <v>1335</v>
      </c>
      <c r="D829" t="s">
        <v>1572</v>
      </c>
      <c r="E829" t="s">
        <v>593</v>
      </c>
      <c r="F829" t="s">
        <v>1566</v>
      </c>
      <c r="G829">
        <v>9.1164400000000008</v>
      </c>
      <c r="H829">
        <v>-79.733369999999994</v>
      </c>
      <c r="I829" t="s">
        <v>1573</v>
      </c>
      <c r="J829">
        <v>250</v>
      </c>
      <c r="K829">
        <v>1905</v>
      </c>
      <c r="L829">
        <v>1906</v>
      </c>
      <c r="M829" t="s">
        <v>203</v>
      </c>
      <c r="N829" t="s">
        <v>209</v>
      </c>
      <c r="Q829" s="2" t="str">
        <f>IF($C829="","",IFERROR(VLOOKUP($C829,sources!$A$2:$N$200,2,FALSE()),"?"))</f>
        <v>Map</v>
      </c>
      <c r="R829" s="2" t="str">
        <f t="shared" si="12"/>
        <v>Map</v>
      </c>
      <c r="S829" s="2" t="str">
        <f>IF($C829="","",IFERROR(VLOOKUP($C829,sources!$A$2:$N$200,9,FALSE()),"?"))</f>
        <v>US official</v>
      </c>
      <c r="T829" t="s">
        <v>5692</v>
      </c>
      <c r="U829">
        <f>IF(OR(B829="",C829="",T829="Retracted",LEFT(D829,8)="Negative"),0,IF(COUNTIFS($B$2:B829,B829,$C$2:C829,C829,$D$2:D829,"&lt;&gt;Negative*",$T$2:T829,"&lt;&gt;Retracted")=1,1,0))</f>
        <v>0</v>
      </c>
    </row>
    <row r="830" spans="1:21" x14ac:dyDescent="0.2">
      <c r="A830" t="s">
        <v>2678</v>
      </c>
      <c r="B830" t="s">
        <v>233</v>
      </c>
      <c r="C830" t="s">
        <v>1335</v>
      </c>
      <c r="D830" t="s">
        <v>1572</v>
      </c>
      <c r="E830" t="s">
        <v>2265</v>
      </c>
      <c r="F830" t="s">
        <v>1583</v>
      </c>
      <c r="G830">
        <v>9.0618250000000007</v>
      </c>
      <c r="H830">
        <v>-79.671171000000001</v>
      </c>
      <c r="I830" t="s">
        <v>1573</v>
      </c>
      <c r="J830">
        <v>150</v>
      </c>
      <c r="K830">
        <v>1905</v>
      </c>
      <c r="L830">
        <v>1906</v>
      </c>
      <c r="M830" t="s">
        <v>203</v>
      </c>
      <c r="N830" t="s">
        <v>203</v>
      </c>
      <c r="Q830" s="2" t="str">
        <f>IF($C830="","",IFERROR(VLOOKUP($C830,sources!$A$2:$N$200,2,FALSE()),"?"))</f>
        <v>Map</v>
      </c>
      <c r="R830" s="2" t="str">
        <f t="shared" si="12"/>
        <v>Map</v>
      </c>
      <c r="S830" s="2" t="str">
        <f>IF($C830="","",IFERROR(VLOOKUP($C830,sources!$A$2:$N$200,9,FALSE()),"?"))</f>
        <v>US official</v>
      </c>
      <c r="T830" t="s">
        <v>5692</v>
      </c>
      <c r="U830">
        <f>IF(OR(B830="",C830="",T830="Retracted",LEFT(D830,8)="Negative"),0,IF(COUNTIFS($B$2:B830,B830,$C$2:C830,C830,$D$2:D830,"&lt;&gt;Negative*",$T$2:T830,"&lt;&gt;Retracted")=1,1,0))</f>
        <v>1</v>
      </c>
    </row>
    <row r="831" spans="1:21" x14ac:dyDescent="0.2">
      <c r="A831" t="s">
        <v>2679</v>
      </c>
      <c r="B831" t="s">
        <v>673</v>
      </c>
      <c r="C831" t="s">
        <v>1335</v>
      </c>
      <c r="D831" t="s">
        <v>1572</v>
      </c>
      <c r="E831" t="s">
        <v>2680</v>
      </c>
      <c r="F831" t="s">
        <v>1583</v>
      </c>
      <c r="G831">
        <v>9.0659810000000007</v>
      </c>
      <c r="H831">
        <v>-79.671609000000004</v>
      </c>
      <c r="I831" t="s">
        <v>1573</v>
      </c>
      <c r="J831">
        <v>150</v>
      </c>
      <c r="K831">
        <v>1905</v>
      </c>
      <c r="L831">
        <v>1906</v>
      </c>
      <c r="M831" t="s">
        <v>203</v>
      </c>
      <c r="N831" t="s">
        <v>203</v>
      </c>
      <c r="Q831" s="2" t="str">
        <f>IF($C831="","",IFERROR(VLOOKUP($C831,sources!$A$2:$N$200,2,FALSE()),"?"))</f>
        <v>Map</v>
      </c>
      <c r="R831" s="2" t="str">
        <f t="shared" si="12"/>
        <v>Map</v>
      </c>
      <c r="S831" s="2" t="str">
        <f>IF($C831="","",IFERROR(VLOOKUP($C831,sources!$A$2:$N$200,9,FALSE()),"?"))</f>
        <v>US official</v>
      </c>
      <c r="T831" t="s">
        <v>5692</v>
      </c>
      <c r="U831">
        <f>IF(OR(B831="",C831="",T831="Retracted",LEFT(D831,8)="Negative"),0,IF(COUNTIFS($B$2:B831,B831,$C$2:C831,C831,$D$2:D831,"&lt;&gt;Negative*",$T$2:T831,"&lt;&gt;Retracted")=1,1,0))</f>
        <v>1</v>
      </c>
    </row>
    <row r="832" spans="1:21" x14ac:dyDescent="0.2">
      <c r="A832" t="s">
        <v>2681</v>
      </c>
      <c r="B832" t="s">
        <v>247</v>
      </c>
      <c r="C832" t="s">
        <v>1335</v>
      </c>
      <c r="D832" t="s">
        <v>1572</v>
      </c>
      <c r="E832" t="s">
        <v>2682</v>
      </c>
      <c r="F832" t="s">
        <v>1566</v>
      </c>
      <c r="G832">
        <v>9.0494310000000002</v>
      </c>
      <c r="H832">
        <v>-79.655292000000003</v>
      </c>
      <c r="I832" t="s">
        <v>1573</v>
      </c>
      <c r="J832">
        <v>150</v>
      </c>
      <c r="K832">
        <v>1905</v>
      </c>
      <c r="L832">
        <v>1906</v>
      </c>
      <c r="M832" t="s">
        <v>203</v>
      </c>
      <c r="N832" t="s">
        <v>203</v>
      </c>
      <c r="Q832" s="2" t="str">
        <f>IF($C832="","",IFERROR(VLOOKUP($C832,sources!$A$2:$N$200,2,FALSE()),"?"))</f>
        <v>Map</v>
      </c>
      <c r="R832" s="2" t="str">
        <f t="shared" si="12"/>
        <v>Map</v>
      </c>
      <c r="S832" s="2" t="str">
        <f>IF($C832="","",IFERROR(VLOOKUP($C832,sources!$A$2:$N$200,9,FALSE()),"?"))</f>
        <v>US official</v>
      </c>
      <c r="T832" t="s">
        <v>5692</v>
      </c>
      <c r="U832">
        <f>IF(OR(B832="",C832="",T832="Retracted",LEFT(D832,8)="Negative"),0,IF(COUNTIFS($B$2:B832,B832,$C$2:C832,C832,$D$2:D832,"&lt;&gt;Negative*",$T$2:T832,"&lt;&gt;Retracted")=1,1,0))</f>
        <v>1</v>
      </c>
    </row>
    <row r="833" spans="1:21" x14ac:dyDescent="0.2">
      <c r="A833" t="s">
        <v>2683</v>
      </c>
      <c r="B833" t="s">
        <v>378</v>
      </c>
      <c r="C833" t="s">
        <v>1335</v>
      </c>
      <c r="D833" t="s">
        <v>1572</v>
      </c>
      <c r="E833" t="s">
        <v>379</v>
      </c>
      <c r="F833" t="s">
        <v>1566</v>
      </c>
      <c r="G833">
        <v>9.0382599999999993</v>
      </c>
      <c r="H833">
        <v>-79.637826000000004</v>
      </c>
      <c r="I833" t="s">
        <v>1573</v>
      </c>
      <c r="J833">
        <v>200</v>
      </c>
      <c r="K833">
        <v>1905</v>
      </c>
      <c r="L833">
        <v>1906</v>
      </c>
      <c r="M833" t="s">
        <v>203</v>
      </c>
      <c r="N833" t="s">
        <v>203</v>
      </c>
      <c r="Q833" s="2" t="str">
        <f>IF($C833="","",IFERROR(VLOOKUP($C833,sources!$A$2:$N$200,2,FALSE()),"?"))</f>
        <v>Map</v>
      </c>
      <c r="R833" s="2" t="str">
        <f t="shared" si="12"/>
        <v>Map</v>
      </c>
      <c r="S833" s="2" t="str">
        <f>IF($C833="","",IFERROR(VLOOKUP($C833,sources!$A$2:$N$200,9,FALSE()),"?"))</f>
        <v>US official</v>
      </c>
      <c r="T833" t="s">
        <v>5692</v>
      </c>
      <c r="U833">
        <f>IF(OR(B833="",C833="",T833="Retracted",LEFT(D833,8)="Negative"),0,IF(COUNTIFS($B$2:B833,B833,$C$2:C833,C833,$D$2:D833,"&lt;&gt;Negative*",$T$2:T833,"&lt;&gt;Retracted")=1,1,0))</f>
        <v>1</v>
      </c>
    </row>
    <row r="834" spans="1:21" x14ac:dyDescent="0.2">
      <c r="A834" t="s">
        <v>2684</v>
      </c>
      <c r="B834" t="s">
        <v>357</v>
      </c>
      <c r="C834" t="s">
        <v>1335</v>
      </c>
      <c r="D834" t="s">
        <v>1572</v>
      </c>
      <c r="E834" t="s">
        <v>358</v>
      </c>
      <c r="F834" t="s">
        <v>1566</v>
      </c>
      <c r="G834">
        <v>9.0348109999999995</v>
      </c>
      <c r="H834">
        <v>-79.630095999999995</v>
      </c>
      <c r="I834" t="s">
        <v>1573</v>
      </c>
      <c r="J834">
        <v>300</v>
      </c>
      <c r="K834">
        <v>1905</v>
      </c>
      <c r="L834">
        <v>1906</v>
      </c>
      <c r="M834" t="s">
        <v>203</v>
      </c>
      <c r="N834" t="s">
        <v>209</v>
      </c>
      <c r="Q834" s="2" t="str">
        <f>IF($C834="","",IFERROR(VLOOKUP($C834,sources!$A$2:$N$200,2,FALSE()),"?"))</f>
        <v>Map</v>
      </c>
      <c r="R834" s="2" t="str">
        <f t="shared" ref="R834:R897" si="13">IF($Q834="","",IF($Q834="Map","Map",IF(OR($Q834="Photograph",$Q834="Postcard"),"Image",IF(OR($Q834="Census or roll",$Q834="Report",$Q834="Newspaper",$Q834="Letter",$Q834="Memoir",$Q834="Administrative",$Q834="Web compilation"),"Textual",IF($Q834="Legal claim","Legal/admin",IF($Q834="Secondary","Secondary","Other"))))))</f>
        <v>Map</v>
      </c>
      <c r="S834" s="2" t="str">
        <f>IF($C834="","",IFERROR(VLOOKUP($C834,sources!$A$2:$N$200,9,FALSE()),"?"))</f>
        <v>US official</v>
      </c>
      <c r="T834" t="s">
        <v>5692</v>
      </c>
      <c r="U834">
        <f>IF(OR(B834="",C834="",T834="Retracted",LEFT(D834,8)="Negative"),0,IF(COUNTIFS($B$2:B834,B834,$C$2:C834,C834,$D$2:D834,"&lt;&gt;Negative*",$T$2:T834,"&lt;&gt;Retracted")=1,1,0))</f>
        <v>1</v>
      </c>
    </row>
    <row r="835" spans="1:21" x14ac:dyDescent="0.2">
      <c r="A835" t="s">
        <v>2685</v>
      </c>
      <c r="B835" t="s">
        <v>503</v>
      </c>
      <c r="C835" t="s">
        <v>1335</v>
      </c>
      <c r="D835" t="s">
        <v>1572</v>
      </c>
      <c r="E835" t="s">
        <v>504</v>
      </c>
      <c r="F835" t="s">
        <v>1566</v>
      </c>
      <c r="G835">
        <v>9.0265090000000008</v>
      </c>
      <c r="H835">
        <v>-79.631232999999995</v>
      </c>
      <c r="I835" t="s">
        <v>1573</v>
      </c>
      <c r="J835">
        <v>200</v>
      </c>
      <c r="K835">
        <v>1905</v>
      </c>
      <c r="L835">
        <v>1906</v>
      </c>
      <c r="M835" t="s">
        <v>203</v>
      </c>
      <c r="N835" t="s">
        <v>203</v>
      </c>
      <c r="Q835" s="2" t="str">
        <f>IF($C835="","",IFERROR(VLOOKUP($C835,sources!$A$2:$N$200,2,FALSE()),"?"))</f>
        <v>Map</v>
      </c>
      <c r="R835" s="2" t="str">
        <f t="shared" si="13"/>
        <v>Map</v>
      </c>
      <c r="S835" s="2" t="str">
        <f>IF($C835="","",IFERROR(VLOOKUP($C835,sources!$A$2:$N$200,9,FALSE()),"?"))</f>
        <v>US official</v>
      </c>
      <c r="T835" t="s">
        <v>5692</v>
      </c>
      <c r="U835">
        <f>IF(OR(B835="",C835="",T835="Retracted",LEFT(D835,8)="Negative"),0,IF(COUNTIFS($B$2:B835,B835,$C$2:C835,C835,$D$2:D835,"&lt;&gt;Negative*",$T$2:T835,"&lt;&gt;Retracted")=1,1,0))</f>
        <v>1</v>
      </c>
    </row>
    <row r="836" spans="1:21" x14ac:dyDescent="0.2">
      <c r="A836" t="s">
        <v>2686</v>
      </c>
      <c r="B836" t="s">
        <v>344</v>
      </c>
      <c r="C836" t="s">
        <v>1335</v>
      </c>
      <c r="D836" t="s">
        <v>1572</v>
      </c>
      <c r="E836" t="s">
        <v>345</v>
      </c>
      <c r="F836" t="s">
        <v>1566</v>
      </c>
      <c r="G836">
        <v>9.0208670000000009</v>
      </c>
      <c r="H836">
        <v>-79.611744000000002</v>
      </c>
      <c r="I836" t="s">
        <v>1573</v>
      </c>
      <c r="J836">
        <v>200</v>
      </c>
      <c r="K836">
        <v>1905</v>
      </c>
      <c r="L836">
        <v>1906</v>
      </c>
      <c r="M836" t="s">
        <v>203</v>
      </c>
      <c r="N836" t="s">
        <v>203</v>
      </c>
      <c r="Q836" s="2" t="str">
        <f>IF($C836="","",IFERROR(VLOOKUP($C836,sources!$A$2:$N$200,2,FALSE()),"?"))</f>
        <v>Map</v>
      </c>
      <c r="R836" s="2" t="str">
        <f t="shared" si="13"/>
        <v>Map</v>
      </c>
      <c r="S836" s="2" t="str">
        <f>IF($C836="","",IFERROR(VLOOKUP($C836,sources!$A$2:$N$200,9,FALSE()),"?"))</f>
        <v>US official</v>
      </c>
      <c r="T836" t="s">
        <v>5692</v>
      </c>
      <c r="U836">
        <f>IF(OR(B836="",C836="",T836="Retracted",LEFT(D836,8)="Negative"),0,IF(COUNTIFS($B$2:B836,B836,$C$2:C836,C836,$D$2:D836,"&lt;&gt;Negative*",$T$2:T836,"&lt;&gt;Retracted")=1,1,0))</f>
        <v>1</v>
      </c>
    </row>
    <row r="837" spans="1:21" x14ac:dyDescent="0.2">
      <c r="A837" t="s">
        <v>2687</v>
      </c>
      <c r="B837" t="s">
        <v>351</v>
      </c>
      <c r="C837" t="s">
        <v>1335</v>
      </c>
      <c r="D837" t="s">
        <v>1572</v>
      </c>
      <c r="E837" t="s">
        <v>352</v>
      </c>
      <c r="F837" t="s">
        <v>1566</v>
      </c>
      <c r="G837">
        <v>8.9818820000000006</v>
      </c>
      <c r="H837">
        <v>-79.572896999999998</v>
      </c>
      <c r="I837" t="s">
        <v>1573</v>
      </c>
      <c r="J837">
        <v>200</v>
      </c>
      <c r="K837">
        <v>1905</v>
      </c>
      <c r="L837">
        <v>1906</v>
      </c>
      <c r="M837" t="s">
        <v>203</v>
      </c>
      <c r="N837" t="s">
        <v>203</v>
      </c>
      <c r="Q837" s="2" t="str">
        <f>IF($C837="","",IFERROR(VLOOKUP($C837,sources!$A$2:$N$200,2,FALSE()),"?"))</f>
        <v>Map</v>
      </c>
      <c r="R837" s="2" t="str">
        <f t="shared" si="13"/>
        <v>Map</v>
      </c>
      <c r="S837" s="2" t="str">
        <f>IF($C837="","",IFERROR(VLOOKUP($C837,sources!$A$2:$N$200,9,FALSE()),"?"))</f>
        <v>US official</v>
      </c>
      <c r="T837" t="s">
        <v>5692</v>
      </c>
      <c r="U837">
        <f>IF(OR(B837="",C837="",T837="Retracted",LEFT(D837,8)="Negative"),0,IF(COUNTIFS($B$2:B837,B837,$C$2:C837,C837,$D$2:D837,"&lt;&gt;Negative*",$T$2:T837,"&lt;&gt;Retracted")=1,1,0))</f>
        <v>1</v>
      </c>
    </row>
    <row r="838" spans="1:21" x14ac:dyDescent="0.2">
      <c r="A838" t="s">
        <v>2688</v>
      </c>
      <c r="B838" t="s">
        <v>179</v>
      </c>
      <c r="C838" t="s">
        <v>1335</v>
      </c>
      <c r="D838" t="s">
        <v>1572</v>
      </c>
      <c r="E838" t="s">
        <v>2689</v>
      </c>
      <c r="F838" t="s">
        <v>1566</v>
      </c>
      <c r="G838">
        <v>9.10975</v>
      </c>
      <c r="H838">
        <v>-79.706990000000005</v>
      </c>
      <c r="I838" t="s">
        <v>1573</v>
      </c>
      <c r="J838">
        <v>250</v>
      </c>
      <c r="K838">
        <v>1905</v>
      </c>
      <c r="L838">
        <v>1906</v>
      </c>
      <c r="M838" t="s">
        <v>203</v>
      </c>
      <c r="N838" t="s">
        <v>203</v>
      </c>
      <c r="Q838" s="2" t="str">
        <f>IF($C838="","",IFERROR(VLOOKUP($C838,sources!$A$2:$N$200,2,FALSE()),"?"))</f>
        <v>Map</v>
      </c>
      <c r="R838" s="2" t="str">
        <f t="shared" si="13"/>
        <v>Map</v>
      </c>
      <c r="S838" s="2" t="str">
        <f>IF($C838="","",IFERROR(VLOOKUP($C838,sources!$A$2:$N$200,9,FALSE()),"?"))</f>
        <v>US official</v>
      </c>
      <c r="T838" t="s">
        <v>5692</v>
      </c>
      <c r="U838">
        <f>IF(OR(B838="",C838="",T838="Retracted",LEFT(D838,8)="Negative"),0,IF(COUNTIFS($B$2:B838,B838,$C$2:C838,C838,$D$2:D838,"&lt;&gt;Negative*",$T$2:T838,"&lt;&gt;Retracted")=1,1,0))</f>
        <v>1</v>
      </c>
    </row>
    <row r="839" spans="1:21" x14ac:dyDescent="0.2">
      <c r="A839" t="s">
        <v>2690</v>
      </c>
      <c r="B839" t="s">
        <v>253</v>
      </c>
      <c r="C839" t="s">
        <v>1335</v>
      </c>
      <c r="D839" t="s">
        <v>1572</v>
      </c>
      <c r="E839" t="s">
        <v>2691</v>
      </c>
      <c r="F839" t="s">
        <v>1566</v>
      </c>
      <c r="G839">
        <v>9.1052099999999996</v>
      </c>
      <c r="H839">
        <v>-79.688490000000002</v>
      </c>
      <c r="I839" t="s">
        <v>1573</v>
      </c>
      <c r="J839">
        <v>250</v>
      </c>
      <c r="K839">
        <v>1905</v>
      </c>
      <c r="L839">
        <v>1906</v>
      </c>
      <c r="M839" t="s">
        <v>203</v>
      </c>
      <c r="N839" t="s">
        <v>203</v>
      </c>
      <c r="Q839" s="2" t="str">
        <f>IF($C839="","",IFERROR(VLOOKUP($C839,sources!$A$2:$N$200,2,FALSE()),"?"))</f>
        <v>Map</v>
      </c>
      <c r="R839" s="2" t="str">
        <f t="shared" si="13"/>
        <v>Map</v>
      </c>
      <c r="S839" s="2" t="str">
        <f>IF($C839="","",IFERROR(VLOOKUP($C839,sources!$A$2:$N$200,9,FALSE()),"?"))</f>
        <v>US official</v>
      </c>
      <c r="T839" t="s">
        <v>5692</v>
      </c>
      <c r="U839">
        <f>IF(OR(B839="",C839="",T839="Retracted",LEFT(D839,8)="Negative"),0,IF(COUNTIFS($B$2:B839,B839,$C$2:C839,C839,$D$2:D839,"&lt;&gt;Negative*",$T$2:T839,"&lt;&gt;Retracted")=1,1,0))</f>
        <v>1</v>
      </c>
    </row>
    <row r="840" spans="1:21" x14ac:dyDescent="0.2">
      <c r="A840" t="s">
        <v>2692</v>
      </c>
      <c r="B840" t="s">
        <v>261</v>
      </c>
      <c r="C840" t="s">
        <v>1335</v>
      </c>
      <c r="D840" t="s">
        <v>1572</v>
      </c>
      <c r="E840" t="s">
        <v>2693</v>
      </c>
      <c r="F840" t="s">
        <v>1566</v>
      </c>
      <c r="G840">
        <v>9.0868699999999993</v>
      </c>
      <c r="H840">
        <v>-79.684650000000005</v>
      </c>
      <c r="I840" t="s">
        <v>1573</v>
      </c>
      <c r="J840">
        <v>200</v>
      </c>
      <c r="K840">
        <v>1905</v>
      </c>
      <c r="L840">
        <v>1906</v>
      </c>
      <c r="M840" t="s">
        <v>203</v>
      </c>
      <c r="N840" t="s">
        <v>203</v>
      </c>
      <c r="Q840" s="2" t="str">
        <f>IF($C840="","",IFERROR(VLOOKUP($C840,sources!$A$2:$N$200,2,FALSE()),"?"))</f>
        <v>Map</v>
      </c>
      <c r="R840" s="2" t="str">
        <f t="shared" si="13"/>
        <v>Map</v>
      </c>
      <c r="S840" s="2" t="str">
        <f>IF($C840="","",IFERROR(VLOOKUP($C840,sources!$A$2:$N$200,9,FALSE()),"?"))</f>
        <v>US official</v>
      </c>
      <c r="T840" t="s">
        <v>5692</v>
      </c>
      <c r="U840">
        <f>IF(OR(B840="",C840="",T840="Retracted",LEFT(D840,8)="Negative"),0,IF(COUNTIFS($B$2:B840,B840,$C$2:C840,C840,$D$2:D840,"&lt;&gt;Negative*",$T$2:T840,"&lt;&gt;Retracted")=1,1,0))</f>
        <v>1</v>
      </c>
    </row>
    <row r="841" spans="1:21" x14ac:dyDescent="0.2">
      <c r="A841" t="s">
        <v>2694</v>
      </c>
      <c r="B841" t="s">
        <v>261</v>
      </c>
      <c r="C841" t="s">
        <v>1335</v>
      </c>
      <c r="D841" t="s">
        <v>1564</v>
      </c>
      <c r="E841" t="s">
        <v>2695</v>
      </c>
      <c r="F841" t="s">
        <v>1566</v>
      </c>
      <c r="I841" t="s">
        <v>1058</v>
      </c>
      <c r="K841">
        <v>1905</v>
      </c>
      <c r="L841">
        <v>1906</v>
      </c>
      <c r="M841" t="s">
        <v>203</v>
      </c>
      <c r="N841" t="s">
        <v>203</v>
      </c>
      <c r="Q841" s="2" t="str">
        <f>IF($C841="","",IFERROR(VLOOKUP($C841,sources!$A$2:$N$200,2,FALSE()),"?"))</f>
        <v>Map</v>
      </c>
      <c r="R841" s="2" t="str">
        <f t="shared" si="13"/>
        <v>Map</v>
      </c>
      <c r="S841" s="2" t="str">
        <f>IF($C841="","",IFERROR(VLOOKUP($C841,sources!$A$2:$N$200,9,FALSE()),"?"))</f>
        <v>US official</v>
      </c>
      <c r="T841" t="s">
        <v>5692</v>
      </c>
      <c r="U841">
        <f>IF(OR(B841="",C841="",T841="Retracted",LEFT(D841,8)="Negative"),0,IF(COUNTIFS($B$2:B841,B841,$C$2:C841,C841,$D$2:D841,"&lt;&gt;Negative*",$T$2:T841,"&lt;&gt;Retracted")=1,1,0))</f>
        <v>0</v>
      </c>
    </row>
    <row r="842" spans="1:21" x14ac:dyDescent="0.2">
      <c r="A842" t="s">
        <v>2696</v>
      </c>
      <c r="B842" t="s">
        <v>363</v>
      </c>
      <c r="C842" t="s">
        <v>1335</v>
      </c>
      <c r="D842" t="s">
        <v>1572</v>
      </c>
      <c r="E842" t="s">
        <v>2697</v>
      </c>
      <c r="F842" t="s">
        <v>1566</v>
      </c>
      <c r="G842">
        <v>9.1335099999999994</v>
      </c>
      <c r="H842">
        <v>-79.818389999999994</v>
      </c>
      <c r="I842" t="s">
        <v>1573</v>
      </c>
      <c r="J842">
        <v>200</v>
      </c>
      <c r="K842">
        <v>1905</v>
      </c>
      <c r="L842">
        <v>1906</v>
      </c>
      <c r="M842" t="s">
        <v>203</v>
      </c>
      <c r="N842" t="s">
        <v>203</v>
      </c>
      <c r="Q842" s="2" t="str">
        <f>IF($C842="","",IFERROR(VLOOKUP($C842,sources!$A$2:$N$200,2,FALSE()),"?"))</f>
        <v>Map</v>
      </c>
      <c r="R842" s="2" t="str">
        <f t="shared" si="13"/>
        <v>Map</v>
      </c>
      <c r="S842" s="2" t="str">
        <f>IF($C842="","",IFERROR(VLOOKUP($C842,sources!$A$2:$N$200,9,FALSE()),"?"))</f>
        <v>US official</v>
      </c>
      <c r="T842" t="s">
        <v>5692</v>
      </c>
      <c r="U842">
        <f>IF(OR(B842="",C842="",T842="Retracted",LEFT(D842,8)="Negative"),0,IF(COUNTIFS($B$2:B842,B842,$C$2:C842,C842,$D$2:D842,"&lt;&gt;Negative*",$T$2:T842,"&lt;&gt;Retracted")=1,1,0))</f>
        <v>1</v>
      </c>
    </row>
    <row r="843" spans="1:21" x14ac:dyDescent="0.2">
      <c r="A843" t="s">
        <v>2698</v>
      </c>
      <c r="B843" t="s">
        <v>363</v>
      </c>
      <c r="C843" t="s">
        <v>1335</v>
      </c>
      <c r="D843" t="s">
        <v>1564</v>
      </c>
      <c r="E843" t="s">
        <v>2697</v>
      </c>
      <c r="F843" t="s">
        <v>1566</v>
      </c>
      <c r="I843" t="s">
        <v>1058</v>
      </c>
      <c r="K843">
        <v>1905</v>
      </c>
      <c r="L843">
        <v>1906</v>
      </c>
      <c r="M843" t="s">
        <v>203</v>
      </c>
      <c r="N843" t="s">
        <v>203</v>
      </c>
      <c r="Q843" s="2" t="str">
        <f>IF($C843="","",IFERROR(VLOOKUP($C843,sources!$A$2:$N$200,2,FALSE()),"?"))</f>
        <v>Map</v>
      </c>
      <c r="R843" s="2" t="str">
        <f t="shared" si="13"/>
        <v>Map</v>
      </c>
      <c r="S843" s="2" t="str">
        <f>IF($C843="","",IFERROR(VLOOKUP($C843,sources!$A$2:$N$200,9,FALSE()),"?"))</f>
        <v>US official</v>
      </c>
      <c r="T843" t="s">
        <v>5692</v>
      </c>
      <c r="U843">
        <f>IF(OR(B843="",C843="",T843="Retracted",LEFT(D843,8)="Negative"),0,IF(COUNTIFS($B$2:B843,B843,$C$2:C843,C843,$D$2:D843,"&lt;&gt;Negative*",$T$2:T843,"&lt;&gt;Retracted")=1,1,0))</f>
        <v>0</v>
      </c>
    </row>
    <row r="844" spans="1:21" x14ac:dyDescent="0.2">
      <c r="A844" t="s">
        <v>2699</v>
      </c>
      <c r="B844" t="s">
        <v>395</v>
      </c>
      <c r="C844" t="s">
        <v>1335</v>
      </c>
      <c r="D844" t="s">
        <v>1572</v>
      </c>
      <c r="E844" t="s">
        <v>2700</v>
      </c>
      <c r="F844" t="s">
        <v>1566</v>
      </c>
      <c r="G844">
        <v>9.1178000000000008</v>
      </c>
      <c r="H844">
        <v>-79.760599999999997</v>
      </c>
      <c r="I844" t="s">
        <v>1573</v>
      </c>
      <c r="J844">
        <v>250</v>
      </c>
      <c r="K844">
        <v>1905</v>
      </c>
      <c r="L844">
        <v>1906</v>
      </c>
      <c r="M844" t="s">
        <v>203</v>
      </c>
      <c r="N844" t="s">
        <v>209</v>
      </c>
      <c r="Q844" s="2" t="str">
        <f>IF($C844="","",IFERROR(VLOOKUP($C844,sources!$A$2:$N$200,2,FALSE()),"?"))</f>
        <v>Map</v>
      </c>
      <c r="R844" s="2" t="str">
        <f t="shared" si="13"/>
        <v>Map</v>
      </c>
      <c r="S844" s="2" t="str">
        <f>IF($C844="","",IFERROR(VLOOKUP($C844,sources!$A$2:$N$200,9,FALSE()),"?"))</f>
        <v>US official</v>
      </c>
      <c r="T844" t="s">
        <v>5692</v>
      </c>
      <c r="U844">
        <f>IF(OR(B844="",C844="",T844="Retracted",LEFT(D844,8)="Negative"),0,IF(COUNTIFS($B$2:B844,B844,$C$2:C844,C844,$D$2:D844,"&lt;&gt;Negative*",$T$2:T844,"&lt;&gt;Retracted")=1,1,0))</f>
        <v>1</v>
      </c>
    </row>
    <row r="845" spans="1:21" x14ac:dyDescent="0.2">
      <c r="A845" t="s">
        <v>2701</v>
      </c>
      <c r="B845" t="s">
        <v>398</v>
      </c>
      <c r="C845" t="s">
        <v>1335</v>
      </c>
      <c r="D845" t="s">
        <v>1572</v>
      </c>
      <c r="E845" t="s">
        <v>399</v>
      </c>
      <c r="F845" t="s">
        <v>1583</v>
      </c>
      <c r="G845">
        <v>9.0966699999999996</v>
      </c>
      <c r="H845">
        <v>-79.699809999999999</v>
      </c>
      <c r="I845" t="s">
        <v>1573</v>
      </c>
      <c r="J845">
        <v>300</v>
      </c>
      <c r="K845">
        <v>1905</v>
      </c>
      <c r="L845">
        <v>1906</v>
      </c>
      <c r="M845" t="s">
        <v>203</v>
      </c>
      <c r="N845" t="s">
        <v>209</v>
      </c>
      <c r="Q845" s="2" t="str">
        <f>IF($C845="","",IFERROR(VLOOKUP($C845,sources!$A$2:$N$200,2,FALSE()),"?"))</f>
        <v>Map</v>
      </c>
      <c r="R845" s="2" t="str">
        <f t="shared" si="13"/>
        <v>Map</v>
      </c>
      <c r="S845" s="2" t="str">
        <f>IF($C845="","",IFERROR(VLOOKUP($C845,sources!$A$2:$N$200,9,FALSE()),"?"))</f>
        <v>US official</v>
      </c>
      <c r="T845" t="s">
        <v>5692</v>
      </c>
      <c r="U845">
        <f>IF(OR(B845="",C845="",T845="Retracted",LEFT(D845,8)="Negative"),0,IF(COUNTIFS($B$2:B845,B845,$C$2:C845,C845,$D$2:D845,"&lt;&gt;Negative*",$T$2:T845,"&lt;&gt;Retracted")=1,1,0))</f>
        <v>1</v>
      </c>
    </row>
    <row r="846" spans="1:21" x14ac:dyDescent="0.2">
      <c r="A846" t="s">
        <v>2702</v>
      </c>
      <c r="B846" t="s">
        <v>215</v>
      </c>
      <c r="C846" t="s">
        <v>1335</v>
      </c>
      <c r="D846" t="s">
        <v>1575</v>
      </c>
      <c r="E846" t="s">
        <v>2703</v>
      </c>
      <c r="F846" t="s">
        <v>1566</v>
      </c>
      <c r="G846">
        <v>9.11008</v>
      </c>
      <c r="H846">
        <v>-79.764859999999999</v>
      </c>
      <c r="I846" t="s">
        <v>1573</v>
      </c>
      <c r="J846">
        <v>400</v>
      </c>
      <c r="K846">
        <v>1905</v>
      </c>
      <c r="L846">
        <v>1906</v>
      </c>
      <c r="M846" t="s">
        <v>203</v>
      </c>
      <c r="N846" t="s">
        <v>190</v>
      </c>
      <c r="Q846" s="2" t="str">
        <f>IF($C846="","",IFERROR(VLOOKUP($C846,sources!$A$2:$N$200,2,FALSE()),"?"))</f>
        <v>Map</v>
      </c>
      <c r="R846" s="2" t="str">
        <f t="shared" si="13"/>
        <v>Map</v>
      </c>
      <c r="S846" s="2" t="str">
        <f>IF($C846="","",IFERROR(VLOOKUP($C846,sources!$A$2:$N$200,9,FALSE()),"?"))</f>
        <v>US official</v>
      </c>
      <c r="T846" t="s">
        <v>5692</v>
      </c>
      <c r="U846">
        <f>IF(OR(B846="",C846="",T846="Retracted",LEFT(D846,8)="Negative"),0,IF(COUNTIFS($B$2:B846,B846,$C$2:C846,C846,$D$2:D846,"&lt;&gt;Negative*",$T$2:T846,"&lt;&gt;Retracted")=1,1,0))</f>
        <v>1</v>
      </c>
    </row>
    <row r="847" spans="1:21" x14ac:dyDescent="0.2">
      <c r="A847" t="s">
        <v>2704</v>
      </c>
      <c r="B847" t="s">
        <v>330</v>
      </c>
      <c r="C847" t="s">
        <v>1335</v>
      </c>
      <c r="D847" t="s">
        <v>1572</v>
      </c>
      <c r="E847" t="s">
        <v>2705</v>
      </c>
      <c r="F847" t="s">
        <v>1583</v>
      </c>
      <c r="G847">
        <v>9.3558900000000005</v>
      </c>
      <c r="H847">
        <v>-79.900599999999997</v>
      </c>
      <c r="I847" t="s">
        <v>1573</v>
      </c>
      <c r="J847">
        <v>250</v>
      </c>
      <c r="K847">
        <v>1905</v>
      </c>
      <c r="L847">
        <v>1906</v>
      </c>
      <c r="M847" t="s">
        <v>203</v>
      </c>
      <c r="N847" t="s">
        <v>203</v>
      </c>
      <c r="Q847" s="2" t="str">
        <f>IF($C847="","",IFERROR(VLOOKUP($C847,sources!$A$2:$N$200,2,FALSE()),"?"))</f>
        <v>Map</v>
      </c>
      <c r="R847" s="2" t="str">
        <f t="shared" si="13"/>
        <v>Map</v>
      </c>
      <c r="S847" s="2" t="str">
        <f>IF($C847="","",IFERROR(VLOOKUP($C847,sources!$A$2:$N$200,9,FALSE()),"?"))</f>
        <v>US official</v>
      </c>
      <c r="T847" t="s">
        <v>5692</v>
      </c>
      <c r="U847">
        <f>IF(OR(B847="",C847="",T847="Retracted",LEFT(D847,8)="Negative"),0,IF(COUNTIFS($B$2:B847,B847,$C$2:C847,C847,$D$2:D847,"&lt;&gt;Negative*",$T$2:T847,"&lt;&gt;Retracted")=1,1,0))</f>
        <v>1</v>
      </c>
    </row>
    <row r="848" spans="1:21" x14ac:dyDescent="0.2">
      <c r="A848" t="s">
        <v>2706</v>
      </c>
      <c r="B848" t="s">
        <v>415</v>
      </c>
      <c r="C848" t="s">
        <v>1335</v>
      </c>
      <c r="D848" t="s">
        <v>1572</v>
      </c>
      <c r="E848" t="s">
        <v>2707</v>
      </c>
      <c r="F848" t="s">
        <v>1583</v>
      </c>
      <c r="G848">
        <v>9.33582</v>
      </c>
      <c r="H848">
        <v>-79.892790000000005</v>
      </c>
      <c r="I848" t="s">
        <v>1573</v>
      </c>
      <c r="J848">
        <v>250</v>
      </c>
      <c r="K848">
        <v>1905</v>
      </c>
      <c r="L848">
        <v>1906</v>
      </c>
      <c r="M848" t="s">
        <v>203</v>
      </c>
      <c r="N848" t="s">
        <v>203</v>
      </c>
      <c r="Q848" s="2" t="str">
        <f>IF($C848="","",IFERROR(VLOOKUP($C848,sources!$A$2:$N$200,2,FALSE()),"?"))</f>
        <v>Map</v>
      </c>
      <c r="R848" s="2" t="str">
        <f t="shared" si="13"/>
        <v>Map</v>
      </c>
      <c r="S848" s="2" t="str">
        <f>IF($C848="","",IFERROR(VLOOKUP($C848,sources!$A$2:$N$200,9,FALSE()),"?"))</f>
        <v>US official</v>
      </c>
      <c r="T848" t="s">
        <v>5692</v>
      </c>
      <c r="U848">
        <f>IF(OR(B848="",C848="",T848="Retracted",LEFT(D848,8)="Negative"),0,IF(COUNTIFS($B$2:B848,B848,$C$2:C848,C848,$D$2:D848,"&lt;&gt;Negative*",$T$2:T848,"&lt;&gt;Retracted")=1,1,0))</f>
        <v>1</v>
      </c>
    </row>
    <row r="849" spans="1:21" x14ac:dyDescent="0.2">
      <c r="A849" t="s">
        <v>2708</v>
      </c>
      <c r="B849" t="s">
        <v>498</v>
      </c>
      <c r="C849" t="s">
        <v>1335</v>
      </c>
      <c r="D849" t="s">
        <v>1572</v>
      </c>
      <c r="E849" t="s">
        <v>499</v>
      </c>
      <c r="F849" t="s">
        <v>1566</v>
      </c>
      <c r="G849">
        <v>9.1789000000000005</v>
      </c>
      <c r="H849">
        <v>-79.870339999999999</v>
      </c>
      <c r="I849" t="s">
        <v>1573</v>
      </c>
      <c r="J849">
        <v>250</v>
      </c>
      <c r="K849">
        <v>1905</v>
      </c>
      <c r="L849">
        <v>1906</v>
      </c>
      <c r="M849" t="s">
        <v>203</v>
      </c>
      <c r="N849" t="s">
        <v>203</v>
      </c>
      <c r="Q849" s="2" t="str">
        <f>IF($C849="","",IFERROR(VLOOKUP($C849,sources!$A$2:$N$200,2,FALSE()),"?"))</f>
        <v>Map</v>
      </c>
      <c r="R849" s="2" t="str">
        <f t="shared" si="13"/>
        <v>Map</v>
      </c>
      <c r="S849" s="2" t="str">
        <f>IF($C849="","",IFERROR(VLOOKUP($C849,sources!$A$2:$N$200,9,FALSE()),"?"))</f>
        <v>US official</v>
      </c>
      <c r="T849" t="s">
        <v>5692</v>
      </c>
      <c r="U849">
        <f>IF(OR(B849="",C849="",T849="Retracted",LEFT(D849,8)="Negative"),0,IF(COUNTIFS($B$2:B849,B849,$C$2:C849,C849,$D$2:D849,"&lt;&gt;Negative*",$T$2:T849,"&lt;&gt;Retracted")=1,1,0))</f>
        <v>1</v>
      </c>
    </row>
    <row r="850" spans="1:21" x14ac:dyDescent="0.2">
      <c r="A850" t="s">
        <v>2709</v>
      </c>
      <c r="B850" t="s">
        <v>607</v>
      </c>
      <c r="C850" t="s">
        <v>1335</v>
      </c>
      <c r="D850" t="s">
        <v>1572</v>
      </c>
      <c r="E850" t="s">
        <v>608</v>
      </c>
      <c r="F850" t="s">
        <v>1566</v>
      </c>
      <c r="G850">
        <v>9.1985600000000005</v>
      </c>
      <c r="H850">
        <v>-79.895020000000002</v>
      </c>
      <c r="I850" t="s">
        <v>1573</v>
      </c>
      <c r="J850">
        <v>300</v>
      </c>
      <c r="K850">
        <v>1905</v>
      </c>
      <c r="L850">
        <v>1906</v>
      </c>
      <c r="M850" t="s">
        <v>203</v>
      </c>
      <c r="N850" t="s">
        <v>209</v>
      </c>
      <c r="Q850" s="2" t="str">
        <f>IF($C850="","",IFERROR(VLOOKUP($C850,sources!$A$2:$N$200,2,FALSE()),"?"))</f>
        <v>Map</v>
      </c>
      <c r="R850" s="2" t="str">
        <f t="shared" si="13"/>
        <v>Map</v>
      </c>
      <c r="S850" s="2" t="str">
        <f>IF($C850="","",IFERROR(VLOOKUP($C850,sources!$A$2:$N$200,9,FALSE()),"?"))</f>
        <v>US official</v>
      </c>
      <c r="T850" t="s">
        <v>5692</v>
      </c>
      <c r="U850">
        <f>IF(OR(B850="",C850="",T850="Retracted",LEFT(D850,8)="Negative"),0,IF(COUNTIFS($B$2:B850,B850,$C$2:C850,C850,$D$2:D850,"&lt;&gt;Negative*",$T$2:T850,"&lt;&gt;Retracted")=1,1,0))</f>
        <v>1</v>
      </c>
    </row>
    <row r="851" spans="1:21" x14ac:dyDescent="0.2">
      <c r="A851" t="s">
        <v>2710</v>
      </c>
      <c r="B851" t="s">
        <v>335</v>
      </c>
      <c r="C851" t="s">
        <v>1335</v>
      </c>
      <c r="D851" t="s">
        <v>1572</v>
      </c>
      <c r="E851" t="s">
        <v>2541</v>
      </c>
      <c r="F851" t="s">
        <v>1583</v>
      </c>
      <c r="G851">
        <v>8.9542830000000002</v>
      </c>
      <c r="H851">
        <v>-79.560863999999995</v>
      </c>
      <c r="I851" t="s">
        <v>1573</v>
      </c>
      <c r="J851">
        <v>250</v>
      </c>
      <c r="K851">
        <v>1905</v>
      </c>
      <c r="L851">
        <v>1906</v>
      </c>
      <c r="M851" t="s">
        <v>203</v>
      </c>
      <c r="N851" t="s">
        <v>203</v>
      </c>
      <c r="Q851" s="2" t="str">
        <f>IF($C851="","",IFERROR(VLOOKUP($C851,sources!$A$2:$N$200,2,FALSE()),"?"))</f>
        <v>Map</v>
      </c>
      <c r="R851" s="2" t="str">
        <f t="shared" si="13"/>
        <v>Map</v>
      </c>
      <c r="S851" s="2" t="str">
        <f>IF($C851="","",IFERROR(VLOOKUP($C851,sources!$A$2:$N$200,9,FALSE()),"?"))</f>
        <v>US official</v>
      </c>
      <c r="T851" t="s">
        <v>5692</v>
      </c>
      <c r="U851">
        <f>IF(OR(B851="",C851="",T851="Retracted",LEFT(D851,8)="Negative"),0,IF(COUNTIFS($B$2:B851,B851,$C$2:C851,C851,$D$2:D851,"&lt;&gt;Negative*",$T$2:T851,"&lt;&gt;Retracted")=1,1,0))</f>
        <v>1</v>
      </c>
    </row>
    <row r="852" spans="1:21" x14ac:dyDescent="0.2">
      <c r="A852" t="s">
        <v>2711</v>
      </c>
      <c r="B852" t="s">
        <v>348</v>
      </c>
      <c r="C852" t="s">
        <v>1335</v>
      </c>
      <c r="D852" t="s">
        <v>1572</v>
      </c>
      <c r="E852" t="s">
        <v>2712</v>
      </c>
      <c r="F852" t="s">
        <v>1583</v>
      </c>
      <c r="G852">
        <v>8.9527199999999993</v>
      </c>
      <c r="H852">
        <v>-79.560084000000003</v>
      </c>
      <c r="I852" t="s">
        <v>1573</v>
      </c>
      <c r="J852">
        <v>250</v>
      </c>
      <c r="K852">
        <v>1905</v>
      </c>
      <c r="L852">
        <v>1906</v>
      </c>
      <c r="M852" t="s">
        <v>203</v>
      </c>
      <c r="N852" t="s">
        <v>203</v>
      </c>
      <c r="Q852" s="2" t="str">
        <f>IF($C852="","",IFERROR(VLOOKUP($C852,sources!$A$2:$N$200,2,FALSE()),"?"))</f>
        <v>Map</v>
      </c>
      <c r="R852" s="2" t="str">
        <f t="shared" si="13"/>
        <v>Map</v>
      </c>
      <c r="S852" s="2" t="str">
        <f>IF($C852="","",IFERROR(VLOOKUP($C852,sources!$A$2:$N$200,9,FALSE()),"?"))</f>
        <v>US official</v>
      </c>
      <c r="T852" t="s">
        <v>5692</v>
      </c>
      <c r="U852">
        <f>IF(OR(B852="",C852="",T852="Retracted",LEFT(D852,8)="Negative"),0,IF(COUNTIFS($B$2:B852,B852,$C$2:C852,C852,$D$2:D852,"&lt;&gt;Negative*",$T$2:T852,"&lt;&gt;Retracted")=1,1,0))</f>
        <v>1</v>
      </c>
    </row>
    <row r="853" spans="1:21" x14ac:dyDescent="0.2">
      <c r="A853" t="s">
        <v>2713</v>
      </c>
      <c r="B853" t="s">
        <v>348</v>
      </c>
      <c r="C853" t="s">
        <v>1335</v>
      </c>
      <c r="D853" t="s">
        <v>1564</v>
      </c>
      <c r="E853" t="s">
        <v>2712</v>
      </c>
      <c r="F853" t="s">
        <v>1583</v>
      </c>
      <c r="I853" t="s">
        <v>1058</v>
      </c>
      <c r="K853">
        <v>1905</v>
      </c>
      <c r="L853">
        <v>1906</v>
      </c>
      <c r="M853" t="s">
        <v>203</v>
      </c>
      <c r="N853" t="s">
        <v>203</v>
      </c>
      <c r="Q853" s="2" t="str">
        <f>IF($C853="","",IFERROR(VLOOKUP($C853,sources!$A$2:$N$200,2,FALSE()),"?"))</f>
        <v>Map</v>
      </c>
      <c r="R853" s="2" t="str">
        <f t="shared" si="13"/>
        <v>Map</v>
      </c>
      <c r="S853" s="2" t="str">
        <f>IF($C853="","",IFERROR(VLOOKUP($C853,sources!$A$2:$N$200,9,FALSE()),"?"))</f>
        <v>US official</v>
      </c>
      <c r="T853" t="s">
        <v>5692</v>
      </c>
      <c r="U853">
        <f>IF(OR(B853="",C853="",T853="Retracted",LEFT(D853,8)="Negative"),0,IF(COUNTIFS($B$2:B853,B853,$C$2:C853,C853,$D$2:D853,"&lt;&gt;Negative*",$T$2:T853,"&lt;&gt;Retracted")=1,1,0))</f>
        <v>0</v>
      </c>
    </row>
    <row r="854" spans="1:21" x14ac:dyDescent="0.2">
      <c r="A854" t="s">
        <v>2714</v>
      </c>
      <c r="B854" t="s">
        <v>475</v>
      </c>
      <c r="C854" t="s">
        <v>1335</v>
      </c>
      <c r="D854" t="s">
        <v>1572</v>
      </c>
      <c r="E854" t="s">
        <v>2427</v>
      </c>
      <c r="F854" t="s">
        <v>1583</v>
      </c>
      <c r="G854">
        <v>8.9714299999999998</v>
      </c>
      <c r="H854">
        <v>-79.565369000000004</v>
      </c>
      <c r="I854" t="s">
        <v>1573</v>
      </c>
      <c r="J854">
        <v>250</v>
      </c>
      <c r="K854">
        <v>1905</v>
      </c>
      <c r="L854">
        <v>1906</v>
      </c>
      <c r="M854" t="s">
        <v>203</v>
      </c>
      <c r="N854" t="s">
        <v>209</v>
      </c>
      <c r="Q854" s="2" t="str">
        <f>IF($C854="","",IFERROR(VLOOKUP($C854,sources!$A$2:$N$200,2,FALSE()),"?"))</f>
        <v>Map</v>
      </c>
      <c r="R854" s="2" t="str">
        <f t="shared" si="13"/>
        <v>Map</v>
      </c>
      <c r="S854" s="2" t="str">
        <f>IF($C854="","",IFERROR(VLOOKUP($C854,sources!$A$2:$N$200,9,FALSE()),"?"))</f>
        <v>US official</v>
      </c>
      <c r="T854" t="s">
        <v>5692</v>
      </c>
      <c r="U854">
        <f>IF(OR(B854="",C854="",T854="Retracted",LEFT(D854,8)="Negative"),0,IF(COUNTIFS($B$2:B854,B854,$C$2:C854,C854,$D$2:D854,"&lt;&gt;Negative*",$T$2:T854,"&lt;&gt;Retracted")=1,1,0))</f>
        <v>1</v>
      </c>
    </row>
    <row r="855" spans="1:21" x14ac:dyDescent="0.2">
      <c r="A855" t="s">
        <v>2715</v>
      </c>
      <c r="B855" t="s">
        <v>487</v>
      </c>
      <c r="C855" t="s">
        <v>1335</v>
      </c>
      <c r="D855" t="s">
        <v>1572</v>
      </c>
      <c r="E855" t="s">
        <v>488</v>
      </c>
      <c r="F855" t="s">
        <v>1583</v>
      </c>
      <c r="G855">
        <v>9.0449459999999995</v>
      </c>
      <c r="H855">
        <v>-79.650716000000003</v>
      </c>
      <c r="I855" t="s">
        <v>1573</v>
      </c>
      <c r="J855">
        <v>250</v>
      </c>
      <c r="K855">
        <v>1905</v>
      </c>
      <c r="L855">
        <v>1906</v>
      </c>
      <c r="M855" t="s">
        <v>203</v>
      </c>
      <c r="N855" t="s">
        <v>209</v>
      </c>
      <c r="Q855" s="2" t="str">
        <f>IF($C855="","",IFERROR(VLOOKUP($C855,sources!$A$2:$N$200,2,FALSE()),"?"))</f>
        <v>Map</v>
      </c>
      <c r="R855" s="2" t="str">
        <f t="shared" si="13"/>
        <v>Map</v>
      </c>
      <c r="S855" s="2" t="str">
        <f>IF($C855="","",IFERROR(VLOOKUP($C855,sources!$A$2:$N$200,9,FALSE()),"?"))</f>
        <v>US official</v>
      </c>
      <c r="T855" t="s">
        <v>5692</v>
      </c>
      <c r="U855">
        <f>IF(OR(B855="",C855="",T855="Retracted",LEFT(D855,8)="Negative"),0,IF(COUNTIFS($B$2:B855,B855,$C$2:C855,C855,$D$2:D855,"&lt;&gt;Negative*",$T$2:T855,"&lt;&gt;Retracted")=1,1,0))</f>
        <v>1</v>
      </c>
    </row>
    <row r="856" spans="1:21" x14ac:dyDescent="0.2">
      <c r="A856" t="s">
        <v>2716</v>
      </c>
      <c r="B856" t="s">
        <v>588</v>
      </c>
      <c r="C856" t="s">
        <v>1335</v>
      </c>
      <c r="D856" t="s">
        <v>1572</v>
      </c>
      <c r="E856" t="s">
        <v>589</v>
      </c>
      <c r="F856" t="s">
        <v>1566</v>
      </c>
      <c r="G856">
        <v>9.0609710000000003</v>
      </c>
      <c r="H856">
        <v>-79.663664999999995</v>
      </c>
      <c r="I856" t="s">
        <v>1573</v>
      </c>
      <c r="J856">
        <v>250</v>
      </c>
      <c r="K856">
        <v>1905</v>
      </c>
      <c r="L856">
        <v>1906</v>
      </c>
      <c r="M856" t="s">
        <v>203</v>
      </c>
      <c r="N856" t="s">
        <v>209</v>
      </c>
      <c r="Q856" s="2" t="str">
        <f>IF($C856="","",IFERROR(VLOOKUP($C856,sources!$A$2:$N$200,2,FALSE()),"?"))</f>
        <v>Map</v>
      </c>
      <c r="R856" s="2" t="str">
        <f t="shared" si="13"/>
        <v>Map</v>
      </c>
      <c r="S856" s="2" t="str">
        <f>IF($C856="","",IFERROR(VLOOKUP($C856,sources!$A$2:$N$200,9,FALSE()),"?"))</f>
        <v>US official</v>
      </c>
      <c r="T856" t="s">
        <v>5692</v>
      </c>
      <c r="U856">
        <f>IF(OR(B856="",C856="",T856="Retracted",LEFT(D856,8)="Negative"),0,IF(COUNTIFS($B$2:B856,B856,$C$2:C856,C856,$D$2:D856,"&lt;&gt;Negative*",$T$2:T856,"&lt;&gt;Retracted")=1,1,0))</f>
        <v>1</v>
      </c>
    </row>
    <row r="857" spans="1:21" x14ac:dyDescent="0.2">
      <c r="A857" t="s">
        <v>2717</v>
      </c>
      <c r="B857" t="s">
        <v>758</v>
      </c>
      <c r="C857" t="s">
        <v>1335</v>
      </c>
      <c r="D857" t="s">
        <v>1572</v>
      </c>
      <c r="E857" t="s">
        <v>2718</v>
      </c>
      <c r="F857" t="s">
        <v>1583</v>
      </c>
      <c r="G857">
        <v>9.0268730000000001</v>
      </c>
      <c r="H857">
        <v>-79.625713000000005</v>
      </c>
      <c r="I857" t="s">
        <v>1573</v>
      </c>
      <c r="J857">
        <v>200</v>
      </c>
      <c r="K857">
        <v>1905</v>
      </c>
      <c r="L857">
        <v>1906</v>
      </c>
      <c r="M857" t="s">
        <v>203</v>
      </c>
      <c r="N857" t="s">
        <v>209</v>
      </c>
      <c r="Q857" s="2" t="str">
        <f>IF($C857="","",IFERROR(VLOOKUP($C857,sources!$A$2:$N$200,2,FALSE()),"?"))</f>
        <v>Map</v>
      </c>
      <c r="R857" s="2" t="str">
        <f t="shared" si="13"/>
        <v>Map</v>
      </c>
      <c r="S857" s="2" t="str">
        <f>IF($C857="","",IFERROR(VLOOKUP($C857,sources!$A$2:$N$200,9,FALSE()),"?"))</f>
        <v>US official</v>
      </c>
      <c r="T857" t="s">
        <v>5692</v>
      </c>
      <c r="U857">
        <f>IF(OR(B857="",C857="",T857="Retracted",LEFT(D857,8)="Negative"),0,IF(COUNTIFS($B$2:B857,B857,$C$2:C857,C857,$D$2:D857,"&lt;&gt;Negative*",$T$2:T857,"&lt;&gt;Retracted")=1,1,0))</f>
        <v>1</v>
      </c>
    </row>
    <row r="858" spans="1:21" x14ac:dyDescent="0.2">
      <c r="A858" t="s">
        <v>2719</v>
      </c>
      <c r="B858" t="s">
        <v>660</v>
      </c>
      <c r="C858" t="s">
        <v>1335</v>
      </c>
      <c r="D858" t="s">
        <v>1572</v>
      </c>
      <c r="E858" t="s">
        <v>2720</v>
      </c>
      <c r="F858" t="s">
        <v>1583</v>
      </c>
      <c r="G858">
        <v>9.0602750000000007</v>
      </c>
      <c r="H858">
        <v>-79.671909999999997</v>
      </c>
      <c r="I858" t="s">
        <v>1573</v>
      </c>
      <c r="J858">
        <v>200</v>
      </c>
      <c r="K858">
        <v>1905</v>
      </c>
      <c r="L858">
        <v>1906</v>
      </c>
      <c r="M858" t="s">
        <v>203</v>
      </c>
      <c r="N858" t="s">
        <v>203</v>
      </c>
      <c r="Q858" s="2" t="str">
        <f>IF($C858="","",IFERROR(VLOOKUP($C858,sources!$A$2:$N$200,2,FALSE()),"?"))</f>
        <v>Map</v>
      </c>
      <c r="R858" s="2" t="str">
        <f t="shared" si="13"/>
        <v>Map</v>
      </c>
      <c r="S858" s="2" t="str">
        <f>IF($C858="","",IFERROR(VLOOKUP($C858,sources!$A$2:$N$200,9,FALSE()),"?"))</f>
        <v>US official</v>
      </c>
      <c r="T858" t="s">
        <v>5692</v>
      </c>
      <c r="U858">
        <f>IF(OR(B858="",C858="",T858="Retracted",LEFT(D858,8)="Negative"),0,IF(COUNTIFS($B$2:B858,B858,$C$2:C858,C858,$D$2:D858,"&lt;&gt;Negative*",$T$2:T858,"&lt;&gt;Retracted")=1,1,0))</f>
        <v>1</v>
      </c>
    </row>
    <row r="859" spans="1:21" x14ac:dyDescent="0.2">
      <c r="A859" t="s">
        <v>2721</v>
      </c>
      <c r="B859" t="s">
        <v>490</v>
      </c>
      <c r="C859" t="s">
        <v>1335</v>
      </c>
      <c r="D859" t="s">
        <v>1564</v>
      </c>
      <c r="E859" t="s">
        <v>491</v>
      </c>
      <c r="F859" t="s">
        <v>1583</v>
      </c>
      <c r="I859" t="s">
        <v>1058</v>
      </c>
      <c r="K859">
        <v>1905</v>
      </c>
      <c r="L859">
        <v>1906</v>
      </c>
      <c r="M859" t="s">
        <v>203</v>
      </c>
      <c r="N859" t="s">
        <v>190</v>
      </c>
      <c r="Q859" s="2" t="str">
        <f>IF($C859="","",IFERROR(VLOOKUP($C859,sources!$A$2:$N$200,2,FALSE()),"?"))</f>
        <v>Map</v>
      </c>
      <c r="R859" s="2" t="str">
        <f t="shared" si="13"/>
        <v>Map</v>
      </c>
      <c r="S859" s="2" t="str">
        <f>IF($C859="","",IFERROR(VLOOKUP($C859,sources!$A$2:$N$200,9,FALSE()),"?"))</f>
        <v>US official</v>
      </c>
      <c r="T859" t="s">
        <v>5692</v>
      </c>
      <c r="U859">
        <f>IF(OR(B859="",C859="",T859="Retracted",LEFT(D859,8)="Negative"),0,IF(COUNTIFS($B$2:B859,B859,$C$2:C859,C859,$D$2:D859,"&lt;&gt;Negative*",$T$2:T859,"&lt;&gt;Retracted")=1,1,0))</f>
        <v>1</v>
      </c>
    </row>
    <row r="860" spans="1:21" x14ac:dyDescent="0.2">
      <c r="A860" t="s">
        <v>2722</v>
      </c>
      <c r="B860" t="s">
        <v>507</v>
      </c>
      <c r="C860" t="s">
        <v>1335</v>
      </c>
      <c r="D860" t="s">
        <v>1564</v>
      </c>
      <c r="E860" t="s">
        <v>2723</v>
      </c>
      <c r="F860" t="s">
        <v>1566</v>
      </c>
      <c r="I860" t="s">
        <v>1058</v>
      </c>
      <c r="K860">
        <v>1905</v>
      </c>
      <c r="L860">
        <v>1906</v>
      </c>
      <c r="M860" t="s">
        <v>203</v>
      </c>
      <c r="N860" t="s">
        <v>190</v>
      </c>
      <c r="Q860" s="2" t="str">
        <f>IF($C860="","",IFERROR(VLOOKUP($C860,sources!$A$2:$N$200,2,FALSE()),"?"))</f>
        <v>Map</v>
      </c>
      <c r="R860" s="2" t="str">
        <f t="shared" si="13"/>
        <v>Map</v>
      </c>
      <c r="S860" s="2" t="str">
        <f>IF($C860="","",IFERROR(VLOOKUP($C860,sources!$A$2:$N$200,9,FALSE()),"?"))</f>
        <v>US official</v>
      </c>
      <c r="T860" t="s">
        <v>5692</v>
      </c>
      <c r="U860">
        <f>IF(OR(B860="",C860="",T860="Retracted",LEFT(D860,8)="Negative"),0,IF(COUNTIFS($B$2:B860,B860,$C$2:C860,C860,$D$2:D860,"&lt;&gt;Negative*",$T$2:T860,"&lt;&gt;Retracted")=1,1,0))</f>
        <v>1</v>
      </c>
    </row>
    <row r="861" spans="1:21" x14ac:dyDescent="0.2">
      <c r="A861" t="s">
        <v>2724</v>
      </c>
      <c r="B861" t="s">
        <v>211</v>
      </c>
      <c r="C861" t="s">
        <v>1335</v>
      </c>
      <c r="D861" t="s">
        <v>1613</v>
      </c>
      <c r="E861" t="s">
        <v>212</v>
      </c>
      <c r="F861" t="s">
        <v>1583</v>
      </c>
      <c r="I861" t="s">
        <v>1058</v>
      </c>
      <c r="K861">
        <v>1905</v>
      </c>
      <c r="L861">
        <v>1906</v>
      </c>
      <c r="M861" t="s">
        <v>209</v>
      </c>
      <c r="N861" t="s">
        <v>203</v>
      </c>
      <c r="Q861" s="2" t="str">
        <f>IF($C861="","",IFERROR(VLOOKUP($C861,sources!$A$2:$N$200,2,FALSE()),"?"))</f>
        <v>Map</v>
      </c>
      <c r="R861" s="2" t="str">
        <f t="shared" si="13"/>
        <v>Map</v>
      </c>
      <c r="S861" s="2" t="str">
        <f>IF($C861="","",IFERROR(VLOOKUP($C861,sources!$A$2:$N$200,9,FALSE()),"?"))</f>
        <v>US official</v>
      </c>
      <c r="T861" t="s">
        <v>5692</v>
      </c>
      <c r="U861">
        <f>IF(OR(B861="",C861="",T861="Retracted",LEFT(D861,8)="Negative"),0,IF(COUNTIFS($B$2:B861,B861,$C$2:C861,C861,$D$2:D861,"&lt;&gt;Negative*",$T$2:T861,"&lt;&gt;Retracted")=1,1,0))</f>
        <v>0</v>
      </c>
    </row>
    <row r="862" spans="1:21" x14ac:dyDescent="0.2">
      <c r="A862" t="s">
        <v>2725</v>
      </c>
      <c r="B862" t="s">
        <v>213</v>
      </c>
      <c r="C862" t="s">
        <v>1335</v>
      </c>
      <c r="D862" t="s">
        <v>1613</v>
      </c>
      <c r="E862" t="s">
        <v>214</v>
      </c>
      <c r="F862" t="s">
        <v>1583</v>
      </c>
      <c r="I862" t="s">
        <v>1058</v>
      </c>
      <c r="K862">
        <v>1905</v>
      </c>
      <c r="L862">
        <v>1906</v>
      </c>
      <c r="M862" t="s">
        <v>209</v>
      </c>
      <c r="N862" t="s">
        <v>203</v>
      </c>
      <c r="Q862" s="2" t="str">
        <f>IF($C862="","",IFERROR(VLOOKUP($C862,sources!$A$2:$N$200,2,FALSE()),"?"))</f>
        <v>Map</v>
      </c>
      <c r="R862" s="2" t="str">
        <f t="shared" si="13"/>
        <v>Map</v>
      </c>
      <c r="S862" s="2" t="str">
        <f>IF($C862="","",IFERROR(VLOOKUP($C862,sources!$A$2:$N$200,9,FALSE()),"?"))</f>
        <v>US official</v>
      </c>
      <c r="T862" t="s">
        <v>5692</v>
      </c>
      <c r="U862">
        <f>IF(OR(B862="",C862="",T862="Retracted",LEFT(D862,8)="Negative"),0,IF(COUNTIFS($B$2:B862,B862,$C$2:C862,C862,$D$2:D862,"&lt;&gt;Negative*",$T$2:T862,"&lt;&gt;Retracted")=1,1,0))</f>
        <v>0</v>
      </c>
    </row>
    <row r="863" spans="1:21" x14ac:dyDescent="0.2">
      <c r="A863" t="s">
        <v>2726</v>
      </c>
      <c r="B863" t="s">
        <v>217</v>
      </c>
      <c r="C863" t="s">
        <v>1335</v>
      </c>
      <c r="D863" t="s">
        <v>1613</v>
      </c>
      <c r="E863" t="s">
        <v>218</v>
      </c>
      <c r="F863" t="s">
        <v>1583</v>
      </c>
      <c r="I863" t="s">
        <v>1058</v>
      </c>
      <c r="K863">
        <v>1905</v>
      </c>
      <c r="L863">
        <v>1906</v>
      </c>
      <c r="M863" t="s">
        <v>209</v>
      </c>
      <c r="N863" t="s">
        <v>203</v>
      </c>
      <c r="Q863" s="2" t="str">
        <f>IF($C863="","",IFERROR(VLOOKUP($C863,sources!$A$2:$N$200,2,FALSE()),"?"))</f>
        <v>Map</v>
      </c>
      <c r="R863" s="2" t="str">
        <f t="shared" si="13"/>
        <v>Map</v>
      </c>
      <c r="S863" s="2" t="str">
        <f>IF($C863="","",IFERROR(VLOOKUP($C863,sources!$A$2:$N$200,9,FALSE()),"?"))</f>
        <v>US official</v>
      </c>
      <c r="T863" t="s">
        <v>5692</v>
      </c>
      <c r="U863">
        <f>IF(OR(B863="",C863="",T863="Retracted",LEFT(D863,8)="Negative"),0,IF(COUNTIFS($B$2:B863,B863,$C$2:C863,C863,$D$2:D863,"&lt;&gt;Negative*",$T$2:T863,"&lt;&gt;Retracted")=1,1,0))</f>
        <v>0</v>
      </c>
    </row>
    <row r="864" spans="1:21" x14ac:dyDescent="0.2">
      <c r="A864" t="s">
        <v>2727</v>
      </c>
      <c r="B864" t="s">
        <v>386</v>
      </c>
      <c r="C864" t="s">
        <v>1335</v>
      </c>
      <c r="D864" t="s">
        <v>1613</v>
      </c>
      <c r="E864" t="s">
        <v>387</v>
      </c>
      <c r="F864" t="s">
        <v>1583</v>
      </c>
      <c r="I864" t="s">
        <v>1058</v>
      </c>
      <c r="K864">
        <v>1905</v>
      </c>
      <c r="L864">
        <v>1906</v>
      </c>
      <c r="M864" t="s">
        <v>209</v>
      </c>
      <c r="N864" t="s">
        <v>209</v>
      </c>
      <c r="Q864" s="2" t="str">
        <f>IF($C864="","",IFERROR(VLOOKUP($C864,sources!$A$2:$N$200,2,FALSE()),"?"))</f>
        <v>Map</v>
      </c>
      <c r="R864" s="2" t="str">
        <f t="shared" si="13"/>
        <v>Map</v>
      </c>
      <c r="S864" s="2" t="str">
        <f>IF($C864="","",IFERROR(VLOOKUP($C864,sources!$A$2:$N$200,9,FALSE()),"?"))</f>
        <v>US official</v>
      </c>
      <c r="T864" t="s">
        <v>5692</v>
      </c>
      <c r="U864">
        <f>IF(OR(B864="",C864="",T864="Retracted",LEFT(D864,8)="Negative"),0,IF(COUNTIFS($B$2:B864,B864,$C$2:C864,C864,$D$2:D864,"&lt;&gt;Negative*",$T$2:T864,"&lt;&gt;Retracted")=1,1,0))</f>
        <v>0</v>
      </c>
    </row>
    <row r="865" spans="1:21" x14ac:dyDescent="0.2">
      <c r="A865" t="s">
        <v>2728</v>
      </c>
      <c r="B865" t="s">
        <v>386</v>
      </c>
      <c r="C865" t="s">
        <v>1335</v>
      </c>
      <c r="D865" t="s">
        <v>1613</v>
      </c>
      <c r="E865" t="s">
        <v>560</v>
      </c>
      <c r="F865" t="s">
        <v>1583</v>
      </c>
      <c r="I865" t="s">
        <v>1058</v>
      </c>
      <c r="K865">
        <v>1905</v>
      </c>
      <c r="L865">
        <v>1906</v>
      </c>
      <c r="M865" t="s">
        <v>209</v>
      </c>
      <c r="N865" t="s">
        <v>209</v>
      </c>
      <c r="Q865" s="2" t="str">
        <f>IF($C865="","",IFERROR(VLOOKUP($C865,sources!$A$2:$N$200,2,FALSE()),"?"))</f>
        <v>Map</v>
      </c>
      <c r="R865" s="2" t="str">
        <f t="shared" si="13"/>
        <v>Map</v>
      </c>
      <c r="S865" s="2" t="str">
        <f>IF($C865="","",IFERROR(VLOOKUP($C865,sources!$A$2:$N$200,9,FALSE()),"?"))</f>
        <v>US official</v>
      </c>
      <c r="T865" t="s">
        <v>5692</v>
      </c>
      <c r="U865">
        <f>IF(OR(B865="",C865="",T865="Retracted",LEFT(D865,8)="Negative"),0,IF(COUNTIFS($B$2:B865,B865,$C$2:C865,C865,$D$2:D865,"&lt;&gt;Negative*",$T$2:T865,"&lt;&gt;Retracted")=1,1,0))</f>
        <v>0</v>
      </c>
    </row>
    <row r="866" spans="1:21" x14ac:dyDescent="0.2">
      <c r="A866" t="s">
        <v>2729</v>
      </c>
      <c r="B866" t="s">
        <v>392</v>
      </c>
      <c r="C866" t="s">
        <v>1335</v>
      </c>
      <c r="D866" t="s">
        <v>1613</v>
      </c>
      <c r="E866" t="s">
        <v>393</v>
      </c>
      <c r="F866" t="s">
        <v>1583</v>
      </c>
      <c r="I866" t="s">
        <v>1058</v>
      </c>
      <c r="K866">
        <v>1905</v>
      </c>
      <c r="L866">
        <v>1906</v>
      </c>
      <c r="M866" t="s">
        <v>209</v>
      </c>
      <c r="N866" t="s">
        <v>203</v>
      </c>
      <c r="Q866" s="2" t="str">
        <f>IF($C866="","",IFERROR(VLOOKUP($C866,sources!$A$2:$N$200,2,FALSE()),"?"))</f>
        <v>Map</v>
      </c>
      <c r="R866" s="2" t="str">
        <f t="shared" si="13"/>
        <v>Map</v>
      </c>
      <c r="S866" s="2" t="str">
        <f>IF($C866="","",IFERROR(VLOOKUP($C866,sources!$A$2:$N$200,9,FALSE()),"?"))</f>
        <v>US official</v>
      </c>
      <c r="T866" t="s">
        <v>5692</v>
      </c>
      <c r="U866">
        <f>IF(OR(B866="",C866="",T866="Retracted",LEFT(D866,8)="Negative"),0,IF(COUNTIFS($B$2:B866,B866,$C$2:C866,C866,$D$2:D866,"&lt;&gt;Negative*",$T$2:T866,"&lt;&gt;Retracted")=1,1,0))</f>
        <v>0</v>
      </c>
    </row>
    <row r="867" spans="1:21" x14ac:dyDescent="0.2">
      <c r="A867" t="s">
        <v>2730</v>
      </c>
      <c r="B867" t="s">
        <v>565</v>
      </c>
      <c r="C867" t="s">
        <v>1335</v>
      </c>
      <c r="D867" t="s">
        <v>1613</v>
      </c>
      <c r="E867" t="s">
        <v>566</v>
      </c>
      <c r="F867" t="s">
        <v>1583</v>
      </c>
      <c r="I867" t="s">
        <v>1058</v>
      </c>
      <c r="K867">
        <v>1905</v>
      </c>
      <c r="L867">
        <v>1906</v>
      </c>
      <c r="M867" t="s">
        <v>209</v>
      </c>
      <c r="N867" t="s">
        <v>203</v>
      </c>
      <c r="Q867" s="2" t="str">
        <f>IF($C867="","",IFERROR(VLOOKUP($C867,sources!$A$2:$N$200,2,FALSE()),"?"))</f>
        <v>Map</v>
      </c>
      <c r="R867" s="2" t="str">
        <f t="shared" si="13"/>
        <v>Map</v>
      </c>
      <c r="S867" s="2" t="str">
        <f>IF($C867="","",IFERROR(VLOOKUP($C867,sources!$A$2:$N$200,9,FALSE()),"?"))</f>
        <v>US official</v>
      </c>
      <c r="T867" t="s">
        <v>5692</v>
      </c>
      <c r="U867">
        <f>IF(OR(B867="",C867="",T867="Retracted",LEFT(D867,8)="Negative"),0,IF(COUNTIFS($B$2:B867,B867,$C$2:C867,C867,$D$2:D867,"&lt;&gt;Negative*",$T$2:T867,"&lt;&gt;Retracted")=1,1,0))</f>
        <v>0</v>
      </c>
    </row>
    <row r="868" spans="1:21" x14ac:dyDescent="0.2">
      <c r="A868" t="s">
        <v>2731</v>
      </c>
      <c r="B868" t="s">
        <v>575</v>
      </c>
      <c r="C868" t="s">
        <v>1335</v>
      </c>
      <c r="D868" t="s">
        <v>1613</v>
      </c>
      <c r="E868" t="s">
        <v>576</v>
      </c>
      <c r="F868" t="s">
        <v>1583</v>
      </c>
      <c r="I868" t="s">
        <v>1058</v>
      </c>
      <c r="K868">
        <v>1905</v>
      </c>
      <c r="L868">
        <v>1906</v>
      </c>
      <c r="M868" t="s">
        <v>209</v>
      </c>
      <c r="N868" t="s">
        <v>203</v>
      </c>
      <c r="Q868" s="2" t="str">
        <f>IF($C868="","",IFERROR(VLOOKUP($C868,sources!$A$2:$N$200,2,FALSE()),"?"))</f>
        <v>Map</v>
      </c>
      <c r="R868" s="2" t="str">
        <f t="shared" si="13"/>
        <v>Map</v>
      </c>
      <c r="S868" s="2" t="str">
        <f>IF($C868="","",IFERROR(VLOOKUP($C868,sources!$A$2:$N$200,9,FALSE()),"?"))</f>
        <v>US official</v>
      </c>
      <c r="T868" t="s">
        <v>5692</v>
      </c>
      <c r="U868">
        <f>IF(OR(B868="",C868="",T868="Retracted",LEFT(D868,8)="Negative"),0,IF(COUNTIFS($B$2:B868,B868,$C$2:C868,C868,$D$2:D868,"&lt;&gt;Negative*",$T$2:T868,"&lt;&gt;Retracted")=1,1,0))</f>
        <v>0</v>
      </c>
    </row>
    <row r="869" spans="1:21" x14ac:dyDescent="0.2">
      <c r="A869" t="s">
        <v>2732</v>
      </c>
      <c r="B869" t="s">
        <v>580</v>
      </c>
      <c r="C869" t="s">
        <v>1335</v>
      </c>
      <c r="D869" t="s">
        <v>1613</v>
      </c>
      <c r="E869" t="s">
        <v>581</v>
      </c>
      <c r="F869" t="s">
        <v>1583</v>
      </c>
      <c r="I869" t="s">
        <v>1058</v>
      </c>
      <c r="K869">
        <v>1905</v>
      </c>
      <c r="L869">
        <v>1906</v>
      </c>
      <c r="M869" t="s">
        <v>209</v>
      </c>
      <c r="N869" t="s">
        <v>203</v>
      </c>
      <c r="Q869" s="2" t="str">
        <f>IF($C869="","",IFERROR(VLOOKUP($C869,sources!$A$2:$N$200,2,FALSE()),"?"))</f>
        <v>Map</v>
      </c>
      <c r="R869" s="2" t="str">
        <f t="shared" si="13"/>
        <v>Map</v>
      </c>
      <c r="S869" s="2" t="str">
        <f>IF($C869="","",IFERROR(VLOOKUP($C869,sources!$A$2:$N$200,9,FALSE()),"?"))</f>
        <v>US official</v>
      </c>
      <c r="T869" t="s">
        <v>5692</v>
      </c>
      <c r="U869">
        <f>IF(OR(B869="",C869="",T869="Retracted",LEFT(D869,8)="Negative"),0,IF(COUNTIFS($B$2:B869,B869,$C$2:C869,C869,$D$2:D869,"&lt;&gt;Negative*",$T$2:T869,"&lt;&gt;Retracted")=1,1,0))</f>
        <v>0</v>
      </c>
    </row>
    <row r="870" spans="1:21" x14ac:dyDescent="0.2">
      <c r="A870" t="s">
        <v>2733</v>
      </c>
      <c r="B870" t="s">
        <v>570</v>
      </c>
      <c r="C870" t="s">
        <v>1335</v>
      </c>
      <c r="D870" t="s">
        <v>1613</v>
      </c>
      <c r="E870" t="s">
        <v>571</v>
      </c>
      <c r="F870" t="s">
        <v>1583</v>
      </c>
      <c r="I870" t="s">
        <v>1058</v>
      </c>
      <c r="K870">
        <v>1905</v>
      </c>
      <c r="L870">
        <v>1906</v>
      </c>
      <c r="M870" t="s">
        <v>209</v>
      </c>
      <c r="N870" t="s">
        <v>209</v>
      </c>
      <c r="Q870" s="2" t="str">
        <f>IF($C870="","",IFERROR(VLOOKUP($C870,sources!$A$2:$N$200,2,FALSE()),"?"))</f>
        <v>Map</v>
      </c>
      <c r="R870" s="2" t="str">
        <f t="shared" si="13"/>
        <v>Map</v>
      </c>
      <c r="S870" s="2" t="str">
        <f>IF($C870="","",IFERROR(VLOOKUP($C870,sources!$A$2:$N$200,9,FALSE()),"?"))</f>
        <v>US official</v>
      </c>
      <c r="T870" t="s">
        <v>5692</v>
      </c>
      <c r="U870">
        <f>IF(OR(B870="",C870="",T870="Retracted",LEFT(D870,8)="Negative"),0,IF(COUNTIFS($B$2:B870,B870,$C$2:C870,C870,$D$2:D870,"&lt;&gt;Negative*",$T$2:T870,"&lt;&gt;Retracted")=1,1,0))</f>
        <v>0</v>
      </c>
    </row>
    <row r="871" spans="1:21" x14ac:dyDescent="0.2">
      <c r="A871" t="s">
        <v>2734</v>
      </c>
      <c r="B871" t="s">
        <v>340</v>
      </c>
      <c r="C871" t="s">
        <v>1335</v>
      </c>
      <c r="D871" t="s">
        <v>1613</v>
      </c>
      <c r="E871" t="s">
        <v>341</v>
      </c>
      <c r="F871" t="s">
        <v>1583</v>
      </c>
      <c r="I871" t="s">
        <v>1058</v>
      </c>
      <c r="K871">
        <v>1905</v>
      </c>
      <c r="L871">
        <v>1906</v>
      </c>
      <c r="M871" t="s">
        <v>209</v>
      </c>
      <c r="N871" t="s">
        <v>203</v>
      </c>
      <c r="Q871" s="2" t="str">
        <f>IF($C871="","",IFERROR(VLOOKUP($C871,sources!$A$2:$N$200,2,FALSE()),"?"))</f>
        <v>Map</v>
      </c>
      <c r="R871" s="2" t="str">
        <f t="shared" si="13"/>
        <v>Map</v>
      </c>
      <c r="S871" s="2" t="str">
        <f>IF($C871="","",IFERROR(VLOOKUP($C871,sources!$A$2:$N$200,9,FALSE()),"?"))</f>
        <v>US official</v>
      </c>
      <c r="T871" t="s">
        <v>5692</v>
      </c>
      <c r="U871">
        <f>IF(OR(B871="",C871="",T871="Retracted",LEFT(D871,8)="Negative"),0,IF(COUNTIFS($B$2:B871,B871,$C$2:C871,C871,$D$2:D871,"&lt;&gt;Negative*",$T$2:T871,"&lt;&gt;Retracted")=1,1,0))</f>
        <v>0</v>
      </c>
    </row>
    <row r="872" spans="1:21" x14ac:dyDescent="0.2">
      <c r="A872" t="s">
        <v>2735</v>
      </c>
      <c r="B872" t="s">
        <v>584</v>
      </c>
      <c r="C872" t="s">
        <v>1335</v>
      </c>
      <c r="D872" t="s">
        <v>1613</v>
      </c>
      <c r="E872" t="s">
        <v>585</v>
      </c>
      <c r="F872" t="s">
        <v>1583</v>
      </c>
      <c r="I872" t="s">
        <v>1058</v>
      </c>
      <c r="K872">
        <v>1905</v>
      </c>
      <c r="L872">
        <v>1906</v>
      </c>
      <c r="M872" t="s">
        <v>209</v>
      </c>
      <c r="N872" t="s">
        <v>203</v>
      </c>
      <c r="Q872" s="2" t="str">
        <f>IF($C872="","",IFERROR(VLOOKUP($C872,sources!$A$2:$N$200,2,FALSE()),"?"))</f>
        <v>Map</v>
      </c>
      <c r="R872" s="2" t="str">
        <f t="shared" si="13"/>
        <v>Map</v>
      </c>
      <c r="S872" s="2" t="str">
        <f>IF($C872="","",IFERROR(VLOOKUP($C872,sources!$A$2:$N$200,9,FALSE()),"?"))</f>
        <v>US official</v>
      </c>
      <c r="T872" t="s">
        <v>5692</v>
      </c>
      <c r="U872">
        <f>IF(OR(B872="",C872="",T872="Retracted",LEFT(D872,8)="Negative"),0,IF(COUNTIFS($B$2:B872,B872,$C$2:C872,C872,$D$2:D872,"&lt;&gt;Negative*",$T$2:T872,"&lt;&gt;Retracted")=1,1,0))</f>
        <v>0</v>
      </c>
    </row>
    <row r="873" spans="1:21" x14ac:dyDescent="0.2">
      <c r="A873" t="s">
        <v>2736</v>
      </c>
      <c r="B873" t="s">
        <v>374</v>
      </c>
      <c r="C873" t="s">
        <v>1335</v>
      </c>
      <c r="D873" t="s">
        <v>1613</v>
      </c>
      <c r="E873" t="s">
        <v>375</v>
      </c>
      <c r="F873" t="s">
        <v>1583</v>
      </c>
      <c r="I873" t="s">
        <v>1058</v>
      </c>
      <c r="K873">
        <v>1905</v>
      </c>
      <c r="L873">
        <v>1906</v>
      </c>
      <c r="M873" t="s">
        <v>209</v>
      </c>
      <c r="N873" t="s">
        <v>203</v>
      </c>
      <c r="Q873" s="2" t="str">
        <f>IF($C873="","",IFERROR(VLOOKUP($C873,sources!$A$2:$N$200,2,FALSE()),"?"))</f>
        <v>Map</v>
      </c>
      <c r="R873" s="2" t="str">
        <f t="shared" si="13"/>
        <v>Map</v>
      </c>
      <c r="S873" s="2" t="str">
        <f>IF($C873="","",IFERROR(VLOOKUP($C873,sources!$A$2:$N$200,9,FALSE()),"?"))</f>
        <v>US official</v>
      </c>
      <c r="T873" t="s">
        <v>5692</v>
      </c>
      <c r="U873">
        <f>IF(OR(B873="",C873="",T873="Retracted",LEFT(D873,8)="Negative"),0,IF(COUNTIFS($B$2:B873,B873,$C$2:C873,C873,$D$2:D873,"&lt;&gt;Negative*",$T$2:T873,"&lt;&gt;Retracted")=1,1,0))</f>
        <v>0</v>
      </c>
    </row>
    <row r="874" spans="1:21" x14ac:dyDescent="0.2">
      <c r="A874" t="s">
        <v>2737</v>
      </c>
      <c r="B874" t="s">
        <v>510</v>
      </c>
      <c r="C874" t="s">
        <v>1335</v>
      </c>
      <c r="D874" t="s">
        <v>1613</v>
      </c>
      <c r="E874" t="s">
        <v>511</v>
      </c>
      <c r="F874" t="s">
        <v>1583</v>
      </c>
      <c r="I874" t="s">
        <v>1058</v>
      </c>
      <c r="K874">
        <v>1905</v>
      </c>
      <c r="L874">
        <v>1906</v>
      </c>
      <c r="M874" t="s">
        <v>209</v>
      </c>
      <c r="N874" t="s">
        <v>203</v>
      </c>
      <c r="Q874" s="2" t="str">
        <f>IF($C874="","",IFERROR(VLOOKUP($C874,sources!$A$2:$N$200,2,FALSE()),"?"))</f>
        <v>Map</v>
      </c>
      <c r="R874" s="2" t="str">
        <f t="shared" si="13"/>
        <v>Map</v>
      </c>
      <c r="S874" s="2" t="str">
        <f>IF($C874="","",IFERROR(VLOOKUP($C874,sources!$A$2:$N$200,9,FALSE()),"?"))</f>
        <v>US official</v>
      </c>
      <c r="T874" t="s">
        <v>5692</v>
      </c>
      <c r="U874">
        <f>IF(OR(B874="",C874="",T874="Retracted",LEFT(D874,8)="Negative"),0,IF(COUNTIFS($B$2:B874,B874,$C$2:C874,C874,$D$2:D874,"&lt;&gt;Negative*",$T$2:T874,"&lt;&gt;Retracted")=1,1,0))</f>
        <v>0</v>
      </c>
    </row>
    <row r="875" spans="1:21" x14ac:dyDescent="0.2">
      <c r="A875" t="s">
        <v>2738</v>
      </c>
      <c r="B875" t="s">
        <v>619</v>
      </c>
      <c r="C875" t="s">
        <v>1335</v>
      </c>
      <c r="D875" t="s">
        <v>1613</v>
      </c>
      <c r="E875" t="s">
        <v>620</v>
      </c>
      <c r="F875" t="s">
        <v>1583</v>
      </c>
      <c r="I875" t="s">
        <v>1058</v>
      </c>
      <c r="K875">
        <v>1905</v>
      </c>
      <c r="L875">
        <v>1906</v>
      </c>
      <c r="M875" t="s">
        <v>209</v>
      </c>
      <c r="N875" t="s">
        <v>209</v>
      </c>
      <c r="Q875" s="2" t="str">
        <f>IF($C875="","",IFERROR(VLOOKUP($C875,sources!$A$2:$N$200,2,FALSE()),"?"))</f>
        <v>Map</v>
      </c>
      <c r="R875" s="2" t="str">
        <f t="shared" si="13"/>
        <v>Map</v>
      </c>
      <c r="S875" s="2" t="str">
        <f>IF($C875="","",IFERROR(VLOOKUP($C875,sources!$A$2:$N$200,9,FALSE()),"?"))</f>
        <v>US official</v>
      </c>
      <c r="T875" t="s">
        <v>5692</v>
      </c>
      <c r="U875">
        <f>IF(OR(B875="",C875="",T875="Retracted",LEFT(D875,8)="Negative"),0,IF(COUNTIFS($B$2:B875,B875,$C$2:C875,C875,$D$2:D875,"&lt;&gt;Negative*",$T$2:T875,"&lt;&gt;Retracted")=1,1,0))</f>
        <v>0</v>
      </c>
    </row>
    <row r="876" spans="1:21" x14ac:dyDescent="0.2">
      <c r="A876" t="s">
        <v>2739</v>
      </c>
      <c r="B876" t="s">
        <v>276</v>
      </c>
      <c r="C876" t="s">
        <v>1335</v>
      </c>
      <c r="D876" t="s">
        <v>1613</v>
      </c>
      <c r="E876" t="s">
        <v>277</v>
      </c>
      <c r="F876" t="s">
        <v>1583</v>
      </c>
      <c r="I876" t="s">
        <v>1058</v>
      </c>
      <c r="K876">
        <v>1905</v>
      </c>
      <c r="L876">
        <v>1906</v>
      </c>
      <c r="M876" t="s">
        <v>209</v>
      </c>
      <c r="N876" t="s">
        <v>209</v>
      </c>
      <c r="Q876" s="2" t="str">
        <f>IF($C876="","",IFERROR(VLOOKUP($C876,sources!$A$2:$N$200,2,FALSE()),"?"))</f>
        <v>Map</v>
      </c>
      <c r="R876" s="2" t="str">
        <f t="shared" si="13"/>
        <v>Map</v>
      </c>
      <c r="S876" s="2" t="str">
        <f>IF($C876="","",IFERROR(VLOOKUP($C876,sources!$A$2:$N$200,9,FALSE()),"?"))</f>
        <v>US official</v>
      </c>
      <c r="T876" t="s">
        <v>5692</v>
      </c>
      <c r="U876">
        <f>IF(OR(B876="",C876="",T876="Retracted",LEFT(D876,8)="Negative"),0,IF(COUNTIFS($B$2:B876,B876,$C$2:C876,C876,$D$2:D876,"&lt;&gt;Negative*",$T$2:T876,"&lt;&gt;Retracted")=1,1,0))</f>
        <v>0</v>
      </c>
    </row>
    <row r="877" spans="1:21" x14ac:dyDescent="0.2">
      <c r="A877" t="s">
        <v>2740</v>
      </c>
      <c r="B877" t="s">
        <v>660</v>
      </c>
      <c r="C877" t="s">
        <v>1335</v>
      </c>
      <c r="D877" t="s">
        <v>1613</v>
      </c>
      <c r="E877" t="s">
        <v>298</v>
      </c>
      <c r="F877" t="s">
        <v>1583</v>
      </c>
      <c r="I877" t="s">
        <v>1058</v>
      </c>
      <c r="K877">
        <v>1905</v>
      </c>
      <c r="L877">
        <v>1906</v>
      </c>
      <c r="M877" t="s">
        <v>209</v>
      </c>
      <c r="N877" t="s">
        <v>209</v>
      </c>
      <c r="Q877" s="2" t="str">
        <f>IF($C877="","",IFERROR(VLOOKUP($C877,sources!$A$2:$N$200,2,FALSE()),"?"))</f>
        <v>Map</v>
      </c>
      <c r="R877" s="2" t="str">
        <f t="shared" si="13"/>
        <v>Map</v>
      </c>
      <c r="S877" s="2" t="str">
        <f>IF($C877="","",IFERROR(VLOOKUP($C877,sources!$A$2:$N$200,9,FALSE()),"?"))</f>
        <v>US official</v>
      </c>
      <c r="T877" t="s">
        <v>5692</v>
      </c>
      <c r="U877">
        <f>IF(OR(B877="",C877="",T877="Retracted",LEFT(D877,8)="Negative"),0,IF(COUNTIFS($B$2:B877,B877,$C$2:C877,C877,$D$2:D877,"&lt;&gt;Negative*",$T$2:T877,"&lt;&gt;Retracted")=1,1,0))</f>
        <v>0</v>
      </c>
    </row>
    <row r="878" spans="1:21" x14ac:dyDescent="0.2">
      <c r="A878" t="s">
        <v>2741</v>
      </c>
      <c r="B878" t="s">
        <v>317</v>
      </c>
      <c r="C878" t="s">
        <v>1335</v>
      </c>
      <c r="D878" t="s">
        <v>1613</v>
      </c>
      <c r="E878" t="s">
        <v>318</v>
      </c>
      <c r="F878" t="s">
        <v>1583</v>
      </c>
      <c r="I878" t="s">
        <v>1058</v>
      </c>
      <c r="K878">
        <v>1905</v>
      </c>
      <c r="L878">
        <v>1906</v>
      </c>
      <c r="M878" t="s">
        <v>209</v>
      </c>
      <c r="N878" t="s">
        <v>209</v>
      </c>
      <c r="Q878" s="2" t="str">
        <f>IF($C878="","",IFERROR(VLOOKUP($C878,sources!$A$2:$N$200,2,FALSE()),"?"))</f>
        <v>Map</v>
      </c>
      <c r="R878" s="2" t="str">
        <f t="shared" si="13"/>
        <v>Map</v>
      </c>
      <c r="S878" s="2" t="str">
        <f>IF($C878="","",IFERROR(VLOOKUP($C878,sources!$A$2:$N$200,9,FALSE()),"?"))</f>
        <v>US official</v>
      </c>
      <c r="T878" t="s">
        <v>5692</v>
      </c>
      <c r="U878">
        <f>IF(OR(B878="",C878="",T878="Retracted",LEFT(D878,8)="Negative"),0,IF(COUNTIFS($B$2:B878,B878,$C$2:C878,C878,$D$2:D878,"&lt;&gt;Negative*",$T$2:T878,"&lt;&gt;Retracted")=1,1,0))</f>
        <v>0</v>
      </c>
    </row>
    <row r="879" spans="1:21" x14ac:dyDescent="0.2">
      <c r="A879" t="s">
        <v>2742</v>
      </c>
      <c r="B879" t="s">
        <v>326</v>
      </c>
      <c r="C879" t="s">
        <v>1335</v>
      </c>
      <c r="D879" t="s">
        <v>1613</v>
      </c>
      <c r="E879" t="s">
        <v>327</v>
      </c>
      <c r="F879" t="s">
        <v>1583</v>
      </c>
      <c r="I879" t="s">
        <v>1058</v>
      </c>
      <c r="K879">
        <v>1905</v>
      </c>
      <c r="L879">
        <v>1906</v>
      </c>
      <c r="M879" t="s">
        <v>209</v>
      </c>
      <c r="N879" t="s">
        <v>209</v>
      </c>
      <c r="Q879" s="2" t="str">
        <f>IF($C879="","",IFERROR(VLOOKUP($C879,sources!$A$2:$N$200,2,FALSE()),"?"))</f>
        <v>Map</v>
      </c>
      <c r="R879" s="2" t="str">
        <f t="shared" si="13"/>
        <v>Map</v>
      </c>
      <c r="S879" s="2" t="str">
        <f>IF($C879="","",IFERROR(VLOOKUP($C879,sources!$A$2:$N$200,9,FALSE()),"?"))</f>
        <v>US official</v>
      </c>
      <c r="T879" t="s">
        <v>5692</v>
      </c>
      <c r="U879">
        <f>IF(OR(B879="",C879="",T879="Retracted",LEFT(D879,8)="Negative"),0,IF(COUNTIFS($B$2:B879,B879,$C$2:C879,C879,$D$2:D879,"&lt;&gt;Negative*",$T$2:T879,"&lt;&gt;Retracted")=1,1,0))</f>
        <v>0</v>
      </c>
    </row>
    <row r="880" spans="1:21" x14ac:dyDescent="0.2">
      <c r="A880" t="s">
        <v>2743</v>
      </c>
      <c r="B880" t="s">
        <v>179</v>
      </c>
      <c r="C880" t="s">
        <v>1340</v>
      </c>
      <c r="D880" t="s">
        <v>1572</v>
      </c>
      <c r="E880" t="s">
        <v>2744</v>
      </c>
      <c r="F880" t="s">
        <v>1566</v>
      </c>
      <c r="G880">
        <v>9.10975</v>
      </c>
      <c r="H880">
        <v>-79.706990000000005</v>
      </c>
      <c r="I880" t="s">
        <v>1573</v>
      </c>
      <c r="J880">
        <v>600</v>
      </c>
      <c r="K880">
        <v>1862</v>
      </c>
      <c r="L880">
        <v>1862</v>
      </c>
      <c r="M880" t="s">
        <v>203</v>
      </c>
      <c r="N880" t="s">
        <v>203</v>
      </c>
      <c r="Q880" s="2" t="str">
        <f>IF($C880="","",IFERROR(VLOOKUP($C880,sources!$A$2:$N$200,2,FALSE()),"?"))</f>
        <v>Map</v>
      </c>
      <c r="R880" s="2" t="str">
        <f t="shared" si="13"/>
        <v>Map</v>
      </c>
      <c r="S880" s="2" t="str">
        <f>IF($C880="","",IFERROR(VLOOKUP($C880,sources!$A$2:$N$200,9,FALSE()),"?"))</f>
        <v>PRR company</v>
      </c>
      <c r="T880" t="s">
        <v>5692</v>
      </c>
      <c r="U880">
        <f>IF(OR(B880="",C880="",T880="Retracted",LEFT(D880,8)="Negative"),0,IF(COUNTIFS($B$2:B880,B880,$C$2:C880,C880,$D$2:D880,"&lt;&gt;Negative*",$T$2:T880,"&lt;&gt;Retracted")=1,1,0))</f>
        <v>1</v>
      </c>
    </row>
    <row r="881" spans="1:21" x14ac:dyDescent="0.2">
      <c r="A881" t="s">
        <v>2745</v>
      </c>
      <c r="B881" t="s">
        <v>199</v>
      </c>
      <c r="C881" t="s">
        <v>1340</v>
      </c>
      <c r="D881" t="s">
        <v>1572</v>
      </c>
      <c r="E881" t="s">
        <v>2746</v>
      </c>
      <c r="F881" t="s">
        <v>1566</v>
      </c>
      <c r="G881">
        <v>9.1240000000000006</v>
      </c>
      <c r="H881">
        <v>-79.687650000000005</v>
      </c>
      <c r="I881" t="s">
        <v>1573</v>
      </c>
      <c r="J881">
        <v>600</v>
      </c>
      <c r="K881">
        <v>1862</v>
      </c>
      <c r="L881">
        <v>1862</v>
      </c>
      <c r="M881" t="s">
        <v>203</v>
      </c>
      <c r="N881" t="s">
        <v>203</v>
      </c>
      <c r="Q881" s="2" t="str">
        <f>IF($C881="","",IFERROR(VLOOKUP($C881,sources!$A$2:$N$200,2,FALSE()),"?"))</f>
        <v>Map</v>
      </c>
      <c r="R881" s="2" t="str">
        <f t="shared" si="13"/>
        <v>Map</v>
      </c>
      <c r="S881" s="2" t="str">
        <f>IF($C881="","",IFERROR(VLOOKUP($C881,sources!$A$2:$N$200,9,FALSE()),"?"))</f>
        <v>PRR company</v>
      </c>
      <c r="T881" t="s">
        <v>5692</v>
      </c>
      <c r="U881">
        <f>IF(OR(B881="",C881="",T881="Retracted",LEFT(D881,8)="Negative"),0,IF(COUNTIFS($B$2:B881,B881,$C$2:C881,C881,$D$2:D881,"&lt;&gt;Negative*",$T$2:T881,"&lt;&gt;Retracted")=1,1,0))</f>
        <v>1</v>
      </c>
    </row>
    <row r="882" spans="1:21" x14ac:dyDescent="0.2">
      <c r="A882" t="s">
        <v>2747</v>
      </c>
      <c r="B882" t="s">
        <v>205</v>
      </c>
      <c r="C882" t="s">
        <v>1340</v>
      </c>
      <c r="D882" t="s">
        <v>1572</v>
      </c>
      <c r="E882" t="s">
        <v>206</v>
      </c>
      <c r="F882" t="s">
        <v>1566</v>
      </c>
      <c r="G882">
        <v>9.2129100000000008</v>
      </c>
      <c r="H882">
        <v>-79.876000000000005</v>
      </c>
      <c r="I882" t="s">
        <v>1573</v>
      </c>
      <c r="J882">
        <v>600</v>
      </c>
      <c r="K882">
        <v>1862</v>
      </c>
      <c r="L882">
        <v>1862</v>
      </c>
      <c r="M882" t="s">
        <v>203</v>
      </c>
      <c r="N882" t="s">
        <v>209</v>
      </c>
      <c r="Q882" s="2" t="str">
        <f>IF($C882="","",IFERROR(VLOOKUP($C882,sources!$A$2:$N$200,2,FALSE()),"?"))</f>
        <v>Map</v>
      </c>
      <c r="R882" s="2" t="str">
        <f t="shared" si="13"/>
        <v>Map</v>
      </c>
      <c r="S882" s="2" t="str">
        <f>IF($C882="","",IFERROR(VLOOKUP($C882,sources!$A$2:$N$200,9,FALSE()),"?"))</f>
        <v>PRR company</v>
      </c>
      <c r="T882" t="s">
        <v>5692</v>
      </c>
      <c r="U882">
        <f>IF(OR(B882="",C882="",T882="Retracted",LEFT(D882,8)="Negative"),0,IF(COUNTIFS($B$2:B882,B882,$C$2:C882,C882,$D$2:D882,"&lt;&gt;Negative*",$T$2:T882,"&lt;&gt;Retracted")=1,1,0))</f>
        <v>1</v>
      </c>
    </row>
    <row r="883" spans="1:21" x14ac:dyDescent="0.2">
      <c r="A883" t="s">
        <v>2748</v>
      </c>
      <c r="B883" t="s">
        <v>242</v>
      </c>
      <c r="C883" t="s">
        <v>1340</v>
      </c>
      <c r="D883" t="s">
        <v>1572</v>
      </c>
      <c r="E883" t="s">
        <v>2273</v>
      </c>
      <c r="F883" t="s">
        <v>1566</v>
      </c>
      <c r="G883">
        <v>9.1140100000000004</v>
      </c>
      <c r="H883">
        <v>-79.724149999999995</v>
      </c>
      <c r="I883" t="s">
        <v>1573</v>
      </c>
      <c r="J883">
        <v>600</v>
      </c>
      <c r="K883">
        <v>1862</v>
      </c>
      <c r="L883">
        <v>1862</v>
      </c>
      <c r="M883" t="s">
        <v>203</v>
      </c>
      <c r="N883" t="s">
        <v>203</v>
      </c>
      <c r="Q883" s="2" t="str">
        <f>IF($C883="","",IFERROR(VLOOKUP($C883,sources!$A$2:$N$200,2,FALSE()),"?"))</f>
        <v>Map</v>
      </c>
      <c r="R883" s="2" t="str">
        <f t="shared" si="13"/>
        <v>Map</v>
      </c>
      <c r="S883" s="2" t="str">
        <f>IF($C883="","",IFERROR(VLOOKUP($C883,sources!$A$2:$N$200,9,FALSE()),"?"))</f>
        <v>PRR company</v>
      </c>
      <c r="T883" t="s">
        <v>5692</v>
      </c>
      <c r="U883">
        <f>IF(OR(B883="",C883="",T883="Retracted",LEFT(D883,8)="Negative"),0,IF(COUNTIFS($B$2:B883,B883,$C$2:C883,C883,$D$2:D883,"&lt;&gt;Negative*",$T$2:T883,"&lt;&gt;Retracted")=1,1,0))</f>
        <v>1</v>
      </c>
    </row>
    <row r="884" spans="1:21" x14ac:dyDescent="0.2">
      <c r="A884" t="s">
        <v>2749</v>
      </c>
      <c r="B884" t="s">
        <v>386</v>
      </c>
      <c r="C884" t="s">
        <v>1340</v>
      </c>
      <c r="D884" t="s">
        <v>1572</v>
      </c>
      <c r="E884" t="s">
        <v>2750</v>
      </c>
      <c r="F884" t="s">
        <v>1566</v>
      </c>
      <c r="G884">
        <v>9.1797000000000004</v>
      </c>
      <c r="H884">
        <v>-79.833399999999997</v>
      </c>
      <c r="I884" t="s">
        <v>1573</v>
      </c>
      <c r="J884">
        <v>800</v>
      </c>
      <c r="K884">
        <v>1862</v>
      </c>
      <c r="L884">
        <v>1862</v>
      </c>
      <c r="M884" t="s">
        <v>203</v>
      </c>
      <c r="N884" t="s">
        <v>209</v>
      </c>
      <c r="Q884" s="2" t="str">
        <f>IF($C884="","",IFERROR(VLOOKUP($C884,sources!$A$2:$N$200,2,FALSE()),"?"))</f>
        <v>Map</v>
      </c>
      <c r="R884" s="2" t="str">
        <f t="shared" si="13"/>
        <v>Map</v>
      </c>
      <c r="S884" s="2" t="str">
        <f>IF($C884="","",IFERROR(VLOOKUP($C884,sources!$A$2:$N$200,9,FALSE()),"?"))</f>
        <v>PRR company</v>
      </c>
      <c r="T884" t="s">
        <v>5692</v>
      </c>
      <c r="U884">
        <f>IF(OR(B884="",C884="",T884="Retracted",LEFT(D884,8)="Negative"),0,IF(COUNTIFS($B$2:B884,B884,$C$2:C884,C884,$D$2:D884,"&lt;&gt;Negative*",$T$2:T884,"&lt;&gt;Retracted")=1,1,0))</f>
        <v>0</v>
      </c>
    </row>
    <row r="885" spans="1:21" x14ac:dyDescent="0.2">
      <c r="A885" t="s">
        <v>2751</v>
      </c>
      <c r="B885" t="s">
        <v>495</v>
      </c>
      <c r="C885" t="s">
        <v>1340</v>
      </c>
      <c r="D885" t="s">
        <v>1572</v>
      </c>
      <c r="E885" t="s">
        <v>496</v>
      </c>
      <c r="F885" t="s">
        <v>1566</v>
      </c>
      <c r="G885">
        <v>9.1903000000000006</v>
      </c>
      <c r="H885">
        <v>-79.881799999999998</v>
      </c>
      <c r="I885" t="s">
        <v>1573</v>
      </c>
      <c r="J885">
        <v>800</v>
      </c>
      <c r="K885">
        <v>1862</v>
      </c>
      <c r="L885">
        <v>1862</v>
      </c>
      <c r="M885" t="s">
        <v>203</v>
      </c>
      <c r="N885" t="s">
        <v>209</v>
      </c>
      <c r="Q885" s="2" t="str">
        <f>IF($C885="","",IFERROR(VLOOKUP($C885,sources!$A$2:$N$200,2,FALSE()),"?"))</f>
        <v>Map</v>
      </c>
      <c r="R885" s="2" t="str">
        <f t="shared" si="13"/>
        <v>Map</v>
      </c>
      <c r="S885" s="2" t="str">
        <f>IF($C885="","",IFERROR(VLOOKUP($C885,sources!$A$2:$N$200,9,FALSE()),"?"))</f>
        <v>PRR company</v>
      </c>
      <c r="T885" t="s">
        <v>5692</v>
      </c>
      <c r="U885">
        <f>IF(OR(B885="",C885="",T885="Retracted",LEFT(D885,8)="Negative"),0,IF(COUNTIFS($B$2:B885,B885,$C$2:C885,C885,$D$2:D885,"&lt;&gt;Negative*",$T$2:T885,"&lt;&gt;Retracted")=1,1,0))</f>
        <v>1</v>
      </c>
    </row>
    <row r="886" spans="1:21" x14ac:dyDescent="0.2">
      <c r="A886" t="s">
        <v>2752</v>
      </c>
      <c r="B886" t="s">
        <v>194</v>
      </c>
      <c r="C886" t="s">
        <v>1340</v>
      </c>
      <c r="D886" t="s">
        <v>1572</v>
      </c>
      <c r="E886" t="s">
        <v>195</v>
      </c>
      <c r="F886" t="s">
        <v>1566</v>
      </c>
      <c r="G886">
        <v>9.1093799999999998</v>
      </c>
      <c r="H886">
        <v>-79.767650000000003</v>
      </c>
      <c r="I886" t="s">
        <v>1573</v>
      </c>
      <c r="J886">
        <v>600</v>
      </c>
      <c r="K886">
        <v>1862</v>
      </c>
      <c r="L886">
        <v>1862</v>
      </c>
      <c r="M886" t="s">
        <v>203</v>
      </c>
      <c r="N886" t="s">
        <v>209</v>
      </c>
      <c r="Q886" s="2" t="str">
        <f>IF($C886="","",IFERROR(VLOOKUP($C886,sources!$A$2:$N$200,2,FALSE()),"?"))</f>
        <v>Map</v>
      </c>
      <c r="R886" s="2" t="str">
        <f t="shared" si="13"/>
        <v>Map</v>
      </c>
      <c r="S886" s="2" t="str">
        <f>IF($C886="","",IFERROR(VLOOKUP($C886,sources!$A$2:$N$200,9,FALSE()),"?"))</f>
        <v>PRR company</v>
      </c>
      <c r="T886" t="s">
        <v>5692</v>
      </c>
      <c r="U886">
        <f>IF(OR(B886="",C886="",T886="Retracted",LEFT(D886,8)="Negative"),0,IF(COUNTIFS($B$2:B886,B886,$C$2:C886,C886,$D$2:D886,"&lt;&gt;Negative*",$T$2:T886,"&lt;&gt;Retracted")=1,1,0))</f>
        <v>0</v>
      </c>
    </row>
    <row r="887" spans="1:21" x14ac:dyDescent="0.2">
      <c r="A887" t="s">
        <v>2753</v>
      </c>
      <c r="B887" t="s">
        <v>360</v>
      </c>
      <c r="C887" t="s">
        <v>1340</v>
      </c>
      <c r="D887" t="s">
        <v>1572</v>
      </c>
      <c r="E887" t="s">
        <v>2309</v>
      </c>
      <c r="F887" t="s">
        <v>1566</v>
      </c>
      <c r="G887">
        <v>9.1186699999999998</v>
      </c>
      <c r="H887">
        <v>-79.787009999999995</v>
      </c>
      <c r="I887" t="s">
        <v>1573</v>
      </c>
      <c r="J887">
        <v>600</v>
      </c>
      <c r="K887">
        <v>1862</v>
      </c>
      <c r="L887">
        <v>1862</v>
      </c>
      <c r="M887" t="s">
        <v>203</v>
      </c>
      <c r="N887" t="s">
        <v>209</v>
      </c>
      <c r="Q887" s="2" t="str">
        <f>IF($C887="","",IFERROR(VLOOKUP($C887,sources!$A$2:$N$200,2,FALSE()),"?"))</f>
        <v>Map</v>
      </c>
      <c r="R887" s="2" t="str">
        <f t="shared" si="13"/>
        <v>Map</v>
      </c>
      <c r="S887" s="2" t="str">
        <f>IF($C887="","",IFERROR(VLOOKUP($C887,sources!$A$2:$N$200,9,FALSE()),"?"))</f>
        <v>PRR company</v>
      </c>
      <c r="T887" t="s">
        <v>5692</v>
      </c>
      <c r="U887">
        <f>IF(OR(B887="",C887="",T887="Retracted",LEFT(D887,8)="Negative"),0,IF(COUNTIFS($B$2:B887,B887,$C$2:C887,C887,$D$2:D887,"&lt;&gt;Negative*",$T$2:T887,"&lt;&gt;Retracted")=1,1,0))</f>
        <v>0</v>
      </c>
    </row>
    <row r="888" spans="1:21" x14ac:dyDescent="0.2">
      <c r="A888" t="s">
        <v>2754</v>
      </c>
      <c r="B888" t="s">
        <v>443</v>
      </c>
      <c r="C888" t="s">
        <v>1340</v>
      </c>
      <c r="D888" t="s">
        <v>1575</v>
      </c>
      <c r="E888" t="s">
        <v>2755</v>
      </c>
      <c r="F888" t="s">
        <v>1566</v>
      </c>
      <c r="I888" t="s">
        <v>1058</v>
      </c>
      <c r="K888">
        <v>1862</v>
      </c>
      <c r="L888">
        <v>1862</v>
      </c>
      <c r="M888" t="s">
        <v>203</v>
      </c>
      <c r="N888" t="s">
        <v>203</v>
      </c>
      <c r="Q888" s="2" t="str">
        <f>IF($C888="","",IFERROR(VLOOKUP($C888,sources!$A$2:$N$200,2,FALSE()),"?"))</f>
        <v>Map</v>
      </c>
      <c r="R888" s="2" t="str">
        <f t="shared" si="13"/>
        <v>Map</v>
      </c>
      <c r="S888" s="2" t="str">
        <f>IF($C888="","",IFERROR(VLOOKUP($C888,sources!$A$2:$N$200,9,FALSE()),"?"))</f>
        <v>PRR company</v>
      </c>
      <c r="T888" t="s">
        <v>5692</v>
      </c>
      <c r="U888">
        <f>IF(OR(B888="",C888="",T888="Retracted",LEFT(D888,8)="Negative"),0,IF(COUNTIFS($B$2:B888,B888,$C$2:C888,C888,$D$2:D888,"&lt;&gt;Negative*",$T$2:T888,"&lt;&gt;Retracted")=1,1,0))</f>
        <v>1</v>
      </c>
    </row>
    <row r="889" spans="1:21" x14ac:dyDescent="0.2">
      <c r="A889" t="s">
        <v>2756</v>
      </c>
      <c r="B889" t="s">
        <v>253</v>
      </c>
      <c r="C889" t="s">
        <v>1340</v>
      </c>
      <c r="D889" t="s">
        <v>1575</v>
      </c>
      <c r="E889" t="s">
        <v>2757</v>
      </c>
      <c r="F889" t="s">
        <v>1566</v>
      </c>
      <c r="I889" t="s">
        <v>1058</v>
      </c>
      <c r="K889">
        <v>1862</v>
      </c>
      <c r="L889">
        <v>1862</v>
      </c>
      <c r="M889" t="s">
        <v>209</v>
      </c>
      <c r="N889" t="s">
        <v>190</v>
      </c>
      <c r="Q889" s="2" t="str">
        <f>IF($C889="","",IFERROR(VLOOKUP($C889,sources!$A$2:$N$200,2,FALSE()),"?"))</f>
        <v>Map</v>
      </c>
      <c r="R889" s="2" t="str">
        <f t="shared" si="13"/>
        <v>Map</v>
      </c>
      <c r="S889" s="2" t="str">
        <f>IF($C889="","",IFERROR(VLOOKUP($C889,sources!$A$2:$N$200,9,FALSE()),"?"))</f>
        <v>PRR company</v>
      </c>
      <c r="T889" t="s">
        <v>5692</v>
      </c>
      <c r="U889">
        <f>IF(OR(B889="",C889="",T889="Retracted",LEFT(D889,8)="Negative"),0,IF(COUNTIFS($B$2:B889,B889,$C$2:C889,C889,$D$2:D889,"&lt;&gt;Negative*",$T$2:T889,"&lt;&gt;Retracted")=1,1,0))</f>
        <v>1</v>
      </c>
    </row>
    <row r="890" spans="1:21" x14ac:dyDescent="0.2">
      <c r="A890" t="s">
        <v>2758</v>
      </c>
      <c r="B890" t="s">
        <v>607</v>
      </c>
      <c r="C890" t="s">
        <v>1340</v>
      </c>
      <c r="D890" t="s">
        <v>1564</v>
      </c>
      <c r="E890" t="s">
        <v>2759</v>
      </c>
      <c r="F890" t="s">
        <v>1566</v>
      </c>
      <c r="I890" t="s">
        <v>1058</v>
      </c>
      <c r="K890">
        <v>1862</v>
      </c>
      <c r="L890">
        <v>1862</v>
      </c>
      <c r="M890" t="s">
        <v>203</v>
      </c>
      <c r="N890" t="s">
        <v>203</v>
      </c>
      <c r="Q890" s="2" t="str">
        <f>IF($C890="","",IFERROR(VLOOKUP($C890,sources!$A$2:$N$200,2,FALSE()),"?"))</f>
        <v>Map</v>
      </c>
      <c r="R890" s="2" t="str">
        <f t="shared" si="13"/>
        <v>Map</v>
      </c>
      <c r="S890" s="2" t="str">
        <f>IF($C890="","",IFERROR(VLOOKUP($C890,sources!$A$2:$N$200,9,FALSE()),"?"))</f>
        <v>PRR company</v>
      </c>
      <c r="T890" t="s">
        <v>5692</v>
      </c>
      <c r="U890">
        <f>IF(OR(B890="",C890="",T890="Retracted",LEFT(D890,8)="Negative"),0,IF(COUNTIFS($B$2:B890,B890,$C$2:C890,C890,$D$2:D890,"&lt;&gt;Negative*",$T$2:T890,"&lt;&gt;Retracted")=1,1,0))</f>
        <v>1</v>
      </c>
    </row>
    <row r="891" spans="1:21" x14ac:dyDescent="0.2">
      <c r="A891" t="s">
        <v>2760</v>
      </c>
      <c r="B891" t="s">
        <v>215</v>
      </c>
      <c r="C891" t="s">
        <v>1340</v>
      </c>
      <c r="D891" t="s">
        <v>1564</v>
      </c>
      <c r="E891" t="s">
        <v>2761</v>
      </c>
      <c r="F891" t="s">
        <v>1566</v>
      </c>
      <c r="I891" t="s">
        <v>1058</v>
      </c>
      <c r="K891">
        <v>1862</v>
      </c>
      <c r="L891">
        <v>1862</v>
      </c>
      <c r="M891" t="s">
        <v>203</v>
      </c>
      <c r="N891" t="s">
        <v>203</v>
      </c>
      <c r="Q891" s="2" t="str">
        <f>IF($C891="","",IFERROR(VLOOKUP($C891,sources!$A$2:$N$200,2,FALSE()),"?"))</f>
        <v>Map</v>
      </c>
      <c r="R891" s="2" t="str">
        <f t="shared" si="13"/>
        <v>Map</v>
      </c>
      <c r="S891" s="2" t="str">
        <f>IF($C891="","",IFERROR(VLOOKUP($C891,sources!$A$2:$N$200,9,FALSE()),"?"))</f>
        <v>PRR company</v>
      </c>
      <c r="T891" t="s">
        <v>5692</v>
      </c>
      <c r="U891">
        <f>IF(OR(B891="",C891="",T891="Retracted",LEFT(D891,8)="Negative"),0,IF(COUNTIFS($B$2:B891,B891,$C$2:C891,C891,$D$2:D891,"&lt;&gt;Negative*",$T$2:T891,"&lt;&gt;Retracted")=1,1,0))</f>
        <v>0</v>
      </c>
    </row>
    <row r="892" spans="1:21" x14ac:dyDescent="0.2">
      <c r="A892" t="s">
        <v>2762</v>
      </c>
      <c r="B892" t="s">
        <v>265</v>
      </c>
      <c r="C892" t="s">
        <v>1340</v>
      </c>
      <c r="D892" t="s">
        <v>1564</v>
      </c>
      <c r="E892" t="s">
        <v>2763</v>
      </c>
      <c r="F892" t="s">
        <v>1566</v>
      </c>
      <c r="I892" t="s">
        <v>1058</v>
      </c>
      <c r="K892">
        <v>1862</v>
      </c>
      <c r="L892">
        <v>1862</v>
      </c>
      <c r="M892" t="s">
        <v>203</v>
      </c>
      <c r="N892" t="s">
        <v>203</v>
      </c>
      <c r="Q892" s="2" t="str">
        <f>IF($C892="","",IFERROR(VLOOKUP($C892,sources!$A$2:$N$200,2,FALSE()),"?"))</f>
        <v>Map</v>
      </c>
      <c r="R892" s="2" t="str">
        <f t="shared" si="13"/>
        <v>Map</v>
      </c>
      <c r="S892" s="2" t="str">
        <f>IF($C892="","",IFERROR(VLOOKUP($C892,sources!$A$2:$N$200,9,FALSE()),"?"))</f>
        <v>PRR company</v>
      </c>
      <c r="T892" t="s">
        <v>5692</v>
      </c>
      <c r="U892">
        <f>IF(OR(B892="",C892="",T892="Retracted",LEFT(D892,8)="Negative"),0,IF(COUNTIFS($B$2:B892,B892,$C$2:C892,C892,$D$2:D892,"&lt;&gt;Negative*",$T$2:T892,"&lt;&gt;Retracted")=1,1,0))</f>
        <v>0</v>
      </c>
    </row>
    <row r="893" spans="1:21" x14ac:dyDescent="0.2">
      <c r="A893" t="s">
        <v>2764</v>
      </c>
      <c r="B893" t="s">
        <v>498</v>
      </c>
      <c r="C893" t="s">
        <v>1340</v>
      </c>
      <c r="D893" t="s">
        <v>1564</v>
      </c>
      <c r="E893" t="s">
        <v>2765</v>
      </c>
      <c r="F893" t="s">
        <v>1566</v>
      </c>
      <c r="I893" t="s">
        <v>1058</v>
      </c>
      <c r="K893">
        <v>1862</v>
      </c>
      <c r="L893">
        <v>1862</v>
      </c>
      <c r="M893" t="s">
        <v>203</v>
      </c>
      <c r="N893" t="s">
        <v>203</v>
      </c>
      <c r="Q893" s="2" t="str">
        <f>IF($C893="","",IFERROR(VLOOKUP($C893,sources!$A$2:$N$200,2,FALSE()),"?"))</f>
        <v>Map</v>
      </c>
      <c r="R893" s="2" t="str">
        <f t="shared" si="13"/>
        <v>Map</v>
      </c>
      <c r="S893" s="2" t="str">
        <f>IF($C893="","",IFERROR(VLOOKUP($C893,sources!$A$2:$N$200,9,FALSE()),"?"))</f>
        <v>PRR company</v>
      </c>
      <c r="T893" t="s">
        <v>5692</v>
      </c>
      <c r="U893">
        <f>IF(OR(B893="",C893="",T893="Retracted",LEFT(D893,8)="Negative"),0,IF(COUNTIFS($B$2:B893,B893,$C$2:C893,C893,$D$2:D893,"&lt;&gt;Negative*",$T$2:T893,"&lt;&gt;Retracted")=1,1,0))</f>
        <v>0</v>
      </c>
    </row>
    <row r="894" spans="1:21" x14ac:dyDescent="0.2">
      <c r="A894" t="s">
        <v>2766</v>
      </c>
      <c r="B894" t="s">
        <v>433</v>
      </c>
      <c r="C894" t="s">
        <v>1340</v>
      </c>
      <c r="D894" t="s">
        <v>1564</v>
      </c>
      <c r="E894" t="s">
        <v>2767</v>
      </c>
      <c r="F894" t="s">
        <v>1566</v>
      </c>
      <c r="I894" t="s">
        <v>1058</v>
      </c>
      <c r="K894">
        <v>1862</v>
      </c>
      <c r="L894">
        <v>1862</v>
      </c>
      <c r="M894" t="s">
        <v>203</v>
      </c>
      <c r="N894" t="s">
        <v>203</v>
      </c>
      <c r="Q894" s="2" t="str">
        <f>IF($C894="","",IFERROR(VLOOKUP($C894,sources!$A$2:$N$200,2,FALSE()),"?"))</f>
        <v>Map</v>
      </c>
      <c r="R894" s="2" t="str">
        <f t="shared" si="13"/>
        <v>Map</v>
      </c>
      <c r="S894" s="2" t="str">
        <f>IF($C894="","",IFERROR(VLOOKUP($C894,sources!$A$2:$N$200,9,FALSE()),"?"))</f>
        <v>PRR company</v>
      </c>
      <c r="T894" t="s">
        <v>5692</v>
      </c>
      <c r="U894">
        <f>IF(OR(B894="",C894="",T894="Retracted",LEFT(D894,8)="Negative"),0,IF(COUNTIFS($B$2:B894,B894,$C$2:C894,C894,$D$2:D894,"&lt;&gt;Negative*",$T$2:T894,"&lt;&gt;Retracted")=1,1,0))</f>
        <v>1</v>
      </c>
    </row>
    <row r="895" spans="1:21" x14ac:dyDescent="0.2">
      <c r="A895" t="s">
        <v>2768</v>
      </c>
      <c r="B895" t="s">
        <v>217</v>
      </c>
      <c r="C895" t="s">
        <v>1340</v>
      </c>
      <c r="D895" t="s">
        <v>1564</v>
      </c>
      <c r="E895" t="s">
        <v>2769</v>
      </c>
      <c r="F895" t="s">
        <v>1566</v>
      </c>
      <c r="I895" t="s">
        <v>1058</v>
      </c>
      <c r="K895">
        <v>1862</v>
      </c>
      <c r="L895">
        <v>1862</v>
      </c>
      <c r="M895" t="s">
        <v>203</v>
      </c>
      <c r="N895" t="s">
        <v>203</v>
      </c>
      <c r="Q895" s="2" t="str">
        <f>IF($C895="","",IFERROR(VLOOKUP($C895,sources!$A$2:$N$200,2,FALSE()),"?"))</f>
        <v>Map</v>
      </c>
      <c r="R895" s="2" t="str">
        <f t="shared" si="13"/>
        <v>Map</v>
      </c>
      <c r="S895" s="2" t="str">
        <f>IF($C895="","",IFERROR(VLOOKUP($C895,sources!$A$2:$N$200,9,FALSE()),"?"))</f>
        <v>PRR company</v>
      </c>
      <c r="T895" t="s">
        <v>5692</v>
      </c>
      <c r="U895">
        <f>IF(OR(B895="",C895="",T895="Retracted",LEFT(D895,8)="Negative"),0,IF(COUNTIFS($B$2:B895,B895,$C$2:C895,C895,$D$2:D895,"&lt;&gt;Negative*",$T$2:T895,"&lt;&gt;Retracted")=1,1,0))</f>
        <v>0</v>
      </c>
    </row>
    <row r="896" spans="1:21" x14ac:dyDescent="0.2">
      <c r="A896" t="s">
        <v>2770</v>
      </c>
      <c r="B896" t="s">
        <v>480</v>
      </c>
      <c r="C896" t="s">
        <v>1340</v>
      </c>
      <c r="D896" t="s">
        <v>1564</v>
      </c>
      <c r="E896" t="s">
        <v>2771</v>
      </c>
      <c r="F896" t="s">
        <v>1566</v>
      </c>
      <c r="I896" t="s">
        <v>1058</v>
      </c>
      <c r="K896">
        <v>1862</v>
      </c>
      <c r="L896">
        <v>1862</v>
      </c>
      <c r="M896" t="s">
        <v>203</v>
      </c>
      <c r="N896" t="s">
        <v>203</v>
      </c>
      <c r="Q896" s="2" t="str">
        <f>IF($C896="","",IFERROR(VLOOKUP($C896,sources!$A$2:$N$200,2,FALSE()),"?"))</f>
        <v>Map</v>
      </c>
      <c r="R896" s="2" t="str">
        <f t="shared" si="13"/>
        <v>Map</v>
      </c>
      <c r="S896" s="2" t="str">
        <f>IF($C896="","",IFERROR(VLOOKUP($C896,sources!$A$2:$N$200,9,FALSE()),"?"))</f>
        <v>PRR company</v>
      </c>
      <c r="T896" t="s">
        <v>5692</v>
      </c>
      <c r="U896">
        <f>IF(OR(B896="",C896="",T896="Retracted",LEFT(D896,8)="Negative"),0,IF(COUNTIFS($B$2:B896,B896,$C$2:C896,C896,$D$2:D896,"&lt;&gt;Negative*",$T$2:T896,"&lt;&gt;Retracted")=1,1,0))</f>
        <v>1</v>
      </c>
    </row>
    <row r="897" spans="1:21" x14ac:dyDescent="0.2">
      <c r="A897" t="s">
        <v>2772</v>
      </c>
      <c r="B897" t="s">
        <v>383</v>
      </c>
      <c r="C897" t="s">
        <v>1340</v>
      </c>
      <c r="D897" t="s">
        <v>1564</v>
      </c>
      <c r="E897" t="s">
        <v>2773</v>
      </c>
      <c r="F897" t="s">
        <v>1566</v>
      </c>
      <c r="I897" t="s">
        <v>1058</v>
      </c>
      <c r="K897">
        <v>1862</v>
      </c>
      <c r="L897">
        <v>1862</v>
      </c>
      <c r="M897" t="s">
        <v>203</v>
      </c>
      <c r="N897" t="s">
        <v>203</v>
      </c>
      <c r="Q897" s="2" t="str">
        <f>IF($C897="","",IFERROR(VLOOKUP($C897,sources!$A$2:$N$200,2,FALSE()),"?"))</f>
        <v>Map</v>
      </c>
      <c r="R897" s="2" t="str">
        <f t="shared" si="13"/>
        <v>Map</v>
      </c>
      <c r="S897" s="2" t="str">
        <f>IF($C897="","",IFERROR(VLOOKUP($C897,sources!$A$2:$N$200,9,FALSE()),"?"))</f>
        <v>PRR company</v>
      </c>
      <c r="T897" t="s">
        <v>5692</v>
      </c>
      <c r="U897">
        <f>IF(OR(B897="",C897="",T897="Retracted",LEFT(D897,8)="Negative"),0,IF(COUNTIFS($B$2:B897,B897,$C$2:C897,C897,$D$2:D897,"&lt;&gt;Negative*",$T$2:T897,"&lt;&gt;Retracted")=1,1,0))</f>
        <v>1</v>
      </c>
    </row>
    <row r="898" spans="1:21" x14ac:dyDescent="0.2">
      <c r="A898" t="s">
        <v>2774</v>
      </c>
      <c r="B898" t="s">
        <v>211</v>
      </c>
      <c r="C898" t="s">
        <v>1340</v>
      </c>
      <c r="D898" t="s">
        <v>1613</v>
      </c>
      <c r="E898" t="s">
        <v>212</v>
      </c>
      <c r="F898" t="s">
        <v>1583</v>
      </c>
      <c r="I898" t="s">
        <v>1058</v>
      </c>
      <c r="K898">
        <v>1862</v>
      </c>
      <c r="L898">
        <v>1862</v>
      </c>
      <c r="M898" t="s">
        <v>209</v>
      </c>
      <c r="N898" t="s">
        <v>203</v>
      </c>
      <c r="Q898" s="2" t="str">
        <f>IF($C898="","",IFERROR(VLOOKUP($C898,sources!$A$2:$N$200,2,FALSE()),"?"))</f>
        <v>Map</v>
      </c>
      <c r="R898" s="2" t="str">
        <f t="shared" ref="R898:R961" si="14">IF($Q898="","",IF($Q898="Map","Map",IF(OR($Q898="Photograph",$Q898="Postcard"),"Image",IF(OR($Q898="Census or roll",$Q898="Report",$Q898="Newspaper",$Q898="Letter",$Q898="Memoir",$Q898="Administrative",$Q898="Web compilation"),"Textual",IF($Q898="Legal claim","Legal/admin",IF($Q898="Secondary","Secondary","Other"))))))</f>
        <v>Map</v>
      </c>
      <c r="S898" s="2" t="str">
        <f>IF($C898="","",IFERROR(VLOOKUP($C898,sources!$A$2:$N$200,9,FALSE()),"?"))</f>
        <v>PRR company</v>
      </c>
      <c r="T898" t="s">
        <v>5692</v>
      </c>
      <c r="U898">
        <f>IF(OR(B898="",C898="",T898="Retracted",LEFT(D898,8)="Negative"),0,IF(COUNTIFS($B$2:B898,B898,$C$2:C898,C898,$D$2:D898,"&lt;&gt;Negative*",$T$2:T898,"&lt;&gt;Retracted")=1,1,0))</f>
        <v>0</v>
      </c>
    </row>
    <row r="899" spans="1:21" x14ac:dyDescent="0.2">
      <c r="A899" t="s">
        <v>2775</v>
      </c>
      <c r="B899" t="s">
        <v>599</v>
      </c>
      <c r="C899" t="s">
        <v>1340</v>
      </c>
      <c r="D899" t="s">
        <v>1613</v>
      </c>
      <c r="E899" t="s">
        <v>600</v>
      </c>
      <c r="F899" t="s">
        <v>1583</v>
      </c>
      <c r="I899" t="s">
        <v>1058</v>
      </c>
      <c r="K899">
        <v>1862</v>
      </c>
      <c r="L899">
        <v>1862</v>
      </c>
      <c r="M899" t="s">
        <v>209</v>
      </c>
      <c r="N899" t="s">
        <v>203</v>
      </c>
      <c r="Q899" s="2" t="str">
        <f>IF($C899="","",IFERROR(VLOOKUP($C899,sources!$A$2:$N$200,2,FALSE()),"?"))</f>
        <v>Map</v>
      </c>
      <c r="R899" s="2" t="str">
        <f t="shared" si="14"/>
        <v>Map</v>
      </c>
      <c r="S899" s="2" t="str">
        <f>IF($C899="","",IFERROR(VLOOKUP($C899,sources!$A$2:$N$200,9,FALSE()),"?"))</f>
        <v>PRR company</v>
      </c>
      <c r="T899" t="s">
        <v>5692</v>
      </c>
      <c r="U899">
        <f>IF(OR(B899="",C899="",T899="Retracted",LEFT(D899,8)="Negative"),0,IF(COUNTIFS($B$2:B899,B899,$C$2:C899,C899,$D$2:D899,"&lt;&gt;Negative*",$T$2:T899,"&lt;&gt;Retracted")=1,1,0))</f>
        <v>0</v>
      </c>
    </row>
    <row r="900" spans="1:21" x14ac:dyDescent="0.2">
      <c r="A900" t="s">
        <v>2776</v>
      </c>
      <c r="B900" t="s">
        <v>213</v>
      </c>
      <c r="C900" t="s">
        <v>1340</v>
      </c>
      <c r="D900" t="s">
        <v>1613</v>
      </c>
      <c r="E900" t="s">
        <v>214</v>
      </c>
      <c r="F900" t="s">
        <v>1583</v>
      </c>
      <c r="I900" t="s">
        <v>1058</v>
      </c>
      <c r="K900">
        <v>1862</v>
      </c>
      <c r="L900">
        <v>1862</v>
      </c>
      <c r="M900" t="s">
        <v>209</v>
      </c>
      <c r="N900" t="s">
        <v>203</v>
      </c>
      <c r="Q900" s="2" t="str">
        <f>IF($C900="","",IFERROR(VLOOKUP($C900,sources!$A$2:$N$200,2,FALSE()),"?"))</f>
        <v>Map</v>
      </c>
      <c r="R900" s="2" t="str">
        <f t="shared" si="14"/>
        <v>Map</v>
      </c>
      <c r="S900" s="2" t="str">
        <f>IF($C900="","",IFERROR(VLOOKUP($C900,sources!$A$2:$N$200,9,FALSE()),"?"))</f>
        <v>PRR company</v>
      </c>
      <c r="T900" t="s">
        <v>5692</v>
      </c>
      <c r="U900">
        <f>IF(OR(B900="",C900="",T900="Retracted",LEFT(D900,8)="Negative"),0,IF(COUNTIFS($B$2:B900,B900,$C$2:C900,C900,$D$2:D900,"&lt;&gt;Negative*",$T$2:T900,"&lt;&gt;Retracted")=1,1,0))</f>
        <v>0</v>
      </c>
    </row>
    <row r="901" spans="1:21" x14ac:dyDescent="0.2">
      <c r="A901" t="s">
        <v>2777</v>
      </c>
      <c r="B901" t="s">
        <v>330</v>
      </c>
      <c r="C901" t="s">
        <v>1340</v>
      </c>
      <c r="D901" t="s">
        <v>1613</v>
      </c>
      <c r="E901" t="s">
        <v>331</v>
      </c>
      <c r="F901" t="s">
        <v>1583</v>
      </c>
      <c r="I901" t="s">
        <v>1058</v>
      </c>
      <c r="K901">
        <v>1862</v>
      </c>
      <c r="L901">
        <v>1862</v>
      </c>
      <c r="M901" t="s">
        <v>209</v>
      </c>
      <c r="N901" t="s">
        <v>203</v>
      </c>
      <c r="Q901" s="2" t="str">
        <f>IF($C901="","",IFERROR(VLOOKUP($C901,sources!$A$2:$N$200,2,FALSE()),"?"))</f>
        <v>Map</v>
      </c>
      <c r="R901" s="2" t="str">
        <f t="shared" si="14"/>
        <v>Map</v>
      </c>
      <c r="S901" s="2" t="str">
        <f>IF($C901="","",IFERROR(VLOOKUP($C901,sources!$A$2:$N$200,9,FALSE()),"?"))</f>
        <v>PRR company</v>
      </c>
      <c r="T901" t="s">
        <v>5692</v>
      </c>
      <c r="U901">
        <f>IF(OR(B901="",C901="",T901="Retracted",LEFT(D901,8)="Negative"),0,IF(COUNTIFS($B$2:B901,B901,$C$2:C901,C901,$D$2:D901,"&lt;&gt;Negative*",$T$2:T901,"&lt;&gt;Retracted")=1,1,0))</f>
        <v>0</v>
      </c>
    </row>
    <row r="902" spans="1:21" x14ac:dyDescent="0.2">
      <c r="A902" t="s">
        <v>2778</v>
      </c>
      <c r="B902" t="s">
        <v>415</v>
      </c>
      <c r="C902" t="s">
        <v>1340</v>
      </c>
      <c r="D902" t="s">
        <v>1613</v>
      </c>
      <c r="E902" t="s">
        <v>416</v>
      </c>
      <c r="F902" t="s">
        <v>1583</v>
      </c>
      <c r="I902" t="s">
        <v>1058</v>
      </c>
      <c r="K902">
        <v>1862</v>
      </c>
      <c r="L902">
        <v>1862</v>
      </c>
      <c r="M902" t="s">
        <v>209</v>
      </c>
      <c r="N902" t="s">
        <v>190</v>
      </c>
      <c r="Q902" s="2" t="str">
        <f>IF($C902="","",IFERROR(VLOOKUP($C902,sources!$A$2:$N$200,2,FALSE()),"?"))</f>
        <v>Map</v>
      </c>
      <c r="R902" s="2" t="str">
        <f t="shared" si="14"/>
        <v>Map</v>
      </c>
      <c r="S902" s="2" t="str">
        <f>IF($C902="","",IFERROR(VLOOKUP($C902,sources!$A$2:$N$200,9,FALSE()),"?"))</f>
        <v>PRR company</v>
      </c>
      <c r="T902" t="s">
        <v>5692</v>
      </c>
      <c r="U902">
        <f>IF(OR(B902="",C902="",T902="Retracted",LEFT(D902,8)="Negative"),0,IF(COUNTIFS($B$2:B902,B902,$C$2:C902,C902,$D$2:D902,"&lt;&gt;Negative*",$T$2:T902,"&lt;&gt;Retracted")=1,1,0))</f>
        <v>0</v>
      </c>
    </row>
    <row r="903" spans="1:21" x14ac:dyDescent="0.2">
      <c r="A903" t="s">
        <v>2779</v>
      </c>
      <c r="B903" t="s">
        <v>436</v>
      </c>
      <c r="C903" t="s">
        <v>1340</v>
      </c>
      <c r="D903" t="s">
        <v>1613</v>
      </c>
      <c r="E903" t="s">
        <v>437</v>
      </c>
      <c r="F903" t="s">
        <v>1583</v>
      </c>
      <c r="I903" t="s">
        <v>1058</v>
      </c>
      <c r="K903">
        <v>1862</v>
      </c>
      <c r="L903">
        <v>1862</v>
      </c>
      <c r="M903" t="s">
        <v>209</v>
      </c>
      <c r="N903" t="s">
        <v>190</v>
      </c>
      <c r="Q903" s="2" t="str">
        <f>IF($C903="","",IFERROR(VLOOKUP($C903,sources!$A$2:$N$200,2,FALSE()),"?"))</f>
        <v>Map</v>
      </c>
      <c r="R903" s="2" t="str">
        <f t="shared" si="14"/>
        <v>Map</v>
      </c>
      <c r="S903" s="2" t="str">
        <f>IF($C903="","",IFERROR(VLOOKUP($C903,sources!$A$2:$N$200,9,FALSE()),"?"))</f>
        <v>PRR company</v>
      </c>
      <c r="T903" t="s">
        <v>5692</v>
      </c>
      <c r="U903">
        <f>IF(OR(B903="",C903="",T903="Retracted",LEFT(D903,8)="Negative"),0,IF(COUNTIFS($B$2:B903,B903,$C$2:C903,C903,$D$2:D903,"&lt;&gt;Negative*",$T$2:T903,"&lt;&gt;Retracted")=1,1,0))</f>
        <v>0</v>
      </c>
    </row>
    <row r="904" spans="1:21" x14ac:dyDescent="0.2">
      <c r="A904" t="s">
        <v>2780</v>
      </c>
      <c r="B904" t="s">
        <v>592</v>
      </c>
      <c r="C904" t="s">
        <v>1340</v>
      </c>
      <c r="D904" t="s">
        <v>1613</v>
      </c>
      <c r="E904" t="s">
        <v>593</v>
      </c>
      <c r="F904" t="s">
        <v>1583</v>
      </c>
      <c r="I904" t="s">
        <v>1058</v>
      </c>
      <c r="K904">
        <v>1862</v>
      </c>
      <c r="L904">
        <v>1862</v>
      </c>
      <c r="M904" t="s">
        <v>209</v>
      </c>
      <c r="N904" t="s">
        <v>203</v>
      </c>
      <c r="Q904" s="2" t="str">
        <f>IF($C904="","",IFERROR(VLOOKUP($C904,sources!$A$2:$N$200,2,FALSE()),"?"))</f>
        <v>Map</v>
      </c>
      <c r="R904" s="2" t="str">
        <f t="shared" si="14"/>
        <v>Map</v>
      </c>
      <c r="S904" s="2" t="str">
        <f>IF($C904="","",IFERROR(VLOOKUP($C904,sources!$A$2:$N$200,9,FALSE()),"?"))</f>
        <v>PRR company</v>
      </c>
      <c r="T904" t="s">
        <v>5692</v>
      </c>
      <c r="U904">
        <f>IF(OR(B904="",C904="",T904="Retracted",LEFT(D904,8)="Negative"),0,IF(COUNTIFS($B$2:B904,B904,$C$2:C904,C904,$D$2:D904,"&lt;&gt;Negative*",$T$2:T904,"&lt;&gt;Retracted")=1,1,0))</f>
        <v>0</v>
      </c>
    </row>
    <row r="905" spans="1:21" x14ac:dyDescent="0.2">
      <c r="A905" t="s">
        <v>2781</v>
      </c>
      <c r="B905" t="s">
        <v>484</v>
      </c>
      <c r="C905" t="s">
        <v>1340</v>
      </c>
      <c r="D905" t="s">
        <v>1613</v>
      </c>
      <c r="E905" t="s">
        <v>485</v>
      </c>
      <c r="F905" t="s">
        <v>1583</v>
      </c>
      <c r="I905" t="s">
        <v>1058</v>
      </c>
      <c r="K905">
        <v>1862</v>
      </c>
      <c r="L905">
        <v>1862</v>
      </c>
      <c r="M905" t="s">
        <v>209</v>
      </c>
      <c r="N905" t="s">
        <v>190</v>
      </c>
      <c r="Q905" s="2" t="str">
        <f>IF($C905="","",IFERROR(VLOOKUP($C905,sources!$A$2:$N$200,2,FALSE()),"?"))</f>
        <v>Map</v>
      </c>
      <c r="R905" s="2" t="str">
        <f t="shared" si="14"/>
        <v>Map</v>
      </c>
      <c r="S905" s="2" t="str">
        <f>IF($C905="","",IFERROR(VLOOKUP($C905,sources!$A$2:$N$200,9,FALSE()),"?"))</f>
        <v>PRR company</v>
      </c>
      <c r="T905" t="s">
        <v>5692</v>
      </c>
      <c r="U905">
        <f>IF(OR(B905="",C905="",T905="Retracted",LEFT(D905,8)="Negative"),0,IF(COUNTIFS($B$2:B905,B905,$C$2:C905,C905,$D$2:D905,"&lt;&gt;Negative*",$T$2:T905,"&lt;&gt;Retracted")=1,1,0))</f>
        <v>0</v>
      </c>
    </row>
    <row r="906" spans="1:21" x14ac:dyDescent="0.2">
      <c r="A906" t="s">
        <v>2782</v>
      </c>
      <c r="B906" t="s">
        <v>317</v>
      </c>
      <c r="C906" t="s">
        <v>1304</v>
      </c>
      <c r="D906" t="s">
        <v>1572</v>
      </c>
      <c r="E906" t="s">
        <v>2783</v>
      </c>
      <c r="F906" t="s">
        <v>1583</v>
      </c>
      <c r="G906">
        <v>9.0628299999999999</v>
      </c>
      <c r="H906">
        <v>-79.670233999999994</v>
      </c>
      <c r="I906" t="s">
        <v>1573</v>
      </c>
      <c r="J906">
        <v>200</v>
      </c>
      <c r="K906">
        <v>1908</v>
      </c>
      <c r="L906">
        <v>1908</v>
      </c>
      <c r="M906" t="s">
        <v>203</v>
      </c>
      <c r="N906" t="s">
        <v>203</v>
      </c>
      <c r="Q906" s="2" t="str">
        <f>IF($C906="","",IFERROR(VLOOKUP($C906,sources!$A$2:$N$200,2,FALSE()),"?"))</f>
        <v>Map</v>
      </c>
      <c r="R906" s="2" t="str">
        <f t="shared" si="14"/>
        <v>Map</v>
      </c>
      <c r="S906" s="2" t="str">
        <f>IF($C906="","",IFERROR(VLOOKUP($C906,sources!$A$2:$N$200,9,FALSE()),"?"))</f>
        <v>US official</v>
      </c>
      <c r="T906" t="s">
        <v>5692</v>
      </c>
      <c r="U906">
        <f>IF(OR(B906="",C906="",T906="Retracted",LEFT(D906,8)="Negative"),0,IF(COUNTIFS($B$2:B906,B906,$C$2:C906,C906,$D$2:D906,"&lt;&gt;Negative*",$T$2:T906,"&lt;&gt;Retracted")=1,1,0))</f>
        <v>1</v>
      </c>
    </row>
    <row r="907" spans="1:21" x14ac:dyDescent="0.2">
      <c r="A907" t="s">
        <v>2784</v>
      </c>
      <c r="B907" t="s">
        <v>490</v>
      </c>
      <c r="C907" t="s">
        <v>1352</v>
      </c>
      <c r="D907" t="s">
        <v>1572</v>
      </c>
      <c r="E907" t="s">
        <v>2785</v>
      </c>
      <c r="G907">
        <v>9.0797039999999996</v>
      </c>
      <c r="H907">
        <v>-79.677526</v>
      </c>
      <c r="I907" t="s">
        <v>1573</v>
      </c>
      <c r="J907">
        <v>200</v>
      </c>
      <c r="K907">
        <v>1907</v>
      </c>
      <c r="L907">
        <v>1907</v>
      </c>
      <c r="M907" t="s">
        <v>203</v>
      </c>
      <c r="N907" t="s">
        <v>209</v>
      </c>
      <c r="Q907" s="2" t="str">
        <f>IF($C907="","",IFERROR(VLOOKUP($C907,sources!$A$2:$N$200,2,FALSE()),"?"))</f>
        <v>Map</v>
      </c>
      <c r="R907" s="2" t="str">
        <f t="shared" si="14"/>
        <v>Map</v>
      </c>
      <c r="S907" s="2" t="str">
        <f>IF($C907="","",IFERROR(VLOOKUP($C907,sources!$A$2:$N$200,9,FALSE()),"?"))</f>
        <v>US official</v>
      </c>
      <c r="T907" t="s">
        <v>5692</v>
      </c>
      <c r="U907">
        <f>IF(OR(B907="",C907="",T907="Retracted",LEFT(D907,8)="Negative"),0,IF(COUNTIFS($B$2:B907,B907,$C$2:C907,C907,$D$2:D907,"&lt;&gt;Negative*",$T$2:T907,"&lt;&gt;Retracted")=1,1,0))</f>
        <v>0</v>
      </c>
    </row>
    <row r="908" spans="1:21" x14ac:dyDescent="0.2">
      <c r="A908" t="s">
        <v>2786</v>
      </c>
      <c r="B908" t="s">
        <v>213</v>
      </c>
      <c r="C908" t="s">
        <v>1347</v>
      </c>
      <c r="D908" t="s">
        <v>1572</v>
      </c>
      <c r="E908" t="s">
        <v>2462</v>
      </c>
      <c r="F908" t="s">
        <v>1566</v>
      </c>
      <c r="G908">
        <v>9.1151560000000007</v>
      </c>
      <c r="H908">
        <v>-79.703084000000004</v>
      </c>
      <c r="I908" t="s">
        <v>1573</v>
      </c>
      <c r="J908">
        <v>350</v>
      </c>
      <c r="K908">
        <v>1895</v>
      </c>
      <c r="L908">
        <v>1895</v>
      </c>
      <c r="M908" t="s">
        <v>203</v>
      </c>
      <c r="N908" t="s">
        <v>209</v>
      </c>
      <c r="Q908" s="2" t="str">
        <f>IF($C908="","",IFERROR(VLOOKUP($C908,sources!$A$2:$N$200,2,FALSE()),"?"))</f>
        <v>Map</v>
      </c>
      <c r="R908" s="2" t="str">
        <f t="shared" si="14"/>
        <v>Map</v>
      </c>
      <c r="S908" s="2" t="str">
        <f>IF($C908="","",IFERROR(VLOOKUP($C908,sources!$A$2:$N$200,9,FALSE()),"?"))</f>
        <v>French company</v>
      </c>
      <c r="T908" t="s">
        <v>5692</v>
      </c>
      <c r="U908">
        <f>IF(OR(B908="",C908="",T908="Retracted",LEFT(D908,8)="Negative"),0,IF(COUNTIFS($B$2:B908,B908,$C$2:C908,C908,$D$2:D908,"&lt;&gt;Negative*",$T$2:T908,"&lt;&gt;Retracted")=1,1,0))</f>
        <v>1</v>
      </c>
    </row>
    <row r="909" spans="1:21" x14ac:dyDescent="0.2">
      <c r="A909" t="s">
        <v>2787</v>
      </c>
      <c r="B909" t="s">
        <v>369</v>
      </c>
      <c r="C909" t="s">
        <v>1347</v>
      </c>
      <c r="D909" t="s">
        <v>1572</v>
      </c>
      <c r="E909" t="s">
        <v>2788</v>
      </c>
      <c r="F909" t="s">
        <v>1566</v>
      </c>
      <c r="G909">
        <v>9.1140349999999994</v>
      </c>
      <c r="H909">
        <v>-79.693575999999993</v>
      </c>
      <c r="I909" t="s">
        <v>1573</v>
      </c>
      <c r="J909">
        <v>300</v>
      </c>
      <c r="K909">
        <v>1895</v>
      </c>
      <c r="L909">
        <v>1895</v>
      </c>
      <c r="M909" t="s">
        <v>203</v>
      </c>
      <c r="N909" t="s">
        <v>203</v>
      </c>
      <c r="Q909" s="2" t="str">
        <f>IF($C909="","",IFERROR(VLOOKUP($C909,sources!$A$2:$N$200,2,FALSE()),"?"))</f>
        <v>Map</v>
      </c>
      <c r="R909" s="2" t="str">
        <f t="shared" si="14"/>
        <v>Map</v>
      </c>
      <c r="S909" s="2" t="str">
        <f>IF($C909="","",IFERROR(VLOOKUP($C909,sources!$A$2:$N$200,9,FALSE()),"?"))</f>
        <v>French company</v>
      </c>
      <c r="T909" t="s">
        <v>5692</v>
      </c>
      <c r="U909">
        <f>IF(OR(B909="",C909="",T909="Retracted",LEFT(D909,8)="Negative"),0,IF(COUNTIFS($B$2:B909,B909,$C$2:C909,C909,$D$2:D909,"&lt;&gt;Negative*",$T$2:T909,"&lt;&gt;Retracted")=1,1,0))</f>
        <v>1</v>
      </c>
    </row>
    <row r="910" spans="1:21" x14ac:dyDescent="0.2">
      <c r="A910" t="s">
        <v>2789</v>
      </c>
      <c r="B910" t="s">
        <v>433</v>
      </c>
      <c r="C910" t="s">
        <v>1347</v>
      </c>
      <c r="D910" t="s">
        <v>1572</v>
      </c>
      <c r="E910" t="s">
        <v>434</v>
      </c>
      <c r="F910" t="s">
        <v>1566</v>
      </c>
      <c r="G910">
        <v>9.1173990000000007</v>
      </c>
      <c r="H910">
        <v>-79.738847000000007</v>
      </c>
      <c r="I910" t="s">
        <v>1573</v>
      </c>
      <c r="J910">
        <v>300</v>
      </c>
      <c r="K910">
        <v>1895</v>
      </c>
      <c r="L910">
        <v>1895</v>
      </c>
      <c r="M910" t="s">
        <v>203</v>
      </c>
      <c r="N910" t="s">
        <v>203</v>
      </c>
      <c r="Q910" s="2" t="str">
        <f>IF($C910="","",IFERROR(VLOOKUP($C910,sources!$A$2:$N$200,2,FALSE()),"?"))</f>
        <v>Map</v>
      </c>
      <c r="R910" s="2" t="str">
        <f t="shared" si="14"/>
        <v>Map</v>
      </c>
      <c r="S910" s="2" t="str">
        <f>IF($C910="","",IFERROR(VLOOKUP($C910,sources!$A$2:$N$200,9,FALSE()),"?"))</f>
        <v>French company</v>
      </c>
      <c r="T910" t="s">
        <v>5692</v>
      </c>
      <c r="U910">
        <f>IF(OR(B910="",C910="",T910="Retracted",LEFT(D910,8)="Negative"),0,IF(COUNTIFS($B$2:B910,B910,$C$2:C910,C910,$D$2:D910,"&lt;&gt;Negative*",$T$2:T910,"&lt;&gt;Retracted")=1,1,0))</f>
        <v>1</v>
      </c>
    </row>
    <row r="911" spans="1:21" x14ac:dyDescent="0.2">
      <c r="A911" t="s">
        <v>2790</v>
      </c>
      <c r="B911" t="s">
        <v>592</v>
      </c>
      <c r="C911" t="s">
        <v>1347</v>
      </c>
      <c r="D911" t="s">
        <v>1572</v>
      </c>
      <c r="E911" t="s">
        <v>2791</v>
      </c>
      <c r="F911" t="s">
        <v>2423</v>
      </c>
      <c r="G911">
        <v>9.1171150000000001</v>
      </c>
      <c r="H911">
        <v>-79.732398000000003</v>
      </c>
      <c r="I911" t="s">
        <v>1573</v>
      </c>
      <c r="J911">
        <v>300</v>
      </c>
      <c r="K911">
        <v>1895</v>
      </c>
      <c r="L911">
        <v>1895</v>
      </c>
      <c r="M911" t="s">
        <v>203</v>
      </c>
      <c r="N911" t="s">
        <v>203</v>
      </c>
      <c r="Q911" s="2" t="str">
        <f>IF($C911="","",IFERROR(VLOOKUP($C911,sources!$A$2:$N$200,2,FALSE()),"?"))</f>
        <v>Map</v>
      </c>
      <c r="R911" s="2" t="str">
        <f t="shared" si="14"/>
        <v>Map</v>
      </c>
      <c r="S911" s="2" t="str">
        <f>IF($C911="","",IFERROR(VLOOKUP($C911,sources!$A$2:$N$200,9,FALSE()),"?"))</f>
        <v>French company</v>
      </c>
      <c r="T911" t="s">
        <v>5692</v>
      </c>
      <c r="U911">
        <f>IF(OR(B911="",C911="",T911="Retracted",LEFT(D911,8)="Negative"),0,IF(COUNTIFS($B$2:B911,B911,$C$2:C911,C911,$D$2:D911,"&lt;&gt;Negative*",$T$2:T911,"&lt;&gt;Retracted")=1,1,0))</f>
        <v>1</v>
      </c>
    </row>
    <row r="912" spans="1:21" x14ac:dyDescent="0.2">
      <c r="A912" t="s">
        <v>2792</v>
      </c>
      <c r="B912" t="s">
        <v>592</v>
      </c>
      <c r="C912" t="s">
        <v>1347</v>
      </c>
      <c r="D912" t="s">
        <v>1564</v>
      </c>
      <c r="E912" t="s">
        <v>2791</v>
      </c>
      <c r="F912" t="s">
        <v>2423</v>
      </c>
      <c r="I912" t="s">
        <v>1058</v>
      </c>
      <c r="K912">
        <v>1895</v>
      </c>
      <c r="L912">
        <v>1895</v>
      </c>
      <c r="M912" t="s">
        <v>203</v>
      </c>
      <c r="N912" t="s">
        <v>203</v>
      </c>
      <c r="Q912" s="2" t="str">
        <f>IF($C912="","",IFERROR(VLOOKUP($C912,sources!$A$2:$N$200,2,FALSE()),"?"))</f>
        <v>Map</v>
      </c>
      <c r="R912" s="2" t="str">
        <f t="shared" si="14"/>
        <v>Map</v>
      </c>
      <c r="S912" s="2" t="str">
        <f>IF($C912="","",IFERROR(VLOOKUP($C912,sources!$A$2:$N$200,9,FALSE()),"?"))</f>
        <v>French company</v>
      </c>
      <c r="T912" t="s">
        <v>5692</v>
      </c>
      <c r="U912">
        <f>IF(OR(B912="",C912="",T912="Retracted",LEFT(D912,8)="Negative"),0,IF(COUNTIFS($B$2:B912,B912,$C$2:C912,C912,$D$2:D912,"&lt;&gt;Negative*",$T$2:T912,"&lt;&gt;Retracted")=1,1,0))</f>
        <v>0</v>
      </c>
    </row>
    <row r="913" spans="1:21" x14ac:dyDescent="0.2">
      <c r="A913" t="s">
        <v>2793</v>
      </c>
      <c r="B913" t="s">
        <v>335</v>
      </c>
      <c r="C913" t="s">
        <v>1347</v>
      </c>
      <c r="D913" t="s">
        <v>1575</v>
      </c>
      <c r="E913" t="s">
        <v>2794</v>
      </c>
      <c r="F913" t="s">
        <v>1566</v>
      </c>
      <c r="G913">
        <v>8.9594100000000001</v>
      </c>
      <c r="H913">
        <v>-79.561989999999994</v>
      </c>
      <c r="I913" t="s">
        <v>1573</v>
      </c>
      <c r="J913">
        <v>300</v>
      </c>
      <c r="K913">
        <v>1895</v>
      </c>
      <c r="L913">
        <v>1895</v>
      </c>
      <c r="M913" t="s">
        <v>203</v>
      </c>
      <c r="N913" t="s">
        <v>209</v>
      </c>
      <c r="Q913" s="2" t="str">
        <f>IF($C913="","",IFERROR(VLOOKUP($C913,sources!$A$2:$N$200,2,FALSE()),"?"))</f>
        <v>Map</v>
      </c>
      <c r="R913" s="2" t="str">
        <f t="shared" si="14"/>
        <v>Map</v>
      </c>
      <c r="S913" s="2" t="str">
        <f>IF($C913="","",IFERROR(VLOOKUP($C913,sources!$A$2:$N$200,9,FALSE()),"?"))</f>
        <v>French company</v>
      </c>
      <c r="T913" t="s">
        <v>5692</v>
      </c>
      <c r="U913">
        <f>IF(OR(B913="",C913="",T913="Retracted",LEFT(D913,8)="Negative"),0,IF(COUNTIFS($B$2:B913,B913,$C$2:C913,C913,$D$2:D913,"&lt;&gt;Negative*",$T$2:T913,"&lt;&gt;Retracted")=1,1,0))</f>
        <v>1</v>
      </c>
    </row>
    <row r="914" spans="1:21" x14ac:dyDescent="0.2">
      <c r="A914" t="s">
        <v>2795</v>
      </c>
      <c r="B914" t="s">
        <v>490</v>
      </c>
      <c r="C914" t="s">
        <v>1347</v>
      </c>
      <c r="D914" t="s">
        <v>1564</v>
      </c>
      <c r="E914" t="s">
        <v>2796</v>
      </c>
      <c r="F914" t="s">
        <v>1566</v>
      </c>
      <c r="I914" t="s">
        <v>1058</v>
      </c>
      <c r="K914">
        <v>1895</v>
      </c>
      <c r="L914">
        <v>1895</v>
      </c>
      <c r="M914" t="s">
        <v>203</v>
      </c>
      <c r="N914" t="s">
        <v>209</v>
      </c>
      <c r="Q914" s="2" t="str">
        <f>IF($C914="","",IFERROR(VLOOKUP($C914,sources!$A$2:$N$200,2,FALSE()),"?"))</f>
        <v>Map</v>
      </c>
      <c r="R914" s="2" t="str">
        <f t="shared" si="14"/>
        <v>Map</v>
      </c>
      <c r="S914" s="2" t="str">
        <f>IF($C914="","",IFERROR(VLOOKUP($C914,sources!$A$2:$N$200,9,FALSE()),"?"))</f>
        <v>French company</v>
      </c>
      <c r="T914" t="s">
        <v>5692</v>
      </c>
      <c r="U914">
        <f>IF(OR(B914="",C914="",T914="Retracted",LEFT(D914,8)="Negative"),0,IF(COUNTIFS($B$2:B914,B914,$C$2:C914,C914,$D$2:D914,"&lt;&gt;Negative*",$T$2:T914,"&lt;&gt;Retracted")=1,1,0))</f>
        <v>1</v>
      </c>
    </row>
    <row r="915" spans="1:21" x14ac:dyDescent="0.2">
      <c r="A915" t="s">
        <v>2797</v>
      </c>
      <c r="B915" t="s">
        <v>630</v>
      </c>
      <c r="C915" t="s">
        <v>1347</v>
      </c>
      <c r="D915" t="s">
        <v>1564</v>
      </c>
      <c r="E915" t="s">
        <v>2798</v>
      </c>
      <c r="F915" t="s">
        <v>1566</v>
      </c>
      <c r="I915" t="s">
        <v>1058</v>
      </c>
      <c r="K915">
        <v>1895</v>
      </c>
      <c r="L915">
        <v>1895</v>
      </c>
      <c r="M915" t="s">
        <v>203</v>
      </c>
      <c r="N915" t="s">
        <v>203</v>
      </c>
      <c r="Q915" s="2" t="str">
        <f>IF($C915="","",IFERROR(VLOOKUP($C915,sources!$A$2:$N$200,2,FALSE()),"?"))</f>
        <v>Map</v>
      </c>
      <c r="R915" s="2" t="str">
        <f t="shared" si="14"/>
        <v>Map</v>
      </c>
      <c r="S915" s="2" t="str">
        <f>IF($C915="","",IFERROR(VLOOKUP($C915,sources!$A$2:$N$200,9,FALSE()),"?"))</f>
        <v>French company</v>
      </c>
      <c r="T915" t="s">
        <v>5692</v>
      </c>
      <c r="U915">
        <f>IF(OR(B915="",C915="",T915="Retracted",LEFT(D915,8)="Negative"),0,IF(COUNTIFS($B$2:B915,B915,$C$2:C915,C915,$D$2:D915,"&lt;&gt;Negative*",$T$2:T915,"&lt;&gt;Retracted")=1,1,0))</f>
        <v>1</v>
      </c>
    </row>
    <row r="916" spans="1:21" x14ac:dyDescent="0.2">
      <c r="A916" t="s">
        <v>2799</v>
      </c>
      <c r="B916" t="s">
        <v>199</v>
      </c>
      <c r="C916" t="s">
        <v>1347</v>
      </c>
      <c r="D916" t="s">
        <v>1613</v>
      </c>
      <c r="E916" t="s">
        <v>200</v>
      </c>
      <c r="F916" t="s">
        <v>1583</v>
      </c>
      <c r="I916" t="s">
        <v>1058</v>
      </c>
      <c r="K916">
        <v>1895</v>
      </c>
      <c r="L916">
        <v>1895</v>
      </c>
      <c r="M916" t="s">
        <v>209</v>
      </c>
      <c r="N916" t="s">
        <v>190</v>
      </c>
      <c r="Q916" s="2" t="str">
        <f>IF($C916="","",IFERROR(VLOOKUP($C916,sources!$A$2:$N$200,2,FALSE()),"?"))</f>
        <v>Map</v>
      </c>
      <c r="R916" s="2" t="str">
        <f t="shared" si="14"/>
        <v>Map</v>
      </c>
      <c r="S916" s="2" t="str">
        <f>IF($C916="","",IFERROR(VLOOKUP($C916,sources!$A$2:$N$200,9,FALSE()),"?"))</f>
        <v>French company</v>
      </c>
      <c r="T916" t="s">
        <v>5692</v>
      </c>
      <c r="U916">
        <f>IF(OR(B916="",C916="",T916="Retracted",LEFT(D916,8)="Negative"),0,IF(COUNTIFS($B$2:B916,B916,$C$2:C916,C916,$D$2:D916,"&lt;&gt;Negative*",$T$2:T916,"&lt;&gt;Retracted")=1,1,0))</f>
        <v>0</v>
      </c>
    </row>
    <row r="917" spans="1:21" x14ac:dyDescent="0.2">
      <c r="A917" t="s">
        <v>2800</v>
      </c>
      <c r="B917" t="s">
        <v>487</v>
      </c>
      <c r="C917" t="s">
        <v>1347</v>
      </c>
      <c r="D917" t="s">
        <v>1613</v>
      </c>
      <c r="E917" t="s">
        <v>488</v>
      </c>
      <c r="F917" t="s">
        <v>1583</v>
      </c>
      <c r="I917" t="s">
        <v>1058</v>
      </c>
      <c r="K917">
        <v>1895</v>
      </c>
      <c r="L917">
        <v>1895</v>
      </c>
      <c r="M917" t="s">
        <v>209</v>
      </c>
      <c r="N917" t="s">
        <v>203</v>
      </c>
      <c r="Q917" s="2" t="str">
        <f>IF($C917="","",IFERROR(VLOOKUP($C917,sources!$A$2:$N$200,2,FALSE()),"?"))</f>
        <v>Map</v>
      </c>
      <c r="R917" s="2" t="str">
        <f t="shared" si="14"/>
        <v>Map</v>
      </c>
      <c r="S917" s="2" t="str">
        <f>IF($C917="","",IFERROR(VLOOKUP($C917,sources!$A$2:$N$200,9,FALSE()),"?"))</f>
        <v>French company</v>
      </c>
      <c r="T917" t="s">
        <v>5692</v>
      </c>
      <c r="U917">
        <f>IF(OR(B917="",C917="",T917="Retracted",LEFT(D917,8)="Negative"),0,IF(COUNTIFS($B$2:B917,B917,$C$2:C917,C917,$D$2:D917,"&lt;&gt;Negative*",$T$2:T917,"&lt;&gt;Retracted")=1,1,0))</f>
        <v>0</v>
      </c>
    </row>
    <row r="918" spans="1:21" x14ac:dyDescent="0.2">
      <c r="A918" t="s">
        <v>2801</v>
      </c>
      <c r="B918" t="s">
        <v>503</v>
      </c>
      <c r="C918" t="s">
        <v>1347</v>
      </c>
      <c r="D918" t="s">
        <v>1613</v>
      </c>
      <c r="E918" t="s">
        <v>504</v>
      </c>
      <c r="F918" t="s">
        <v>1583</v>
      </c>
      <c r="I918" t="s">
        <v>1058</v>
      </c>
      <c r="K918">
        <v>1895</v>
      </c>
      <c r="L918">
        <v>1895</v>
      </c>
      <c r="M918" t="s">
        <v>209</v>
      </c>
      <c r="N918" t="s">
        <v>203</v>
      </c>
      <c r="Q918" s="2" t="str">
        <f>IF($C918="","",IFERROR(VLOOKUP($C918,sources!$A$2:$N$200,2,FALSE()),"?"))</f>
        <v>Map</v>
      </c>
      <c r="R918" s="2" t="str">
        <f t="shared" si="14"/>
        <v>Map</v>
      </c>
      <c r="S918" s="2" t="str">
        <f>IF($C918="","",IFERROR(VLOOKUP($C918,sources!$A$2:$N$200,9,FALSE()),"?"))</f>
        <v>French company</v>
      </c>
      <c r="T918" t="s">
        <v>5692</v>
      </c>
      <c r="U918">
        <f>IF(OR(B918="",C918="",T918="Retracted",LEFT(D918,8)="Negative"),0,IF(COUNTIFS($B$2:B918,B918,$C$2:C918,C918,$D$2:D918,"&lt;&gt;Negative*",$T$2:T918,"&lt;&gt;Retracted")=1,1,0))</f>
        <v>0</v>
      </c>
    </row>
    <row r="919" spans="1:21" x14ac:dyDescent="0.2">
      <c r="A919" t="s">
        <v>2802</v>
      </c>
      <c r="B919" t="s">
        <v>630</v>
      </c>
      <c r="C919" t="s">
        <v>1347</v>
      </c>
      <c r="D919" t="s">
        <v>1613</v>
      </c>
      <c r="E919" t="s">
        <v>2803</v>
      </c>
      <c r="F919" t="s">
        <v>1583</v>
      </c>
      <c r="I919" t="s">
        <v>1058</v>
      </c>
      <c r="K919">
        <v>1895</v>
      </c>
      <c r="L919">
        <v>1895</v>
      </c>
      <c r="M919" t="s">
        <v>209</v>
      </c>
      <c r="N919" t="s">
        <v>209</v>
      </c>
      <c r="Q919" s="2" t="str">
        <f>IF($C919="","",IFERROR(VLOOKUP($C919,sources!$A$2:$N$200,2,FALSE()),"?"))</f>
        <v>Map</v>
      </c>
      <c r="R919" s="2" t="str">
        <f t="shared" si="14"/>
        <v>Map</v>
      </c>
      <c r="S919" s="2" t="str">
        <f>IF($C919="","",IFERROR(VLOOKUP($C919,sources!$A$2:$N$200,9,FALSE()),"?"))</f>
        <v>French company</v>
      </c>
      <c r="T919" t="s">
        <v>5692</v>
      </c>
      <c r="U919">
        <f>IF(OR(B919="",C919="",T919="Retracted",LEFT(D919,8)="Negative"),0,IF(COUNTIFS($B$2:B919,B919,$C$2:C919,C919,$D$2:D919,"&lt;&gt;Negative*",$T$2:T919,"&lt;&gt;Retracted")=1,1,0))</f>
        <v>0</v>
      </c>
    </row>
    <row r="920" spans="1:21" x14ac:dyDescent="0.2">
      <c r="A920" t="s">
        <v>2804</v>
      </c>
      <c r="B920" t="s">
        <v>720</v>
      </c>
      <c r="C920" t="s">
        <v>1311</v>
      </c>
      <c r="D920" t="s">
        <v>1572</v>
      </c>
      <c r="E920" t="s">
        <v>319</v>
      </c>
      <c r="F920" t="s">
        <v>1583</v>
      </c>
      <c r="G920">
        <v>9.0482089999999999</v>
      </c>
      <c r="H920">
        <v>-79.654803999999999</v>
      </c>
      <c r="I920" t="s">
        <v>1573</v>
      </c>
      <c r="J920">
        <v>100</v>
      </c>
      <c r="K920">
        <v>1910</v>
      </c>
      <c r="L920">
        <v>1910</v>
      </c>
      <c r="M920" t="s">
        <v>203</v>
      </c>
      <c r="N920" t="s">
        <v>203</v>
      </c>
      <c r="Q920" s="2" t="str">
        <f>IF($C920="","",IFERROR(VLOOKUP($C920,sources!$A$2:$N$200,2,FALSE()),"?"))</f>
        <v>Map</v>
      </c>
      <c r="R920" s="2" t="str">
        <f t="shared" si="14"/>
        <v>Map</v>
      </c>
      <c r="S920" s="2" t="str">
        <f>IF($C920="","",IFERROR(VLOOKUP($C920,sources!$A$2:$N$200,9,FALSE()),"?"))</f>
        <v>US official</v>
      </c>
      <c r="T920" t="s">
        <v>5692</v>
      </c>
      <c r="U920">
        <f>IF(OR(B920="",C920="",T920="Retracted",LEFT(D920,8)="Negative"),0,IF(COUNTIFS($B$2:B920,B920,$C$2:C920,C920,$D$2:D920,"&lt;&gt;Negative*",$T$2:T920,"&lt;&gt;Retracted")=1,1,0))</f>
        <v>1</v>
      </c>
    </row>
    <row r="921" spans="1:21" x14ac:dyDescent="0.2">
      <c r="A921" t="s">
        <v>2805</v>
      </c>
      <c r="B921" t="s">
        <v>727</v>
      </c>
      <c r="C921" t="s">
        <v>1311</v>
      </c>
      <c r="D921" t="s">
        <v>1572</v>
      </c>
      <c r="E921" t="s">
        <v>2806</v>
      </c>
      <c r="F921" t="s">
        <v>1583</v>
      </c>
      <c r="G921">
        <v>9.0507100000000005</v>
      </c>
      <c r="H921">
        <v>-79.656959999999998</v>
      </c>
      <c r="I921" t="s">
        <v>1573</v>
      </c>
      <c r="J921">
        <v>150</v>
      </c>
      <c r="K921">
        <v>1910</v>
      </c>
      <c r="L921">
        <v>1910</v>
      </c>
      <c r="M921" t="s">
        <v>203</v>
      </c>
      <c r="N921" t="s">
        <v>203</v>
      </c>
      <c r="Q921" s="2" t="str">
        <f>IF($C921="","",IFERROR(VLOOKUP($C921,sources!$A$2:$N$200,2,FALSE()),"?"))</f>
        <v>Map</v>
      </c>
      <c r="R921" s="2" t="str">
        <f t="shared" si="14"/>
        <v>Map</v>
      </c>
      <c r="S921" s="2" t="str">
        <f>IF($C921="","",IFERROR(VLOOKUP($C921,sources!$A$2:$N$200,9,FALSE()),"?"))</f>
        <v>US official</v>
      </c>
      <c r="T921" t="s">
        <v>5692</v>
      </c>
      <c r="U921">
        <f>IF(OR(B921="",C921="",T921="Retracted",LEFT(D921,8)="Negative"),0,IF(COUNTIFS($B$2:B921,B921,$C$2:C921,C921,$D$2:D921,"&lt;&gt;Negative*",$T$2:T921,"&lt;&gt;Retracted")=1,1,0))</f>
        <v>1</v>
      </c>
    </row>
    <row r="922" spans="1:21" x14ac:dyDescent="0.2">
      <c r="A922" t="s">
        <v>2807</v>
      </c>
      <c r="B922" t="s">
        <v>711</v>
      </c>
      <c r="C922" t="s">
        <v>1311</v>
      </c>
      <c r="D922" t="s">
        <v>1613</v>
      </c>
      <c r="E922" t="s">
        <v>712</v>
      </c>
      <c r="F922" t="s">
        <v>1583</v>
      </c>
      <c r="I922" t="s">
        <v>1058</v>
      </c>
      <c r="K922">
        <v>1910</v>
      </c>
      <c r="L922">
        <v>1910</v>
      </c>
      <c r="M922" t="s">
        <v>209</v>
      </c>
      <c r="N922" t="s">
        <v>209</v>
      </c>
      <c r="Q922" s="2" t="str">
        <f>IF($C922="","",IFERROR(VLOOKUP($C922,sources!$A$2:$N$200,2,FALSE()),"?"))</f>
        <v>Map</v>
      </c>
      <c r="R922" s="2" t="str">
        <f t="shared" si="14"/>
        <v>Map</v>
      </c>
      <c r="S922" s="2" t="str">
        <f>IF($C922="","",IFERROR(VLOOKUP($C922,sources!$A$2:$N$200,9,FALSE()),"?"))</f>
        <v>US official</v>
      </c>
      <c r="T922" t="s">
        <v>5692</v>
      </c>
      <c r="U922">
        <f>IF(OR(B922="",C922="",T922="Retracted",LEFT(D922,8)="Negative"),0,IF(COUNTIFS($B$2:B922,B922,$C$2:C922,C922,$D$2:D922,"&lt;&gt;Negative*",$T$2:T922,"&lt;&gt;Retracted")=1,1,0))</f>
        <v>0</v>
      </c>
    </row>
    <row r="923" spans="1:21" x14ac:dyDescent="0.2">
      <c r="A923" t="s">
        <v>2808</v>
      </c>
      <c r="B923" t="s">
        <v>714</v>
      </c>
      <c r="C923" t="s">
        <v>1311</v>
      </c>
      <c r="D923" t="s">
        <v>1613</v>
      </c>
      <c r="E923" t="s">
        <v>715</v>
      </c>
      <c r="F923" t="s">
        <v>1583</v>
      </c>
      <c r="I923" t="s">
        <v>1058</v>
      </c>
      <c r="K923">
        <v>1910</v>
      </c>
      <c r="L923">
        <v>1910</v>
      </c>
      <c r="M923" t="s">
        <v>209</v>
      </c>
      <c r="N923" t="s">
        <v>209</v>
      </c>
      <c r="Q923" s="2" t="str">
        <f>IF($C923="","",IFERROR(VLOOKUP($C923,sources!$A$2:$N$200,2,FALSE()),"?"))</f>
        <v>Map</v>
      </c>
      <c r="R923" s="2" t="str">
        <f t="shared" si="14"/>
        <v>Map</v>
      </c>
      <c r="S923" s="2" t="str">
        <f>IF($C923="","",IFERROR(VLOOKUP($C923,sources!$A$2:$N$200,9,FALSE()),"?"))</f>
        <v>US official</v>
      </c>
      <c r="T923" t="s">
        <v>5692</v>
      </c>
      <c r="U923">
        <f>IF(OR(B923="",C923="",T923="Retracted",LEFT(D923,8)="Negative"),0,IF(COUNTIFS($B$2:B923,B923,$C$2:C923,C923,$D$2:D923,"&lt;&gt;Negative*",$T$2:T923,"&lt;&gt;Retracted")=1,1,0))</f>
        <v>0</v>
      </c>
    </row>
    <row r="924" spans="1:21" x14ac:dyDescent="0.2">
      <c r="A924" t="s">
        <v>2809</v>
      </c>
      <c r="B924" t="s">
        <v>717</v>
      </c>
      <c r="C924" t="s">
        <v>1311</v>
      </c>
      <c r="D924" t="s">
        <v>1613</v>
      </c>
      <c r="E924" t="s">
        <v>718</v>
      </c>
      <c r="F924" t="s">
        <v>1583</v>
      </c>
      <c r="I924" t="s">
        <v>1058</v>
      </c>
      <c r="K924">
        <v>1910</v>
      </c>
      <c r="L924">
        <v>1910</v>
      </c>
      <c r="M924" t="s">
        <v>209</v>
      </c>
      <c r="N924" t="s">
        <v>209</v>
      </c>
      <c r="Q924" s="2" t="str">
        <f>IF($C924="","",IFERROR(VLOOKUP($C924,sources!$A$2:$N$200,2,FALSE()),"?"))</f>
        <v>Map</v>
      </c>
      <c r="R924" s="2" t="str">
        <f t="shared" si="14"/>
        <v>Map</v>
      </c>
      <c r="S924" s="2" t="str">
        <f>IF($C924="","",IFERROR(VLOOKUP($C924,sources!$A$2:$N$200,9,FALSE()),"?"))</f>
        <v>US official</v>
      </c>
      <c r="T924" t="s">
        <v>5692</v>
      </c>
      <c r="U924">
        <f>IF(OR(B924="",C924="",T924="Retracted",LEFT(D924,8)="Negative"),0,IF(COUNTIFS($B$2:B924,B924,$C$2:C924,C924,$D$2:D924,"&lt;&gt;Negative*",$T$2:T924,"&lt;&gt;Retracted")=1,1,0))</f>
        <v>0</v>
      </c>
    </row>
    <row r="925" spans="1:21" x14ac:dyDescent="0.2">
      <c r="A925" t="s">
        <v>2810</v>
      </c>
      <c r="B925" t="s">
        <v>723</v>
      </c>
      <c r="C925" t="s">
        <v>1311</v>
      </c>
      <c r="D925" t="s">
        <v>1613</v>
      </c>
      <c r="E925" t="s">
        <v>724</v>
      </c>
      <c r="F925" t="s">
        <v>1583</v>
      </c>
      <c r="I925" t="s">
        <v>1058</v>
      </c>
      <c r="K925">
        <v>1910</v>
      </c>
      <c r="L925">
        <v>1910</v>
      </c>
      <c r="M925" t="s">
        <v>209</v>
      </c>
      <c r="N925" t="s">
        <v>209</v>
      </c>
      <c r="Q925" s="2" t="str">
        <f>IF($C925="","",IFERROR(VLOOKUP($C925,sources!$A$2:$N$200,2,FALSE()),"?"))</f>
        <v>Map</v>
      </c>
      <c r="R925" s="2" t="str">
        <f t="shared" si="14"/>
        <v>Map</v>
      </c>
      <c r="S925" s="2" t="str">
        <f>IF($C925="","",IFERROR(VLOOKUP($C925,sources!$A$2:$N$200,9,FALSE()),"?"))</f>
        <v>US official</v>
      </c>
      <c r="T925" t="s">
        <v>5692</v>
      </c>
      <c r="U925">
        <f>IF(OR(B925="",C925="",T925="Retracted",LEFT(D925,8)="Negative"),0,IF(COUNTIFS($B$2:B925,B925,$C$2:C925,C925,$D$2:D925,"&lt;&gt;Negative*",$T$2:T925,"&lt;&gt;Retracted")=1,1,0))</f>
        <v>0</v>
      </c>
    </row>
    <row r="926" spans="1:21" x14ac:dyDescent="0.2">
      <c r="A926" t="s">
        <v>2811</v>
      </c>
      <c r="B926" t="s">
        <v>730</v>
      </c>
      <c r="C926" t="s">
        <v>1311</v>
      </c>
      <c r="D926" t="s">
        <v>1613</v>
      </c>
      <c r="E926" t="s">
        <v>731</v>
      </c>
      <c r="F926" t="s">
        <v>1583</v>
      </c>
      <c r="I926" t="s">
        <v>1058</v>
      </c>
      <c r="K926">
        <v>1910</v>
      </c>
      <c r="L926">
        <v>1910</v>
      </c>
      <c r="M926" t="s">
        <v>209</v>
      </c>
      <c r="N926" t="s">
        <v>209</v>
      </c>
      <c r="Q926" s="2" t="str">
        <f>IF($C926="","",IFERROR(VLOOKUP($C926,sources!$A$2:$N$200,2,FALSE()),"?"))</f>
        <v>Map</v>
      </c>
      <c r="R926" s="2" t="str">
        <f t="shared" si="14"/>
        <v>Map</v>
      </c>
      <c r="S926" s="2" t="str">
        <f>IF($C926="","",IFERROR(VLOOKUP($C926,sources!$A$2:$N$200,9,FALSE()),"?"))</f>
        <v>US official</v>
      </c>
      <c r="T926" t="s">
        <v>5692</v>
      </c>
      <c r="U926">
        <f>IF(OR(B926="",C926="",T926="Retracted",LEFT(D926,8)="Negative"),0,IF(COUNTIFS($B$2:B926,B926,$C$2:C926,C926,$D$2:D926,"&lt;&gt;Negative*",$T$2:T926,"&lt;&gt;Retracted")=1,1,0))</f>
        <v>0</v>
      </c>
    </row>
    <row r="927" spans="1:21" x14ac:dyDescent="0.2">
      <c r="A927" t="s">
        <v>2812</v>
      </c>
      <c r="B927" t="s">
        <v>733</v>
      </c>
      <c r="C927" t="s">
        <v>1311</v>
      </c>
      <c r="D927" t="s">
        <v>1613</v>
      </c>
      <c r="E927" t="s">
        <v>734</v>
      </c>
      <c r="F927" t="s">
        <v>1583</v>
      </c>
      <c r="I927" t="s">
        <v>1058</v>
      </c>
      <c r="K927">
        <v>1910</v>
      </c>
      <c r="L927">
        <v>1910</v>
      </c>
      <c r="M927" t="s">
        <v>209</v>
      </c>
      <c r="N927" t="s">
        <v>209</v>
      </c>
      <c r="Q927" s="2" t="str">
        <f>IF($C927="","",IFERROR(VLOOKUP($C927,sources!$A$2:$N$200,2,FALSE()),"?"))</f>
        <v>Map</v>
      </c>
      <c r="R927" s="2" t="str">
        <f t="shared" si="14"/>
        <v>Map</v>
      </c>
      <c r="S927" s="2" t="str">
        <f>IF($C927="","",IFERROR(VLOOKUP($C927,sources!$A$2:$N$200,9,FALSE()),"?"))</f>
        <v>US official</v>
      </c>
      <c r="T927" t="s">
        <v>5692</v>
      </c>
      <c r="U927">
        <f>IF(OR(B927="",C927="",T927="Retracted",LEFT(D927,8)="Negative"),0,IF(COUNTIFS($B$2:B927,B927,$C$2:C927,C927,$D$2:D927,"&lt;&gt;Negative*",$T$2:T927,"&lt;&gt;Retracted")=1,1,0))</f>
        <v>0</v>
      </c>
    </row>
    <row r="928" spans="1:21" x14ac:dyDescent="0.2">
      <c r="A928" t="s">
        <v>2813</v>
      </c>
      <c r="B928" t="s">
        <v>740</v>
      </c>
      <c r="C928" t="s">
        <v>1311</v>
      </c>
      <c r="D928" t="s">
        <v>1613</v>
      </c>
      <c r="E928" t="s">
        <v>741</v>
      </c>
      <c r="F928" t="s">
        <v>1583</v>
      </c>
      <c r="I928" t="s">
        <v>1058</v>
      </c>
      <c r="K928">
        <v>1910</v>
      </c>
      <c r="L928">
        <v>1910</v>
      </c>
      <c r="M928" t="s">
        <v>209</v>
      </c>
      <c r="N928" t="s">
        <v>209</v>
      </c>
      <c r="Q928" s="2" t="str">
        <f>IF($C928="","",IFERROR(VLOOKUP($C928,sources!$A$2:$N$200,2,FALSE()),"?"))</f>
        <v>Map</v>
      </c>
      <c r="R928" s="2" t="str">
        <f t="shared" si="14"/>
        <v>Map</v>
      </c>
      <c r="S928" s="2" t="str">
        <f>IF($C928="","",IFERROR(VLOOKUP($C928,sources!$A$2:$N$200,9,FALSE()),"?"))</f>
        <v>US official</v>
      </c>
      <c r="T928" t="s">
        <v>5692</v>
      </c>
      <c r="U928">
        <f>IF(OR(B928="",C928="",T928="Retracted",LEFT(D928,8)="Negative"),0,IF(COUNTIFS($B$2:B928,B928,$C$2:C928,C928,$D$2:D928,"&lt;&gt;Negative*",$T$2:T928,"&lt;&gt;Retracted")=1,1,0))</f>
        <v>0</v>
      </c>
    </row>
    <row r="929" spans="1:21" x14ac:dyDescent="0.2">
      <c r="A929" t="s">
        <v>2814</v>
      </c>
      <c r="B929" t="s">
        <v>746</v>
      </c>
      <c r="C929" t="s">
        <v>1311</v>
      </c>
      <c r="D929" t="s">
        <v>1613</v>
      </c>
      <c r="E929" t="s">
        <v>747</v>
      </c>
      <c r="F929" t="s">
        <v>1583</v>
      </c>
      <c r="I929" t="s">
        <v>1058</v>
      </c>
      <c r="K929">
        <v>1910</v>
      </c>
      <c r="L929">
        <v>1910</v>
      </c>
      <c r="M929" t="s">
        <v>209</v>
      </c>
      <c r="N929" t="s">
        <v>209</v>
      </c>
      <c r="Q929" s="2" t="str">
        <f>IF($C929="","",IFERROR(VLOOKUP($C929,sources!$A$2:$N$200,2,FALSE()),"?"))</f>
        <v>Map</v>
      </c>
      <c r="R929" s="2" t="str">
        <f t="shared" si="14"/>
        <v>Map</v>
      </c>
      <c r="S929" s="2" t="str">
        <f>IF($C929="","",IFERROR(VLOOKUP($C929,sources!$A$2:$N$200,9,FALSE()),"?"))</f>
        <v>US official</v>
      </c>
      <c r="T929" t="s">
        <v>5692</v>
      </c>
      <c r="U929">
        <f>IF(OR(B929="",C929="",T929="Retracted",LEFT(D929,8)="Negative"),0,IF(COUNTIFS($B$2:B929,B929,$C$2:C929,C929,$D$2:D929,"&lt;&gt;Negative*",$T$2:T929,"&lt;&gt;Retracted")=1,1,0))</f>
        <v>0</v>
      </c>
    </row>
    <row r="930" spans="1:21" x14ac:dyDescent="0.2">
      <c r="A930" t="s">
        <v>2815</v>
      </c>
      <c r="B930" t="s">
        <v>737</v>
      </c>
      <c r="C930" t="s">
        <v>1311</v>
      </c>
      <c r="D930" t="s">
        <v>1613</v>
      </c>
      <c r="E930" t="s">
        <v>738</v>
      </c>
      <c r="F930" t="s">
        <v>1583</v>
      </c>
      <c r="I930" t="s">
        <v>1058</v>
      </c>
      <c r="K930">
        <v>1910</v>
      </c>
      <c r="L930">
        <v>1910</v>
      </c>
      <c r="M930" t="s">
        <v>209</v>
      </c>
      <c r="N930" t="s">
        <v>209</v>
      </c>
      <c r="Q930" s="2" t="str">
        <f>IF($C930="","",IFERROR(VLOOKUP($C930,sources!$A$2:$N$200,2,FALSE()),"?"))</f>
        <v>Map</v>
      </c>
      <c r="R930" s="2" t="str">
        <f t="shared" si="14"/>
        <v>Map</v>
      </c>
      <c r="S930" s="2" t="str">
        <f>IF($C930="","",IFERROR(VLOOKUP($C930,sources!$A$2:$N$200,9,FALSE()),"?"))</f>
        <v>US official</v>
      </c>
      <c r="T930" t="s">
        <v>5692</v>
      </c>
      <c r="U930">
        <f>IF(OR(B930="",C930="",T930="Retracted",LEFT(D930,8)="Negative"),0,IF(COUNTIFS($B$2:B930,B930,$C$2:C930,C930,$D$2:D930,"&lt;&gt;Negative*",$T$2:T930,"&lt;&gt;Retracted")=1,1,0))</f>
        <v>0</v>
      </c>
    </row>
    <row r="931" spans="1:21" x14ac:dyDescent="0.2">
      <c r="A931" t="s">
        <v>2816</v>
      </c>
      <c r="B931" t="s">
        <v>743</v>
      </c>
      <c r="C931" t="s">
        <v>1311</v>
      </c>
      <c r="D931" t="s">
        <v>1613</v>
      </c>
      <c r="E931" t="s">
        <v>744</v>
      </c>
      <c r="F931" t="s">
        <v>1583</v>
      </c>
      <c r="I931" t="s">
        <v>1058</v>
      </c>
      <c r="K931">
        <v>1910</v>
      </c>
      <c r="L931">
        <v>1910</v>
      </c>
      <c r="M931" t="s">
        <v>209</v>
      </c>
      <c r="N931" t="s">
        <v>209</v>
      </c>
      <c r="Q931" s="2" t="str">
        <f>IF($C931="","",IFERROR(VLOOKUP($C931,sources!$A$2:$N$200,2,FALSE()),"?"))</f>
        <v>Map</v>
      </c>
      <c r="R931" s="2" t="str">
        <f t="shared" si="14"/>
        <v>Map</v>
      </c>
      <c r="S931" s="2" t="str">
        <f>IF($C931="","",IFERROR(VLOOKUP($C931,sources!$A$2:$N$200,9,FALSE()),"?"))</f>
        <v>US official</v>
      </c>
      <c r="T931" t="s">
        <v>5692</v>
      </c>
      <c r="U931">
        <f>IF(OR(B931="",C931="",T931="Retracted",LEFT(D931,8)="Negative"),0,IF(COUNTIFS($B$2:B931,B931,$C$2:C931,C931,$D$2:D931,"&lt;&gt;Negative*",$T$2:T931,"&lt;&gt;Retracted")=1,1,0))</f>
        <v>0</v>
      </c>
    </row>
    <row r="932" spans="1:21" x14ac:dyDescent="0.2">
      <c r="A932" t="s">
        <v>2817</v>
      </c>
      <c r="B932" t="s">
        <v>749</v>
      </c>
      <c r="C932" t="s">
        <v>1311</v>
      </c>
      <c r="D932" t="s">
        <v>1613</v>
      </c>
      <c r="E932" t="s">
        <v>750</v>
      </c>
      <c r="F932" t="s">
        <v>1583</v>
      </c>
      <c r="I932" t="s">
        <v>1058</v>
      </c>
      <c r="K932">
        <v>1910</v>
      </c>
      <c r="L932">
        <v>1910</v>
      </c>
      <c r="M932" t="s">
        <v>209</v>
      </c>
      <c r="N932" t="s">
        <v>209</v>
      </c>
      <c r="Q932" s="2" t="str">
        <f>IF($C932="","",IFERROR(VLOOKUP($C932,sources!$A$2:$N$200,2,FALSE()),"?"))</f>
        <v>Map</v>
      </c>
      <c r="R932" s="2" t="str">
        <f t="shared" si="14"/>
        <v>Map</v>
      </c>
      <c r="S932" s="2" t="str">
        <f>IF($C932="","",IFERROR(VLOOKUP($C932,sources!$A$2:$N$200,9,FALSE()),"?"))</f>
        <v>US official</v>
      </c>
      <c r="T932" t="s">
        <v>5692</v>
      </c>
      <c r="U932">
        <f>IF(OR(B932="",C932="",T932="Retracted",LEFT(D932,8)="Negative"),0,IF(COUNTIFS($B$2:B932,B932,$C$2:C932,C932,$D$2:D932,"&lt;&gt;Negative*",$T$2:T932,"&lt;&gt;Retracted")=1,1,0))</f>
        <v>0</v>
      </c>
    </row>
    <row r="933" spans="1:21" x14ac:dyDescent="0.2">
      <c r="A933" t="s">
        <v>2818</v>
      </c>
      <c r="B933" t="s">
        <v>484</v>
      </c>
      <c r="C933" t="s">
        <v>1148</v>
      </c>
      <c r="D933" t="s">
        <v>1575</v>
      </c>
      <c r="E933" t="s">
        <v>485</v>
      </c>
      <c r="F933" t="s">
        <v>1583</v>
      </c>
      <c r="I933" t="s">
        <v>1058</v>
      </c>
      <c r="K933">
        <v>1919</v>
      </c>
      <c r="L933">
        <v>1920</v>
      </c>
      <c r="M933" t="s">
        <v>209</v>
      </c>
      <c r="N933" t="s">
        <v>203</v>
      </c>
      <c r="Q933" s="2" t="str">
        <f>IF($C933="","",IFERROR(VLOOKUP($C933,sources!$A$2:$N$200,2,FALSE()),"?"))</f>
        <v>Report</v>
      </c>
      <c r="R933" s="2" t="str">
        <f t="shared" si="14"/>
        <v>Textual</v>
      </c>
      <c r="S933" s="2" t="str">
        <f>IF($C933="","",IFERROR(VLOOKUP($C933,sources!$A$2:$N$200,9,FALSE()),"?"))</f>
        <v>US official</v>
      </c>
      <c r="T933" t="s">
        <v>5692</v>
      </c>
      <c r="U933">
        <f>IF(OR(B933="",C933="",T933="Retracted",LEFT(D933,8)="Negative"),0,IF(COUNTIFS($B$2:B933,B933,$C$2:C933,C933,$D$2:D933,"&lt;&gt;Negative*",$T$2:T933,"&lt;&gt;Retracted")=1,1,0))</f>
        <v>1</v>
      </c>
    </row>
    <row r="934" spans="1:21" x14ac:dyDescent="0.2">
      <c r="A934" t="s">
        <v>2819</v>
      </c>
      <c r="B934" t="s">
        <v>495</v>
      </c>
      <c r="C934" t="s">
        <v>1148</v>
      </c>
      <c r="D934" t="s">
        <v>1575</v>
      </c>
      <c r="E934" t="s">
        <v>496</v>
      </c>
      <c r="F934" t="s">
        <v>1583</v>
      </c>
      <c r="I934" t="s">
        <v>1058</v>
      </c>
      <c r="K934">
        <v>1911</v>
      </c>
      <c r="L934">
        <v>1912</v>
      </c>
      <c r="M934" t="s">
        <v>209</v>
      </c>
      <c r="N934" t="s">
        <v>209</v>
      </c>
      <c r="Q934" s="2" t="str">
        <f>IF($C934="","",IFERROR(VLOOKUP($C934,sources!$A$2:$N$200,2,FALSE()),"?"))</f>
        <v>Report</v>
      </c>
      <c r="R934" s="2" t="str">
        <f t="shared" si="14"/>
        <v>Textual</v>
      </c>
      <c r="S934" s="2" t="str">
        <f>IF($C934="","",IFERROR(VLOOKUP($C934,sources!$A$2:$N$200,9,FALSE()),"?"))</f>
        <v>US official</v>
      </c>
      <c r="T934" t="s">
        <v>5692</v>
      </c>
      <c r="U934">
        <f>IF(OR(B934="",C934="",T934="Retracted",LEFT(D934,8)="Negative"),0,IF(COUNTIFS($B$2:B934,B934,$C$2:C934,C934,$D$2:D934,"&lt;&gt;Negative*",$T$2:T934,"&lt;&gt;Retracted")=1,1,0))</f>
        <v>1</v>
      </c>
    </row>
    <row r="935" spans="1:21" x14ac:dyDescent="0.2">
      <c r="A935" t="s">
        <v>2820</v>
      </c>
      <c r="B935" t="s">
        <v>498</v>
      </c>
      <c r="C935" t="s">
        <v>1148</v>
      </c>
      <c r="D935" t="s">
        <v>1575</v>
      </c>
      <c r="E935" t="s">
        <v>499</v>
      </c>
      <c r="F935" t="s">
        <v>1583</v>
      </c>
      <c r="I935" t="s">
        <v>1058</v>
      </c>
      <c r="K935">
        <v>1911</v>
      </c>
      <c r="L935">
        <v>1912</v>
      </c>
      <c r="M935" t="s">
        <v>209</v>
      </c>
      <c r="N935" t="s">
        <v>209</v>
      </c>
      <c r="Q935" s="2" t="str">
        <f>IF($C935="","",IFERROR(VLOOKUP($C935,sources!$A$2:$N$200,2,FALSE()),"?"))</f>
        <v>Report</v>
      </c>
      <c r="R935" s="2" t="str">
        <f t="shared" si="14"/>
        <v>Textual</v>
      </c>
      <c r="S935" s="2" t="str">
        <f>IF($C935="","",IFERROR(VLOOKUP($C935,sources!$A$2:$N$200,9,FALSE()),"?"))</f>
        <v>US official</v>
      </c>
      <c r="T935" t="s">
        <v>5692</v>
      </c>
      <c r="U935">
        <f>IF(OR(B935="",C935="",T935="Retracted",LEFT(D935,8)="Negative"),0,IF(COUNTIFS($B$2:B935,B935,$C$2:C935,C935,$D$2:D935,"&lt;&gt;Negative*",$T$2:T935,"&lt;&gt;Retracted")=1,1,0))</f>
        <v>1</v>
      </c>
    </row>
    <row r="936" spans="1:21" x14ac:dyDescent="0.2">
      <c r="A936" t="s">
        <v>2821</v>
      </c>
      <c r="B936" t="s">
        <v>565</v>
      </c>
      <c r="C936" t="s">
        <v>1148</v>
      </c>
      <c r="D936" t="s">
        <v>1575</v>
      </c>
      <c r="E936" t="s">
        <v>566</v>
      </c>
      <c r="F936" t="s">
        <v>1583</v>
      </c>
      <c r="I936" t="s">
        <v>1058</v>
      </c>
      <c r="K936">
        <v>1922</v>
      </c>
      <c r="L936">
        <v>1913</v>
      </c>
      <c r="M936" t="s">
        <v>209</v>
      </c>
      <c r="N936" t="s">
        <v>203</v>
      </c>
      <c r="Q936" s="2" t="str">
        <f>IF($C936="","",IFERROR(VLOOKUP($C936,sources!$A$2:$N$200,2,FALSE()),"?"))</f>
        <v>Report</v>
      </c>
      <c r="R936" s="2" t="str">
        <f t="shared" si="14"/>
        <v>Textual</v>
      </c>
      <c r="S936" s="2" t="str">
        <f>IF($C936="","",IFERROR(VLOOKUP($C936,sources!$A$2:$N$200,9,FALSE()),"?"))</f>
        <v>US official</v>
      </c>
      <c r="T936" t="s">
        <v>5692</v>
      </c>
      <c r="U936">
        <f>IF(OR(B936="",C936="",T936="Retracted",LEFT(D936,8)="Negative"),0,IF(COUNTIFS($B$2:B936,B936,$C$2:C936,C936,$D$2:D936,"&lt;&gt;Negative*",$T$2:T936,"&lt;&gt;Retracted")=1,1,0))</f>
        <v>1</v>
      </c>
    </row>
    <row r="937" spans="1:21" x14ac:dyDescent="0.2">
      <c r="A937" t="s">
        <v>2822</v>
      </c>
      <c r="B937" t="s">
        <v>580</v>
      </c>
      <c r="C937" t="s">
        <v>1148</v>
      </c>
      <c r="D937" t="s">
        <v>1575</v>
      </c>
      <c r="E937" t="s">
        <v>581</v>
      </c>
      <c r="F937" t="s">
        <v>1583</v>
      </c>
      <c r="I937" t="s">
        <v>1058</v>
      </c>
      <c r="K937">
        <v>1909</v>
      </c>
      <c r="L937">
        <v>1910</v>
      </c>
      <c r="M937" t="s">
        <v>209</v>
      </c>
      <c r="N937" t="s">
        <v>209</v>
      </c>
      <c r="Q937" s="2" t="str">
        <f>IF($C937="","",IFERROR(VLOOKUP($C937,sources!$A$2:$N$200,2,FALSE()),"?"))</f>
        <v>Report</v>
      </c>
      <c r="R937" s="2" t="str">
        <f t="shared" si="14"/>
        <v>Textual</v>
      </c>
      <c r="S937" s="2" t="str">
        <f>IF($C937="","",IFERROR(VLOOKUP($C937,sources!$A$2:$N$200,9,FALSE()),"?"))</f>
        <v>US official</v>
      </c>
      <c r="T937" t="s">
        <v>5692</v>
      </c>
      <c r="U937">
        <f>IF(OR(B937="",C937="",T937="Retracted",LEFT(D937,8)="Negative"),0,IF(COUNTIFS($B$2:B937,B937,$C$2:C937,C937,$D$2:D937,"&lt;&gt;Negative*",$T$2:T937,"&lt;&gt;Retracted")=1,1,0))</f>
        <v>1</v>
      </c>
    </row>
    <row r="938" spans="1:21" x14ac:dyDescent="0.2">
      <c r="A938" t="s">
        <v>2823</v>
      </c>
      <c r="B938" t="s">
        <v>592</v>
      </c>
      <c r="C938" t="s">
        <v>1148</v>
      </c>
      <c r="D938" t="s">
        <v>1575</v>
      </c>
      <c r="E938" t="s">
        <v>593</v>
      </c>
      <c r="F938" t="s">
        <v>1583</v>
      </c>
      <c r="I938" t="s">
        <v>1058</v>
      </c>
      <c r="K938">
        <v>1909</v>
      </c>
      <c r="L938">
        <v>1910</v>
      </c>
      <c r="M938" t="s">
        <v>209</v>
      </c>
      <c r="N938" t="s">
        <v>209</v>
      </c>
      <c r="Q938" s="2" t="str">
        <f>IF($C938="","",IFERROR(VLOOKUP($C938,sources!$A$2:$N$200,2,FALSE()),"?"))</f>
        <v>Report</v>
      </c>
      <c r="R938" s="2" t="str">
        <f t="shared" si="14"/>
        <v>Textual</v>
      </c>
      <c r="S938" s="2" t="str">
        <f>IF($C938="","",IFERROR(VLOOKUP($C938,sources!$A$2:$N$200,9,FALSE()),"?"))</f>
        <v>US official</v>
      </c>
      <c r="T938" t="s">
        <v>5692</v>
      </c>
      <c r="U938">
        <f>IF(OR(B938="",C938="",T938="Retracted",LEFT(D938,8)="Negative"),0,IF(COUNTIFS($B$2:B938,B938,$C$2:C938,C938,$D$2:D938,"&lt;&gt;Negative*",$T$2:T938,"&lt;&gt;Retracted")=1,1,0))</f>
        <v>1</v>
      </c>
    </row>
    <row r="939" spans="1:21" x14ac:dyDescent="0.2">
      <c r="A939" t="s">
        <v>2824</v>
      </c>
      <c r="B939" t="s">
        <v>619</v>
      </c>
      <c r="C939" t="s">
        <v>1148</v>
      </c>
      <c r="D939" t="s">
        <v>1575</v>
      </c>
      <c r="E939" t="s">
        <v>620</v>
      </c>
      <c r="F939" t="s">
        <v>1583</v>
      </c>
      <c r="I939" t="s">
        <v>1058</v>
      </c>
      <c r="K939">
        <v>1915</v>
      </c>
      <c r="L939">
        <v>1916</v>
      </c>
      <c r="M939" t="s">
        <v>203</v>
      </c>
      <c r="N939" t="s">
        <v>203</v>
      </c>
      <c r="Q939" s="2" t="str">
        <f>IF($C939="","",IFERROR(VLOOKUP($C939,sources!$A$2:$N$200,2,FALSE()),"?"))</f>
        <v>Report</v>
      </c>
      <c r="R939" s="2" t="str">
        <f t="shared" si="14"/>
        <v>Textual</v>
      </c>
      <c r="S939" s="2" t="str">
        <f>IF($C939="","",IFERROR(VLOOKUP($C939,sources!$A$2:$N$200,9,FALSE()),"?"))</f>
        <v>US official</v>
      </c>
      <c r="T939" t="s">
        <v>5692</v>
      </c>
      <c r="U939">
        <f>IF(OR(B939="",C939="",T939="Retracted",LEFT(D939,8)="Negative"),0,IF(COUNTIFS($B$2:B939,B939,$C$2:C939,C939,$D$2:D939,"&lt;&gt;Negative*",$T$2:T939,"&lt;&gt;Retracted")=1,1,0))</f>
        <v>1</v>
      </c>
    </row>
    <row r="940" spans="1:21" x14ac:dyDescent="0.2">
      <c r="A940" t="s">
        <v>2825</v>
      </c>
      <c r="B940" t="s">
        <v>625</v>
      </c>
      <c r="C940" t="s">
        <v>1148</v>
      </c>
      <c r="D940" t="s">
        <v>1575</v>
      </c>
      <c r="E940" t="s">
        <v>626</v>
      </c>
      <c r="F940" t="s">
        <v>1583</v>
      </c>
      <c r="I940" t="s">
        <v>1058</v>
      </c>
      <c r="K940">
        <v>1910</v>
      </c>
      <c r="L940">
        <v>1917</v>
      </c>
      <c r="M940" t="s">
        <v>209</v>
      </c>
      <c r="N940" t="s">
        <v>203</v>
      </c>
      <c r="Q940" s="2" t="str">
        <f>IF($C940="","",IFERROR(VLOOKUP($C940,sources!$A$2:$N$200,2,FALSE()),"?"))</f>
        <v>Report</v>
      </c>
      <c r="R940" s="2" t="str">
        <f t="shared" si="14"/>
        <v>Textual</v>
      </c>
      <c r="S940" s="2" t="str">
        <f>IF($C940="","",IFERROR(VLOOKUP($C940,sources!$A$2:$N$200,9,FALSE()),"?"))</f>
        <v>US official</v>
      </c>
      <c r="T940" t="s">
        <v>5692</v>
      </c>
      <c r="U940">
        <f>IF(OR(B940="",C940="",T940="Retracted",LEFT(D940,8)="Negative"),0,IF(COUNTIFS($B$2:B940,B940,$C$2:C940,C940,$D$2:D940,"&lt;&gt;Negative*",$T$2:T940,"&lt;&gt;Retracted")=1,1,0))</f>
        <v>1</v>
      </c>
    </row>
    <row r="941" spans="1:21" x14ac:dyDescent="0.2">
      <c r="A941" t="s">
        <v>2826</v>
      </c>
      <c r="B941" t="s">
        <v>630</v>
      </c>
      <c r="C941" t="s">
        <v>1148</v>
      </c>
      <c r="D941" t="s">
        <v>1564</v>
      </c>
      <c r="E941" t="s">
        <v>631</v>
      </c>
      <c r="F941" t="s">
        <v>1583</v>
      </c>
      <c r="I941" t="s">
        <v>1058</v>
      </c>
      <c r="K941">
        <v>1908</v>
      </c>
      <c r="L941">
        <v>1909</v>
      </c>
      <c r="M941" t="s">
        <v>209</v>
      </c>
      <c r="N941" t="s">
        <v>203</v>
      </c>
      <c r="Q941" s="2" t="str">
        <f>IF($C941="","",IFERROR(VLOOKUP($C941,sources!$A$2:$N$200,2,FALSE()),"?"))</f>
        <v>Report</v>
      </c>
      <c r="R941" s="2" t="str">
        <f t="shared" si="14"/>
        <v>Textual</v>
      </c>
      <c r="S941" s="2" t="str">
        <f>IF($C941="","",IFERROR(VLOOKUP($C941,sources!$A$2:$N$200,9,FALSE()),"?"))</f>
        <v>US official</v>
      </c>
      <c r="T941" t="s">
        <v>5692</v>
      </c>
      <c r="U941">
        <f>IF(OR(B941="",C941="",T941="Retracted",LEFT(D941,8)="Negative"),0,IF(COUNTIFS($B$2:B941,B941,$C$2:C941,C941,$D$2:D941,"&lt;&gt;Negative*",$T$2:T941,"&lt;&gt;Retracted")=1,1,0))</f>
        <v>1</v>
      </c>
    </row>
    <row r="942" spans="1:21" x14ac:dyDescent="0.2">
      <c r="A942" t="s">
        <v>2827</v>
      </c>
      <c r="B942" t="s">
        <v>646</v>
      </c>
      <c r="C942" t="s">
        <v>1148</v>
      </c>
      <c r="D942" t="s">
        <v>1564</v>
      </c>
      <c r="E942" t="s">
        <v>647</v>
      </c>
      <c r="F942" t="s">
        <v>1583</v>
      </c>
      <c r="I942" t="s">
        <v>1058</v>
      </c>
      <c r="K942">
        <v>1909</v>
      </c>
      <c r="L942">
        <v>1910</v>
      </c>
      <c r="M942" t="s">
        <v>209</v>
      </c>
      <c r="N942" t="s">
        <v>203</v>
      </c>
      <c r="Q942" s="2" t="str">
        <f>IF($C942="","",IFERROR(VLOOKUP($C942,sources!$A$2:$N$200,2,FALSE()),"?"))</f>
        <v>Report</v>
      </c>
      <c r="R942" s="2" t="str">
        <f t="shared" si="14"/>
        <v>Textual</v>
      </c>
      <c r="S942" s="2" t="str">
        <f>IF($C942="","",IFERROR(VLOOKUP($C942,sources!$A$2:$N$200,9,FALSE()),"?"))</f>
        <v>US official</v>
      </c>
      <c r="T942" t="s">
        <v>5692</v>
      </c>
      <c r="U942">
        <f>IF(OR(B942="",C942="",T942="Retracted",LEFT(D942,8)="Negative"),0,IF(COUNTIFS($B$2:B942,B942,$C$2:C942,C942,$D$2:D942,"&lt;&gt;Negative*",$T$2:T942,"&lt;&gt;Retracted")=1,1,0))</f>
        <v>1</v>
      </c>
    </row>
    <row r="943" spans="1:21" x14ac:dyDescent="0.2">
      <c r="A943" t="s">
        <v>2828</v>
      </c>
      <c r="B943" t="s">
        <v>570</v>
      </c>
      <c r="C943" t="s">
        <v>1148</v>
      </c>
      <c r="D943" t="s">
        <v>1613</v>
      </c>
      <c r="E943" t="s">
        <v>571</v>
      </c>
      <c r="F943" t="s">
        <v>1583</v>
      </c>
      <c r="I943" t="s">
        <v>1058</v>
      </c>
      <c r="K943">
        <v>1907</v>
      </c>
      <c r="L943">
        <v>1941</v>
      </c>
      <c r="M943" t="s">
        <v>209</v>
      </c>
      <c r="N943" t="s">
        <v>203</v>
      </c>
      <c r="Q943" s="2" t="str">
        <f>IF($C943="","",IFERROR(VLOOKUP($C943,sources!$A$2:$N$200,2,FALSE()),"?"))</f>
        <v>Report</v>
      </c>
      <c r="R943" s="2" t="str">
        <f t="shared" si="14"/>
        <v>Textual</v>
      </c>
      <c r="S943" s="2" t="str">
        <f>IF($C943="","",IFERROR(VLOOKUP($C943,sources!$A$2:$N$200,9,FALSE()),"?"))</f>
        <v>US official</v>
      </c>
      <c r="T943" t="s">
        <v>5692</v>
      </c>
      <c r="U943">
        <f>IF(OR(B943="",C943="",T943="Retracted",LEFT(D943,8)="Negative"),0,IF(COUNTIFS($B$2:B943,B943,$C$2:C943,C943,$D$2:D943,"&lt;&gt;Negative*",$T$2:T943,"&lt;&gt;Retracted")=1,1,0))</f>
        <v>0</v>
      </c>
    </row>
    <row r="944" spans="1:21" x14ac:dyDescent="0.2">
      <c r="A944" t="s">
        <v>2829</v>
      </c>
      <c r="B944" t="s">
        <v>575</v>
      </c>
      <c r="C944" t="s">
        <v>1148</v>
      </c>
      <c r="D944" t="s">
        <v>1613</v>
      </c>
      <c r="E944" t="s">
        <v>576</v>
      </c>
      <c r="F944" t="s">
        <v>1583</v>
      </c>
      <c r="I944" t="s">
        <v>1058</v>
      </c>
      <c r="K944">
        <v>1907</v>
      </c>
      <c r="L944">
        <v>1941</v>
      </c>
      <c r="M944" t="s">
        <v>209</v>
      </c>
      <c r="N944" t="s">
        <v>203</v>
      </c>
      <c r="Q944" s="2" t="str">
        <f>IF($C944="","",IFERROR(VLOOKUP($C944,sources!$A$2:$N$200,2,FALSE()),"?"))</f>
        <v>Report</v>
      </c>
      <c r="R944" s="2" t="str">
        <f t="shared" si="14"/>
        <v>Textual</v>
      </c>
      <c r="S944" s="2" t="str">
        <f>IF($C944="","",IFERROR(VLOOKUP($C944,sources!$A$2:$N$200,9,FALSE()),"?"))</f>
        <v>US official</v>
      </c>
      <c r="T944" t="s">
        <v>5692</v>
      </c>
      <c r="U944">
        <f>IF(OR(B944="",C944="",T944="Retracted",LEFT(D944,8)="Negative"),0,IF(COUNTIFS($B$2:B944,B944,$C$2:C944,C944,$D$2:D944,"&lt;&gt;Negative*",$T$2:T944,"&lt;&gt;Retracted")=1,1,0))</f>
        <v>0</v>
      </c>
    </row>
    <row r="945" spans="1:21" x14ac:dyDescent="0.2">
      <c r="A945" t="s">
        <v>2830</v>
      </c>
      <c r="B945" t="s">
        <v>595</v>
      </c>
      <c r="C945" t="s">
        <v>1148</v>
      </c>
      <c r="D945" t="s">
        <v>1613</v>
      </c>
      <c r="E945" t="s">
        <v>596</v>
      </c>
      <c r="F945" t="s">
        <v>1583</v>
      </c>
      <c r="I945" t="s">
        <v>1058</v>
      </c>
      <c r="K945">
        <v>1907</v>
      </c>
      <c r="L945">
        <v>1941</v>
      </c>
      <c r="M945" t="s">
        <v>209</v>
      </c>
      <c r="N945" t="s">
        <v>203</v>
      </c>
      <c r="Q945" s="2" t="str">
        <f>IF($C945="","",IFERROR(VLOOKUP($C945,sources!$A$2:$N$200,2,FALSE()),"?"))</f>
        <v>Report</v>
      </c>
      <c r="R945" s="2" t="str">
        <f t="shared" si="14"/>
        <v>Textual</v>
      </c>
      <c r="S945" s="2" t="str">
        <f>IF($C945="","",IFERROR(VLOOKUP($C945,sources!$A$2:$N$200,9,FALSE()),"?"))</f>
        <v>US official</v>
      </c>
      <c r="T945" t="s">
        <v>5692</v>
      </c>
      <c r="U945">
        <f>IF(OR(B945="",C945="",T945="Retracted",LEFT(D945,8)="Negative"),0,IF(COUNTIFS($B$2:B945,B945,$C$2:C945,C945,$D$2:D945,"&lt;&gt;Negative*",$T$2:T945,"&lt;&gt;Retracted")=1,1,0))</f>
        <v>0</v>
      </c>
    </row>
    <row r="946" spans="1:21" x14ac:dyDescent="0.2">
      <c r="A946" t="s">
        <v>2831</v>
      </c>
      <c r="B946" t="s">
        <v>603</v>
      </c>
      <c r="C946" t="s">
        <v>1148</v>
      </c>
      <c r="D946" t="s">
        <v>1613</v>
      </c>
      <c r="E946" t="s">
        <v>604</v>
      </c>
      <c r="F946" t="s">
        <v>1583</v>
      </c>
      <c r="I946" t="s">
        <v>1058</v>
      </c>
      <c r="K946">
        <v>1907</v>
      </c>
      <c r="L946">
        <v>1941</v>
      </c>
      <c r="M946" t="s">
        <v>209</v>
      </c>
      <c r="N946" t="s">
        <v>203</v>
      </c>
      <c r="Q946" s="2" t="str">
        <f>IF($C946="","",IFERROR(VLOOKUP($C946,sources!$A$2:$N$200,2,FALSE()),"?"))</f>
        <v>Report</v>
      </c>
      <c r="R946" s="2" t="str">
        <f t="shared" si="14"/>
        <v>Textual</v>
      </c>
      <c r="S946" s="2" t="str">
        <f>IF($C946="","",IFERROR(VLOOKUP($C946,sources!$A$2:$N$200,9,FALSE()),"?"))</f>
        <v>US official</v>
      </c>
      <c r="T946" t="s">
        <v>5692</v>
      </c>
      <c r="U946">
        <f>IF(OR(B946="",C946="",T946="Retracted",LEFT(D946,8)="Negative"),0,IF(COUNTIFS($B$2:B946,B946,$C$2:C946,C946,$D$2:D946,"&lt;&gt;Negative*",$T$2:T946,"&lt;&gt;Retracted")=1,1,0))</f>
        <v>0</v>
      </c>
    </row>
    <row r="947" spans="1:21" x14ac:dyDescent="0.2">
      <c r="A947" t="s">
        <v>2832</v>
      </c>
      <c r="B947" t="s">
        <v>607</v>
      </c>
      <c r="C947" t="s">
        <v>1148</v>
      </c>
      <c r="D947" t="s">
        <v>1613</v>
      </c>
      <c r="E947" t="s">
        <v>608</v>
      </c>
      <c r="F947" t="s">
        <v>1583</v>
      </c>
      <c r="I947" t="s">
        <v>1058</v>
      </c>
      <c r="K947">
        <v>1907</v>
      </c>
      <c r="L947">
        <v>1941</v>
      </c>
      <c r="M947" t="s">
        <v>209</v>
      </c>
      <c r="N947" t="s">
        <v>203</v>
      </c>
      <c r="Q947" s="2" t="str">
        <f>IF($C947="","",IFERROR(VLOOKUP($C947,sources!$A$2:$N$200,2,FALSE()),"?"))</f>
        <v>Report</v>
      </c>
      <c r="R947" s="2" t="str">
        <f t="shared" si="14"/>
        <v>Textual</v>
      </c>
      <c r="S947" s="2" t="str">
        <f>IF($C947="","",IFERROR(VLOOKUP($C947,sources!$A$2:$N$200,9,FALSE()),"?"))</f>
        <v>US official</v>
      </c>
      <c r="T947" t="s">
        <v>5692</v>
      </c>
      <c r="U947">
        <f>IF(OR(B947="",C947="",T947="Retracted",LEFT(D947,8)="Negative"),0,IF(COUNTIFS($B$2:B947,B947,$C$2:C947,C947,$D$2:D947,"&lt;&gt;Negative*",$T$2:T947,"&lt;&gt;Retracted")=1,1,0))</f>
        <v>0</v>
      </c>
    </row>
    <row r="948" spans="1:21" x14ac:dyDescent="0.2">
      <c r="A948" t="s">
        <v>2833</v>
      </c>
      <c r="B948" t="s">
        <v>635</v>
      </c>
      <c r="C948" t="s">
        <v>1148</v>
      </c>
      <c r="D948" t="s">
        <v>1613</v>
      </c>
      <c r="E948" t="s">
        <v>636</v>
      </c>
      <c r="F948" t="s">
        <v>1583</v>
      </c>
      <c r="I948" t="s">
        <v>1058</v>
      </c>
      <c r="K948">
        <v>1907</v>
      </c>
      <c r="L948">
        <v>1941</v>
      </c>
      <c r="M948" t="s">
        <v>209</v>
      </c>
      <c r="N948" t="s">
        <v>203</v>
      </c>
      <c r="Q948" s="2" t="str">
        <f>IF($C948="","",IFERROR(VLOOKUP($C948,sources!$A$2:$N$200,2,FALSE()),"?"))</f>
        <v>Report</v>
      </c>
      <c r="R948" s="2" t="str">
        <f t="shared" si="14"/>
        <v>Textual</v>
      </c>
      <c r="S948" s="2" t="str">
        <f>IF($C948="","",IFERROR(VLOOKUP($C948,sources!$A$2:$N$200,9,FALSE()),"?"))</f>
        <v>US official</v>
      </c>
      <c r="T948" t="s">
        <v>5692</v>
      </c>
      <c r="U948">
        <f>IF(OR(B948="",C948="",T948="Retracted",LEFT(D948,8)="Negative"),0,IF(COUNTIFS($B$2:B948,B948,$C$2:C948,C948,$D$2:D948,"&lt;&gt;Negative*",$T$2:T948,"&lt;&gt;Retracted")=1,1,0))</f>
        <v>0</v>
      </c>
    </row>
    <row r="949" spans="1:21" x14ac:dyDescent="0.2">
      <c r="A949" t="s">
        <v>2834</v>
      </c>
      <c r="B949" t="s">
        <v>643</v>
      </c>
      <c r="C949" t="s">
        <v>1148</v>
      </c>
      <c r="D949" t="s">
        <v>1613</v>
      </c>
      <c r="E949" t="s">
        <v>644</v>
      </c>
      <c r="F949" t="s">
        <v>1583</v>
      </c>
      <c r="I949" t="s">
        <v>1058</v>
      </c>
      <c r="K949">
        <v>1907</v>
      </c>
      <c r="L949">
        <v>1941</v>
      </c>
      <c r="M949" t="s">
        <v>209</v>
      </c>
      <c r="N949" t="s">
        <v>203</v>
      </c>
      <c r="Q949" s="2" t="str">
        <f>IF($C949="","",IFERROR(VLOOKUP($C949,sources!$A$2:$N$200,2,FALSE()),"?"))</f>
        <v>Report</v>
      </c>
      <c r="R949" s="2" t="str">
        <f t="shared" si="14"/>
        <v>Textual</v>
      </c>
      <c r="S949" s="2" t="str">
        <f>IF($C949="","",IFERROR(VLOOKUP($C949,sources!$A$2:$N$200,9,FALSE()),"?"))</f>
        <v>US official</v>
      </c>
      <c r="T949" t="s">
        <v>5692</v>
      </c>
      <c r="U949">
        <f>IF(OR(B949="",C949="",T949="Retracted",LEFT(D949,8)="Negative"),0,IF(COUNTIFS($B$2:B949,B949,$C$2:C949,C949,$D$2:D949,"&lt;&gt;Negative*",$T$2:T949,"&lt;&gt;Retracted")=1,1,0))</f>
        <v>0</v>
      </c>
    </row>
    <row r="950" spans="1:21" x14ac:dyDescent="0.2">
      <c r="A950" t="s">
        <v>2835</v>
      </c>
      <c r="B950" t="s">
        <v>649</v>
      </c>
      <c r="C950" t="s">
        <v>1148</v>
      </c>
      <c r="D950" t="s">
        <v>1613</v>
      </c>
      <c r="E950" t="s">
        <v>650</v>
      </c>
      <c r="F950" t="s">
        <v>1583</v>
      </c>
      <c r="I950" t="s">
        <v>1058</v>
      </c>
      <c r="K950">
        <v>1907</v>
      </c>
      <c r="L950">
        <v>1941</v>
      </c>
      <c r="M950" t="s">
        <v>209</v>
      </c>
      <c r="N950" t="s">
        <v>203</v>
      </c>
      <c r="Q950" s="2" t="str">
        <f>IF($C950="","",IFERROR(VLOOKUP($C950,sources!$A$2:$N$200,2,FALSE()),"?"))</f>
        <v>Report</v>
      </c>
      <c r="R950" s="2" t="str">
        <f t="shared" si="14"/>
        <v>Textual</v>
      </c>
      <c r="S950" s="2" t="str">
        <f>IF($C950="","",IFERROR(VLOOKUP($C950,sources!$A$2:$N$200,9,FALSE()),"?"))</f>
        <v>US official</v>
      </c>
      <c r="T950" t="s">
        <v>5692</v>
      </c>
      <c r="U950">
        <f>IF(OR(B950="",C950="",T950="Retracted",LEFT(D950,8)="Negative"),0,IF(COUNTIFS($B$2:B950,B950,$C$2:C950,C950,$D$2:D950,"&lt;&gt;Negative*",$T$2:T950,"&lt;&gt;Retracted")=1,1,0))</f>
        <v>0</v>
      </c>
    </row>
    <row r="951" spans="1:21" x14ac:dyDescent="0.2">
      <c r="A951" t="s">
        <v>2836</v>
      </c>
      <c r="B951" t="s">
        <v>480</v>
      </c>
      <c r="C951" t="s">
        <v>1148</v>
      </c>
      <c r="D951" t="s">
        <v>1575</v>
      </c>
      <c r="E951" t="s">
        <v>481</v>
      </c>
      <c r="F951" t="s">
        <v>1583</v>
      </c>
      <c r="I951" t="s">
        <v>1058</v>
      </c>
      <c r="K951">
        <v>1910</v>
      </c>
      <c r="L951">
        <v>1911</v>
      </c>
      <c r="M951" t="s">
        <v>209</v>
      </c>
      <c r="N951" t="s">
        <v>203</v>
      </c>
      <c r="Q951" s="2" t="str">
        <f>IF($C951="","",IFERROR(VLOOKUP($C951,sources!$A$2:$N$200,2,FALSE()),"?"))</f>
        <v>Report</v>
      </c>
      <c r="R951" s="2" t="str">
        <f t="shared" si="14"/>
        <v>Textual</v>
      </c>
      <c r="S951" s="2" t="str">
        <f>IF($C951="","",IFERROR(VLOOKUP($C951,sources!$A$2:$N$200,9,FALSE()),"?"))</f>
        <v>US official</v>
      </c>
      <c r="T951" t="s">
        <v>5692</v>
      </c>
      <c r="U951">
        <f>IF(OR(B951="",C951="",T951="Retracted",LEFT(D951,8)="Negative"),0,IF(COUNTIFS($B$2:B951,B951,$C$2:C951,C951,$D$2:D951,"&lt;&gt;Negative*",$T$2:T951,"&lt;&gt;Retracted")=1,1,0))</f>
        <v>1</v>
      </c>
    </row>
    <row r="952" spans="1:21" x14ac:dyDescent="0.2">
      <c r="A952" t="s">
        <v>2837</v>
      </c>
      <c r="B952" t="s">
        <v>490</v>
      </c>
      <c r="C952" t="s">
        <v>1148</v>
      </c>
      <c r="D952" t="s">
        <v>1575</v>
      </c>
      <c r="E952" t="s">
        <v>491</v>
      </c>
      <c r="F952" t="s">
        <v>1583</v>
      </c>
      <c r="I952" t="s">
        <v>1058</v>
      </c>
      <c r="K952">
        <v>1929</v>
      </c>
      <c r="L952">
        <v>1930</v>
      </c>
      <c r="M952" t="s">
        <v>209</v>
      </c>
      <c r="N952" t="s">
        <v>209</v>
      </c>
      <c r="Q952" s="2" t="str">
        <f>IF($C952="","",IFERROR(VLOOKUP($C952,sources!$A$2:$N$200,2,FALSE()),"?"))</f>
        <v>Report</v>
      </c>
      <c r="R952" s="2" t="str">
        <f t="shared" si="14"/>
        <v>Textual</v>
      </c>
      <c r="S952" s="2" t="str">
        <f>IF($C952="","",IFERROR(VLOOKUP($C952,sources!$A$2:$N$200,9,FALSE()),"?"))</f>
        <v>US official</v>
      </c>
      <c r="T952" t="s">
        <v>5692</v>
      </c>
      <c r="U952">
        <f>IF(OR(B952="",C952="",T952="Retracted",LEFT(D952,8)="Negative"),0,IF(COUNTIFS($B$2:B952,B952,$C$2:C952,C952,$D$2:D952,"&lt;&gt;Negative*",$T$2:T952,"&lt;&gt;Retracted")=1,1,0))</f>
        <v>1</v>
      </c>
    </row>
    <row r="953" spans="1:21" x14ac:dyDescent="0.2">
      <c r="A953" t="s">
        <v>2838</v>
      </c>
      <c r="B953" t="s">
        <v>503</v>
      </c>
      <c r="C953" t="s">
        <v>1148</v>
      </c>
      <c r="D953" t="s">
        <v>1575</v>
      </c>
      <c r="E953" t="s">
        <v>504</v>
      </c>
      <c r="F953" t="s">
        <v>1583</v>
      </c>
      <c r="I953" t="s">
        <v>1058</v>
      </c>
      <c r="K953">
        <v>1912</v>
      </c>
      <c r="L953">
        <v>1913</v>
      </c>
      <c r="M953" t="s">
        <v>209</v>
      </c>
      <c r="N953" t="s">
        <v>209</v>
      </c>
      <c r="Q953" s="2" t="str">
        <f>IF($C953="","",IFERROR(VLOOKUP($C953,sources!$A$2:$N$200,2,FALSE()),"?"))</f>
        <v>Report</v>
      </c>
      <c r="R953" s="2" t="str">
        <f t="shared" si="14"/>
        <v>Textual</v>
      </c>
      <c r="S953" s="2" t="str">
        <f>IF($C953="","",IFERROR(VLOOKUP($C953,sources!$A$2:$N$200,9,FALSE()),"?"))</f>
        <v>US official</v>
      </c>
      <c r="T953" t="s">
        <v>5692</v>
      </c>
      <c r="U953">
        <f>IF(OR(B953="",C953="",T953="Retracted",LEFT(D953,8)="Negative"),0,IF(COUNTIFS($B$2:B953,B953,$C$2:C953,C953,$D$2:D953,"&lt;&gt;Negative*",$T$2:T953,"&lt;&gt;Retracted")=1,1,0))</f>
        <v>1</v>
      </c>
    </row>
    <row r="954" spans="1:21" x14ac:dyDescent="0.2">
      <c r="A954" t="s">
        <v>2839</v>
      </c>
      <c r="B954" t="s">
        <v>507</v>
      </c>
      <c r="C954" t="s">
        <v>1148</v>
      </c>
      <c r="D954" t="s">
        <v>1575</v>
      </c>
      <c r="E954" t="s">
        <v>508</v>
      </c>
      <c r="F954" t="s">
        <v>1583</v>
      </c>
      <c r="I954" t="s">
        <v>1058</v>
      </c>
      <c r="K954">
        <v>1912</v>
      </c>
      <c r="L954">
        <v>1913</v>
      </c>
      <c r="M954" t="s">
        <v>209</v>
      </c>
      <c r="N954" t="s">
        <v>209</v>
      </c>
      <c r="Q954" s="2" t="str">
        <f>IF($C954="","",IFERROR(VLOOKUP($C954,sources!$A$2:$N$200,2,FALSE()),"?"))</f>
        <v>Report</v>
      </c>
      <c r="R954" s="2" t="str">
        <f t="shared" si="14"/>
        <v>Textual</v>
      </c>
      <c r="S954" s="2" t="str">
        <f>IF($C954="","",IFERROR(VLOOKUP($C954,sources!$A$2:$N$200,9,FALSE()),"?"))</f>
        <v>US official</v>
      </c>
      <c r="T954" t="s">
        <v>5692</v>
      </c>
      <c r="U954">
        <f>IF(OR(B954="",C954="",T954="Retracted",LEFT(D954,8)="Negative"),0,IF(COUNTIFS($B$2:B954,B954,$C$2:C954,C954,$D$2:D954,"&lt;&gt;Negative*",$T$2:T954,"&lt;&gt;Retracted")=1,1,0))</f>
        <v>1</v>
      </c>
    </row>
    <row r="955" spans="1:21" x14ac:dyDescent="0.2">
      <c r="A955" t="s">
        <v>2840</v>
      </c>
      <c r="B955" t="s">
        <v>510</v>
      </c>
      <c r="C955" t="s">
        <v>1148</v>
      </c>
      <c r="D955" t="s">
        <v>1575</v>
      </c>
      <c r="E955" t="s">
        <v>511</v>
      </c>
      <c r="F955" t="s">
        <v>1583</v>
      </c>
      <c r="I955" t="s">
        <v>1058</v>
      </c>
      <c r="K955">
        <v>1909</v>
      </c>
      <c r="L955">
        <v>1910</v>
      </c>
      <c r="M955" t="s">
        <v>209</v>
      </c>
      <c r="N955" t="s">
        <v>209</v>
      </c>
      <c r="Q955" s="2" t="str">
        <f>IF($C955="","",IFERROR(VLOOKUP($C955,sources!$A$2:$N$200,2,FALSE()),"?"))</f>
        <v>Report</v>
      </c>
      <c r="R955" s="2" t="str">
        <f t="shared" si="14"/>
        <v>Textual</v>
      </c>
      <c r="S955" s="2" t="str">
        <f>IF($C955="","",IFERROR(VLOOKUP($C955,sources!$A$2:$N$200,9,FALSE()),"?"))</f>
        <v>US official</v>
      </c>
      <c r="T955" t="s">
        <v>5692</v>
      </c>
      <c r="U955">
        <f>IF(OR(B955="",C955="",T955="Retracted",LEFT(D955,8)="Negative"),0,IF(COUNTIFS($B$2:B955,B955,$C$2:C955,C955,$D$2:D955,"&lt;&gt;Negative*",$T$2:T955,"&lt;&gt;Retracted")=1,1,0))</f>
        <v>1</v>
      </c>
    </row>
    <row r="956" spans="1:21" x14ac:dyDescent="0.2">
      <c r="A956" t="s">
        <v>2841</v>
      </c>
      <c r="B956" t="s">
        <v>515</v>
      </c>
      <c r="C956" t="s">
        <v>1148</v>
      </c>
      <c r="D956" t="s">
        <v>1564</v>
      </c>
      <c r="E956" t="s">
        <v>516</v>
      </c>
      <c r="F956" t="s">
        <v>1583</v>
      </c>
      <c r="I956" t="s">
        <v>1058</v>
      </c>
      <c r="K956">
        <v>1917</v>
      </c>
      <c r="L956">
        <v>1918</v>
      </c>
      <c r="M956" t="s">
        <v>209</v>
      </c>
      <c r="N956" t="s">
        <v>209</v>
      </c>
      <c r="Q956" s="2" t="str">
        <f>IF($C956="","",IFERROR(VLOOKUP($C956,sources!$A$2:$N$200,2,FALSE()),"?"))</f>
        <v>Report</v>
      </c>
      <c r="R956" s="2" t="str">
        <f t="shared" si="14"/>
        <v>Textual</v>
      </c>
      <c r="S956" s="2" t="str">
        <f>IF($C956="","",IFERROR(VLOOKUP($C956,sources!$A$2:$N$200,9,FALSE()),"?"))</f>
        <v>US official</v>
      </c>
      <c r="T956" t="s">
        <v>5692</v>
      </c>
      <c r="U956">
        <f>IF(OR(B956="",C956="",T956="Retracted",LEFT(D956,8)="Negative"),0,IF(COUNTIFS($B$2:B956,B956,$C$2:C956,C956,$D$2:D956,"&lt;&gt;Negative*",$T$2:T956,"&lt;&gt;Retracted")=1,1,0))</f>
        <v>1</v>
      </c>
    </row>
    <row r="957" spans="1:21" x14ac:dyDescent="0.2">
      <c r="A957" t="s">
        <v>2842</v>
      </c>
      <c r="B957" t="s">
        <v>520</v>
      </c>
      <c r="C957" t="s">
        <v>1148</v>
      </c>
      <c r="D957" t="s">
        <v>1575</v>
      </c>
      <c r="E957" t="s">
        <v>521</v>
      </c>
      <c r="F957" t="s">
        <v>1583</v>
      </c>
      <c r="I957" t="s">
        <v>1058</v>
      </c>
      <c r="K957">
        <v>1928</v>
      </c>
      <c r="L957">
        <v>1929</v>
      </c>
      <c r="M957" t="s">
        <v>209</v>
      </c>
      <c r="N957" t="s">
        <v>209</v>
      </c>
      <c r="Q957" s="2" t="str">
        <f>IF($C957="","",IFERROR(VLOOKUP($C957,sources!$A$2:$N$200,2,FALSE()),"?"))</f>
        <v>Report</v>
      </c>
      <c r="R957" s="2" t="str">
        <f t="shared" si="14"/>
        <v>Textual</v>
      </c>
      <c r="S957" s="2" t="str">
        <f>IF($C957="","",IFERROR(VLOOKUP($C957,sources!$A$2:$N$200,9,FALSE()),"?"))</f>
        <v>US official</v>
      </c>
      <c r="T957" t="s">
        <v>5692</v>
      </c>
      <c r="U957">
        <f>IF(OR(B957="",C957="",T957="Retracted",LEFT(D957,8)="Negative"),0,IF(COUNTIFS($B$2:B957,B957,$C$2:C957,C957,$D$2:D957,"&lt;&gt;Negative*",$T$2:T957,"&lt;&gt;Retracted")=1,1,0))</f>
        <v>1</v>
      </c>
    </row>
    <row r="958" spans="1:21" x14ac:dyDescent="0.2">
      <c r="A958" t="s">
        <v>2843</v>
      </c>
      <c r="B958" t="s">
        <v>525</v>
      </c>
      <c r="C958" t="s">
        <v>1148</v>
      </c>
      <c r="D958" t="s">
        <v>1575</v>
      </c>
      <c r="E958" t="s">
        <v>526</v>
      </c>
      <c r="F958" t="s">
        <v>1583</v>
      </c>
      <c r="I958" t="s">
        <v>1058</v>
      </c>
      <c r="K958">
        <v>1919</v>
      </c>
      <c r="L958">
        <v>1920</v>
      </c>
      <c r="M958" t="s">
        <v>209</v>
      </c>
      <c r="N958" t="s">
        <v>209</v>
      </c>
      <c r="Q958" s="2" t="str">
        <f>IF($C958="","",IFERROR(VLOOKUP($C958,sources!$A$2:$N$200,2,FALSE()),"?"))</f>
        <v>Report</v>
      </c>
      <c r="R958" s="2" t="str">
        <f t="shared" si="14"/>
        <v>Textual</v>
      </c>
      <c r="S958" s="2" t="str">
        <f>IF($C958="","",IFERROR(VLOOKUP($C958,sources!$A$2:$N$200,9,FALSE()),"?"))</f>
        <v>US official</v>
      </c>
      <c r="T958" t="s">
        <v>5692</v>
      </c>
      <c r="U958">
        <f>IF(OR(B958="",C958="",T958="Retracted",LEFT(D958,8)="Negative"),0,IF(COUNTIFS($B$2:B958,B958,$C$2:C958,C958,$D$2:D958,"&lt;&gt;Negative*",$T$2:T958,"&lt;&gt;Retracted")=1,1,0))</f>
        <v>1</v>
      </c>
    </row>
    <row r="959" spans="1:21" x14ac:dyDescent="0.2">
      <c r="A959" t="s">
        <v>2844</v>
      </c>
      <c r="B959" t="s">
        <v>530</v>
      </c>
      <c r="C959" t="s">
        <v>1148</v>
      </c>
      <c r="D959" t="s">
        <v>1575</v>
      </c>
      <c r="E959" t="s">
        <v>531</v>
      </c>
      <c r="F959" t="s">
        <v>1583</v>
      </c>
      <c r="I959" t="s">
        <v>1058</v>
      </c>
      <c r="K959">
        <v>1928</v>
      </c>
      <c r="L959">
        <v>1929</v>
      </c>
      <c r="M959" t="s">
        <v>209</v>
      </c>
      <c r="N959" t="s">
        <v>209</v>
      </c>
      <c r="Q959" s="2" t="str">
        <f>IF($C959="","",IFERROR(VLOOKUP($C959,sources!$A$2:$N$200,2,FALSE()),"?"))</f>
        <v>Report</v>
      </c>
      <c r="R959" s="2" t="str">
        <f t="shared" si="14"/>
        <v>Textual</v>
      </c>
      <c r="S959" s="2" t="str">
        <f>IF($C959="","",IFERROR(VLOOKUP($C959,sources!$A$2:$N$200,9,FALSE()),"?"))</f>
        <v>US official</v>
      </c>
      <c r="T959" t="s">
        <v>5692</v>
      </c>
      <c r="U959">
        <f>IF(OR(B959="",C959="",T959="Retracted",LEFT(D959,8)="Negative"),0,IF(COUNTIFS($B$2:B959,B959,$C$2:C959,C959,$D$2:D959,"&lt;&gt;Negative*",$T$2:T959,"&lt;&gt;Retracted")=1,1,0))</f>
        <v>1</v>
      </c>
    </row>
    <row r="960" spans="1:21" x14ac:dyDescent="0.2">
      <c r="A960" t="s">
        <v>2845</v>
      </c>
      <c r="B960" t="s">
        <v>534</v>
      </c>
      <c r="C960" t="s">
        <v>1148</v>
      </c>
      <c r="D960" t="s">
        <v>1575</v>
      </c>
      <c r="E960" t="s">
        <v>535</v>
      </c>
      <c r="F960" t="s">
        <v>1583</v>
      </c>
      <c r="I960" t="s">
        <v>1058</v>
      </c>
      <c r="K960">
        <v>1917</v>
      </c>
      <c r="L960">
        <v>1918</v>
      </c>
      <c r="M960" t="s">
        <v>209</v>
      </c>
      <c r="N960" t="s">
        <v>209</v>
      </c>
      <c r="Q960" s="2" t="str">
        <f>IF($C960="","",IFERROR(VLOOKUP($C960,sources!$A$2:$N$200,2,FALSE()),"?"))</f>
        <v>Report</v>
      </c>
      <c r="R960" s="2" t="str">
        <f t="shared" si="14"/>
        <v>Textual</v>
      </c>
      <c r="S960" s="2" t="str">
        <f>IF($C960="","",IFERROR(VLOOKUP($C960,sources!$A$2:$N$200,9,FALSE()),"?"))</f>
        <v>US official</v>
      </c>
      <c r="T960" t="s">
        <v>5692</v>
      </c>
      <c r="U960">
        <f>IF(OR(B960="",C960="",T960="Retracted",LEFT(D960,8)="Negative"),0,IF(COUNTIFS($B$2:B960,B960,$C$2:C960,C960,$D$2:D960,"&lt;&gt;Negative*",$T$2:T960,"&lt;&gt;Retracted")=1,1,0))</f>
        <v>1</v>
      </c>
    </row>
    <row r="961" spans="1:21" x14ac:dyDescent="0.2">
      <c r="A961" t="s">
        <v>2846</v>
      </c>
      <c r="B961" t="s">
        <v>538</v>
      </c>
      <c r="C961" t="s">
        <v>1148</v>
      </c>
      <c r="D961" t="s">
        <v>1575</v>
      </c>
      <c r="E961" t="s">
        <v>539</v>
      </c>
      <c r="F961" t="s">
        <v>1583</v>
      </c>
      <c r="I961" t="s">
        <v>1058</v>
      </c>
      <c r="K961">
        <v>1919</v>
      </c>
      <c r="L961">
        <v>1920</v>
      </c>
      <c r="M961" t="s">
        <v>209</v>
      </c>
      <c r="N961" t="s">
        <v>209</v>
      </c>
      <c r="Q961" s="2" t="str">
        <f>IF($C961="","",IFERROR(VLOOKUP($C961,sources!$A$2:$N$200,2,FALSE()),"?"))</f>
        <v>Report</v>
      </c>
      <c r="R961" s="2" t="str">
        <f t="shared" si="14"/>
        <v>Textual</v>
      </c>
      <c r="S961" s="2" t="str">
        <f>IF($C961="","",IFERROR(VLOOKUP($C961,sources!$A$2:$N$200,9,FALSE()),"?"))</f>
        <v>US official</v>
      </c>
      <c r="T961" t="s">
        <v>5692</v>
      </c>
      <c r="U961">
        <f>IF(OR(B961="",C961="",T961="Retracted",LEFT(D961,8)="Negative"),0,IF(COUNTIFS($B$2:B961,B961,$C$2:C961,C961,$D$2:D961,"&lt;&gt;Negative*",$T$2:T961,"&lt;&gt;Retracted")=1,1,0))</f>
        <v>1</v>
      </c>
    </row>
    <row r="962" spans="1:21" x14ac:dyDescent="0.2">
      <c r="A962" t="s">
        <v>2847</v>
      </c>
      <c r="B962" t="s">
        <v>542</v>
      </c>
      <c r="C962" t="s">
        <v>1148</v>
      </c>
      <c r="D962" t="s">
        <v>1575</v>
      </c>
      <c r="E962" t="s">
        <v>543</v>
      </c>
      <c r="F962" t="s">
        <v>1583</v>
      </c>
      <c r="I962" t="s">
        <v>1058</v>
      </c>
      <c r="K962">
        <v>1928</v>
      </c>
      <c r="L962">
        <v>1929</v>
      </c>
      <c r="M962" t="s">
        <v>209</v>
      </c>
      <c r="N962" t="s">
        <v>209</v>
      </c>
      <c r="Q962" s="2" t="str">
        <f>IF($C962="","",IFERROR(VLOOKUP($C962,sources!$A$2:$N$200,2,FALSE()),"?"))</f>
        <v>Report</v>
      </c>
      <c r="R962" s="2" t="str">
        <f t="shared" ref="R962:R1025" si="15">IF($Q962="","",IF($Q962="Map","Map",IF(OR($Q962="Photograph",$Q962="Postcard"),"Image",IF(OR($Q962="Census or roll",$Q962="Report",$Q962="Newspaper",$Q962="Letter",$Q962="Memoir",$Q962="Administrative",$Q962="Web compilation"),"Textual",IF($Q962="Legal claim","Legal/admin",IF($Q962="Secondary","Secondary","Other"))))))</f>
        <v>Textual</v>
      </c>
      <c r="S962" s="2" t="str">
        <f>IF($C962="","",IFERROR(VLOOKUP($C962,sources!$A$2:$N$200,9,FALSE()),"?"))</f>
        <v>US official</v>
      </c>
      <c r="T962" t="s">
        <v>5692</v>
      </c>
      <c r="U962">
        <f>IF(OR(B962="",C962="",T962="Retracted",LEFT(D962,8)="Negative"),0,IF(COUNTIFS($B$2:B962,B962,$C$2:C962,C962,$D$2:D962,"&lt;&gt;Negative*",$T$2:T962,"&lt;&gt;Retracted")=1,1,0))</f>
        <v>1</v>
      </c>
    </row>
    <row r="963" spans="1:21" x14ac:dyDescent="0.2">
      <c r="A963" t="s">
        <v>2848</v>
      </c>
      <c r="B963" t="s">
        <v>547</v>
      </c>
      <c r="C963" t="s">
        <v>1148</v>
      </c>
      <c r="D963" t="s">
        <v>1575</v>
      </c>
      <c r="E963" t="s">
        <v>548</v>
      </c>
      <c r="F963" t="s">
        <v>1583</v>
      </c>
      <c r="I963" t="s">
        <v>1058</v>
      </c>
      <c r="K963">
        <v>1919</v>
      </c>
      <c r="L963">
        <v>1920</v>
      </c>
      <c r="M963" t="s">
        <v>209</v>
      </c>
      <c r="N963" t="s">
        <v>209</v>
      </c>
      <c r="Q963" s="2" t="str">
        <f>IF($C963="","",IFERROR(VLOOKUP($C963,sources!$A$2:$N$200,2,FALSE()),"?"))</f>
        <v>Report</v>
      </c>
      <c r="R963" s="2" t="str">
        <f t="shared" si="15"/>
        <v>Textual</v>
      </c>
      <c r="S963" s="2" t="str">
        <f>IF($C963="","",IFERROR(VLOOKUP($C963,sources!$A$2:$N$200,9,FALSE()),"?"))</f>
        <v>US official</v>
      </c>
      <c r="T963" t="s">
        <v>5692</v>
      </c>
      <c r="U963">
        <f>IF(OR(B963="",C963="",T963="Retracted",LEFT(D963,8)="Negative"),0,IF(COUNTIFS($B$2:B963,B963,$C$2:C963,C963,$D$2:D963,"&lt;&gt;Negative*",$T$2:T963,"&lt;&gt;Retracted")=1,1,0))</f>
        <v>1</v>
      </c>
    </row>
    <row r="964" spans="1:21" x14ac:dyDescent="0.2">
      <c r="A964" t="s">
        <v>2849</v>
      </c>
      <c r="B964" t="s">
        <v>552</v>
      </c>
      <c r="C964" t="s">
        <v>1148</v>
      </c>
      <c r="D964" t="s">
        <v>1575</v>
      </c>
      <c r="E964" t="s">
        <v>554</v>
      </c>
      <c r="F964" t="s">
        <v>1583</v>
      </c>
      <c r="I964" t="s">
        <v>1058</v>
      </c>
      <c r="K964">
        <v>1917</v>
      </c>
      <c r="L964">
        <v>1918</v>
      </c>
      <c r="M964" t="s">
        <v>209</v>
      </c>
      <c r="N964" t="s">
        <v>209</v>
      </c>
      <c r="Q964" s="2" t="str">
        <f>IF($C964="","",IFERROR(VLOOKUP($C964,sources!$A$2:$N$200,2,FALSE()),"?"))</f>
        <v>Report</v>
      </c>
      <c r="R964" s="2" t="str">
        <f t="shared" si="15"/>
        <v>Textual</v>
      </c>
      <c r="S964" s="2" t="str">
        <f>IF($C964="","",IFERROR(VLOOKUP($C964,sources!$A$2:$N$200,9,FALSE()),"?"))</f>
        <v>US official</v>
      </c>
      <c r="T964" t="s">
        <v>5692</v>
      </c>
      <c r="U964">
        <f>IF(OR(B964="",C964="",T964="Retracted",LEFT(D964,8)="Negative"),0,IF(COUNTIFS($B$2:B964,B964,$C$2:C964,C964,$D$2:D964,"&lt;&gt;Negative*",$T$2:T964,"&lt;&gt;Retracted")=1,1,0))</f>
        <v>1</v>
      </c>
    </row>
    <row r="965" spans="1:21" x14ac:dyDescent="0.2">
      <c r="A965" t="s">
        <v>2850</v>
      </c>
      <c r="B965" t="s">
        <v>386</v>
      </c>
      <c r="C965" t="s">
        <v>1148</v>
      </c>
      <c r="D965" t="s">
        <v>1613</v>
      </c>
      <c r="E965" t="s">
        <v>560</v>
      </c>
      <c r="F965" t="s">
        <v>1583</v>
      </c>
      <c r="I965" t="s">
        <v>1058</v>
      </c>
      <c r="K965">
        <v>1907</v>
      </c>
      <c r="L965">
        <v>1941</v>
      </c>
      <c r="M965" t="s">
        <v>209</v>
      </c>
      <c r="N965" t="s">
        <v>203</v>
      </c>
      <c r="Q965" s="2" t="str">
        <f>IF($C965="","",IFERROR(VLOOKUP($C965,sources!$A$2:$N$200,2,FALSE()),"?"))</f>
        <v>Report</v>
      </c>
      <c r="R965" s="2" t="str">
        <f t="shared" si="15"/>
        <v>Textual</v>
      </c>
      <c r="S965" s="2" t="str">
        <f>IF($C965="","",IFERROR(VLOOKUP($C965,sources!$A$2:$N$200,9,FALSE()),"?"))</f>
        <v>US official</v>
      </c>
      <c r="T965" t="s">
        <v>5692</v>
      </c>
      <c r="U965">
        <f>IF(OR(B965="",C965="",T965="Retracted",LEFT(D965,8)="Negative"),0,IF(COUNTIFS($B$2:B965,B965,$C$2:C965,C965,$D$2:D965,"&lt;&gt;Negative*",$T$2:T965,"&lt;&gt;Retracted")=1,1,0))</f>
        <v>0</v>
      </c>
    </row>
    <row r="966" spans="1:21" x14ac:dyDescent="0.2">
      <c r="A966" t="s">
        <v>2851</v>
      </c>
      <c r="B966" t="s">
        <v>584</v>
      </c>
      <c r="C966" t="s">
        <v>1148</v>
      </c>
      <c r="D966" t="s">
        <v>1575</v>
      </c>
      <c r="E966" t="s">
        <v>586</v>
      </c>
      <c r="F966" t="s">
        <v>1583</v>
      </c>
      <c r="I966" t="s">
        <v>1058</v>
      </c>
      <c r="K966">
        <v>1913</v>
      </c>
      <c r="L966">
        <v>1916</v>
      </c>
      <c r="M966" t="s">
        <v>209</v>
      </c>
      <c r="N966" t="s">
        <v>203</v>
      </c>
      <c r="Q966" s="2" t="str">
        <f>IF($C966="","",IFERROR(VLOOKUP($C966,sources!$A$2:$N$200,2,FALSE()),"?"))</f>
        <v>Report</v>
      </c>
      <c r="R966" s="2" t="str">
        <f t="shared" si="15"/>
        <v>Textual</v>
      </c>
      <c r="S966" s="2" t="str">
        <f>IF($C966="","",IFERROR(VLOOKUP($C966,sources!$A$2:$N$200,9,FALSE()),"?"))</f>
        <v>US official</v>
      </c>
      <c r="T966" t="s">
        <v>5692</v>
      </c>
      <c r="U966">
        <f>IF(OR(B966="",C966="",T966="Retracted",LEFT(D966,8)="Negative"),0,IF(COUNTIFS($B$2:B966,B966,$C$2:C966,C966,$D$2:D966,"&lt;&gt;Negative*",$T$2:T966,"&lt;&gt;Retracted")=1,1,0))</f>
        <v>1</v>
      </c>
    </row>
    <row r="967" spans="1:21" x14ac:dyDescent="0.2">
      <c r="A967" t="s">
        <v>2852</v>
      </c>
      <c r="B967" t="s">
        <v>599</v>
      </c>
      <c r="C967" t="s">
        <v>1148</v>
      </c>
      <c r="D967" t="s">
        <v>1575</v>
      </c>
      <c r="E967" t="s">
        <v>2853</v>
      </c>
      <c r="F967" t="s">
        <v>1583</v>
      </c>
      <c r="I967" t="s">
        <v>1058</v>
      </c>
      <c r="K967">
        <v>1907</v>
      </c>
      <c r="L967">
        <v>1908</v>
      </c>
      <c r="M967" t="s">
        <v>209</v>
      </c>
      <c r="N967" t="s">
        <v>203</v>
      </c>
      <c r="Q967" s="2" t="str">
        <f>IF($C967="","",IFERROR(VLOOKUP($C967,sources!$A$2:$N$200,2,FALSE()),"?"))</f>
        <v>Report</v>
      </c>
      <c r="R967" s="2" t="str">
        <f t="shared" si="15"/>
        <v>Textual</v>
      </c>
      <c r="S967" s="2" t="str">
        <f>IF($C967="","",IFERROR(VLOOKUP($C967,sources!$A$2:$N$200,9,FALSE()),"?"))</f>
        <v>US official</v>
      </c>
      <c r="T967" t="s">
        <v>5692</v>
      </c>
      <c r="U967">
        <f>IF(OR(B967="",C967="",T967="Retracted",LEFT(D967,8)="Negative"),0,IF(COUNTIFS($B$2:B967,B967,$C$2:C967,C967,$D$2:D967,"&lt;&gt;Negative*",$T$2:T967,"&lt;&gt;Retracted")=1,1,0))</f>
        <v>1</v>
      </c>
    </row>
    <row r="968" spans="1:21" x14ac:dyDescent="0.2">
      <c r="A968" t="s">
        <v>2854</v>
      </c>
      <c r="B968" t="s">
        <v>639</v>
      </c>
      <c r="C968" t="s">
        <v>1148</v>
      </c>
      <c r="D968" t="s">
        <v>1613</v>
      </c>
      <c r="E968" t="s">
        <v>2855</v>
      </c>
      <c r="F968" t="s">
        <v>1583</v>
      </c>
      <c r="I968" t="s">
        <v>1058</v>
      </c>
      <c r="K968">
        <v>1907</v>
      </c>
      <c r="L968">
        <v>1941</v>
      </c>
      <c r="M968" t="s">
        <v>209</v>
      </c>
      <c r="N968" t="s">
        <v>190</v>
      </c>
      <c r="Q968" s="2" t="str">
        <f>IF($C968="","",IFERROR(VLOOKUP($C968,sources!$A$2:$N$200,2,FALSE()),"?"))</f>
        <v>Report</v>
      </c>
      <c r="R968" s="2" t="str">
        <f t="shared" si="15"/>
        <v>Textual</v>
      </c>
      <c r="S968" s="2" t="str">
        <f>IF($C968="","",IFERROR(VLOOKUP($C968,sources!$A$2:$N$200,9,FALSE()),"?"))</f>
        <v>US official</v>
      </c>
      <c r="T968" t="s">
        <v>5692</v>
      </c>
      <c r="U968">
        <f>IF(OR(B968="",C968="",T968="Retracted",LEFT(D968,8)="Negative"),0,IF(COUNTIFS($B$2:B968,B968,$C$2:C968,C968,$D$2:D968,"&lt;&gt;Negative*",$T$2:T968,"&lt;&gt;Retracted")=1,1,0))</f>
        <v>0</v>
      </c>
    </row>
    <row r="969" spans="1:21" x14ac:dyDescent="0.2">
      <c r="A969" t="s">
        <v>2856</v>
      </c>
      <c r="B969" t="s">
        <v>287</v>
      </c>
      <c r="C969" t="s">
        <v>1148</v>
      </c>
      <c r="D969" t="s">
        <v>1613</v>
      </c>
      <c r="E969" t="s">
        <v>2857</v>
      </c>
      <c r="F969" t="s">
        <v>1583</v>
      </c>
      <c r="I969" t="s">
        <v>1058</v>
      </c>
      <c r="K969">
        <v>1907</v>
      </c>
      <c r="L969">
        <v>1941</v>
      </c>
      <c r="M969" t="s">
        <v>209</v>
      </c>
      <c r="N969" t="s">
        <v>209</v>
      </c>
      <c r="Q969" s="2" t="str">
        <f>IF($C969="","",IFERROR(VLOOKUP($C969,sources!$A$2:$N$200,2,FALSE()),"?"))</f>
        <v>Report</v>
      </c>
      <c r="R969" s="2" t="str">
        <f t="shared" si="15"/>
        <v>Textual</v>
      </c>
      <c r="S969" s="2" t="str">
        <f>IF($C969="","",IFERROR(VLOOKUP($C969,sources!$A$2:$N$200,9,FALSE()),"?"))</f>
        <v>US official</v>
      </c>
      <c r="T969" t="s">
        <v>5692</v>
      </c>
      <c r="U969">
        <f>IF(OR(B969="",C969="",T969="Retracted",LEFT(D969,8)="Negative"),0,IF(COUNTIFS($B$2:B969,B969,$C$2:C969,C969,$D$2:D969,"&lt;&gt;Negative*",$T$2:T969,"&lt;&gt;Retracted")=1,1,0))</f>
        <v>0</v>
      </c>
    </row>
    <row r="970" spans="1:21" x14ac:dyDescent="0.2">
      <c r="A970" t="s">
        <v>2858</v>
      </c>
      <c r="B970" t="s">
        <v>294</v>
      </c>
      <c r="C970" t="s">
        <v>1148</v>
      </c>
      <c r="D970" t="s">
        <v>1613</v>
      </c>
      <c r="E970" t="s">
        <v>2859</v>
      </c>
      <c r="F970" t="s">
        <v>1583</v>
      </c>
      <c r="I970" t="s">
        <v>1058</v>
      </c>
      <c r="K970">
        <v>1907</v>
      </c>
      <c r="L970">
        <v>1941</v>
      </c>
      <c r="M970" t="s">
        <v>209</v>
      </c>
      <c r="N970" t="s">
        <v>209</v>
      </c>
      <c r="Q970" s="2" t="str">
        <f>IF($C970="","",IFERROR(VLOOKUP($C970,sources!$A$2:$N$200,2,FALSE()),"?"))</f>
        <v>Report</v>
      </c>
      <c r="R970" s="2" t="str">
        <f t="shared" si="15"/>
        <v>Textual</v>
      </c>
      <c r="S970" s="2" t="str">
        <f>IF($C970="","",IFERROR(VLOOKUP($C970,sources!$A$2:$N$200,9,FALSE()),"?"))</f>
        <v>US official</v>
      </c>
      <c r="T970" t="s">
        <v>5692</v>
      </c>
      <c r="U970">
        <f>IF(OR(B970="",C970="",T970="Retracted",LEFT(D970,8)="Negative"),0,IF(COUNTIFS($B$2:B970,B970,$C$2:C970,C970,$D$2:D970,"&lt;&gt;Negative*",$T$2:T970,"&lt;&gt;Retracted")=1,1,0))</f>
        <v>0</v>
      </c>
    </row>
    <row r="971" spans="1:21" x14ac:dyDescent="0.2">
      <c r="A971" t="s">
        <v>2860</v>
      </c>
      <c r="B971" t="s">
        <v>660</v>
      </c>
      <c r="C971" t="s">
        <v>1148</v>
      </c>
      <c r="D971" t="s">
        <v>1613</v>
      </c>
      <c r="E971" t="s">
        <v>2861</v>
      </c>
      <c r="F971" t="s">
        <v>1583</v>
      </c>
      <c r="I971" t="s">
        <v>1058</v>
      </c>
      <c r="K971">
        <v>1907</v>
      </c>
      <c r="L971">
        <v>1941</v>
      </c>
      <c r="M971" t="s">
        <v>209</v>
      </c>
      <c r="N971" t="s">
        <v>209</v>
      </c>
      <c r="Q971" s="2" t="str">
        <f>IF($C971="","",IFERROR(VLOOKUP($C971,sources!$A$2:$N$200,2,FALSE()),"?"))</f>
        <v>Report</v>
      </c>
      <c r="R971" s="2" t="str">
        <f t="shared" si="15"/>
        <v>Textual</v>
      </c>
      <c r="S971" s="2" t="str">
        <f>IF($C971="","",IFERROR(VLOOKUP($C971,sources!$A$2:$N$200,9,FALSE()),"?"))</f>
        <v>US official</v>
      </c>
      <c r="T971" t="s">
        <v>5692</v>
      </c>
      <c r="U971">
        <f>IF(OR(B971="",C971="",T971="Retracted",LEFT(D971,8)="Negative"),0,IF(COUNTIFS($B$2:B971,B971,$C$2:C971,C971,$D$2:D971,"&lt;&gt;Negative*",$T$2:T971,"&lt;&gt;Retracted")=1,1,0))</f>
        <v>0</v>
      </c>
    </row>
    <row r="972" spans="1:21" x14ac:dyDescent="0.2">
      <c r="A972" t="s">
        <v>2862</v>
      </c>
      <c r="B972" t="s">
        <v>317</v>
      </c>
      <c r="C972" t="s">
        <v>1148</v>
      </c>
      <c r="D972" t="s">
        <v>1575</v>
      </c>
      <c r="E972" t="s">
        <v>2863</v>
      </c>
      <c r="F972" t="s">
        <v>1583</v>
      </c>
      <c r="I972" t="s">
        <v>1058</v>
      </c>
      <c r="K972">
        <v>1909</v>
      </c>
      <c r="L972">
        <v>1910</v>
      </c>
      <c r="M972" t="s">
        <v>209</v>
      </c>
      <c r="N972" t="s">
        <v>209</v>
      </c>
      <c r="Q972" s="2" t="str">
        <f>IF($C972="","",IFERROR(VLOOKUP($C972,sources!$A$2:$N$200,2,FALSE()),"?"))</f>
        <v>Report</v>
      </c>
      <c r="R972" s="2" t="str">
        <f t="shared" si="15"/>
        <v>Textual</v>
      </c>
      <c r="S972" s="2" t="str">
        <f>IF($C972="","",IFERROR(VLOOKUP($C972,sources!$A$2:$N$200,9,FALSE()),"?"))</f>
        <v>US official</v>
      </c>
      <c r="T972" t="s">
        <v>5692</v>
      </c>
      <c r="U972">
        <f>IF(OR(B972="",C972="",T972="Retracted",LEFT(D972,8)="Negative"),0,IF(COUNTIFS($B$2:B972,B972,$C$2:C972,C972,$D$2:D972,"&lt;&gt;Negative*",$T$2:T972,"&lt;&gt;Retracted")=1,1,0))</f>
        <v>1</v>
      </c>
    </row>
    <row r="973" spans="1:21" x14ac:dyDescent="0.2">
      <c r="A973" t="s">
        <v>2864</v>
      </c>
      <c r="B973" t="s">
        <v>322</v>
      </c>
      <c r="C973" t="s">
        <v>1148</v>
      </c>
      <c r="D973" t="s">
        <v>1613</v>
      </c>
      <c r="E973" t="s">
        <v>2865</v>
      </c>
      <c r="F973" t="s">
        <v>1583</v>
      </c>
      <c r="I973" t="s">
        <v>1058</v>
      </c>
      <c r="K973">
        <v>1907</v>
      </c>
      <c r="L973">
        <v>1941</v>
      </c>
      <c r="M973" t="s">
        <v>209</v>
      </c>
      <c r="N973" t="s">
        <v>209</v>
      </c>
      <c r="Q973" s="2" t="str">
        <f>IF($C973="","",IFERROR(VLOOKUP($C973,sources!$A$2:$N$200,2,FALSE()),"?"))</f>
        <v>Report</v>
      </c>
      <c r="R973" s="2" t="str">
        <f t="shared" si="15"/>
        <v>Textual</v>
      </c>
      <c r="S973" s="2" t="str">
        <f>IF($C973="","",IFERROR(VLOOKUP($C973,sources!$A$2:$N$200,9,FALSE()),"?"))</f>
        <v>US official</v>
      </c>
      <c r="T973" t="s">
        <v>5692</v>
      </c>
      <c r="U973">
        <f>IF(OR(B973="",C973="",T973="Retracted",LEFT(D973,8)="Negative"),0,IF(COUNTIFS($B$2:B973,B973,$C$2:C973,C973,$D$2:D973,"&lt;&gt;Negative*",$T$2:T973,"&lt;&gt;Retracted")=1,1,0))</f>
        <v>0</v>
      </c>
    </row>
    <row r="974" spans="1:21" x14ac:dyDescent="0.2">
      <c r="A974" t="s">
        <v>2866</v>
      </c>
      <c r="B974" t="s">
        <v>652</v>
      </c>
      <c r="C974" t="s">
        <v>1148</v>
      </c>
      <c r="D974" t="s">
        <v>1575</v>
      </c>
      <c r="E974" t="s">
        <v>2867</v>
      </c>
      <c r="F974" t="s">
        <v>1583</v>
      </c>
      <c r="I974" t="s">
        <v>1058</v>
      </c>
      <c r="K974">
        <v>1908</v>
      </c>
      <c r="L974">
        <v>1909</v>
      </c>
      <c r="M974" t="s">
        <v>209</v>
      </c>
      <c r="N974" t="s">
        <v>209</v>
      </c>
      <c r="Q974" s="2" t="str">
        <f>IF($C974="","",IFERROR(VLOOKUP($C974,sources!$A$2:$N$200,2,FALSE()),"?"))</f>
        <v>Report</v>
      </c>
      <c r="R974" s="2" t="str">
        <f t="shared" si="15"/>
        <v>Textual</v>
      </c>
      <c r="S974" s="2" t="str">
        <f>IF($C974="","",IFERROR(VLOOKUP($C974,sources!$A$2:$N$200,9,FALSE()),"?"))</f>
        <v>US official</v>
      </c>
      <c r="T974" t="s">
        <v>5692</v>
      </c>
      <c r="U974">
        <f>IF(OR(B974="",C974="",T974="Retracted",LEFT(D974,8)="Negative"),0,IF(COUNTIFS($B$2:B974,B974,$C$2:C974,C974,$D$2:D974,"&lt;&gt;Negative*",$T$2:T974,"&lt;&gt;Retracted")=1,1,0))</f>
        <v>1</v>
      </c>
    </row>
    <row r="975" spans="1:21" x14ac:dyDescent="0.2">
      <c r="A975" t="s">
        <v>2868</v>
      </c>
      <c r="B975" t="s">
        <v>656</v>
      </c>
      <c r="C975" t="s">
        <v>1148</v>
      </c>
      <c r="D975" t="s">
        <v>1575</v>
      </c>
      <c r="E975" t="s">
        <v>2869</v>
      </c>
      <c r="F975" t="s">
        <v>1583</v>
      </c>
      <c r="I975" t="s">
        <v>1058</v>
      </c>
      <c r="K975">
        <v>1907</v>
      </c>
      <c r="L975">
        <v>1908</v>
      </c>
      <c r="M975" t="s">
        <v>209</v>
      </c>
      <c r="N975" t="s">
        <v>209</v>
      </c>
      <c r="Q975" s="2" t="str">
        <f>IF($C975="","",IFERROR(VLOOKUP($C975,sources!$A$2:$N$200,2,FALSE()),"?"))</f>
        <v>Report</v>
      </c>
      <c r="R975" s="2" t="str">
        <f t="shared" si="15"/>
        <v>Textual</v>
      </c>
      <c r="S975" s="2" t="str">
        <f>IF($C975="","",IFERROR(VLOOKUP($C975,sources!$A$2:$N$200,9,FALSE()),"?"))</f>
        <v>US official</v>
      </c>
      <c r="T975" t="s">
        <v>5692</v>
      </c>
      <c r="U975">
        <f>IF(OR(B975="",C975="",T975="Retracted",LEFT(D975,8)="Negative"),0,IF(COUNTIFS($B$2:B975,B975,$C$2:C975,C975,$D$2:D975,"&lt;&gt;Negative*",$T$2:T975,"&lt;&gt;Retracted")=1,1,0))</f>
        <v>1</v>
      </c>
    </row>
    <row r="976" spans="1:21" x14ac:dyDescent="0.2">
      <c r="A976" t="s">
        <v>2870</v>
      </c>
      <c r="B976" t="s">
        <v>660</v>
      </c>
      <c r="C976" t="s">
        <v>1148</v>
      </c>
      <c r="D976" t="s">
        <v>1613</v>
      </c>
      <c r="E976" t="s">
        <v>2871</v>
      </c>
      <c r="F976" t="s">
        <v>1583</v>
      </c>
      <c r="I976" t="s">
        <v>1058</v>
      </c>
      <c r="K976">
        <v>1907</v>
      </c>
      <c r="L976">
        <v>1941</v>
      </c>
      <c r="M976" t="s">
        <v>209</v>
      </c>
      <c r="N976" t="s">
        <v>209</v>
      </c>
      <c r="Q976" s="2" t="str">
        <f>IF($C976="","",IFERROR(VLOOKUP($C976,sources!$A$2:$N$200,2,FALSE()),"?"))</f>
        <v>Report</v>
      </c>
      <c r="R976" s="2" t="str">
        <f t="shared" si="15"/>
        <v>Textual</v>
      </c>
      <c r="S976" s="2" t="str">
        <f>IF($C976="","",IFERROR(VLOOKUP($C976,sources!$A$2:$N$200,9,FALSE()),"?"))</f>
        <v>US official</v>
      </c>
      <c r="T976" t="s">
        <v>5692</v>
      </c>
      <c r="U976">
        <f>IF(OR(B976="",C976="",T976="Retracted",LEFT(D976,8)="Negative"),0,IF(COUNTIFS($B$2:B976,B976,$C$2:C976,C976,$D$2:D976,"&lt;&gt;Negative*",$T$2:T976,"&lt;&gt;Retracted")=1,1,0))</f>
        <v>0</v>
      </c>
    </row>
    <row r="977" spans="1:21" x14ac:dyDescent="0.2">
      <c r="A977" t="s">
        <v>2872</v>
      </c>
      <c r="B977" t="s">
        <v>663</v>
      </c>
      <c r="C977" t="s">
        <v>1148</v>
      </c>
      <c r="D977" t="s">
        <v>1575</v>
      </c>
      <c r="E977" t="s">
        <v>2873</v>
      </c>
      <c r="F977" t="s">
        <v>1583</v>
      </c>
      <c r="I977" t="s">
        <v>1058</v>
      </c>
      <c r="K977">
        <v>1907</v>
      </c>
      <c r="L977">
        <v>1908</v>
      </c>
      <c r="M977" t="s">
        <v>209</v>
      </c>
      <c r="N977" t="s">
        <v>209</v>
      </c>
      <c r="Q977" s="2" t="str">
        <f>IF($C977="","",IFERROR(VLOOKUP($C977,sources!$A$2:$N$200,2,FALSE()),"?"))</f>
        <v>Report</v>
      </c>
      <c r="R977" s="2" t="str">
        <f t="shared" si="15"/>
        <v>Textual</v>
      </c>
      <c r="S977" s="2" t="str">
        <f>IF($C977="","",IFERROR(VLOOKUP($C977,sources!$A$2:$N$200,9,FALSE()),"?"))</f>
        <v>US official</v>
      </c>
      <c r="T977" t="s">
        <v>5692</v>
      </c>
      <c r="U977">
        <f>IF(OR(B977="",C977="",T977="Retracted",LEFT(D977,8)="Negative"),0,IF(COUNTIFS($B$2:B977,B977,$C$2:C977,C977,$D$2:D977,"&lt;&gt;Negative*",$T$2:T977,"&lt;&gt;Retracted")=1,1,0))</f>
        <v>1</v>
      </c>
    </row>
    <row r="978" spans="1:21" x14ac:dyDescent="0.2">
      <c r="A978" t="s">
        <v>2874</v>
      </c>
      <c r="B978" t="s">
        <v>667</v>
      </c>
      <c r="C978" t="s">
        <v>1148</v>
      </c>
      <c r="D978" t="s">
        <v>1575</v>
      </c>
      <c r="E978" t="s">
        <v>2875</v>
      </c>
      <c r="F978" t="s">
        <v>1583</v>
      </c>
      <c r="I978" t="s">
        <v>1058</v>
      </c>
      <c r="K978">
        <v>1909</v>
      </c>
      <c r="L978">
        <v>1910</v>
      </c>
      <c r="M978" t="s">
        <v>209</v>
      </c>
      <c r="N978" t="s">
        <v>209</v>
      </c>
      <c r="Q978" s="2" t="str">
        <f>IF($C978="","",IFERROR(VLOOKUP($C978,sources!$A$2:$N$200,2,FALSE()),"?"))</f>
        <v>Report</v>
      </c>
      <c r="R978" s="2" t="str">
        <f t="shared" si="15"/>
        <v>Textual</v>
      </c>
      <c r="S978" s="2" t="str">
        <f>IF($C978="","",IFERROR(VLOOKUP($C978,sources!$A$2:$N$200,9,FALSE()),"?"))</f>
        <v>US official</v>
      </c>
      <c r="T978" t="s">
        <v>5692</v>
      </c>
      <c r="U978">
        <f>IF(OR(B978="",C978="",T978="Retracted",LEFT(D978,8)="Negative"),0,IF(COUNTIFS($B$2:B978,B978,$C$2:C978,C978,$D$2:D978,"&lt;&gt;Negative*",$T$2:T978,"&lt;&gt;Retracted")=1,1,0))</f>
        <v>1</v>
      </c>
    </row>
    <row r="979" spans="1:21" x14ac:dyDescent="0.2">
      <c r="A979" t="s">
        <v>2876</v>
      </c>
      <c r="B979" t="s">
        <v>670</v>
      </c>
      <c r="C979" t="s">
        <v>1148</v>
      </c>
      <c r="D979" t="s">
        <v>1613</v>
      </c>
      <c r="E979" t="s">
        <v>2877</v>
      </c>
      <c r="F979" t="s">
        <v>1583</v>
      </c>
      <c r="I979" t="s">
        <v>1058</v>
      </c>
      <c r="K979">
        <v>1907</v>
      </c>
      <c r="L979">
        <v>1941</v>
      </c>
      <c r="M979" t="s">
        <v>209</v>
      </c>
      <c r="N979" t="s">
        <v>209</v>
      </c>
      <c r="Q979" s="2" t="str">
        <f>IF($C979="","",IFERROR(VLOOKUP($C979,sources!$A$2:$N$200,2,FALSE()),"?"))</f>
        <v>Report</v>
      </c>
      <c r="R979" s="2" t="str">
        <f t="shared" si="15"/>
        <v>Textual</v>
      </c>
      <c r="S979" s="2" t="str">
        <f>IF($C979="","",IFERROR(VLOOKUP($C979,sources!$A$2:$N$200,9,FALSE()),"?"))</f>
        <v>US official</v>
      </c>
      <c r="T979" t="s">
        <v>5692</v>
      </c>
      <c r="U979">
        <f>IF(OR(B979="",C979="",T979="Retracted",LEFT(D979,8)="Negative"),0,IF(COUNTIFS($B$2:B979,B979,$C$2:C979,C979,$D$2:D979,"&lt;&gt;Negative*",$T$2:T979,"&lt;&gt;Retracted")=1,1,0))</f>
        <v>0</v>
      </c>
    </row>
    <row r="980" spans="1:21" x14ac:dyDescent="0.2">
      <c r="A980" t="s">
        <v>2878</v>
      </c>
      <c r="B980" t="s">
        <v>673</v>
      </c>
      <c r="C980" t="s">
        <v>1148</v>
      </c>
      <c r="D980" t="s">
        <v>1575</v>
      </c>
      <c r="E980" t="s">
        <v>2879</v>
      </c>
      <c r="F980" t="s">
        <v>1583</v>
      </c>
      <c r="I980" t="s">
        <v>1058</v>
      </c>
      <c r="K980">
        <v>1909</v>
      </c>
      <c r="L980">
        <v>1914</v>
      </c>
      <c r="M980" t="s">
        <v>209</v>
      </c>
      <c r="N980" t="s">
        <v>203</v>
      </c>
      <c r="Q980" s="2" t="str">
        <f>IF($C980="","",IFERROR(VLOOKUP($C980,sources!$A$2:$N$200,2,FALSE()),"?"))</f>
        <v>Report</v>
      </c>
      <c r="R980" s="2" t="str">
        <f t="shared" si="15"/>
        <v>Textual</v>
      </c>
      <c r="S980" s="2" t="str">
        <f>IF($C980="","",IFERROR(VLOOKUP($C980,sources!$A$2:$N$200,9,FALSE()),"?"))</f>
        <v>US official</v>
      </c>
      <c r="T980" t="s">
        <v>5692</v>
      </c>
      <c r="U980">
        <f>IF(OR(B980="",C980="",T980="Retracted",LEFT(D980,8)="Negative"),0,IF(COUNTIFS($B$2:B980,B980,$C$2:C980,C980,$D$2:D980,"&lt;&gt;Negative*",$T$2:T980,"&lt;&gt;Retracted")=1,1,0))</f>
        <v>1</v>
      </c>
    </row>
    <row r="981" spans="1:21" x14ac:dyDescent="0.2">
      <c r="A981" t="s">
        <v>2880</v>
      </c>
      <c r="B981" t="s">
        <v>677</v>
      </c>
      <c r="C981" t="s">
        <v>1148</v>
      </c>
      <c r="D981" t="s">
        <v>1575</v>
      </c>
      <c r="E981" t="s">
        <v>2881</v>
      </c>
      <c r="F981" t="s">
        <v>1583</v>
      </c>
      <c r="I981" t="s">
        <v>1058</v>
      </c>
      <c r="K981">
        <v>1911</v>
      </c>
      <c r="L981">
        <v>1912</v>
      </c>
      <c r="M981" t="s">
        <v>209</v>
      </c>
      <c r="N981" t="s">
        <v>209</v>
      </c>
      <c r="Q981" s="2" t="str">
        <f>IF($C981="","",IFERROR(VLOOKUP($C981,sources!$A$2:$N$200,2,FALSE()),"?"))</f>
        <v>Report</v>
      </c>
      <c r="R981" s="2" t="str">
        <f t="shared" si="15"/>
        <v>Textual</v>
      </c>
      <c r="S981" s="2" t="str">
        <f>IF($C981="","",IFERROR(VLOOKUP($C981,sources!$A$2:$N$200,9,FALSE()),"?"))</f>
        <v>US official</v>
      </c>
      <c r="T981" t="s">
        <v>5692</v>
      </c>
      <c r="U981">
        <f>IF(OR(B981="",C981="",T981="Retracted",LEFT(D981,8)="Negative"),0,IF(COUNTIFS($B$2:B981,B981,$C$2:C981,C981,$D$2:D981,"&lt;&gt;Negative*",$T$2:T981,"&lt;&gt;Retracted")=1,1,0))</f>
        <v>0</v>
      </c>
    </row>
    <row r="982" spans="1:21" x14ac:dyDescent="0.2">
      <c r="A982" t="s">
        <v>2882</v>
      </c>
      <c r="B982" t="s">
        <v>680</v>
      </c>
      <c r="C982" t="s">
        <v>1148</v>
      </c>
      <c r="D982" t="s">
        <v>1575</v>
      </c>
      <c r="E982" t="s">
        <v>2883</v>
      </c>
      <c r="F982" t="s">
        <v>1583</v>
      </c>
      <c r="I982" t="s">
        <v>1058</v>
      </c>
      <c r="K982">
        <v>1912</v>
      </c>
      <c r="L982">
        <v>1913</v>
      </c>
      <c r="M982" t="s">
        <v>209</v>
      </c>
      <c r="N982" t="s">
        <v>209</v>
      </c>
      <c r="Q982" s="2" t="str">
        <f>IF($C982="","",IFERROR(VLOOKUP($C982,sources!$A$2:$N$200,2,FALSE()),"?"))</f>
        <v>Report</v>
      </c>
      <c r="R982" s="2" t="str">
        <f t="shared" si="15"/>
        <v>Textual</v>
      </c>
      <c r="S982" s="2" t="str">
        <f>IF($C982="","",IFERROR(VLOOKUP($C982,sources!$A$2:$N$200,9,FALSE()),"?"))</f>
        <v>US official</v>
      </c>
      <c r="T982" t="s">
        <v>5692</v>
      </c>
      <c r="U982">
        <f>IF(OR(B982="",C982="",T982="Retracted",LEFT(D982,8)="Negative"),0,IF(COUNTIFS($B$2:B982,B982,$C$2:C982,C982,$D$2:D982,"&lt;&gt;Negative*",$T$2:T982,"&lt;&gt;Retracted")=1,1,0))</f>
        <v>1</v>
      </c>
    </row>
    <row r="983" spans="1:21" x14ac:dyDescent="0.2">
      <c r="A983" t="s">
        <v>2884</v>
      </c>
      <c r="B983" t="s">
        <v>683</v>
      </c>
      <c r="C983" t="s">
        <v>1148</v>
      </c>
      <c r="D983" t="s">
        <v>1613</v>
      </c>
      <c r="E983" t="s">
        <v>2885</v>
      </c>
      <c r="F983" t="s">
        <v>1583</v>
      </c>
      <c r="I983" t="s">
        <v>1058</v>
      </c>
      <c r="K983">
        <v>1907</v>
      </c>
      <c r="L983">
        <v>1941</v>
      </c>
      <c r="M983" t="s">
        <v>209</v>
      </c>
      <c r="N983" t="s">
        <v>209</v>
      </c>
      <c r="Q983" s="2" t="str">
        <f>IF($C983="","",IFERROR(VLOOKUP($C983,sources!$A$2:$N$200,2,FALSE()),"?"))</f>
        <v>Report</v>
      </c>
      <c r="R983" s="2" t="str">
        <f t="shared" si="15"/>
        <v>Textual</v>
      </c>
      <c r="S983" s="2" t="str">
        <f>IF($C983="","",IFERROR(VLOOKUP($C983,sources!$A$2:$N$200,9,FALSE()),"?"))</f>
        <v>US official</v>
      </c>
      <c r="T983" t="s">
        <v>5692</v>
      </c>
      <c r="U983">
        <f>IF(OR(B983="",C983="",T983="Retracted",LEFT(D983,8)="Negative"),0,IF(COUNTIFS($B$2:B983,B983,$C$2:C983,C983,$D$2:D983,"&lt;&gt;Negative*",$T$2:T983,"&lt;&gt;Retracted")=1,1,0))</f>
        <v>0</v>
      </c>
    </row>
    <row r="984" spans="1:21" x14ac:dyDescent="0.2">
      <c r="A984" t="s">
        <v>2886</v>
      </c>
      <c r="B984" t="s">
        <v>686</v>
      </c>
      <c r="C984" t="s">
        <v>1148</v>
      </c>
      <c r="D984" t="s">
        <v>1613</v>
      </c>
      <c r="E984" t="s">
        <v>2887</v>
      </c>
      <c r="F984" t="s">
        <v>1583</v>
      </c>
      <c r="I984" t="s">
        <v>1058</v>
      </c>
      <c r="K984">
        <v>1907</v>
      </c>
      <c r="L984">
        <v>1941</v>
      </c>
      <c r="M984" t="s">
        <v>209</v>
      </c>
      <c r="N984" t="s">
        <v>209</v>
      </c>
      <c r="Q984" s="2" t="str">
        <f>IF($C984="","",IFERROR(VLOOKUP($C984,sources!$A$2:$N$200,2,FALSE()),"?"))</f>
        <v>Report</v>
      </c>
      <c r="R984" s="2" t="str">
        <f t="shared" si="15"/>
        <v>Textual</v>
      </c>
      <c r="S984" s="2" t="str">
        <f>IF($C984="","",IFERROR(VLOOKUP($C984,sources!$A$2:$N$200,9,FALSE()),"?"))</f>
        <v>US official</v>
      </c>
      <c r="T984" t="s">
        <v>5692</v>
      </c>
      <c r="U984">
        <f>IF(OR(B984="",C984="",T984="Retracted",LEFT(D984,8)="Negative"),0,IF(COUNTIFS($B$2:B984,B984,$C$2:C984,C984,$D$2:D984,"&lt;&gt;Negative*",$T$2:T984,"&lt;&gt;Retracted")=1,1,0))</f>
        <v>0</v>
      </c>
    </row>
    <row r="985" spans="1:21" x14ac:dyDescent="0.2">
      <c r="A985" t="s">
        <v>2888</v>
      </c>
      <c r="B985" t="s">
        <v>689</v>
      </c>
      <c r="C985" t="s">
        <v>1148</v>
      </c>
      <c r="D985" t="s">
        <v>1575</v>
      </c>
      <c r="E985" t="s">
        <v>2889</v>
      </c>
      <c r="F985" t="s">
        <v>1583</v>
      </c>
      <c r="I985" t="s">
        <v>1058</v>
      </c>
      <c r="K985">
        <v>1908</v>
      </c>
      <c r="L985">
        <v>1909</v>
      </c>
      <c r="M985" t="s">
        <v>209</v>
      </c>
      <c r="N985" t="s">
        <v>209</v>
      </c>
      <c r="Q985" s="2" t="str">
        <f>IF($C985="","",IFERROR(VLOOKUP($C985,sources!$A$2:$N$200,2,FALSE()),"?"))</f>
        <v>Report</v>
      </c>
      <c r="R985" s="2" t="str">
        <f t="shared" si="15"/>
        <v>Textual</v>
      </c>
      <c r="S985" s="2" t="str">
        <f>IF($C985="","",IFERROR(VLOOKUP($C985,sources!$A$2:$N$200,9,FALSE()),"?"))</f>
        <v>US official</v>
      </c>
      <c r="T985" t="s">
        <v>5692</v>
      </c>
      <c r="U985">
        <f>IF(OR(B985="",C985="",T985="Retracted",LEFT(D985,8)="Negative"),0,IF(COUNTIFS($B$2:B985,B985,$C$2:C985,C985,$D$2:D985,"&lt;&gt;Negative*",$T$2:T985,"&lt;&gt;Retracted")=1,1,0))</f>
        <v>1</v>
      </c>
    </row>
    <row r="986" spans="1:21" x14ac:dyDescent="0.2">
      <c r="A986" t="s">
        <v>2890</v>
      </c>
      <c r="B986" t="s">
        <v>693</v>
      </c>
      <c r="C986" t="s">
        <v>1148</v>
      </c>
      <c r="D986" t="s">
        <v>1575</v>
      </c>
      <c r="E986" t="s">
        <v>2891</v>
      </c>
      <c r="F986" t="s">
        <v>1583</v>
      </c>
      <c r="I986" t="s">
        <v>1058</v>
      </c>
      <c r="K986">
        <v>1912</v>
      </c>
      <c r="L986">
        <v>1913</v>
      </c>
      <c r="M986" t="s">
        <v>209</v>
      </c>
      <c r="N986" t="s">
        <v>209</v>
      </c>
      <c r="Q986" s="2" t="str">
        <f>IF($C986="","",IFERROR(VLOOKUP($C986,sources!$A$2:$N$200,2,FALSE()),"?"))</f>
        <v>Report</v>
      </c>
      <c r="R986" s="2" t="str">
        <f t="shared" si="15"/>
        <v>Textual</v>
      </c>
      <c r="S986" s="2" t="str">
        <f>IF($C986="","",IFERROR(VLOOKUP($C986,sources!$A$2:$N$200,9,FALSE()),"?"))</f>
        <v>US official</v>
      </c>
      <c r="T986" t="s">
        <v>5692</v>
      </c>
      <c r="U986">
        <f>IF(OR(B986="",C986="",T986="Retracted",LEFT(D986,8)="Negative"),0,IF(COUNTIFS($B$2:B986,B986,$C$2:C986,C986,$D$2:D986,"&lt;&gt;Negative*",$T$2:T986,"&lt;&gt;Retracted")=1,1,0))</f>
        <v>1</v>
      </c>
    </row>
    <row r="987" spans="1:21" x14ac:dyDescent="0.2">
      <c r="A987" t="s">
        <v>2892</v>
      </c>
      <c r="B987" t="s">
        <v>698</v>
      </c>
      <c r="C987" t="s">
        <v>1148</v>
      </c>
      <c r="D987" t="s">
        <v>1575</v>
      </c>
      <c r="E987" t="s">
        <v>2893</v>
      </c>
      <c r="F987" t="s">
        <v>1583</v>
      </c>
      <c r="I987" t="s">
        <v>1058</v>
      </c>
      <c r="K987">
        <v>1912</v>
      </c>
      <c r="L987">
        <v>1913</v>
      </c>
      <c r="M987" t="s">
        <v>209</v>
      </c>
      <c r="N987" t="s">
        <v>209</v>
      </c>
      <c r="Q987" s="2" t="str">
        <f>IF($C987="","",IFERROR(VLOOKUP($C987,sources!$A$2:$N$200,2,FALSE()),"?"))</f>
        <v>Report</v>
      </c>
      <c r="R987" s="2" t="str">
        <f t="shared" si="15"/>
        <v>Textual</v>
      </c>
      <c r="S987" s="2" t="str">
        <f>IF($C987="","",IFERROR(VLOOKUP($C987,sources!$A$2:$N$200,9,FALSE()),"?"))</f>
        <v>US official</v>
      </c>
      <c r="T987" t="s">
        <v>5692</v>
      </c>
      <c r="U987">
        <f>IF(OR(B987="",C987="",T987="Retracted",LEFT(D987,8)="Negative"),0,IF(COUNTIFS($B$2:B987,B987,$C$2:C987,C987,$D$2:D987,"&lt;&gt;Negative*",$T$2:T987,"&lt;&gt;Retracted")=1,1,0))</f>
        <v>1</v>
      </c>
    </row>
    <row r="988" spans="1:21" x14ac:dyDescent="0.2">
      <c r="A988" t="s">
        <v>2894</v>
      </c>
      <c r="B988" t="s">
        <v>701</v>
      </c>
      <c r="C988" t="s">
        <v>1148</v>
      </c>
      <c r="D988" t="s">
        <v>1613</v>
      </c>
      <c r="E988" t="s">
        <v>2895</v>
      </c>
      <c r="F988" t="s">
        <v>1583</v>
      </c>
      <c r="I988" t="s">
        <v>1058</v>
      </c>
      <c r="K988">
        <v>1907</v>
      </c>
      <c r="L988">
        <v>1941</v>
      </c>
      <c r="M988" t="s">
        <v>209</v>
      </c>
      <c r="N988" t="s">
        <v>209</v>
      </c>
      <c r="Q988" s="2" t="str">
        <f>IF($C988="","",IFERROR(VLOOKUP($C988,sources!$A$2:$N$200,2,FALSE()),"?"))</f>
        <v>Report</v>
      </c>
      <c r="R988" s="2" t="str">
        <f t="shared" si="15"/>
        <v>Textual</v>
      </c>
      <c r="S988" s="2" t="str">
        <f>IF($C988="","",IFERROR(VLOOKUP($C988,sources!$A$2:$N$200,9,FALSE()),"?"))</f>
        <v>US official</v>
      </c>
      <c r="T988" t="s">
        <v>5692</v>
      </c>
      <c r="U988">
        <f>IF(OR(B988="",C988="",T988="Retracted",LEFT(D988,8)="Negative"),0,IF(COUNTIFS($B$2:B988,B988,$C$2:C988,C988,$D$2:D988,"&lt;&gt;Negative*",$T$2:T988,"&lt;&gt;Retracted")=1,1,0))</f>
        <v>0</v>
      </c>
    </row>
    <row r="989" spans="1:21" x14ac:dyDescent="0.2">
      <c r="A989" t="s">
        <v>2896</v>
      </c>
      <c r="B989" t="s">
        <v>704</v>
      </c>
      <c r="C989" t="s">
        <v>1148</v>
      </c>
      <c r="D989" t="s">
        <v>1575</v>
      </c>
      <c r="E989" t="s">
        <v>2897</v>
      </c>
      <c r="F989" t="s">
        <v>1583</v>
      </c>
      <c r="I989" t="s">
        <v>1058</v>
      </c>
      <c r="K989">
        <v>1910</v>
      </c>
      <c r="L989">
        <v>1911</v>
      </c>
      <c r="M989" t="s">
        <v>209</v>
      </c>
      <c r="N989" t="s">
        <v>203</v>
      </c>
      <c r="Q989" s="2" t="str">
        <f>IF($C989="","",IFERROR(VLOOKUP($C989,sources!$A$2:$N$200,2,FALSE()),"?"))</f>
        <v>Report</v>
      </c>
      <c r="R989" s="2" t="str">
        <f t="shared" si="15"/>
        <v>Textual</v>
      </c>
      <c r="S989" s="2" t="str">
        <f>IF($C989="","",IFERROR(VLOOKUP($C989,sources!$A$2:$N$200,9,FALSE()),"?"))</f>
        <v>US official</v>
      </c>
      <c r="T989" t="s">
        <v>5692</v>
      </c>
      <c r="U989">
        <f>IF(OR(B989="",C989="",T989="Retracted",LEFT(D989,8)="Negative"),0,IF(COUNTIFS($B$2:B989,B989,$C$2:C989,C989,$D$2:D989,"&lt;&gt;Negative*",$T$2:T989,"&lt;&gt;Retracted")=1,1,0))</f>
        <v>1</v>
      </c>
    </row>
    <row r="990" spans="1:21" x14ac:dyDescent="0.2">
      <c r="A990" t="s">
        <v>2898</v>
      </c>
      <c r="B990" t="s">
        <v>707</v>
      </c>
      <c r="C990" t="s">
        <v>1148</v>
      </c>
      <c r="D990" t="s">
        <v>1613</v>
      </c>
      <c r="E990" t="s">
        <v>2899</v>
      </c>
      <c r="F990" t="s">
        <v>1583</v>
      </c>
      <c r="I990" t="s">
        <v>1058</v>
      </c>
      <c r="K990">
        <v>1907</v>
      </c>
      <c r="L990">
        <v>1941</v>
      </c>
      <c r="M990" t="s">
        <v>209</v>
      </c>
      <c r="N990" t="s">
        <v>209</v>
      </c>
      <c r="Q990" s="2" t="str">
        <f>IF($C990="","",IFERROR(VLOOKUP($C990,sources!$A$2:$N$200,2,FALSE()),"?"))</f>
        <v>Report</v>
      </c>
      <c r="R990" s="2" t="str">
        <f t="shared" si="15"/>
        <v>Textual</v>
      </c>
      <c r="S990" s="2" t="str">
        <f>IF($C990="","",IFERROR(VLOOKUP($C990,sources!$A$2:$N$200,9,FALSE()),"?"))</f>
        <v>US official</v>
      </c>
      <c r="T990" t="s">
        <v>5692</v>
      </c>
      <c r="U990">
        <f>IF(OR(B990="",C990="",T990="Retracted",LEFT(D990,8)="Negative"),0,IF(COUNTIFS($B$2:B990,B990,$C$2:C990,C990,$D$2:D990,"&lt;&gt;Negative*",$T$2:T990,"&lt;&gt;Retracted")=1,1,0))</f>
        <v>0</v>
      </c>
    </row>
    <row r="991" spans="1:21" x14ac:dyDescent="0.2">
      <c r="A991" t="s">
        <v>2900</v>
      </c>
      <c r="B991" t="s">
        <v>711</v>
      </c>
      <c r="C991" t="s">
        <v>1148</v>
      </c>
      <c r="D991" t="s">
        <v>1575</v>
      </c>
      <c r="E991" t="s">
        <v>2901</v>
      </c>
      <c r="F991" t="s">
        <v>1583</v>
      </c>
      <c r="I991" t="s">
        <v>1058</v>
      </c>
      <c r="K991">
        <v>1913</v>
      </c>
      <c r="L991">
        <v>1914</v>
      </c>
      <c r="M991" t="s">
        <v>209</v>
      </c>
      <c r="N991" t="s">
        <v>209</v>
      </c>
      <c r="Q991" s="2" t="str">
        <f>IF($C991="","",IFERROR(VLOOKUP($C991,sources!$A$2:$N$200,2,FALSE()),"?"))</f>
        <v>Report</v>
      </c>
      <c r="R991" s="2" t="str">
        <f t="shared" si="15"/>
        <v>Textual</v>
      </c>
      <c r="S991" s="2" t="str">
        <f>IF($C991="","",IFERROR(VLOOKUP($C991,sources!$A$2:$N$200,9,FALSE()),"?"))</f>
        <v>US official</v>
      </c>
      <c r="T991" t="s">
        <v>5692</v>
      </c>
      <c r="U991">
        <f>IF(OR(B991="",C991="",T991="Retracted",LEFT(D991,8)="Negative"),0,IF(COUNTIFS($B$2:B991,B991,$C$2:C991,C991,$D$2:D991,"&lt;&gt;Negative*",$T$2:T991,"&lt;&gt;Retracted")=1,1,0))</f>
        <v>1</v>
      </c>
    </row>
    <row r="992" spans="1:21" x14ac:dyDescent="0.2">
      <c r="A992" t="s">
        <v>2902</v>
      </c>
      <c r="B992" t="s">
        <v>714</v>
      </c>
      <c r="C992" t="s">
        <v>1148</v>
      </c>
      <c r="D992" t="s">
        <v>1575</v>
      </c>
      <c r="E992" t="s">
        <v>2903</v>
      </c>
      <c r="F992" t="s">
        <v>1583</v>
      </c>
      <c r="I992" t="s">
        <v>1058</v>
      </c>
      <c r="K992">
        <v>1910</v>
      </c>
      <c r="L992">
        <v>1911</v>
      </c>
      <c r="M992" t="s">
        <v>209</v>
      </c>
      <c r="N992" t="s">
        <v>209</v>
      </c>
      <c r="Q992" s="2" t="str">
        <f>IF($C992="","",IFERROR(VLOOKUP($C992,sources!$A$2:$N$200,2,FALSE()),"?"))</f>
        <v>Report</v>
      </c>
      <c r="R992" s="2" t="str">
        <f t="shared" si="15"/>
        <v>Textual</v>
      </c>
      <c r="S992" s="2" t="str">
        <f>IF($C992="","",IFERROR(VLOOKUP($C992,sources!$A$2:$N$200,9,FALSE()),"?"))</f>
        <v>US official</v>
      </c>
      <c r="T992" t="s">
        <v>5692</v>
      </c>
      <c r="U992">
        <f>IF(OR(B992="",C992="",T992="Retracted",LEFT(D992,8)="Negative"),0,IF(COUNTIFS($B$2:B992,B992,$C$2:C992,C992,$D$2:D992,"&lt;&gt;Negative*",$T$2:T992,"&lt;&gt;Retracted")=1,1,0))</f>
        <v>1</v>
      </c>
    </row>
    <row r="993" spans="1:21" x14ac:dyDescent="0.2">
      <c r="A993" t="s">
        <v>2904</v>
      </c>
      <c r="B993" t="s">
        <v>717</v>
      </c>
      <c r="C993" t="s">
        <v>1148</v>
      </c>
      <c r="D993" t="s">
        <v>1575</v>
      </c>
      <c r="E993" t="s">
        <v>2905</v>
      </c>
      <c r="F993" t="s">
        <v>1583</v>
      </c>
      <c r="I993" t="s">
        <v>1058</v>
      </c>
      <c r="K993">
        <v>1909</v>
      </c>
      <c r="L993">
        <v>1910</v>
      </c>
      <c r="M993" t="s">
        <v>209</v>
      </c>
      <c r="N993" t="s">
        <v>209</v>
      </c>
      <c r="Q993" s="2" t="str">
        <f>IF($C993="","",IFERROR(VLOOKUP($C993,sources!$A$2:$N$200,2,FALSE()),"?"))</f>
        <v>Report</v>
      </c>
      <c r="R993" s="2" t="str">
        <f t="shared" si="15"/>
        <v>Textual</v>
      </c>
      <c r="S993" s="2" t="str">
        <f>IF($C993="","",IFERROR(VLOOKUP($C993,sources!$A$2:$N$200,9,FALSE()),"?"))</f>
        <v>US official</v>
      </c>
      <c r="T993" t="s">
        <v>5692</v>
      </c>
      <c r="U993">
        <f>IF(OR(B993="",C993="",T993="Retracted",LEFT(D993,8)="Negative"),0,IF(COUNTIFS($B$2:B993,B993,$C$2:C993,C993,$D$2:D993,"&lt;&gt;Negative*",$T$2:T993,"&lt;&gt;Retracted")=1,1,0))</f>
        <v>1</v>
      </c>
    </row>
    <row r="994" spans="1:21" x14ac:dyDescent="0.2">
      <c r="A994" t="s">
        <v>2906</v>
      </c>
      <c r="B994" t="s">
        <v>720</v>
      </c>
      <c r="C994" t="s">
        <v>1148</v>
      </c>
      <c r="D994" t="s">
        <v>1575</v>
      </c>
      <c r="E994" t="s">
        <v>2907</v>
      </c>
      <c r="F994" t="s">
        <v>1583</v>
      </c>
      <c r="I994" t="s">
        <v>1058</v>
      </c>
      <c r="K994">
        <v>1908</v>
      </c>
      <c r="L994">
        <v>1909</v>
      </c>
      <c r="M994" t="s">
        <v>209</v>
      </c>
      <c r="N994" t="s">
        <v>209</v>
      </c>
      <c r="Q994" s="2" t="str">
        <f>IF($C994="","",IFERROR(VLOOKUP($C994,sources!$A$2:$N$200,2,FALSE()),"?"))</f>
        <v>Report</v>
      </c>
      <c r="R994" s="2" t="str">
        <f t="shared" si="15"/>
        <v>Textual</v>
      </c>
      <c r="S994" s="2" t="str">
        <f>IF($C994="","",IFERROR(VLOOKUP($C994,sources!$A$2:$N$200,9,FALSE()),"?"))</f>
        <v>US official</v>
      </c>
      <c r="T994" t="s">
        <v>5692</v>
      </c>
      <c r="U994">
        <f>IF(OR(B994="",C994="",T994="Retracted",LEFT(D994,8)="Negative"),0,IF(COUNTIFS($B$2:B994,B994,$C$2:C994,C994,$D$2:D994,"&lt;&gt;Negative*",$T$2:T994,"&lt;&gt;Retracted")=1,1,0))</f>
        <v>1</v>
      </c>
    </row>
    <row r="995" spans="1:21" x14ac:dyDescent="0.2">
      <c r="A995" t="s">
        <v>2908</v>
      </c>
      <c r="B995" t="s">
        <v>723</v>
      </c>
      <c r="C995" t="s">
        <v>1148</v>
      </c>
      <c r="D995" t="s">
        <v>1613</v>
      </c>
      <c r="E995" t="s">
        <v>2909</v>
      </c>
      <c r="F995" t="s">
        <v>1583</v>
      </c>
      <c r="I995" t="s">
        <v>1058</v>
      </c>
      <c r="K995">
        <v>1907</v>
      </c>
      <c r="L995">
        <v>1941</v>
      </c>
      <c r="M995" t="s">
        <v>209</v>
      </c>
      <c r="N995" t="s">
        <v>209</v>
      </c>
      <c r="Q995" s="2" t="str">
        <f>IF($C995="","",IFERROR(VLOOKUP($C995,sources!$A$2:$N$200,2,FALSE()),"?"))</f>
        <v>Report</v>
      </c>
      <c r="R995" s="2" t="str">
        <f t="shared" si="15"/>
        <v>Textual</v>
      </c>
      <c r="S995" s="2" t="str">
        <f>IF($C995="","",IFERROR(VLOOKUP($C995,sources!$A$2:$N$200,9,FALSE()),"?"))</f>
        <v>US official</v>
      </c>
      <c r="T995" t="s">
        <v>5692</v>
      </c>
      <c r="U995">
        <f>IF(OR(B995="",C995="",T995="Retracted",LEFT(D995,8)="Negative"),0,IF(COUNTIFS($B$2:B995,B995,$C$2:C995,C995,$D$2:D995,"&lt;&gt;Negative*",$T$2:T995,"&lt;&gt;Retracted")=1,1,0))</f>
        <v>0</v>
      </c>
    </row>
    <row r="996" spans="1:21" x14ac:dyDescent="0.2">
      <c r="A996" t="s">
        <v>2910</v>
      </c>
      <c r="B996" t="s">
        <v>727</v>
      </c>
      <c r="C996" t="s">
        <v>1148</v>
      </c>
      <c r="D996" t="s">
        <v>1575</v>
      </c>
      <c r="E996" t="s">
        <v>2911</v>
      </c>
      <c r="F996" t="s">
        <v>1583</v>
      </c>
      <c r="I996" t="s">
        <v>1058</v>
      </c>
      <c r="K996">
        <v>1918</v>
      </c>
      <c r="L996">
        <v>1919</v>
      </c>
      <c r="M996" t="s">
        <v>209</v>
      </c>
      <c r="N996" t="s">
        <v>209</v>
      </c>
      <c r="Q996" s="2" t="str">
        <f>IF($C996="","",IFERROR(VLOOKUP($C996,sources!$A$2:$N$200,2,FALSE()),"?"))</f>
        <v>Report</v>
      </c>
      <c r="R996" s="2" t="str">
        <f t="shared" si="15"/>
        <v>Textual</v>
      </c>
      <c r="S996" s="2" t="str">
        <f>IF($C996="","",IFERROR(VLOOKUP($C996,sources!$A$2:$N$200,9,FALSE()),"?"))</f>
        <v>US official</v>
      </c>
      <c r="T996" t="s">
        <v>5692</v>
      </c>
      <c r="U996">
        <f>IF(OR(B996="",C996="",T996="Retracted",LEFT(D996,8)="Negative"),0,IF(COUNTIFS($B$2:B996,B996,$C$2:C996,C996,$D$2:D996,"&lt;&gt;Negative*",$T$2:T996,"&lt;&gt;Retracted")=1,1,0))</f>
        <v>1</v>
      </c>
    </row>
    <row r="997" spans="1:21" x14ac:dyDescent="0.2">
      <c r="A997" t="s">
        <v>2912</v>
      </c>
      <c r="B997" t="s">
        <v>730</v>
      </c>
      <c r="C997" t="s">
        <v>1148</v>
      </c>
      <c r="D997" t="s">
        <v>1613</v>
      </c>
      <c r="E997" t="s">
        <v>2913</v>
      </c>
      <c r="F997" t="s">
        <v>1583</v>
      </c>
      <c r="I997" t="s">
        <v>1058</v>
      </c>
      <c r="K997">
        <v>1907</v>
      </c>
      <c r="L997">
        <v>1941</v>
      </c>
      <c r="M997" t="s">
        <v>209</v>
      </c>
      <c r="N997" t="s">
        <v>209</v>
      </c>
      <c r="Q997" s="2" t="str">
        <f>IF($C997="","",IFERROR(VLOOKUP($C997,sources!$A$2:$N$200,2,FALSE()),"?"))</f>
        <v>Report</v>
      </c>
      <c r="R997" s="2" t="str">
        <f t="shared" si="15"/>
        <v>Textual</v>
      </c>
      <c r="S997" s="2" t="str">
        <f>IF($C997="","",IFERROR(VLOOKUP($C997,sources!$A$2:$N$200,9,FALSE()),"?"))</f>
        <v>US official</v>
      </c>
      <c r="T997" t="s">
        <v>5692</v>
      </c>
      <c r="U997">
        <f>IF(OR(B997="",C997="",T997="Retracted",LEFT(D997,8)="Negative"),0,IF(COUNTIFS($B$2:B997,B997,$C$2:C997,C997,$D$2:D997,"&lt;&gt;Negative*",$T$2:T997,"&lt;&gt;Retracted")=1,1,0))</f>
        <v>0</v>
      </c>
    </row>
    <row r="998" spans="1:21" x14ac:dyDescent="0.2">
      <c r="A998" t="s">
        <v>2914</v>
      </c>
      <c r="B998" t="s">
        <v>733</v>
      </c>
      <c r="C998" t="s">
        <v>1148</v>
      </c>
      <c r="D998" t="s">
        <v>1613</v>
      </c>
      <c r="E998" t="s">
        <v>2915</v>
      </c>
      <c r="F998" t="s">
        <v>1583</v>
      </c>
      <c r="I998" t="s">
        <v>1058</v>
      </c>
      <c r="K998">
        <v>1907</v>
      </c>
      <c r="L998">
        <v>1941</v>
      </c>
      <c r="M998" t="s">
        <v>209</v>
      </c>
      <c r="N998" t="s">
        <v>209</v>
      </c>
      <c r="Q998" s="2" t="str">
        <f>IF($C998="","",IFERROR(VLOOKUP($C998,sources!$A$2:$N$200,2,FALSE()),"?"))</f>
        <v>Report</v>
      </c>
      <c r="R998" s="2" t="str">
        <f t="shared" si="15"/>
        <v>Textual</v>
      </c>
      <c r="S998" s="2" t="str">
        <f>IF($C998="","",IFERROR(VLOOKUP($C998,sources!$A$2:$N$200,9,FALSE()),"?"))</f>
        <v>US official</v>
      </c>
      <c r="T998" t="s">
        <v>5692</v>
      </c>
      <c r="U998">
        <f>IF(OR(B998="",C998="",T998="Retracted",LEFT(D998,8)="Negative"),0,IF(COUNTIFS($B$2:B998,B998,$C$2:C998,C998,$D$2:D998,"&lt;&gt;Negative*",$T$2:T998,"&lt;&gt;Retracted")=1,1,0))</f>
        <v>0</v>
      </c>
    </row>
    <row r="999" spans="1:21" x14ac:dyDescent="0.2">
      <c r="A999" t="s">
        <v>2916</v>
      </c>
      <c r="B999" t="s">
        <v>737</v>
      </c>
      <c r="C999" t="s">
        <v>1148</v>
      </c>
      <c r="D999" t="s">
        <v>1575</v>
      </c>
      <c r="E999" t="s">
        <v>2917</v>
      </c>
      <c r="F999" t="s">
        <v>1583</v>
      </c>
      <c r="I999" t="s">
        <v>1058</v>
      </c>
      <c r="K999">
        <v>1909</v>
      </c>
      <c r="L999">
        <v>1910</v>
      </c>
      <c r="M999" t="s">
        <v>209</v>
      </c>
      <c r="N999" t="s">
        <v>209</v>
      </c>
      <c r="Q999" s="2" t="str">
        <f>IF($C999="","",IFERROR(VLOOKUP($C999,sources!$A$2:$N$200,2,FALSE()),"?"))</f>
        <v>Report</v>
      </c>
      <c r="R999" s="2" t="str">
        <f t="shared" si="15"/>
        <v>Textual</v>
      </c>
      <c r="S999" s="2" t="str">
        <f>IF($C999="","",IFERROR(VLOOKUP($C999,sources!$A$2:$N$200,9,FALSE()),"?"))</f>
        <v>US official</v>
      </c>
      <c r="T999" t="s">
        <v>5692</v>
      </c>
      <c r="U999">
        <f>IF(OR(B999="",C999="",T999="Retracted",LEFT(D999,8)="Negative"),0,IF(COUNTIFS($B$2:B999,B999,$C$2:C999,C999,$D$2:D999,"&lt;&gt;Negative*",$T$2:T999,"&lt;&gt;Retracted")=1,1,0))</f>
        <v>1</v>
      </c>
    </row>
    <row r="1000" spans="1:21" x14ac:dyDescent="0.2">
      <c r="A1000" t="s">
        <v>2918</v>
      </c>
      <c r="B1000" t="s">
        <v>740</v>
      </c>
      <c r="C1000" t="s">
        <v>1148</v>
      </c>
      <c r="D1000" t="s">
        <v>1613</v>
      </c>
      <c r="E1000" t="s">
        <v>2919</v>
      </c>
      <c r="F1000" t="s">
        <v>1583</v>
      </c>
      <c r="I1000" t="s">
        <v>1058</v>
      </c>
      <c r="K1000">
        <v>1907</v>
      </c>
      <c r="L1000">
        <v>1941</v>
      </c>
      <c r="M1000" t="s">
        <v>209</v>
      </c>
      <c r="N1000" t="s">
        <v>209</v>
      </c>
      <c r="Q1000" s="2" t="str">
        <f>IF($C1000="","",IFERROR(VLOOKUP($C1000,sources!$A$2:$N$200,2,FALSE()),"?"))</f>
        <v>Report</v>
      </c>
      <c r="R1000" s="2" t="str">
        <f t="shared" si="15"/>
        <v>Textual</v>
      </c>
      <c r="S1000" s="2" t="str">
        <f>IF($C1000="","",IFERROR(VLOOKUP($C1000,sources!$A$2:$N$200,9,FALSE()),"?"))</f>
        <v>US official</v>
      </c>
      <c r="T1000" t="s">
        <v>5692</v>
      </c>
      <c r="U1000">
        <f>IF(OR(B1000="",C1000="",T1000="Retracted",LEFT(D1000,8)="Negative"),0,IF(COUNTIFS($B$2:B1000,B1000,$C$2:C1000,C1000,$D$2:D1000,"&lt;&gt;Negative*",$T$2:T1000,"&lt;&gt;Retracted")=1,1,0))</f>
        <v>0</v>
      </c>
    </row>
    <row r="1001" spans="1:21" x14ac:dyDescent="0.2">
      <c r="A1001" t="s">
        <v>2920</v>
      </c>
      <c r="B1001" t="s">
        <v>743</v>
      </c>
      <c r="C1001" t="s">
        <v>1148</v>
      </c>
      <c r="D1001" t="s">
        <v>1613</v>
      </c>
      <c r="E1001" t="s">
        <v>2921</v>
      </c>
      <c r="F1001" t="s">
        <v>1583</v>
      </c>
      <c r="I1001" t="s">
        <v>1058</v>
      </c>
      <c r="K1001">
        <v>1907</v>
      </c>
      <c r="L1001">
        <v>1941</v>
      </c>
      <c r="M1001" t="s">
        <v>209</v>
      </c>
      <c r="N1001" t="s">
        <v>209</v>
      </c>
      <c r="Q1001" s="2" t="str">
        <f>IF($C1001="","",IFERROR(VLOOKUP($C1001,sources!$A$2:$N$200,2,FALSE()),"?"))</f>
        <v>Report</v>
      </c>
      <c r="R1001" s="2" t="str">
        <f t="shared" si="15"/>
        <v>Textual</v>
      </c>
      <c r="S1001" s="2" t="str">
        <f>IF($C1001="","",IFERROR(VLOOKUP($C1001,sources!$A$2:$N$200,9,FALSE()),"?"))</f>
        <v>US official</v>
      </c>
      <c r="T1001" t="s">
        <v>5692</v>
      </c>
      <c r="U1001">
        <f>IF(OR(B1001="",C1001="",T1001="Retracted",LEFT(D1001,8)="Negative"),0,IF(COUNTIFS($B$2:B1001,B1001,$C$2:C1001,C1001,$D$2:D1001,"&lt;&gt;Negative*",$T$2:T1001,"&lt;&gt;Retracted")=1,1,0))</f>
        <v>0</v>
      </c>
    </row>
    <row r="1002" spans="1:21" x14ac:dyDescent="0.2">
      <c r="A1002" t="s">
        <v>2922</v>
      </c>
      <c r="B1002" t="s">
        <v>746</v>
      </c>
      <c r="C1002" t="s">
        <v>1148</v>
      </c>
      <c r="D1002" t="s">
        <v>1613</v>
      </c>
      <c r="E1002" t="s">
        <v>2923</v>
      </c>
      <c r="F1002" t="s">
        <v>1583</v>
      </c>
      <c r="I1002" t="s">
        <v>1058</v>
      </c>
      <c r="K1002">
        <v>1907</v>
      </c>
      <c r="L1002">
        <v>1941</v>
      </c>
      <c r="M1002" t="s">
        <v>209</v>
      </c>
      <c r="N1002" t="s">
        <v>209</v>
      </c>
      <c r="Q1002" s="2" t="str">
        <f>IF($C1002="","",IFERROR(VLOOKUP($C1002,sources!$A$2:$N$200,2,FALSE()),"?"))</f>
        <v>Report</v>
      </c>
      <c r="R1002" s="2" t="str">
        <f t="shared" si="15"/>
        <v>Textual</v>
      </c>
      <c r="S1002" s="2" t="str">
        <f>IF($C1002="","",IFERROR(VLOOKUP($C1002,sources!$A$2:$N$200,9,FALSE()),"?"))</f>
        <v>US official</v>
      </c>
      <c r="T1002" t="s">
        <v>5692</v>
      </c>
      <c r="U1002">
        <f>IF(OR(B1002="",C1002="",T1002="Retracted",LEFT(D1002,8)="Negative"),0,IF(COUNTIFS($B$2:B1002,B1002,$C$2:C1002,C1002,$D$2:D1002,"&lt;&gt;Negative*",$T$2:T1002,"&lt;&gt;Retracted")=1,1,0))</f>
        <v>0</v>
      </c>
    </row>
    <row r="1003" spans="1:21" x14ac:dyDescent="0.2">
      <c r="A1003" t="s">
        <v>2924</v>
      </c>
      <c r="B1003" t="s">
        <v>749</v>
      </c>
      <c r="C1003" t="s">
        <v>1148</v>
      </c>
      <c r="D1003" t="s">
        <v>1613</v>
      </c>
      <c r="E1003" t="s">
        <v>2925</v>
      </c>
      <c r="F1003" t="s">
        <v>1583</v>
      </c>
      <c r="I1003" t="s">
        <v>1058</v>
      </c>
      <c r="K1003">
        <v>1907</v>
      </c>
      <c r="L1003">
        <v>1941</v>
      </c>
      <c r="M1003" t="s">
        <v>209</v>
      </c>
      <c r="N1003" t="s">
        <v>209</v>
      </c>
      <c r="Q1003" s="2" t="str">
        <f>IF($C1003="","",IFERROR(VLOOKUP($C1003,sources!$A$2:$N$200,2,FALSE()),"?"))</f>
        <v>Report</v>
      </c>
      <c r="R1003" s="2" t="str">
        <f t="shared" si="15"/>
        <v>Textual</v>
      </c>
      <c r="S1003" s="2" t="str">
        <f>IF($C1003="","",IFERROR(VLOOKUP($C1003,sources!$A$2:$N$200,9,FALSE()),"?"))</f>
        <v>US official</v>
      </c>
      <c r="T1003" t="s">
        <v>5692</v>
      </c>
      <c r="U1003">
        <f>IF(OR(B1003="",C1003="",T1003="Retracted",LEFT(D1003,8)="Negative"),0,IF(COUNTIFS($B$2:B1003,B1003,$C$2:C1003,C1003,$D$2:D1003,"&lt;&gt;Negative*",$T$2:T1003,"&lt;&gt;Retracted")=1,1,0))</f>
        <v>0</v>
      </c>
    </row>
    <row r="1004" spans="1:21" x14ac:dyDescent="0.2">
      <c r="A1004" t="s">
        <v>2926</v>
      </c>
      <c r="B1004" t="s">
        <v>752</v>
      </c>
      <c r="C1004" t="s">
        <v>1148</v>
      </c>
      <c r="D1004" t="s">
        <v>1613</v>
      </c>
      <c r="E1004" t="s">
        <v>2927</v>
      </c>
      <c r="F1004" t="s">
        <v>1583</v>
      </c>
      <c r="I1004" t="s">
        <v>1058</v>
      </c>
      <c r="K1004">
        <v>1907</v>
      </c>
      <c r="L1004">
        <v>1941</v>
      </c>
      <c r="M1004" t="s">
        <v>209</v>
      </c>
      <c r="N1004" t="s">
        <v>209</v>
      </c>
      <c r="Q1004" s="2" t="str">
        <f>IF($C1004="","",IFERROR(VLOOKUP($C1004,sources!$A$2:$N$200,2,FALSE()),"?"))</f>
        <v>Report</v>
      </c>
      <c r="R1004" s="2" t="str">
        <f t="shared" si="15"/>
        <v>Textual</v>
      </c>
      <c r="S1004" s="2" t="str">
        <f>IF($C1004="","",IFERROR(VLOOKUP($C1004,sources!$A$2:$N$200,9,FALSE()),"?"))</f>
        <v>US official</v>
      </c>
      <c r="T1004" t="s">
        <v>5692</v>
      </c>
      <c r="U1004">
        <f>IF(OR(B1004="",C1004="",T1004="Retracted",LEFT(D1004,8)="Negative"),0,IF(COUNTIFS($B$2:B1004,B1004,$C$2:C1004,C1004,$D$2:D1004,"&lt;&gt;Negative*",$T$2:T1004,"&lt;&gt;Retracted")=1,1,0))</f>
        <v>0</v>
      </c>
    </row>
    <row r="1005" spans="1:21" x14ac:dyDescent="0.2">
      <c r="A1005" t="s">
        <v>2928</v>
      </c>
      <c r="B1005" t="s">
        <v>755</v>
      </c>
      <c r="C1005" t="s">
        <v>1148</v>
      </c>
      <c r="D1005" t="s">
        <v>1613</v>
      </c>
      <c r="E1005" t="s">
        <v>2929</v>
      </c>
      <c r="F1005" t="s">
        <v>1583</v>
      </c>
      <c r="I1005" t="s">
        <v>1058</v>
      </c>
      <c r="K1005">
        <v>1907</v>
      </c>
      <c r="L1005">
        <v>1941</v>
      </c>
      <c r="M1005" t="s">
        <v>209</v>
      </c>
      <c r="N1005" t="s">
        <v>209</v>
      </c>
      <c r="Q1005" s="2" t="str">
        <f>IF($C1005="","",IFERROR(VLOOKUP($C1005,sources!$A$2:$N$200,2,FALSE()),"?"))</f>
        <v>Report</v>
      </c>
      <c r="R1005" s="2" t="str">
        <f t="shared" si="15"/>
        <v>Textual</v>
      </c>
      <c r="S1005" s="2" t="str">
        <f>IF($C1005="","",IFERROR(VLOOKUP($C1005,sources!$A$2:$N$200,9,FALSE()),"?"))</f>
        <v>US official</v>
      </c>
      <c r="T1005" t="s">
        <v>5692</v>
      </c>
      <c r="U1005">
        <f>IF(OR(B1005="",C1005="",T1005="Retracted",LEFT(D1005,8)="Negative"),0,IF(COUNTIFS($B$2:B1005,B1005,$C$2:C1005,C1005,$D$2:D1005,"&lt;&gt;Negative*",$T$2:T1005,"&lt;&gt;Retracted")=1,1,0))</f>
        <v>0</v>
      </c>
    </row>
    <row r="1006" spans="1:21" x14ac:dyDescent="0.2">
      <c r="A1006" t="s">
        <v>2930</v>
      </c>
      <c r="B1006" t="s">
        <v>758</v>
      </c>
      <c r="C1006" t="s">
        <v>1148</v>
      </c>
      <c r="D1006" t="s">
        <v>1575</v>
      </c>
      <c r="E1006" t="s">
        <v>2931</v>
      </c>
      <c r="F1006" t="s">
        <v>1583</v>
      </c>
      <c r="I1006" t="s">
        <v>1058</v>
      </c>
      <c r="K1006">
        <v>1913</v>
      </c>
      <c r="L1006">
        <v>1914</v>
      </c>
      <c r="M1006" t="s">
        <v>209</v>
      </c>
      <c r="N1006" t="s">
        <v>209</v>
      </c>
      <c r="Q1006" s="2" t="str">
        <f>IF($C1006="","",IFERROR(VLOOKUP($C1006,sources!$A$2:$N$200,2,FALSE()),"?"))</f>
        <v>Report</v>
      </c>
      <c r="R1006" s="2" t="str">
        <f t="shared" si="15"/>
        <v>Textual</v>
      </c>
      <c r="S1006" s="2" t="str">
        <f>IF($C1006="","",IFERROR(VLOOKUP($C1006,sources!$A$2:$N$200,9,FALSE()),"?"))</f>
        <v>US official</v>
      </c>
      <c r="T1006" t="s">
        <v>5692</v>
      </c>
      <c r="U1006">
        <f>IF(OR(B1006="",C1006="",T1006="Retracted",LEFT(D1006,8)="Negative"),0,IF(COUNTIFS($B$2:B1006,B1006,$C$2:C1006,C1006,$D$2:D1006,"&lt;&gt;Negative*",$T$2:T1006,"&lt;&gt;Retracted")=1,1,0))</f>
        <v>1</v>
      </c>
    </row>
    <row r="1007" spans="1:21" x14ac:dyDescent="0.2">
      <c r="A1007" t="s">
        <v>2932</v>
      </c>
      <c r="B1007" t="s">
        <v>761</v>
      </c>
      <c r="C1007" t="s">
        <v>1148</v>
      </c>
      <c r="D1007" t="s">
        <v>1575</v>
      </c>
      <c r="E1007" t="s">
        <v>2933</v>
      </c>
      <c r="F1007" t="s">
        <v>1583</v>
      </c>
      <c r="I1007" t="s">
        <v>1058</v>
      </c>
      <c r="K1007">
        <v>1915</v>
      </c>
      <c r="L1007">
        <v>1916</v>
      </c>
      <c r="M1007" t="s">
        <v>209</v>
      </c>
      <c r="N1007" t="s">
        <v>209</v>
      </c>
      <c r="Q1007" s="2" t="str">
        <f>IF($C1007="","",IFERROR(VLOOKUP($C1007,sources!$A$2:$N$200,2,FALSE()),"?"))</f>
        <v>Report</v>
      </c>
      <c r="R1007" s="2" t="str">
        <f t="shared" si="15"/>
        <v>Textual</v>
      </c>
      <c r="S1007" s="2" t="str">
        <f>IF($C1007="","",IFERROR(VLOOKUP($C1007,sources!$A$2:$N$200,9,FALSE()),"?"))</f>
        <v>US official</v>
      </c>
      <c r="T1007" t="s">
        <v>5692</v>
      </c>
      <c r="U1007">
        <f>IF(OR(B1007="",C1007="",T1007="Retracted",LEFT(D1007,8)="Negative"),0,IF(COUNTIFS($B$2:B1007,B1007,$C$2:C1007,C1007,$D$2:D1007,"&lt;&gt;Negative*",$T$2:T1007,"&lt;&gt;Retracted")=1,1,0))</f>
        <v>1</v>
      </c>
    </row>
    <row r="1008" spans="1:21" x14ac:dyDescent="0.2">
      <c r="A1008" t="s">
        <v>2934</v>
      </c>
      <c r="B1008" t="s">
        <v>764</v>
      </c>
      <c r="C1008" t="s">
        <v>1148</v>
      </c>
      <c r="D1008" t="s">
        <v>1613</v>
      </c>
      <c r="E1008" t="s">
        <v>2935</v>
      </c>
      <c r="F1008" t="s">
        <v>1583</v>
      </c>
      <c r="I1008" t="s">
        <v>1058</v>
      </c>
      <c r="K1008">
        <v>1907</v>
      </c>
      <c r="L1008">
        <v>1941</v>
      </c>
      <c r="M1008" t="s">
        <v>209</v>
      </c>
      <c r="N1008" t="s">
        <v>209</v>
      </c>
      <c r="Q1008" s="2" t="str">
        <f>IF($C1008="","",IFERROR(VLOOKUP($C1008,sources!$A$2:$N$200,2,FALSE()),"?"))</f>
        <v>Report</v>
      </c>
      <c r="R1008" s="2" t="str">
        <f t="shared" si="15"/>
        <v>Textual</v>
      </c>
      <c r="S1008" s="2" t="str">
        <f>IF($C1008="","",IFERROR(VLOOKUP($C1008,sources!$A$2:$N$200,9,FALSE()),"?"))</f>
        <v>US official</v>
      </c>
      <c r="T1008" t="s">
        <v>5692</v>
      </c>
      <c r="U1008">
        <f>IF(OR(B1008="",C1008="",T1008="Retracted",LEFT(D1008,8)="Negative"),0,IF(COUNTIFS($B$2:B1008,B1008,$C$2:C1008,C1008,$D$2:D1008,"&lt;&gt;Negative*",$T$2:T1008,"&lt;&gt;Retracted")=1,1,0))</f>
        <v>0</v>
      </c>
    </row>
    <row r="1009" spans="1:21" x14ac:dyDescent="0.2">
      <c r="A1009" t="s">
        <v>2936</v>
      </c>
      <c r="B1009" t="s">
        <v>767</v>
      </c>
      <c r="C1009" t="s">
        <v>1148</v>
      </c>
      <c r="D1009" t="s">
        <v>1575</v>
      </c>
      <c r="E1009" t="s">
        <v>2937</v>
      </c>
      <c r="F1009" t="s">
        <v>1583</v>
      </c>
      <c r="I1009" t="s">
        <v>1058</v>
      </c>
      <c r="K1009">
        <v>1915</v>
      </c>
      <c r="L1009">
        <v>1916</v>
      </c>
      <c r="M1009" t="s">
        <v>209</v>
      </c>
      <c r="N1009" t="s">
        <v>209</v>
      </c>
      <c r="Q1009" s="2" t="str">
        <f>IF($C1009="","",IFERROR(VLOOKUP($C1009,sources!$A$2:$N$200,2,FALSE()),"?"))</f>
        <v>Report</v>
      </c>
      <c r="R1009" s="2" t="str">
        <f t="shared" si="15"/>
        <v>Textual</v>
      </c>
      <c r="S1009" s="2" t="str">
        <f>IF($C1009="","",IFERROR(VLOOKUP($C1009,sources!$A$2:$N$200,9,FALSE()),"?"))</f>
        <v>US official</v>
      </c>
      <c r="T1009" t="s">
        <v>5692</v>
      </c>
      <c r="U1009">
        <f>IF(OR(B1009="",C1009="",T1009="Retracted",LEFT(D1009,8)="Negative"),0,IF(COUNTIFS($B$2:B1009,B1009,$C$2:C1009,C1009,$D$2:D1009,"&lt;&gt;Negative*",$T$2:T1009,"&lt;&gt;Retracted")=1,1,0))</f>
        <v>1</v>
      </c>
    </row>
    <row r="1010" spans="1:21" x14ac:dyDescent="0.2">
      <c r="A1010" t="s">
        <v>2938</v>
      </c>
      <c r="B1010" t="s">
        <v>770</v>
      </c>
      <c r="C1010" t="s">
        <v>1148</v>
      </c>
      <c r="D1010" t="s">
        <v>1575</v>
      </c>
      <c r="E1010" t="s">
        <v>2939</v>
      </c>
      <c r="F1010" t="s">
        <v>1583</v>
      </c>
      <c r="I1010" t="s">
        <v>1058</v>
      </c>
      <c r="K1010">
        <v>1912</v>
      </c>
      <c r="L1010">
        <v>1913</v>
      </c>
      <c r="M1010" t="s">
        <v>209</v>
      </c>
      <c r="N1010" t="s">
        <v>209</v>
      </c>
      <c r="Q1010" s="2" t="str">
        <f>IF($C1010="","",IFERROR(VLOOKUP($C1010,sources!$A$2:$N$200,2,FALSE()),"?"))</f>
        <v>Report</v>
      </c>
      <c r="R1010" s="2" t="str">
        <f t="shared" si="15"/>
        <v>Textual</v>
      </c>
      <c r="S1010" s="2" t="str">
        <f>IF($C1010="","",IFERROR(VLOOKUP($C1010,sources!$A$2:$N$200,9,FALSE()),"?"))</f>
        <v>US official</v>
      </c>
      <c r="T1010" t="s">
        <v>5692</v>
      </c>
      <c r="U1010">
        <f>IF(OR(B1010="",C1010="",T1010="Retracted",LEFT(D1010,8)="Negative"),0,IF(COUNTIFS($B$2:B1010,B1010,$C$2:C1010,C1010,$D$2:D1010,"&lt;&gt;Negative*",$T$2:T1010,"&lt;&gt;Retracted")=1,1,0))</f>
        <v>1</v>
      </c>
    </row>
    <row r="1011" spans="1:21" x14ac:dyDescent="0.2">
      <c r="A1011" t="s">
        <v>2940</v>
      </c>
      <c r="B1011" t="s">
        <v>472</v>
      </c>
      <c r="C1011" t="s">
        <v>1241</v>
      </c>
      <c r="D1011" t="s">
        <v>1575</v>
      </c>
      <c r="E1011" t="s">
        <v>473</v>
      </c>
      <c r="F1011" t="s">
        <v>1583</v>
      </c>
      <c r="I1011" t="s">
        <v>1058</v>
      </c>
      <c r="M1011" t="s">
        <v>190</v>
      </c>
      <c r="N1011" t="s">
        <v>209</v>
      </c>
      <c r="Q1011" s="2" t="str">
        <f>IF($C1011="","",IFERROR(VLOOKUP($C1011,sources!$A$2:$N$200,2,FALSE()),"?"))</f>
        <v>Photograph</v>
      </c>
      <c r="R1011" s="2" t="str">
        <f t="shared" si="15"/>
        <v>Image</v>
      </c>
      <c r="S1011" s="2" t="str">
        <f>IF($C1011="","",IFERROR(VLOOKUP($C1011,sources!$A$2:$N$200,9,FALSE()),"?"))</f>
        <v>US official</v>
      </c>
      <c r="T1011" t="s">
        <v>5692</v>
      </c>
      <c r="U1011">
        <f>IF(OR(B1011="",C1011="",T1011="Retracted",LEFT(D1011,8)="Negative"),0,IF(COUNTIFS($B$2:B1011,B1011,$C$2:C1011,C1011,$D$2:D1011,"&lt;&gt;Negative*",$T$2:T1011,"&lt;&gt;Retracted")=1,1,0))</f>
        <v>1</v>
      </c>
    </row>
    <row r="1012" spans="1:21" x14ac:dyDescent="0.2">
      <c r="A1012" t="s">
        <v>2941</v>
      </c>
      <c r="B1012" t="s">
        <v>484</v>
      </c>
      <c r="C1012" t="s">
        <v>1241</v>
      </c>
      <c r="D1012" t="s">
        <v>1575</v>
      </c>
      <c r="E1012" t="s">
        <v>485</v>
      </c>
      <c r="F1012" t="s">
        <v>1583</v>
      </c>
      <c r="I1012" t="s">
        <v>1058</v>
      </c>
      <c r="M1012" t="s">
        <v>190</v>
      </c>
      <c r="N1012" t="s">
        <v>209</v>
      </c>
      <c r="Q1012" s="2" t="str">
        <f>IF($C1012="","",IFERROR(VLOOKUP($C1012,sources!$A$2:$N$200,2,FALSE()),"?"))</f>
        <v>Photograph</v>
      </c>
      <c r="R1012" s="2" t="str">
        <f t="shared" si="15"/>
        <v>Image</v>
      </c>
      <c r="S1012" s="2" t="str">
        <f>IF($C1012="","",IFERROR(VLOOKUP($C1012,sources!$A$2:$N$200,9,FALSE()),"?"))</f>
        <v>US official</v>
      </c>
      <c r="T1012" t="s">
        <v>5692</v>
      </c>
      <c r="U1012">
        <f>IF(OR(B1012="",C1012="",T1012="Retracted",LEFT(D1012,8)="Negative"),0,IF(COUNTIFS($B$2:B1012,B1012,$C$2:C1012,C1012,$D$2:D1012,"&lt;&gt;Negative*",$T$2:T1012,"&lt;&gt;Retracted")=1,1,0))</f>
        <v>1</v>
      </c>
    </row>
    <row r="1013" spans="1:21" x14ac:dyDescent="0.2">
      <c r="A1013" t="s">
        <v>2942</v>
      </c>
      <c r="B1013" t="s">
        <v>495</v>
      </c>
      <c r="C1013" t="s">
        <v>1241</v>
      </c>
      <c r="D1013" t="s">
        <v>1575</v>
      </c>
      <c r="E1013" t="s">
        <v>496</v>
      </c>
      <c r="F1013" t="s">
        <v>1583</v>
      </c>
      <c r="I1013" t="s">
        <v>1058</v>
      </c>
      <c r="M1013" t="s">
        <v>190</v>
      </c>
      <c r="N1013" t="s">
        <v>209</v>
      </c>
      <c r="Q1013" s="2" t="str">
        <f>IF($C1013="","",IFERROR(VLOOKUP($C1013,sources!$A$2:$N$200,2,FALSE()),"?"))</f>
        <v>Photograph</v>
      </c>
      <c r="R1013" s="2" t="str">
        <f t="shared" si="15"/>
        <v>Image</v>
      </c>
      <c r="S1013" s="2" t="str">
        <f>IF($C1013="","",IFERROR(VLOOKUP($C1013,sources!$A$2:$N$200,9,FALSE()),"?"))</f>
        <v>US official</v>
      </c>
      <c r="T1013" t="s">
        <v>5692</v>
      </c>
      <c r="U1013">
        <f>IF(OR(B1013="",C1013="",T1013="Retracted",LEFT(D1013,8)="Negative"),0,IF(COUNTIFS($B$2:B1013,B1013,$C$2:C1013,C1013,$D$2:D1013,"&lt;&gt;Negative*",$T$2:T1013,"&lt;&gt;Retracted")=1,1,0))</f>
        <v>1</v>
      </c>
    </row>
    <row r="1014" spans="1:21" x14ac:dyDescent="0.2">
      <c r="A1014" t="s">
        <v>2943</v>
      </c>
      <c r="B1014" t="s">
        <v>635</v>
      </c>
      <c r="C1014" t="s">
        <v>1241</v>
      </c>
      <c r="D1014" t="s">
        <v>1575</v>
      </c>
      <c r="E1014" t="s">
        <v>636</v>
      </c>
      <c r="F1014" t="s">
        <v>1583</v>
      </c>
      <c r="I1014" t="s">
        <v>1058</v>
      </c>
      <c r="M1014" t="s">
        <v>190</v>
      </c>
      <c r="N1014" t="s">
        <v>209</v>
      </c>
      <c r="Q1014" s="2" t="str">
        <f>IF($C1014="","",IFERROR(VLOOKUP($C1014,sources!$A$2:$N$200,2,FALSE()),"?"))</f>
        <v>Photograph</v>
      </c>
      <c r="R1014" s="2" t="str">
        <f t="shared" si="15"/>
        <v>Image</v>
      </c>
      <c r="S1014" s="2" t="str">
        <f>IF($C1014="","",IFERROR(VLOOKUP($C1014,sources!$A$2:$N$200,9,FALSE()),"?"))</f>
        <v>US official</v>
      </c>
      <c r="T1014" t="s">
        <v>5692</v>
      </c>
      <c r="U1014">
        <f>IF(OR(B1014="",C1014="",T1014="Retracted",LEFT(D1014,8)="Negative"),0,IF(COUNTIFS($B$2:B1014,B1014,$C$2:C1014,C1014,$D$2:D1014,"&lt;&gt;Negative*",$T$2:T1014,"&lt;&gt;Retracted")=1,1,0))</f>
        <v>1</v>
      </c>
    </row>
    <row r="1015" spans="1:21" x14ac:dyDescent="0.2">
      <c r="A1015" t="s">
        <v>2944</v>
      </c>
      <c r="B1015" t="s">
        <v>643</v>
      </c>
      <c r="C1015" t="s">
        <v>1241</v>
      </c>
      <c r="D1015" t="s">
        <v>1575</v>
      </c>
      <c r="E1015" t="s">
        <v>644</v>
      </c>
      <c r="F1015" t="s">
        <v>1583</v>
      </c>
      <c r="I1015" t="s">
        <v>1058</v>
      </c>
      <c r="M1015" t="s">
        <v>190</v>
      </c>
      <c r="N1015" t="s">
        <v>209</v>
      </c>
      <c r="Q1015" s="2" t="str">
        <f>IF($C1015="","",IFERROR(VLOOKUP($C1015,sources!$A$2:$N$200,2,FALSE()),"?"))</f>
        <v>Photograph</v>
      </c>
      <c r="R1015" s="2" t="str">
        <f t="shared" si="15"/>
        <v>Image</v>
      </c>
      <c r="S1015" s="2" t="str">
        <f>IF($C1015="","",IFERROR(VLOOKUP($C1015,sources!$A$2:$N$200,9,FALSE()),"?"))</f>
        <v>US official</v>
      </c>
      <c r="T1015" t="s">
        <v>5692</v>
      </c>
      <c r="U1015">
        <f>IF(OR(B1015="",C1015="",T1015="Retracted",LEFT(D1015,8)="Negative"),0,IF(COUNTIFS($B$2:B1015,B1015,$C$2:C1015,C1015,$D$2:D1015,"&lt;&gt;Negative*",$T$2:T1015,"&lt;&gt;Retracted")=1,1,0))</f>
        <v>1</v>
      </c>
    </row>
    <row r="1016" spans="1:21" x14ac:dyDescent="0.2">
      <c r="A1016" t="s">
        <v>2945</v>
      </c>
      <c r="B1016" t="s">
        <v>646</v>
      </c>
      <c r="C1016" t="s">
        <v>1241</v>
      </c>
      <c r="D1016" t="s">
        <v>1575</v>
      </c>
      <c r="E1016" t="s">
        <v>647</v>
      </c>
      <c r="F1016" t="s">
        <v>1583</v>
      </c>
      <c r="I1016" t="s">
        <v>1058</v>
      </c>
      <c r="M1016" t="s">
        <v>190</v>
      </c>
      <c r="N1016" t="s">
        <v>209</v>
      </c>
      <c r="Q1016" s="2" t="str">
        <f>IF($C1016="","",IFERROR(VLOOKUP($C1016,sources!$A$2:$N$200,2,FALSE()),"?"))</f>
        <v>Photograph</v>
      </c>
      <c r="R1016" s="2" t="str">
        <f t="shared" si="15"/>
        <v>Image</v>
      </c>
      <c r="S1016" s="2" t="str">
        <f>IF($C1016="","",IFERROR(VLOOKUP($C1016,sources!$A$2:$N$200,9,FALSE()),"?"))</f>
        <v>US official</v>
      </c>
      <c r="T1016" t="s">
        <v>5692</v>
      </c>
      <c r="U1016">
        <f>IF(OR(B1016="",C1016="",T1016="Retracted",LEFT(D1016,8)="Negative"),0,IF(COUNTIFS($B$2:B1016,B1016,$C$2:C1016,C1016,$D$2:D1016,"&lt;&gt;Negative*",$T$2:T1016,"&lt;&gt;Retracted")=1,1,0))</f>
        <v>1</v>
      </c>
    </row>
    <row r="1017" spans="1:21" x14ac:dyDescent="0.2">
      <c r="A1017" t="s">
        <v>2946</v>
      </c>
      <c r="B1017" t="s">
        <v>649</v>
      </c>
      <c r="C1017" t="s">
        <v>1241</v>
      </c>
      <c r="D1017" t="s">
        <v>1575</v>
      </c>
      <c r="E1017" t="s">
        <v>650</v>
      </c>
      <c r="F1017" t="s">
        <v>1583</v>
      </c>
      <c r="I1017" t="s">
        <v>1058</v>
      </c>
      <c r="M1017" t="s">
        <v>190</v>
      </c>
      <c r="N1017" t="s">
        <v>209</v>
      </c>
      <c r="Q1017" s="2" t="str">
        <f>IF($C1017="","",IFERROR(VLOOKUP($C1017,sources!$A$2:$N$200,2,FALSE()),"?"))</f>
        <v>Photograph</v>
      </c>
      <c r="R1017" s="2" t="str">
        <f t="shared" si="15"/>
        <v>Image</v>
      </c>
      <c r="S1017" s="2" t="str">
        <f>IF($C1017="","",IFERROR(VLOOKUP($C1017,sources!$A$2:$N$200,9,FALSE()),"?"))</f>
        <v>US official</v>
      </c>
      <c r="T1017" t="s">
        <v>5692</v>
      </c>
      <c r="U1017">
        <f>IF(OR(B1017="",C1017="",T1017="Retracted",LEFT(D1017,8)="Negative"),0,IF(COUNTIFS($B$2:B1017,B1017,$C$2:C1017,C1017,$D$2:D1017,"&lt;&gt;Negative*",$T$2:T1017,"&lt;&gt;Retracted")=1,1,0))</f>
        <v>1</v>
      </c>
    </row>
    <row r="1018" spans="1:21" x14ac:dyDescent="0.2">
      <c r="A1018" t="s">
        <v>2947</v>
      </c>
      <c r="B1018" t="s">
        <v>619</v>
      </c>
      <c r="C1018" t="s">
        <v>1241</v>
      </c>
      <c r="D1018" t="s">
        <v>1575</v>
      </c>
      <c r="E1018" t="s">
        <v>620</v>
      </c>
      <c r="F1018" t="s">
        <v>1583</v>
      </c>
      <c r="I1018" t="s">
        <v>1058</v>
      </c>
      <c r="M1018" t="s">
        <v>190</v>
      </c>
      <c r="N1018" t="s">
        <v>209</v>
      </c>
      <c r="Q1018" s="2" t="str">
        <f>IF($C1018="","",IFERROR(VLOOKUP($C1018,sources!$A$2:$N$200,2,FALSE()),"?"))</f>
        <v>Photograph</v>
      </c>
      <c r="R1018" s="2" t="str">
        <f t="shared" si="15"/>
        <v>Image</v>
      </c>
      <c r="S1018" s="2" t="str">
        <f>IF($C1018="","",IFERROR(VLOOKUP($C1018,sources!$A$2:$N$200,9,FALSE()),"?"))</f>
        <v>US official</v>
      </c>
      <c r="T1018" t="s">
        <v>5692</v>
      </c>
      <c r="U1018">
        <f>IF(OR(B1018="",C1018="",T1018="Retracted",LEFT(D1018,8)="Negative"),0,IF(COUNTIFS($B$2:B1018,B1018,$C$2:C1018,C1018,$D$2:D1018,"&lt;&gt;Negative*",$T$2:T1018,"&lt;&gt;Retracted")=1,1,0))</f>
        <v>1</v>
      </c>
    </row>
    <row r="1019" spans="1:21" x14ac:dyDescent="0.2">
      <c r="A1019" t="s">
        <v>2948</v>
      </c>
      <c r="B1019" t="s">
        <v>625</v>
      </c>
      <c r="C1019" t="s">
        <v>1241</v>
      </c>
      <c r="D1019" t="s">
        <v>1575</v>
      </c>
      <c r="E1019" t="s">
        <v>626</v>
      </c>
      <c r="F1019" t="s">
        <v>1583</v>
      </c>
      <c r="I1019" t="s">
        <v>1058</v>
      </c>
      <c r="M1019" t="s">
        <v>190</v>
      </c>
      <c r="N1019" t="s">
        <v>209</v>
      </c>
      <c r="Q1019" s="2" t="str">
        <f>IF($C1019="","",IFERROR(VLOOKUP($C1019,sources!$A$2:$N$200,2,FALSE()),"?"))</f>
        <v>Photograph</v>
      </c>
      <c r="R1019" s="2" t="str">
        <f t="shared" si="15"/>
        <v>Image</v>
      </c>
      <c r="S1019" s="2" t="str">
        <f>IF($C1019="","",IFERROR(VLOOKUP($C1019,sources!$A$2:$N$200,9,FALSE()),"?"))</f>
        <v>US official</v>
      </c>
      <c r="T1019" t="s">
        <v>5692</v>
      </c>
      <c r="U1019">
        <f>IF(OR(B1019="",C1019="",T1019="Retracted",LEFT(D1019,8)="Negative"),0,IF(COUNTIFS($B$2:B1019,B1019,$C$2:C1019,C1019,$D$2:D1019,"&lt;&gt;Negative*",$T$2:T1019,"&lt;&gt;Retracted")=1,1,0))</f>
        <v>1</v>
      </c>
    </row>
    <row r="1020" spans="1:21" x14ac:dyDescent="0.2">
      <c r="A1020" t="s">
        <v>2949</v>
      </c>
      <c r="B1020" t="s">
        <v>630</v>
      </c>
      <c r="C1020" t="s">
        <v>1241</v>
      </c>
      <c r="D1020" t="s">
        <v>1575</v>
      </c>
      <c r="E1020" t="s">
        <v>631</v>
      </c>
      <c r="F1020" t="s">
        <v>1583</v>
      </c>
      <c r="I1020" t="s">
        <v>1058</v>
      </c>
      <c r="M1020" t="s">
        <v>190</v>
      </c>
      <c r="N1020" t="s">
        <v>209</v>
      </c>
      <c r="Q1020" s="2" t="str">
        <f>IF($C1020="","",IFERROR(VLOOKUP($C1020,sources!$A$2:$N$200,2,FALSE()),"?"))</f>
        <v>Photograph</v>
      </c>
      <c r="R1020" s="2" t="str">
        <f t="shared" si="15"/>
        <v>Image</v>
      </c>
      <c r="S1020" s="2" t="str">
        <f>IF($C1020="","",IFERROR(VLOOKUP($C1020,sources!$A$2:$N$200,9,FALSE()),"?"))</f>
        <v>US official</v>
      </c>
      <c r="T1020" t="s">
        <v>5692</v>
      </c>
      <c r="U1020">
        <f>IF(OR(B1020="",C1020="",T1020="Retracted",LEFT(D1020,8)="Negative"),0,IF(COUNTIFS($B$2:B1020,B1020,$C$2:C1020,C1020,$D$2:D1020,"&lt;&gt;Negative*",$T$2:T1020,"&lt;&gt;Retracted")=1,1,0))</f>
        <v>1</v>
      </c>
    </row>
    <row r="1021" spans="1:21" x14ac:dyDescent="0.2">
      <c r="A1021" t="s">
        <v>2950</v>
      </c>
      <c r="B1021" t="s">
        <v>592</v>
      </c>
      <c r="C1021" t="s">
        <v>1241</v>
      </c>
      <c r="D1021" t="s">
        <v>1575</v>
      </c>
      <c r="E1021" t="s">
        <v>593</v>
      </c>
      <c r="F1021" t="s">
        <v>1583</v>
      </c>
      <c r="I1021" t="s">
        <v>1058</v>
      </c>
      <c r="M1021" t="s">
        <v>190</v>
      </c>
      <c r="N1021" t="s">
        <v>209</v>
      </c>
      <c r="Q1021" s="2" t="str">
        <f>IF($C1021="","",IFERROR(VLOOKUP($C1021,sources!$A$2:$N$200,2,FALSE()),"?"))</f>
        <v>Photograph</v>
      </c>
      <c r="R1021" s="2" t="str">
        <f t="shared" si="15"/>
        <v>Image</v>
      </c>
      <c r="S1021" s="2" t="str">
        <f>IF($C1021="","",IFERROR(VLOOKUP($C1021,sources!$A$2:$N$200,9,FALSE()),"?"))</f>
        <v>US official</v>
      </c>
      <c r="T1021" t="s">
        <v>5692</v>
      </c>
      <c r="U1021">
        <f>IF(OR(B1021="",C1021="",T1021="Retracted",LEFT(D1021,8)="Negative"),0,IF(COUNTIFS($B$2:B1021,B1021,$C$2:C1021,C1021,$D$2:D1021,"&lt;&gt;Negative*",$T$2:T1021,"&lt;&gt;Retracted")=1,1,0))</f>
        <v>1</v>
      </c>
    </row>
    <row r="1022" spans="1:21" x14ac:dyDescent="0.2">
      <c r="A1022" t="s">
        <v>2951</v>
      </c>
      <c r="B1022" t="s">
        <v>565</v>
      </c>
      <c r="C1022" t="s">
        <v>1241</v>
      </c>
      <c r="D1022" t="s">
        <v>1575</v>
      </c>
      <c r="E1022" t="s">
        <v>566</v>
      </c>
      <c r="F1022" t="s">
        <v>1583</v>
      </c>
      <c r="I1022" t="s">
        <v>1058</v>
      </c>
      <c r="K1022">
        <v>1896</v>
      </c>
      <c r="L1022">
        <v>1896</v>
      </c>
      <c r="M1022" t="s">
        <v>203</v>
      </c>
      <c r="N1022" t="s">
        <v>209</v>
      </c>
      <c r="Q1022" s="2" t="str">
        <f>IF($C1022="","",IFERROR(VLOOKUP($C1022,sources!$A$2:$N$200,2,FALSE()),"?"))</f>
        <v>Photograph</v>
      </c>
      <c r="R1022" s="2" t="str">
        <f t="shared" si="15"/>
        <v>Image</v>
      </c>
      <c r="S1022" s="2" t="str">
        <f>IF($C1022="","",IFERROR(VLOOKUP($C1022,sources!$A$2:$N$200,9,FALSE()),"?"))</f>
        <v>US official</v>
      </c>
      <c r="T1022" t="s">
        <v>5692</v>
      </c>
      <c r="U1022">
        <f>IF(OR(B1022="",C1022="",T1022="Retracted",LEFT(D1022,8)="Negative"),0,IF(COUNTIFS($B$2:B1022,B1022,$C$2:C1022,C1022,$D$2:D1022,"&lt;&gt;Negative*",$T$2:T1022,"&lt;&gt;Retracted")=1,1,0))</f>
        <v>1</v>
      </c>
    </row>
    <row r="1023" spans="1:21" x14ac:dyDescent="0.2">
      <c r="A1023" t="s">
        <v>2952</v>
      </c>
      <c r="B1023" t="s">
        <v>575</v>
      </c>
      <c r="C1023" t="s">
        <v>1241</v>
      </c>
      <c r="D1023" t="s">
        <v>1613</v>
      </c>
      <c r="E1023" t="s">
        <v>576</v>
      </c>
      <c r="F1023" t="s">
        <v>1583</v>
      </c>
      <c r="I1023" t="s">
        <v>1058</v>
      </c>
      <c r="M1023" t="s">
        <v>190</v>
      </c>
      <c r="N1023" t="s">
        <v>209</v>
      </c>
      <c r="Q1023" s="2" t="str">
        <f>IF($C1023="","",IFERROR(VLOOKUP($C1023,sources!$A$2:$N$200,2,FALSE()),"?"))</f>
        <v>Photograph</v>
      </c>
      <c r="R1023" s="2" t="str">
        <f t="shared" si="15"/>
        <v>Image</v>
      </c>
      <c r="S1023" s="2" t="str">
        <f>IF($C1023="","",IFERROR(VLOOKUP($C1023,sources!$A$2:$N$200,9,FALSE()),"?"))</f>
        <v>US official</v>
      </c>
      <c r="T1023" t="s">
        <v>5692</v>
      </c>
      <c r="U1023">
        <f>IF(OR(B1023="",C1023="",T1023="Retracted",LEFT(D1023,8)="Negative"),0,IF(COUNTIFS($B$2:B1023,B1023,$C$2:C1023,C1023,$D$2:D1023,"&lt;&gt;Negative*",$T$2:T1023,"&lt;&gt;Retracted")=1,1,0))</f>
        <v>0</v>
      </c>
    </row>
    <row r="1024" spans="1:21" x14ac:dyDescent="0.2">
      <c r="A1024" t="s">
        <v>2953</v>
      </c>
      <c r="B1024" t="s">
        <v>580</v>
      </c>
      <c r="C1024" t="s">
        <v>1241</v>
      </c>
      <c r="D1024" t="s">
        <v>1575</v>
      </c>
      <c r="E1024" t="s">
        <v>581</v>
      </c>
      <c r="F1024" t="s">
        <v>1583</v>
      </c>
      <c r="I1024" t="s">
        <v>1058</v>
      </c>
      <c r="K1024">
        <v>1905</v>
      </c>
      <c r="L1024">
        <v>1905</v>
      </c>
      <c r="M1024" t="s">
        <v>203</v>
      </c>
      <c r="N1024" t="s">
        <v>209</v>
      </c>
      <c r="Q1024" s="2" t="str">
        <f>IF($C1024="","",IFERROR(VLOOKUP($C1024,sources!$A$2:$N$200,2,FALSE()),"?"))</f>
        <v>Photograph</v>
      </c>
      <c r="R1024" s="2" t="str">
        <f t="shared" si="15"/>
        <v>Image</v>
      </c>
      <c r="S1024" s="2" t="str">
        <f>IF($C1024="","",IFERROR(VLOOKUP($C1024,sources!$A$2:$N$200,9,FALSE()),"?"))</f>
        <v>US official</v>
      </c>
      <c r="T1024" t="s">
        <v>5692</v>
      </c>
      <c r="U1024">
        <f>IF(OR(B1024="",C1024="",T1024="Retracted",LEFT(D1024,8)="Negative"),0,IF(COUNTIFS($B$2:B1024,B1024,$C$2:C1024,C1024,$D$2:D1024,"&lt;&gt;Negative*",$T$2:T1024,"&lt;&gt;Retracted")=1,1,0))</f>
        <v>1</v>
      </c>
    </row>
    <row r="1025" spans="1:21" x14ac:dyDescent="0.2">
      <c r="A1025" t="s">
        <v>2954</v>
      </c>
      <c r="B1025" t="s">
        <v>595</v>
      </c>
      <c r="C1025" t="s">
        <v>1241</v>
      </c>
      <c r="D1025" t="s">
        <v>1575</v>
      </c>
      <c r="E1025" t="s">
        <v>596</v>
      </c>
      <c r="F1025" t="s">
        <v>1583</v>
      </c>
      <c r="I1025" t="s">
        <v>1058</v>
      </c>
      <c r="M1025" t="s">
        <v>190</v>
      </c>
      <c r="N1025" t="s">
        <v>209</v>
      </c>
      <c r="Q1025" s="2" t="str">
        <f>IF($C1025="","",IFERROR(VLOOKUP($C1025,sources!$A$2:$N$200,2,FALSE()),"?"))</f>
        <v>Photograph</v>
      </c>
      <c r="R1025" s="2" t="str">
        <f t="shared" si="15"/>
        <v>Image</v>
      </c>
      <c r="S1025" s="2" t="str">
        <f>IF($C1025="","",IFERROR(VLOOKUP($C1025,sources!$A$2:$N$200,9,FALSE()),"?"))</f>
        <v>US official</v>
      </c>
      <c r="T1025" t="s">
        <v>5692</v>
      </c>
      <c r="U1025">
        <f>IF(OR(B1025="",C1025="",T1025="Retracted",LEFT(D1025,8)="Negative"),0,IF(COUNTIFS($B$2:B1025,B1025,$C$2:C1025,C1025,$D$2:D1025,"&lt;&gt;Negative*",$T$2:T1025,"&lt;&gt;Retracted")=1,1,0))</f>
        <v>1</v>
      </c>
    </row>
    <row r="1026" spans="1:21" x14ac:dyDescent="0.2">
      <c r="A1026" t="s">
        <v>2955</v>
      </c>
      <c r="B1026" t="s">
        <v>603</v>
      </c>
      <c r="C1026" t="s">
        <v>1241</v>
      </c>
      <c r="D1026" t="s">
        <v>1613</v>
      </c>
      <c r="E1026" t="s">
        <v>604</v>
      </c>
      <c r="F1026" t="s">
        <v>1583</v>
      </c>
      <c r="I1026" t="s">
        <v>1058</v>
      </c>
      <c r="M1026" t="s">
        <v>190</v>
      </c>
      <c r="N1026" t="s">
        <v>209</v>
      </c>
      <c r="Q1026" s="2" t="str">
        <f>IF($C1026="","",IFERROR(VLOOKUP($C1026,sources!$A$2:$N$200,2,FALSE()),"?"))</f>
        <v>Photograph</v>
      </c>
      <c r="R1026" s="2" t="str">
        <f t="shared" ref="R1026:R1089" si="16">IF($Q1026="","",IF($Q1026="Map","Map",IF(OR($Q1026="Photograph",$Q1026="Postcard"),"Image",IF(OR($Q1026="Census or roll",$Q1026="Report",$Q1026="Newspaper",$Q1026="Letter",$Q1026="Memoir",$Q1026="Administrative",$Q1026="Web compilation"),"Textual",IF($Q1026="Legal claim","Legal/admin",IF($Q1026="Secondary","Secondary","Other"))))))</f>
        <v>Image</v>
      </c>
      <c r="S1026" s="2" t="str">
        <f>IF($C1026="","",IFERROR(VLOOKUP($C1026,sources!$A$2:$N$200,9,FALSE()),"?"))</f>
        <v>US official</v>
      </c>
      <c r="T1026" t="s">
        <v>5692</v>
      </c>
      <c r="U1026">
        <f>IF(OR(B1026="",C1026="",T1026="Retracted",LEFT(D1026,8)="Negative"),0,IF(COUNTIFS($B$2:B1026,B1026,$C$2:C1026,C1026,$D$2:D1026,"&lt;&gt;Negative*",$T$2:T1026,"&lt;&gt;Retracted")=1,1,0))</f>
        <v>0</v>
      </c>
    </row>
    <row r="1027" spans="1:21" x14ac:dyDescent="0.2">
      <c r="A1027" t="s">
        <v>2956</v>
      </c>
      <c r="B1027" t="s">
        <v>607</v>
      </c>
      <c r="C1027" t="s">
        <v>1241</v>
      </c>
      <c r="D1027" t="s">
        <v>1575</v>
      </c>
      <c r="E1027" t="s">
        <v>608</v>
      </c>
      <c r="F1027" t="s">
        <v>1583</v>
      </c>
      <c r="I1027" t="s">
        <v>1058</v>
      </c>
      <c r="M1027" t="s">
        <v>190</v>
      </c>
      <c r="N1027" t="s">
        <v>209</v>
      </c>
      <c r="Q1027" s="2" t="str">
        <f>IF($C1027="","",IFERROR(VLOOKUP($C1027,sources!$A$2:$N$200,2,FALSE()),"?"))</f>
        <v>Photograph</v>
      </c>
      <c r="R1027" s="2" t="str">
        <f t="shared" si="16"/>
        <v>Image</v>
      </c>
      <c r="S1027" s="2" t="str">
        <f>IF($C1027="","",IFERROR(VLOOKUP($C1027,sources!$A$2:$N$200,9,FALSE()),"?"))</f>
        <v>US official</v>
      </c>
      <c r="T1027" t="s">
        <v>5692</v>
      </c>
      <c r="U1027">
        <f>IF(OR(B1027="",C1027="",T1027="Retracted",LEFT(D1027,8)="Negative"),0,IF(COUNTIFS($B$2:B1027,B1027,$C$2:C1027,C1027,$D$2:D1027,"&lt;&gt;Negative*",$T$2:T1027,"&lt;&gt;Retracted")=1,1,0))</f>
        <v>1</v>
      </c>
    </row>
    <row r="1028" spans="1:21" x14ac:dyDescent="0.2">
      <c r="A1028" t="s">
        <v>2957</v>
      </c>
      <c r="B1028" t="s">
        <v>498</v>
      </c>
      <c r="C1028" t="s">
        <v>1241</v>
      </c>
      <c r="D1028" t="s">
        <v>1575</v>
      </c>
      <c r="E1028" t="s">
        <v>499</v>
      </c>
      <c r="F1028" t="s">
        <v>1583</v>
      </c>
      <c r="I1028" t="s">
        <v>1058</v>
      </c>
      <c r="M1028" t="s">
        <v>190</v>
      </c>
      <c r="N1028" t="s">
        <v>209</v>
      </c>
      <c r="Q1028" s="2" t="str">
        <f>IF($C1028="","",IFERROR(VLOOKUP($C1028,sources!$A$2:$N$200,2,FALSE()),"?"))</f>
        <v>Photograph</v>
      </c>
      <c r="R1028" s="2" t="str">
        <f t="shared" si="16"/>
        <v>Image</v>
      </c>
      <c r="S1028" s="2" t="str">
        <f>IF($C1028="","",IFERROR(VLOOKUP($C1028,sources!$A$2:$N$200,9,FALSE()),"?"))</f>
        <v>US official</v>
      </c>
      <c r="T1028" t="s">
        <v>5692</v>
      </c>
      <c r="U1028">
        <f>IF(OR(B1028="",C1028="",T1028="Retracted",LEFT(D1028,8)="Negative"),0,IF(COUNTIFS($B$2:B1028,B1028,$C$2:C1028,C1028,$D$2:D1028,"&lt;&gt;Negative*",$T$2:T1028,"&lt;&gt;Retracted")=1,1,0))</f>
        <v>1</v>
      </c>
    </row>
    <row r="1029" spans="1:21" x14ac:dyDescent="0.2">
      <c r="A1029" t="s">
        <v>2958</v>
      </c>
      <c r="B1029" t="s">
        <v>570</v>
      </c>
      <c r="C1029" t="s">
        <v>1241</v>
      </c>
      <c r="D1029" t="s">
        <v>1613</v>
      </c>
      <c r="E1029" t="s">
        <v>571</v>
      </c>
      <c r="F1029" t="s">
        <v>1583</v>
      </c>
      <c r="I1029" t="s">
        <v>1058</v>
      </c>
      <c r="M1029" t="s">
        <v>190</v>
      </c>
      <c r="N1029" t="s">
        <v>209</v>
      </c>
      <c r="Q1029" s="2" t="str">
        <f>IF($C1029="","",IFERROR(VLOOKUP($C1029,sources!$A$2:$N$200,2,FALSE()),"?"))</f>
        <v>Photograph</v>
      </c>
      <c r="R1029" s="2" t="str">
        <f t="shared" si="16"/>
        <v>Image</v>
      </c>
      <c r="S1029" s="2" t="str">
        <f>IF($C1029="","",IFERROR(VLOOKUP($C1029,sources!$A$2:$N$200,9,FALSE()),"?"))</f>
        <v>US official</v>
      </c>
      <c r="T1029" t="s">
        <v>5692</v>
      </c>
      <c r="U1029">
        <f>IF(OR(B1029="",C1029="",T1029="Retracted",LEFT(D1029,8)="Negative"),0,IF(COUNTIFS($B$2:B1029,B1029,$C$2:C1029,C1029,$D$2:D1029,"&lt;&gt;Negative*",$T$2:T1029,"&lt;&gt;Retracted")=1,1,0))</f>
        <v>0</v>
      </c>
    </row>
    <row r="1030" spans="1:21" x14ac:dyDescent="0.2">
      <c r="A1030" t="s">
        <v>2959</v>
      </c>
      <c r="B1030" t="s">
        <v>490</v>
      </c>
      <c r="C1030" t="s">
        <v>1241</v>
      </c>
      <c r="D1030" t="s">
        <v>1575</v>
      </c>
      <c r="E1030" t="s">
        <v>491</v>
      </c>
      <c r="F1030" t="s">
        <v>1583</v>
      </c>
      <c r="I1030" t="s">
        <v>1058</v>
      </c>
      <c r="M1030" t="s">
        <v>190</v>
      </c>
      <c r="N1030" t="s">
        <v>209</v>
      </c>
      <c r="Q1030" s="2" t="str">
        <f>IF($C1030="","",IFERROR(VLOOKUP($C1030,sources!$A$2:$N$200,2,FALSE()),"?"))</f>
        <v>Photograph</v>
      </c>
      <c r="R1030" s="2" t="str">
        <f t="shared" si="16"/>
        <v>Image</v>
      </c>
      <c r="S1030" s="2" t="str">
        <f>IF($C1030="","",IFERROR(VLOOKUP($C1030,sources!$A$2:$N$200,9,FALSE()),"?"))</f>
        <v>US official</v>
      </c>
      <c r="T1030" t="s">
        <v>5692</v>
      </c>
      <c r="U1030">
        <f>IF(OR(B1030="",C1030="",T1030="Retracted",LEFT(D1030,8)="Negative"),0,IF(COUNTIFS($B$2:B1030,B1030,$C$2:C1030,C1030,$D$2:D1030,"&lt;&gt;Negative*",$T$2:T1030,"&lt;&gt;Retracted")=1,1,0))</f>
        <v>1</v>
      </c>
    </row>
    <row r="1031" spans="1:21" x14ac:dyDescent="0.2">
      <c r="A1031" t="s">
        <v>2960</v>
      </c>
      <c r="B1031" t="s">
        <v>503</v>
      </c>
      <c r="C1031" t="s">
        <v>1241</v>
      </c>
      <c r="D1031" t="s">
        <v>1575</v>
      </c>
      <c r="E1031" t="s">
        <v>504</v>
      </c>
      <c r="F1031" t="s">
        <v>1583</v>
      </c>
      <c r="I1031" t="s">
        <v>1058</v>
      </c>
      <c r="M1031" t="s">
        <v>190</v>
      </c>
      <c r="N1031" t="s">
        <v>209</v>
      </c>
      <c r="Q1031" s="2" t="str">
        <f>IF($C1031="","",IFERROR(VLOOKUP($C1031,sources!$A$2:$N$200,2,FALSE()),"?"))</f>
        <v>Photograph</v>
      </c>
      <c r="R1031" s="2" t="str">
        <f t="shared" si="16"/>
        <v>Image</v>
      </c>
      <c r="S1031" s="2" t="str">
        <f>IF($C1031="","",IFERROR(VLOOKUP($C1031,sources!$A$2:$N$200,9,FALSE()),"?"))</f>
        <v>US official</v>
      </c>
      <c r="T1031" t="s">
        <v>5692</v>
      </c>
      <c r="U1031">
        <f>IF(OR(B1031="",C1031="",T1031="Retracted",LEFT(D1031,8)="Negative"),0,IF(COUNTIFS($B$2:B1031,B1031,$C$2:C1031,C1031,$D$2:D1031,"&lt;&gt;Negative*",$T$2:T1031,"&lt;&gt;Retracted")=1,1,0))</f>
        <v>1</v>
      </c>
    </row>
    <row r="1032" spans="1:21" x14ac:dyDescent="0.2">
      <c r="A1032" t="s">
        <v>2961</v>
      </c>
      <c r="B1032" t="s">
        <v>507</v>
      </c>
      <c r="C1032" t="s">
        <v>1241</v>
      </c>
      <c r="D1032" t="s">
        <v>1613</v>
      </c>
      <c r="E1032" t="s">
        <v>508</v>
      </c>
      <c r="F1032" t="s">
        <v>1583</v>
      </c>
      <c r="I1032" t="s">
        <v>1058</v>
      </c>
      <c r="M1032" t="s">
        <v>190</v>
      </c>
      <c r="N1032" t="s">
        <v>209</v>
      </c>
      <c r="Q1032" s="2" t="str">
        <f>IF($C1032="","",IFERROR(VLOOKUP($C1032,sources!$A$2:$N$200,2,FALSE()),"?"))</f>
        <v>Photograph</v>
      </c>
      <c r="R1032" s="2" t="str">
        <f t="shared" si="16"/>
        <v>Image</v>
      </c>
      <c r="S1032" s="2" t="str">
        <f>IF($C1032="","",IFERROR(VLOOKUP($C1032,sources!$A$2:$N$200,9,FALSE()),"?"))</f>
        <v>US official</v>
      </c>
      <c r="T1032" t="s">
        <v>5692</v>
      </c>
      <c r="U1032">
        <f>IF(OR(B1032="",C1032="",T1032="Retracted",LEFT(D1032,8)="Negative"),0,IF(COUNTIFS($B$2:B1032,B1032,$C$2:C1032,C1032,$D$2:D1032,"&lt;&gt;Negative*",$T$2:T1032,"&lt;&gt;Retracted")=1,1,0))</f>
        <v>0</v>
      </c>
    </row>
    <row r="1033" spans="1:21" x14ac:dyDescent="0.2">
      <c r="A1033" t="s">
        <v>2962</v>
      </c>
      <c r="B1033" t="s">
        <v>510</v>
      </c>
      <c r="C1033" t="s">
        <v>1241</v>
      </c>
      <c r="D1033" t="s">
        <v>1575</v>
      </c>
      <c r="E1033" t="s">
        <v>511</v>
      </c>
      <c r="F1033" t="s">
        <v>1583</v>
      </c>
      <c r="I1033" t="s">
        <v>1058</v>
      </c>
      <c r="M1033" t="s">
        <v>190</v>
      </c>
      <c r="N1033" t="s">
        <v>209</v>
      </c>
      <c r="Q1033" s="2" t="str">
        <f>IF($C1033="","",IFERROR(VLOOKUP($C1033,sources!$A$2:$N$200,2,FALSE()),"?"))</f>
        <v>Photograph</v>
      </c>
      <c r="R1033" s="2" t="str">
        <f t="shared" si="16"/>
        <v>Image</v>
      </c>
      <c r="S1033" s="2" t="str">
        <f>IF($C1033="","",IFERROR(VLOOKUP($C1033,sources!$A$2:$N$200,9,FALSE()),"?"))</f>
        <v>US official</v>
      </c>
      <c r="T1033" t="s">
        <v>5692</v>
      </c>
      <c r="U1033">
        <f>IF(OR(B1033="",C1033="",T1033="Retracted",LEFT(D1033,8)="Negative"),0,IF(COUNTIFS($B$2:B1033,B1033,$C$2:C1033,C1033,$D$2:D1033,"&lt;&gt;Negative*",$T$2:T1033,"&lt;&gt;Retracted")=1,1,0))</f>
        <v>1</v>
      </c>
    </row>
    <row r="1034" spans="1:21" x14ac:dyDescent="0.2">
      <c r="A1034" t="s">
        <v>2963</v>
      </c>
      <c r="B1034" t="s">
        <v>515</v>
      </c>
      <c r="C1034" t="s">
        <v>1241</v>
      </c>
      <c r="D1034" t="s">
        <v>1575</v>
      </c>
      <c r="E1034" t="s">
        <v>516</v>
      </c>
      <c r="F1034" t="s">
        <v>1583</v>
      </c>
      <c r="I1034" t="s">
        <v>1058</v>
      </c>
      <c r="M1034" t="s">
        <v>190</v>
      </c>
      <c r="N1034" t="s">
        <v>209</v>
      </c>
      <c r="Q1034" s="2" t="str">
        <f>IF($C1034="","",IFERROR(VLOOKUP($C1034,sources!$A$2:$N$200,2,FALSE()),"?"))</f>
        <v>Photograph</v>
      </c>
      <c r="R1034" s="2" t="str">
        <f t="shared" si="16"/>
        <v>Image</v>
      </c>
      <c r="S1034" s="2" t="str">
        <f>IF($C1034="","",IFERROR(VLOOKUP($C1034,sources!$A$2:$N$200,9,FALSE()),"?"))</f>
        <v>US official</v>
      </c>
      <c r="T1034" t="s">
        <v>5692</v>
      </c>
      <c r="U1034">
        <f>IF(OR(B1034="",C1034="",T1034="Retracted",LEFT(D1034,8)="Negative"),0,IF(COUNTIFS($B$2:B1034,B1034,$C$2:C1034,C1034,$D$2:D1034,"&lt;&gt;Negative*",$T$2:T1034,"&lt;&gt;Retracted")=1,1,0))</f>
        <v>1</v>
      </c>
    </row>
    <row r="1035" spans="1:21" x14ac:dyDescent="0.2">
      <c r="A1035" t="s">
        <v>2964</v>
      </c>
      <c r="B1035" t="s">
        <v>520</v>
      </c>
      <c r="C1035" t="s">
        <v>1241</v>
      </c>
      <c r="D1035" t="s">
        <v>1575</v>
      </c>
      <c r="E1035" t="s">
        <v>521</v>
      </c>
      <c r="F1035" t="s">
        <v>1583</v>
      </c>
      <c r="I1035" t="s">
        <v>1058</v>
      </c>
      <c r="M1035" t="s">
        <v>190</v>
      </c>
      <c r="N1035" t="s">
        <v>209</v>
      </c>
      <c r="Q1035" s="2" t="str">
        <f>IF($C1035="","",IFERROR(VLOOKUP($C1035,sources!$A$2:$N$200,2,FALSE()),"?"))</f>
        <v>Photograph</v>
      </c>
      <c r="R1035" s="2" t="str">
        <f t="shared" si="16"/>
        <v>Image</v>
      </c>
      <c r="S1035" s="2" t="str">
        <f>IF($C1035="","",IFERROR(VLOOKUP($C1035,sources!$A$2:$N$200,9,FALSE()),"?"))</f>
        <v>US official</v>
      </c>
      <c r="T1035" t="s">
        <v>5692</v>
      </c>
      <c r="U1035">
        <f>IF(OR(B1035="",C1035="",T1035="Retracted",LEFT(D1035,8)="Negative"),0,IF(COUNTIFS($B$2:B1035,B1035,$C$2:C1035,C1035,$D$2:D1035,"&lt;&gt;Negative*",$T$2:T1035,"&lt;&gt;Retracted")=1,1,0))</f>
        <v>1</v>
      </c>
    </row>
    <row r="1036" spans="1:21" x14ac:dyDescent="0.2">
      <c r="A1036" t="s">
        <v>2965</v>
      </c>
      <c r="B1036" t="s">
        <v>525</v>
      </c>
      <c r="C1036" t="s">
        <v>1241</v>
      </c>
      <c r="D1036" t="s">
        <v>1575</v>
      </c>
      <c r="E1036" t="s">
        <v>526</v>
      </c>
      <c r="F1036" t="s">
        <v>1583</v>
      </c>
      <c r="I1036" t="s">
        <v>1058</v>
      </c>
      <c r="M1036" t="s">
        <v>190</v>
      </c>
      <c r="N1036" t="s">
        <v>209</v>
      </c>
      <c r="Q1036" s="2" t="str">
        <f>IF($C1036="","",IFERROR(VLOOKUP($C1036,sources!$A$2:$N$200,2,FALSE()),"?"))</f>
        <v>Photograph</v>
      </c>
      <c r="R1036" s="2" t="str">
        <f t="shared" si="16"/>
        <v>Image</v>
      </c>
      <c r="S1036" s="2" t="str">
        <f>IF($C1036="","",IFERROR(VLOOKUP($C1036,sources!$A$2:$N$200,9,FALSE()),"?"))</f>
        <v>US official</v>
      </c>
      <c r="T1036" t="s">
        <v>5692</v>
      </c>
      <c r="U1036">
        <f>IF(OR(B1036="",C1036="",T1036="Retracted",LEFT(D1036,8)="Negative"),0,IF(COUNTIFS($B$2:B1036,B1036,$C$2:C1036,C1036,$D$2:D1036,"&lt;&gt;Negative*",$T$2:T1036,"&lt;&gt;Retracted")=1,1,0))</f>
        <v>1</v>
      </c>
    </row>
    <row r="1037" spans="1:21" x14ac:dyDescent="0.2">
      <c r="A1037" t="s">
        <v>2966</v>
      </c>
      <c r="B1037" t="s">
        <v>530</v>
      </c>
      <c r="C1037" t="s">
        <v>1241</v>
      </c>
      <c r="D1037" t="s">
        <v>1575</v>
      </c>
      <c r="E1037" t="s">
        <v>531</v>
      </c>
      <c r="F1037" t="s">
        <v>1583</v>
      </c>
      <c r="I1037" t="s">
        <v>1058</v>
      </c>
      <c r="M1037" t="s">
        <v>190</v>
      </c>
      <c r="N1037" t="s">
        <v>209</v>
      </c>
      <c r="Q1037" s="2" t="str">
        <f>IF($C1037="","",IFERROR(VLOOKUP($C1037,sources!$A$2:$N$200,2,FALSE()),"?"))</f>
        <v>Photograph</v>
      </c>
      <c r="R1037" s="2" t="str">
        <f t="shared" si="16"/>
        <v>Image</v>
      </c>
      <c r="S1037" s="2" t="str">
        <f>IF($C1037="","",IFERROR(VLOOKUP($C1037,sources!$A$2:$N$200,9,FALSE()),"?"))</f>
        <v>US official</v>
      </c>
      <c r="T1037" t="s">
        <v>5692</v>
      </c>
      <c r="U1037">
        <f>IF(OR(B1037="",C1037="",T1037="Retracted",LEFT(D1037,8)="Negative"),0,IF(COUNTIFS($B$2:B1037,B1037,$C$2:C1037,C1037,$D$2:D1037,"&lt;&gt;Negative*",$T$2:T1037,"&lt;&gt;Retracted")=1,1,0))</f>
        <v>1</v>
      </c>
    </row>
    <row r="1038" spans="1:21" x14ac:dyDescent="0.2">
      <c r="A1038" t="s">
        <v>2967</v>
      </c>
      <c r="B1038" t="s">
        <v>534</v>
      </c>
      <c r="C1038" t="s">
        <v>1241</v>
      </c>
      <c r="D1038" t="s">
        <v>1575</v>
      </c>
      <c r="E1038" t="s">
        <v>535</v>
      </c>
      <c r="F1038" t="s">
        <v>1583</v>
      </c>
      <c r="I1038" t="s">
        <v>1058</v>
      </c>
      <c r="M1038" t="s">
        <v>190</v>
      </c>
      <c r="N1038" t="s">
        <v>209</v>
      </c>
      <c r="Q1038" s="2" t="str">
        <f>IF($C1038="","",IFERROR(VLOOKUP($C1038,sources!$A$2:$N$200,2,FALSE()),"?"))</f>
        <v>Photograph</v>
      </c>
      <c r="R1038" s="2" t="str">
        <f t="shared" si="16"/>
        <v>Image</v>
      </c>
      <c r="S1038" s="2" t="str">
        <f>IF($C1038="","",IFERROR(VLOOKUP($C1038,sources!$A$2:$N$200,9,FALSE()),"?"))</f>
        <v>US official</v>
      </c>
      <c r="T1038" t="s">
        <v>5692</v>
      </c>
      <c r="U1038">
        <f>IF(OR(B1038="",C1038="",T1038="Retracted",LEFT(D1038,8)="Negative"),0,IF(COUNTIFS($B$2:B1038,B1038,$C$2:C1038,C1038,$D$2:D1038,"&lt;&gt;Negative*",$T$2:T1038,"&lt;&gt;Retracted")=1,1,0))</f>
        <v>1</v>
      </c>
    </row>
    <row r="1039" spans="1:21" x14ac:dyDescent="0.2">
      <c r="A1039" t="s">
        <v>2968</v>
      </c>
      <c r="B1039" t="s">
        <v>538</v>
      </c>
      <c r="C1039" t="s">
        <v>1241</v>
      </c>
      <c r="D1039" t="s">
        <v>1575</v>
      </c>
      <c r="E1039" t="s">
        <v>539</v>
      </c>
      <c r="F1039" t="s">
        <v>1583</v>
      </c>
      <c r="I1039" t="s">
        <v>1058</v>
      </c>
      <c r="M1039" t="s">
        <v>190</v>
      </c>
      <c r="N1039" t="s">
        <v>209</v>
      </c>
      <c r="Q1039" s="2" t="str">
        <f>IF($C1039="","",IFERROR(VLOOKUP($C1039,sources!$A$2:$N$200,2,FALSE()),"?"))</f>
        <v>Photograph</v>
      </c>
      <c r="R1039" s="2" t="str">
        <f t="shared" si="16"/>
        <v>Image</v>
      </c>
      <c r="S1039" s="2" t="str">
        <f>IF($C1039="","",IFERROR(VLOOKUP($C1039,sources!$A$2:$N$200,9,FALSE()),"?"))</f>
        <v>US official</v>
      </c>
      <c r="T1039" t="s">
        <v>5692</v>
      </c>
      <c r="U1039">
        <f>IF(OR(B1039="",C1039="",T1039="Retracted",LEFT(D1039,8)="Negative"),0,IF(COUNTIFS($B$2:B1039,B1039,$C$2:C1039,C1039,$D$2:D1039,"&lt;&gt;Negative*",$T$2:T1039,"&lt;&gt;Retracted")=1,1,0))</f>
        <v>1</v>
      </c>
    </row>
    <row r="1040" spans="1:21" x14ac:dyDescent="0.2">
      <c r="A1040" t="s">
        <v>2969</v>
      </c>
      <c r="B1040" t="s">
        <v>542</v>
      </c>
      <c r="C1040" t="s">
        <v>1241</v>
      </c>
      <c r="D1040" t="s">
        <v>1575</v>
      </c>
      <c r="E1040" t="s">
        <v>543</v>
      </c>
      <c r="F1040" t="s">
        <v>1583</v>
      </c>
      <c r="I1040" t="s">
        <v>1058</v>
      </c>
      <c r="M1040" t="s">
        <v>190</v>
      </c>
      <c r="N1040" t="s">
        <v>209</v>
      </c>
      <c r="Q1040" s="2" t="str">
        <f>IF($C1040="","",IFERROR(VLOOKUP($C1040,sources!$A$2:$N$200,2,FALSE()),"?"))</f>
        <v>Photograph</v>
      </c>
      <c r="R1040" s="2" t="str">
        <f t="shared" si="16"/>
        <v>Image</v>
      </c>
      <c r="S1040" s="2" t="str">
        <f>IF($C1040="","",IFERROR(VLOOKUP($C1040,sources!$A$2:$N$200,9,FALSE()),"?"))</f>
        <v>US official</v>
      </c>
      <c r="T1040" t="s">
        <v>5692</v>
      </c>
      <c r="U1040">
        <f>IF(OR(B1040="",C1040="",T1040="Retracted",LEFT(D1040,8)="Negative"),0,IF(COUNTIFS($B$2:B1040,B1040,$C$2:C1040,C1040,$D$2:D1040,"&lt;&gt;Negative*",$T$2:T1040,"&lt;&gt;Retracted")=1,1,0))</f>
        <v>1</v>
      </c>
    </row>
    <row r="1041" spans="1:21" x14ac:dyDescent="0.2">
      <c r="A1041" t="s">
        <v>2970</v>
      </c>
      <c r="B1041" t="s">
        <v>547</v>
      </c>
      <c r="C1041" t="s">
        <v>1241</v>
      </c>
      <c r="D1041" t="s">
        <v>1575</v>
      </c>
      <c r="E1041" t="s">
        <v>548</v>
      </c>
      <c r="F1041" t="s">
        <v>1583</v>
      </c>
      <c r="I1041" t="s">
        <v>1058</v>
      </c>
      <c r="K1041">
        <v>1916</v>
      </c>
      <c r="L1041">
        <v>1916</v>
      </c>
      <c r="M1041" t="s">
        <v>203</v>
      </c>
      <c r="N1041" t="s">
        <v>209</v>
      </c>
      <c r="Q1041" s="2" t="str">
        <f>IF($C1041="","",IFERROR(VLOOKUP($C1041,sources!$A$2:$N$200,2,FALSE()),"?"))</f>
        <v>Photograph</v>
      </c>
      <c r="R1041" s="2" t="str">
        <f t="shared" si="16"/>
        <v>Image</v>
      </c>
      <c r="S1041" s="2" t="str">
        <f>IF($C1041="","",IFERROR(VLOOKUP($C1041,sources!$A$2:$N$200,9,FALSE()),"?"))</f>
        <v>US official</v>
      </c>
      <c r="T1041" t="s">
        <v>5692</v>
      </c>
      <c r="U1041">
        <f>IF(OR(B1041="",C1041="",T1041="Retracted",LEFT(D1041,8)="Negative"),0,IF(COUNTIFS($B$2:B1041,B1041,$C$2:C1041,C1041,$D$2:D1041,"&lt;&gt;Negative*",$T$2:T1041,"&lt;&gt;Retracted")=1,1,0))</f>
        <v>1</v>
      </c>
    </row>
    <row r="1042" spans="1:21" x14ac:dyDescent="0.2">
      <c r="A1042" t="s">
        <v>2971</v>
      </c>
      <c r="B1042" t="s">
        <v>552</v>
      </c>
      <c r="C1042" t="s">
        <v>1241</v>
      </c>
      <c r="D1042" t="s">
        <v>1575</v>
      </c>
      <c r="E1042" t="s">
        <v>553</v>
      </c>
      <c r="F1042" t="s">
        <v>1583</v>
      </c>
      <c r="I1042" t="s">
        <v>1058</v>
      </c>
      <c r="M1042" t="s">
        <v>190</v>
      </c>
      <c r="N1042" t="s">
        <v>209</v>
      </c>
      <c r="Q1042" s="2" t="str">
        <f>IF($C1042="","",IFERROR(VLOOKUP($C1042,sources!$A$2:$N$200,2,FALSE()),"?"))</f>
        <v>Photograph</v>
      </c>
      <c r="R1042" s="2" t="str">
        <f t="shared" si="16"/>
        <v>Image</v>
      </c>
      <c r="S1042" s="2" t="str">
        <f>IF($C1042="","",IFERROR(VLOOKUP($C1042,sources!$A$2:$N$200,9,FALSE()),"?"))</f>
        <v>US official</v>
      </c>
      <c r="T1042" t="s">
        <v>5692</v>
      </c>
      <c r="U1042">
        <f>IF(OR(B1042="",C1042="",T1042="Retracted",LEFT(D1042,8)="Negative"),0,IF(COUNTIFS($B$2:B1042,B1042,$C$2:C1042,C1042,$D$2:D1042,"&lt;&gt;Negative*",$T$2:T1042,"&lt;&gt;Retracted")=1,1,0))</f>
        <v>1</v>
      </c>
    </row>
    <row r="1043" spans="1:21" x14ac:dyDescent="0.2">
      <c r="A1043" t="s">
        <v>2972</v>
      </c>
      <c r="B1043" t="s">
        <v>386</v>
      </c>
      <c r="C1043" t="s">
        <v>1241</v>
      </c>
      <c r="D1043" t="s">
        <v>1613</v>
      </c>
      <c r="E1043" t="s">
        <v>560</v>
      </c>
      <c r="F1043" t="s">
        <v>1583</v>
      </c>
      <c r="I1043" t="s">
        <v>1058</v>
      </c>
      <c r="M1043" t="s">
        <v>190</v>
      </c>
      <c r="N1043" t="s">
        <v>209</v>
      </c>
      <c r="Q1043" s="2" t="str">
        <f>IF($C1043="","",IFERROR(VLOOKUP($C1043,sources!$A$2:$N$200,2,FALSE()),"?"))</f>
        <v>Photograph</v>
      </c>
      <c r="R1043" s="2" t="str">
        <f t="shared" si="16"/>
        <v>Image</v>
      </c>
      <c r="S1043" s="2" t="str">
        <f>IF($C1043="","",IFERROR(VLOOKUP($C1043,sources!$A$2:$N$200,9,FALSE()),"?"))</f>
        <v>US official</v>
      </c>
      <c r="T1043" t="s">
        <v>5692</v>
      </c>
      <c r="U1043">
        <f>IF(OR(B1043="",C1043="",T1043="Retracted",LEFT(D1043,8)="Negative"),0,IF(COUNTIFS($B$2:B1043,B1043,$C$2:C1043,C1043,$D$2:D1043,"&lt;&gt;Negative*",$T$2:T1043,"&lt;&gt;Retracted")=1,1,0))</f>
        <v>0</v>
      </c>
    </row>
    <row r="1044" spans="1:21" x14ac:dyDescent="0.2">
      <c r="A1044" t="s">
        <v>2973</v>
      </c>
      <c r="B1044" t="s">
        <v>584</v>
      </c>
      <c r="C1044" t="s">
        <v>1241</v>
      </c>
      <c r="D1044" t="s">
        <v>1575</v>
      </c>
      <c r="E1044" t="s">
        <v>585</v>
      </c>
      <c r="F1044" t="s">
        <v>1583</v>
      </c>
      <c r="I1044" t="s">
        <v>1058</v>
      </c>
      <c r="M1044" t="s">
        <v>190</v>
      </c>
      <c r="N1044" t="s">
        <v>209</v>
      </c>
      <c r="Q1044" s="2" t="str">
        <f>IF($C1044="","",IFERROR(VLOOKUP($C1044,sources!$A$2:$N$200,2,FALSE()),"?"))</f>
        <v>Photograph</v>
      </c>
      <c r="R1044" s="2" t="str">
        <f t="shared" si="16"/>
        <v>Image</v>
      </c>
      <c r="S1044" s="2" t="str">
        <f>IF($C1044="","",IFERROR(VLOOKUP($C1044,sources!$A$2:$N$200,9,FALSE()),"?"))</f>
        <v>US official</v>
      </c>
      <c r="T1044" t="s">
        <v>5692</v>
      </c>
      <c r="U1044">
        <f>IF(OR(B1044="",C1044="",T1044="Retracted",LEFT(D1044,8)="Negative"),0,IF(COUNTIFS($B$2:B1044,B1044,$C$2:C1044,C1044,$D$2:D1044,"&lt;&gt;Negative*",$T$2:T1044,"&lt;&gt;Retracted")=1,1,0))</f>
        <v>1</v>
      </c>
    </row>
    <row r="1045" spans="1:21" x14ac:dyDescent="0.2">
      <c r="A1045" t="s">
        <v>2974</v>
      </c>
      <c r="B1045" t="s">
        <v>599</v>
      </c>
      <c r="C1045" t="s">
        <v>1241</v>
      </c>
      <c r="D1045" t="s">
        <v>1575</v>
      </c>
      <c r="E1045" t="s">
        <v>600</v>
      </c>
      <c r="F1045" t="s">
        <v>1583</v>
      </c>
      <c r="I1045" t="s">
        <v>1058</v>
      </c>
      <c r="M1045" t="s">
        <v>190</v>
      </c>
      <c r="N1045" t="s">
        <v>209</v>
      </c>
      <c r="Q1045" s="2" t="str">
        <f>IF($C1045="","",IFERROR(VLOOKUP($C1045,sources!$A$2:$N$200,2,FALSE()),"?"))</f>
        <v>Photograph</v>
      </c>
      <c r="R1045" s="2" t="str">
        <f t="shared" si="16"/>
        <v>Image</v>
      </c>
      <c r="S1045" s="2" t="str">
        <f>IF($C1045="","",IFERROR(VLOOKUP($C1045,sources!$A$2:$N$200,9,FALSE()),"?"))</f>
        <v>US official</v>
      </c>
      <c r="T1045" t="s">
        <v>5692</v>
      </c>
      <c r="U1045">
        <f>IF(OR(B1045="",C1045="",T1045="Retracted",LEFT(D1045,8)="Negative"),0,IF(COUNTIFS($B$2:B1045,B1045,$C$2:C1045,C1045,$D$2:D1045,"&lt;&gt;Negative*",$T$2:T1045,"&lt;&gt;Retracted")=1,1,0))</f>
        <v>1</v>
      </c>
    </row>
    <row r="1046" spans="1:21" x14ac:dyDescent="0.2">
      <c r="A1046" t="s">
        <v>2975</v>
      </c>
      <c r="B1046" t="s">
        <v>639</v>
      </c>
      <c r="C1046" t="s">
        <v>1241</v>
      </c>
      <c r="D1046" t="s">
        <v>1575</v>
      </c>
      <c r="E1046" t="s">
        <v>640</v>
      </c>
      <c r="F1046" t="s">
        <v>1583</v>
      </c>
      <c r="I1046" t="s">
        <v>1058</v>
      </c>
      <c r="M1046" t="s">
        <v>190</v>
      </c>
      <c r="N1046" t="s">
        <v>209</v>
      </c>
      <c r="Q1046" s="2" t="str">
        <f>IF($C1046="","",IFERROR(VLOOKUP($C1046,sources!$A$2:$N$200,2,FALSE()),"?"))</f>
        <v>Photograph</v>
      </c>
      <c r="R1046" s="2" t="str">
        <f t="shared" si="16"/>
        <v>Image</v>
      </c>
      <c r="S1046" s="2" t="str">
        <f>IF($C1046="","",IFERROR(VLOOKUP($C1046,sources!$A$2:$N$200,9,FALSE()),"?"))</f>
        <v>US official</v>
      </c>
      <c r="T1046" t="s">
        <v>5692</v>
      </c>
      <c r="U1046">
        <f>IF(OR(B1046="",C1046="",T1046="Retracted",LEFT(D1046,8)="Negative"),0,IF(COUNTIFS($B$2:B1046,B1046,$C$2:C1046,C1046,$D$2:D1046,"&lt;&gt;Negative*",$T$2:T1046,"&lt;&gt;Retracted")=1,1,0))</f>
        <v>1</v>
      </c>
    </row>
    <row r="1047" spans="1:21" x14ac:dyDescent="0.2">
      <c r="A1047" t="s">
        <v>2976</v>
      </c>
      <c r="B1047" t="s">
        <v>287</v>
      </c>
      <c r="C1047" t="s">
        <v>1241</v>
      </c>
      <c r="D1047" t="s">
        <v>1613</v>
      </c>
      <c r="E1047" t="s">
        <v>288</v>
      </c>
      <c r="F1047" t="s">
        <v>1583</v>
      </c>
      <c r="I1047" t="s">
        <v>1058</v>
      </c>
      <c r="M1047" t="s">
        <v>190</v>
      </c>
      <c r="N1047" t="s">
        <v>209</v>
      </c>
      <c r="Q1047" s="2" t="str">
        <f>IF($C1047="","",IFERROR(VLOOKUP($C1047,sources!$A$2:$N$200,2,FALSE()),"?"))</f>
        <v>Photograph</v>
      </c>
      <c r="R1047" s="2" t="str">
        <f t="shared" si="16"/>
        <v>Image</v>
      </c>
      <c r="S1047" s="2" t="str">
        <f>IF($C1047="","",IFERROR(VLOOKUP($C1047,sources!$A$2:$N$200,9,FALSE()),"?"))</f>
        <v>US official</v>
      </c>
      <c r="T1047" t="s">
        <v>5692</v>
      </c>
      <c r="U1047">
        <f>IF(OR(B1047="",C1047="",T1047="Retracted",LEFT(D1047,8)="Negative"),0,IF(COUNTIFS($B$2:B1047,B1047,$C$2:C1047,C1047,$D$2:D1047,"&lt;&gt;Negative*",$T$2:T1047,"&lt;&gt;Retracted")=1,1,0))</f>
        <v>0</v>
      </c>
    </row>
    <row r="1048" spans="1:21" x14ac:dyDescent="0.2">
      <c r="A1048" t="s">
        <v>2977</v>
      </c>
      <c r="B1048" t="s">
        <v>294</v>
      </c>
      <c r="C1048" t="s">
        <v>1241</v>
      </c>
      <c r="D1048" t="s">
        <v>1613</v>
      </c>
      <c r="E1048" t="s">
        <v>295</v>
      </c>
      <c r="F1048" t="s">
        <v>1583</v>
      </c>
      <c r="I1048" t="s">
        <v>1058</v>
      </c>
      <c r="M1048" t="s">
        <v>190</v>
      </c>
      <c r="N1048" t="s">
        <v>209</v>
      </c>
      <c r="Q1048" s="2" t="str">
        <f>IF($C1048="","",IFERROR(VLOOKUP($C1048,sources!$A$2:$N$200,2,FALSE()),"?"))</f>
        <v>Photograph</v>
      </c>
      <c r="R1048" s="2" t="str">
        <f t="shared" si="16"/>
        <v>Image</v>
      </c>
      <c r="S1048" s="2" t="str">
        <f>IF($C1048="","",IFERROR(VLOOKUP($C1048,sources!$A$2:$N$200,9,FALSE()),"?"))</f>
        <v>US official</v>
      </c>
      <c r="T1048" t="s">
        <v>5692</v>
      </c>
      <c r="U1048">
        <f>IF(OR(B1048="",C1048="",T1048="Retracted",LEFT(D1048,8)="Negative"),0,IF(COUNTIFS($B$2:B1048,B1048,$C$2:C1048,C1048,$D$2:D1048,"&lt;&gt;Negative*",$T$2:T1048,"&lt;&gt;Retracted")=1,1,0))</f>
        <v>0</v>
      </c>
    </row>
    <row r="1049" spans="1:21" x14ac:dyDescent="0.2">
      <c r="A1049" t="s">
        <v>2978</v>
      </c>
      <c r="B1049" t="s">
        <v>660</v>
      </c>
      <c r="C1049" t="s">
        <v>1241</v>
      </c>
      <c r="D1049" t="s">
        <v>1613</v>
      </c>
      <c r="E1049" t="s">
        <v>298</v>
      </c>
      <c r="F1049" t="s">
        <v>1583</v>
      </c>
      <c r="I1049" t="s">
        <v>1058</v>
      </c>
      <c r="M1049" t="s">
        <v>190</v>
      </c>
      <c r="N1049" t="s">
        <v>209</v>
      </c>
      <c r="Q1049" s="2" t="str">
        <f>IF($C1049="","",IFERROR(VLOOKUP($C1049,sources!$A$2:$N$200,2,FALSE()),"?"))</f>
        <v>Photograph</v>
      </c>
      <c r="R1049" s="2" t="str">
        <f t="shared" si="16"/>
        <v>Image</v>
      </c>
      <c r="S1049" s="2" t="str">
        <f>IF($C1049="","",IFERROR(VLOOKUP($C1049,sources!$A$2:$N$200,9,FALSE()),"?"))</f>
        <v>US official</v>
      </c>
      <c r="T1049" t="s">
        <v>5692</v>
      </c>
      <c r="U1049">
        <f>IF(OR(B1049="",C1049="",T1049="Retracted",LEFT(D1049,8)="Negative"),0,IF(COUNTIFS($B$2:B1049,B1049,$C$2:C1049,C1049,$D$2:D1049,"&lt;&gt;Negative*",$T$2:T1049,"&lt;&gt;Retracted")=1,1,0))</f>
        <v>0</v>
      </c>
    </row>
    <row r="1050" spans="1:21" x14ac:dyDescent="0.2">
      <c r="A1050" t="s">
        <v>2979</v>
      </c>
      <c r="B1050" t="s">
        <v>317</v>
      </c>
      <c r="C1050" t="s">
        <v>1241</v>
      </c>
      <c r="D1050" t="s">
        <v>1613</v>
      </c>
      <c r="E1050" t="s">
        <v>318</v>
      </c>
      <c r="F1050" t="s">
        <v>1583</v>
      </c>
      <c r="I1050" t="s">
        <v>1058</v>
      </c>
      <c r="M1050" t="s">
        <v>190</v>
      </c>
      <c r="N1050" t="s">
        <v>209</v>
      </c>
      <c r="Q1050" s="2" t="str">
        <f>IF($C1050="","",IFERROR(VLOOKUP($C1050,sources!$A$2:$N$200,2,FALSE()),"?"))</f>
        <v>Photograph</v>
      </c>
      <c r="R1050" s="2" t="str">
        <f t="shared" si="16"/>
        <v>Image</v>
      </c>
      <c r="S1050" s="2" t="str">
        <f>IF($C1050="","",IFERROR(VLOOKUP($C1050,sources!$A$2:$N$200,9,FALSE()),"?"))</f>
        <v>US official</v>
      </c>
      <c r="T1050" t="s">
        <v>5692</v>
      </c>
      <c r="U1050">
        <f>IF(OR(B1050="",C1050="",T1050="Retracted",LEFT(D1050,8)="Negative"),0,IF(COUNTIFS($B$2:B1050,B1050,$C$2:C1050,C1050,$D$2:D1050,"&lt;&gt;Negative*",$T$2:T1050,"&lt;&gt;Retracted")=1,1,0))</f>
        <v>0</v>
      </c>
    </row>
    <row r="1051" spans="1:21" x14ac:dyDescent="0.2">
      <c r="A1051" t="s">
        <v>2980</v>
      </c>
      <c r="B1051" t="s">
        <v>322</v>
      </c>
      <c r="C1051" t="s">
        <v>1241</v>
      </c>
      <c r="D1051" t="s">
        <v>1575</v>
      </c>
      <c r="E1051" t="s">
        <v>323</v>
      </c>
      <c r="F1051" t="s">
        <v>1583</v>
      </c>
      <c r="I1051" t="s">
        <v>1058</v>
      </c>
      <c r="M1051" t="s">
        <v>190</v>
      </c>
      <c r="N1051" t="s">
        <v>209</v>
      </c>
      <c r="Q1051" s="2" t="str">
        <f>IF($C1051="","",IFERROR(VLOOKUP($C1051,sources!$A$2:$N$200,2,FALSE()),"?"))</f>
        <v>Photograph</v>
      </c>
      <c r="R1051" s="2" t="str">
        <f t="shared" si="16"/>
        <v>Image</v>
      </c>
      <c r="S1051" s="2" t="str">
        <f>IF($C1051="","",IFERROR(VLOOKUP($C1051,sources!$A$2:$N$200,9,FALSE()),"?"))</f>
        <v>US official</v>
      </c>
      <c r="T1051" t="s">
        <v>5692</v>
      </c>
      <c r="U1051">
        <f>IF(OR(B1051="",C1051="",T1051="Retracted",LEFT(D1051,8)="Negative"),0,IF(COUNTIFS($B$2:B1051,B1051,$C$2:C1051,C1051,$D$2:D1051,"&lt;&gt;Negative*",$T$2:T1051,"&lt;&gt;Retracted")=1,1,0))</f>
        <v>1</v>
      </c>
    </row>
    <row r="1052" spans="1:21" x14ac:dyDescent="0.2">
      <c r="A1052" t="s">
        <v>2981</v>
      </c>
      <c r="B1052" t="s">
        <v>652</v>
      </c>
      <c r="C1052" t="s">
        <v>1241</v>
      </c>
      <c r="D1052" t="s">
        <v>1613</v>
      </c>
      <c r="E1052" t="s">
        <v>653</v>
      </c>
      <c r="F1052" t="s">
        <v>1583</v>
      </c>
      <c r="I1052" t="s">
        <v>1058</v>
      </c>
      <c r="M1052" t="s">
        <v>190</v>
      </c>
      <c r="N1052" t="s">
        <v>209</v>
      </c>
      <c r="Q1052" s="2" t="str">
        <f>IF($C1052="","",IFERROR(VLOOKUP($C1052,sources!$A$2:$N$200,2,FALSE()),"?"))</f>
        <v>Photograph</v>
      </c>
      <c r="R1052" s="2" t="str">
        <f t="shared" si="16"/>
        <v>Image</v>
      </c>
      <c r="S1052" s="2" t="str">
        <f>IF($C1052="","",IFERROR(VLOOKUP($C1052,sources!$A$2:$N$200,9,FALSE()),"?"))</f>
        <v>US official</v>
      </c>
      <c r="T1052" t="s">
        <v>5692</v>
      </c>
      <c r="U1052">
        <f>IF(OR(B1052="",C1052="",T1052="Retracted",LEFT(D1052,8)="Negative"),0,IF(COUNTIFS($B$2:B1052,B1052,$C$2:C1052,C1052,$D$2:D1052,"&lt;&gt;Negative*",$T$2:T1052,"&lt;&gt;Retracted")=1,1,0))</f>
        <v>0</v>
      </c>
    </row>
    <row r="1053" spans="1:21" x14ac:dyDescent="0.2">
      <c r="A1053" t="s">
        <v>2982</v>
      </c>
      <c r="B1053" t="s">
        <v>660</v>
      </c>
      <c r="C1053" t="s">
        <v>1241</v>
      </c>
      <c r="D1053" t="s">
        <v>1575</v>
      </c>
      <c r="E1053" t="s">
        <v>661</v>
      </c>
      <c r="F1053" t="s">
        <v>1583</v>
      </c>
      <c r="I1053" t="s">
        <v>1058</v>
      </c>
      <c r="M1053" t="s">
        <v>190</v>
      </c>
      <c r="N1053" t="s">
        <v>209</v>
      </c>
      <c r="Q1053" s="2" t="str">
        <f>IF($C1053="","",IFERROR(VLOOKUP($C1053,sources!$A$2:$N$200,2,FALSE()),"?"))</f>
        <v>Photograph</v>
      </c>
      <c r="R1053" s="2" t="str">
        <f t="shared" si="16"/>
        <v>Image</v>
      </c>
      <c r="S1053" s="2" t="str">
        <f>IF($C1053="","",IFERROR(VLOOKUP($C1053,sources!$A$2:$N$200,9,FALSE()),"?"))</f>
        <v>US official</v>
      </c>
      <c r="T1053" t="s">
        <v>5693</v>
      </c>
      <c r="U1053">
        <f>IF(OR(B1053="",C1053="",T1053="Retracted",LEFT(D1053,8)="Negative"),0,IF(COUNTIFS($B$2:B1053,B1053,$C$2:C1053,C1053,$D$2:D1053,"&lt;&gt;Negative*",$T$2:T1053,"&lt;&gt;Retracted")=1,1,0))</f>
        <v>0</v>
      </c>
    </row>
    <row r="1054" spans="1:21" x14ac:dyDescent="0.2">
      <c r="A1054" t="s">
        <v>2983</v>
      </c>
      <c r="B1054" t="s">
        <v>663</v>
      </c>
      <c r="C1054" t="s">
        <v>1241</v>
      </c>
      <c r="D1054" t="s">
        <v>1575</v>
      </c>
      <c r="E1054" t="s">
        <v>664</v>
      </c>
      <c r="F1054" t="s">
        <v>1583</v>
      </c>
      <c r="I1054" t="s">
        <v>1058</v>
      </c>
      <c r="M1054" t="s">
        <v>190</v>
      </c>
      <c r="N1054" t="s">
        <v>209</v>
      </c>
      <c r="Q1054" s="2" t="str">
        <f>IF($C1054="","",IFERROR(VLOOKUP($C1054,sources!$A$2:$N$200,2,FALSE()),"?"))</f>
        <v>Photograph</v>
      </c>
      <c r="R1054" s="2" t="str">
        <f t="shared" si="16"/>
        <v>Image</v>
      </c>
      <c r="S1054" s="2" t="str">
        <f>IF($C1054="","",IFERROR(VLOOKUP($C1054,sources!$A$2:$N$200,9,FALSE()),"?"))</f>
        <v>US official</v>
      </c>
      <c r="T1054" t="s">
        <v>5692</v>
      </c>
      <c r="U1054">
        <f>IF(OR(B1054="",C1054="",T1054="Retracted",LEFT(D1054,8)="Negative"),0,IF(COUNTIFS($B$2:B1054,B1054,$C$2:C1054,C1054,$D$2:D1054,"&lt;&gt;Negative*",$T$2:T1054,"&lt;&gt;Retracted")=1,1,0))</f>
        <v>1</v>
      </c>
    </row>
    <row r="1055" spans="1:21" x14ac:dyDescent="0.2">
      <c r="A1055" t="s">
        <v>2984</v>
      </c>
      <c r="B1055" t="s">
        <v>667</v>
      </c>
      <c r="C1055" t="s">
        <v>1241</v>
      </c>
      <c r="D1055" t="s">
        <v>1575</v>
      </c>
      <c r="E1055" t="s">
        <v>668</v>
      </c>
      <c r="F1055" t="s">
        <v>1583</v>
      </c>
      <c r="I1055" t="s">
        <v>1058</v>
      </c>
      <c r="K1055">
        <v>1904</v>
      </c>
      <c r="L1055">
        <v>1904</v>
      </c>
      <c r="M1055" t="s">
        <v>203</v>
      </c>
      <c r="N1055" t="s">
        <v>209</v>
      </c>
      <c r="Q1055" s="2" t="str">
        <f>IF($C1055="","",IFERROR(VLOOKUP($C1055,sources!$A$2:$N$200,2,FALSE()),"?"))</f>
        <v>Photograph</v>
      </c>
      <c r="R1055" s="2" t="str">
        <f t="shared" si="16"/>
        <v>Image</v>
      </c>
      <c r="S1055" s="2" t="str">
        <f>IF($C1055="","",IFERROR(VLOOKUP($C1055,sources!$A$2:$N$200,9,FALSE()),"?"))</f>
        <v>US official</v>
      </c>
      <c r="T1055" t="s">
        <v>5692</v>
      </c>
      <c r="U1055">
        <f>IF(OR(B1055="",C1055="",T1055="Retracted",LEFT(D1055,8)="Negative"),0,IF(COUNTIFS($B$2:B1055,B1055,$C$2:C1055,C1055,$D$2:D1055,"&lt;&gt;Negative*",$T$2:T1055,"&lt;&gt;Retracted")=1,1,0))</f>
        <v>1</v>
      </c>
    </row>
    <row r="1056" spans="1:21" x14ac:dyDescent="0.2">
      <c r="A1056" t="s">
        <v>2985</v>
      </c>
      <c r="B1056" t="s">
        <v>673</v>
      </c>
      <c r="C1056" t="s">
        <v>1241</v>
      </c>
      <c r="D1056" t="s">
        <v>1575</v>
      </c>
      <c r="E1056" t="s">
        <v>674</v>
      </c>
      <c r="F1056" t="s">
        <v>1583</v>
      </c>
      <c r="I1056" t="s">
        <v>1058</v>
      </c>
      <c r="K1056">
        <v>1906</v>
      </c>
      <c r="L1056">
        <v>1906</v>
      </c>
      <c r="M1056" t="s">
        <v>203</v>
      </c>
      <c r="N1056" t="s">
        <v>209</v>
      </c>
      <c r="Q1056" s="2" t="str">
        <f>IF($C1056="","",IFERROR(VLOOKUP($C1056,sources!$A$2:$N$200,2,FALSE()),"?"))</f>
        <v>Photograph</v>
      </c>
      <c r="R1056" s="2" t="str">
        <f t="shared" si="16"/>
        <v>Image</v>
      </c>
      <c r="S1056" s="2" t="str">
        <f>IF($C1056="","",IFERROR(VLOOKUP($C1056,sources!$A$2:$N$200,9,FALSE()),"?"))</f>
        <v>US official</v>
      </c>
      <c r="T1056" t="s">
        <v>5692</v>
      </c>
      <c r="U1056">
        <f>IF(OR(B1056="",C1056="",T1056="Retracted",LEFT(D1056,8)="Negative"),0,IF(COUNTIFS($B$2:B1056,B1056,$C$2:C1056,C1056,$D$2:D1056,"&lt;&gt;Negative*",$T$2:T1056,"&lt;&gt;Retracted")=1,1,0))</f>
        <v>1</v>
      </c>
    </row>
    <row r="1057" spans="1:21" x14ac:dyDescent="0.2">
      <c r="A1057" t="s">
        <v>2986</v>
      </c>
      <c r="B1057" t="s">
        <v>677</v>
      </c>
      <c r="C1057" t="s">
        <v>1241</v>
      </c>
      <c r="D1057" t="s">
        <v>1575</v>
      </c>
      <c r="E1057" t="s">
        <v>678</v>
      </c>
      <c r="F1057" t="s">
        <v>1583</v>
      </c>
      <c r="I1057" t="s">
        <v>1058</v>
      </c>
      <c r="M1057" t="s">
        <v>190</v>
      </c>
      <c r="N1057" t="s">
        <v>209</v>
      </c>
      <c r="Q1057" s="2" t="str">
        <f>IF($C1057="","",IFERROR(VLOOKUP($C1057,sources!$A$2:$N$200,2,FALSE()),"?"))</f>
        <v>Photograph</v>
      </c>
      <c r="R1057" s="2" t="str">
        <f t="shared" si="16"/>
        <v>Image</v>
      </c>
      <c r="S1057" s="2" t="str">
        <f>IF($C1057="","",IFERROR(VLOOKUP($C1057,sources!$A$2:$N$200,9,FALSE()),"?"))</f>
        <v>US official</v>
      </c>
      <c r="T1057" t="s">
        <v>5692</v>
      </c>
      <c r="U1057">
        <f>IF(OR(B1057="",C1057="",T1057="Retracted",LEFT(D1057,8)="Negative"),0,IF(COUNTIFS($B$2:B1057,B1057,$C$2:C1057,C1057,$D$2:D1057,"&lt;&gt;Negative*",$T$2:T1057,"&lt;&gt;Retracted")=1,1,0))</f>
        <v>1</v>
      </c>
    </row>
    <row r="1058" spans="1:21" x14ac:dyDescent="0.2">
      <c r="A1058" t="s">
        <v>2987</v>
      </c>
      <c r="B1058" t="s">
        <v>686</v>
      </c>
      <c r="C1058" t="s">
        <v>1241</v>
      </c>
      <c r="D1058" t="s">
        <v>1575</v>
      </c>
      <c r="E1058" t="s">
        <v>687</v>
      </c>
      <c r="F1058" t="s">
        <v>1583</v>
      </c>
      <c r="I1058" t="s">
        <v>1058</v>
      </c>
      <c r="M1058" t="s">
        <v>190</v>
      </c>
      <c r="N1058" t="s">
        <v>209</v>
      </c>
      <c r="Q1058" s="2" t="str">
        <f>IF($C1058="","",IFERROR(VLOOKUP($C1058,sources!$A$2:$N$200,2,FALSE()),"?"))</f>
        <v>Photograph</v>
      </c>
      <c r="R1058" s="2" t="str">
        <f t="shared" si="16"/>
        <v>Image</v>
      </c>
      <c r="S1058" s="2" t="str">
        <f>IF($C1058="","",IFERROR(VLOOKUP($C1058,sources!$A$2:$N$200,9,FALSE()),"?"))</f>
        <v>US official</v>
      </c>
      <c r="T1058" t="s">
        <v>5692</v>
      </c>
      <c r="U1058">
        <f>IF(OR(B1058="",C1058="",T1058="Retracted",LEFT(D1058,8)="Negative"),0,IF(COUNTIFS($B$2:B1058,B1058,$C$2:C1058,C1058,$D$2:D1058,"&lt;&gt;Negative*",$T$2:T1058,"&lt;&gt;Retracted")=1,1,0))</f>
        <v>1</v>
      </c>
    </row>
    <row r="1059" spans="1:21" x14ac:dyDescent="0.2">
      <c r="A1059" t="s">
        <v>2988</v>
      </c>
      <c r="B1059" t="s">
        <v>689</v>
      </c>
      <c r="C1059" t="s">
        <v>1241</v>
      </c>
      <c r="D1059" t="s">
        <v>1613</v>
      </c>
      <c r="E1059" t="s">
        <v>690</v>
      </c>
      <c r="F1059" t="s">
        <v>1583</v>
      </c>
      <c r="I1059" t="s">
        <v>1058</v>
      </c>
      <c r="M1059" t="s">
        <v>190</v>
      </c>
      <c r="N1059" t="s">
        <v>209</v>
      </c>
      <c r="Q1059" s="2" t="str">
        <f>IF($C1059="","",IFERROR(VLOOKUP($C1059,sources!$A$2:$N$200,2,FALSE()),"?"))</f>
        <v>Photograph</v>
      </c>
      <c r="R1059" s="2" t="str">
        <f t="shared" si="16"/>
        <v>Image</v>
      </c>
      <c r="S1059" s="2" t="str">
        <f>IF($C1059="","",IFERROR(VLOOKUP($C1059,sources!$A$2:$N$200,9,FALSE()),"?"))</f>
        <v>US official</v>
      </c>
      <c r="T1059" t="s">
        <v>5692</v>
      </c>
      <c r="U1059">
        <f>IF(OR(B1059="",C1059="",T1059="Retracted",LEFT(D1059,8)="Negative"),0,IF(COUNTIFS($B$2:B1059,B1059,$C$2:C1059,C1059,$D$2:D1059,"&lt;&gt;Negative*",$T$2:T1059,"&lt;&gt;Retracted")=1,1,0))</f>
        <v>0</v>
      </c>
    </row>
    <row r="1060" spans="1:21" x14ac:dyDescent="0.2">
      <c r="A1060" t="s">
        <v>2989</v>
      </c>
      <c r="B1060" t="s">
        <v>693</v>
      </c>
      <c r="C1060" t="s">
        <v>1241</v>
      </c>
      <c r="D1060" t="s">
        <v>1613</v>
      </c>
      <c r="E1060" t="s">
        <v>694</v>
      </c>
      <c r="F1060" t="s">
        <v>1583</v>
      </c>
      <c r="I1060" t="s">
        <v>1058</v>
      </c>
      <c r="M1060" t="s">
        <v>190</v>
      </c>
      <c r="N1060" t="s">
        <v>209</v>
      </c>
      <c r="Q1060" s="2" t="str">
        <f>IF($C1060="","",IFERROR(VLOOKUP($C1060,sources!$A$2:$N$200,2,FALSE()),"?"))</f>
        <v>Photograph</v>
      </c>
      <c r="R1060" s="2" t="str">
        <f t="shared" si="16"/>
        <v>Image</v>
      </c>
      <c r="S1060" s="2" t="str">
        <f>IF($C1060="","",IFERROR(VLOOKUP($C1060,sources!$A$2:$N$200,9,FALSE()),"?"))</f>
        <v>US official</v>
      </c>
      <c r="T1060" t="s">
        <v>5692</v>
      </c>
      <c r="U1060">
        <f>IF(OR(B1060="",C1060="",T1060="Retracted",LEFT(D1060,8)="Negative"),0,IF(COUNTIFS($B$2:B1060,B1060,$C$2:C1060,C1060,$D$2:D1060,"&lt;&gt;Negative*",$T$2:T1060,"&lt;&gt;Retracted")=1,1,0))</f>
        <v>0</v>
      </c>
    </row>
    <row r="1061" spans="1:21" x14ac:dyDescent="0.2">
      <c r="A1061" t="s">
        <v>2990</v>
      </c>
      <c r="B1061" t="s">
        <v>698</v>
      </c>
      <c r="C1061" t="s">
        <v>1241</v>
      </c>
      <c r="D1061" t="s">
        <v>1613</v>
      </c>
      <c r="E1061" t="s">
        <v>699</v>
      </c>
      <c r="F1061" t="s">
        <v>1583</v>
      </c>
      <c r="I1061" t="s">
        <v>1058</v>
      </c>
      <c r="M1061" t="s">
        <v>190</v>
      </c>
      <c r="N1061" t="s">
        <v>209</v>
      </c>
      <c r="Q1061" s="2" t="str">
        <f>IF($C1061="","",IFERROR(VLOOKUP($C1061,sources!$A$2:$N$200,2,FALSE()),"?"))</f>
        <v>Photograph</v>
      </c>
      <c r="R1061" s="2" t="str">
        <f t="shared" si="16"/>
        <v>Image</v>
      </c>
      <c r="S1061" s="2" t="str">
        <f>IF($C1061="","",IFERROR(VLOOKUP($C1061,sources!$A$2:$N$200,9,FALSE()),"?"))</f>
        <v>US official</v>
      </c>
      <c r="T1061" t="s">
        <v>5692</v>
      </c>
      <c r="U1061">
        <f>IF(OR(B1061="",C1061="",T1061="Retracted",LEFT(D1061,8)="Negative"),0,IF(COUNTIFS($B$2:B1061,B1061,$C$2:C1061,C1061,$D$2:D1061,"&lt;&gt;Negative*",$T$2:T1061,"&lt;&gt;Retracted")=1,1,0))</f>
        <v>0</v>
      </c>
    </row>
    <row r="1062" spans="1:21" x14ac:dyDescent="0.2">
      <c r="A1062" t="s">
        <v>2991</v>
      </c>
      <c r="B1062" t="s">
        <v>704</v>
      </c>
      <c r="C1062" t="s">
        <v>1241</v>
      </c>
      <c r="D1062" t="s">
        <v>1575</v>
      </c>
      <c r="E1062" t="s">
        <v>705</v>
      </c>
      <c r="F1062" t="s">
        <v>1583</v>
      </c>
      <c r="I1062" t="s">
        <v>1058</v>
      </c>
      <c r="M1062" t="s">
        <v>190</v>
      </c>
      <c r="N1062" t="s">
        <v>209</v>
      </c>
      <c r="Q1062" s="2" t="str">
        <f>IF($C1062="","",IFERROR(VLOOKUP($C1062,sources!$A$2:$N$200,2,FALSE()),"?"))</f>
        <v>Photograph</v>
      </c>
      <c r="R1062" s="2" t="str">
        <f t="shared" si="16"/>
        <v>Image</v>
      </c>
      <c r="S1062" s="2" t="str">
        <f>IF($C1062="","",IFERROR(VLOOKUP($C1062,sources!$A$2:$N$200,9,FALSE()),"?"))</f>
        <v>US official</v>
      </c>
      <c r="T1062" t="s">
        <v>5692</v>
      </c>
      <c r="U1062">
        <f>IF(OR(B1062="",C1062="",T1062="Retracted",LEFT(D1062,8)="Negative"),0,IF(COUNTIFS($B$2:B1062,B1062,$C$2:C1062,C1062,$D$2:D1062,"&lt;&gt;Negative*",$T$2:T1062,"&lt;&gt;Retracted")=1,1,0))</f>
        <v>1</v>
      </c>
    </row>
    <row r="1063" spans="1:21" x14ac:dyDescent="0.2">
      <c r="A1063" t="s">
        <v>2992</v>
      </c>
      <c r="B1063" t="s">
        <v>711</v>
      </c>
      <c r="C1063" t="s">
        <v>1241</v>
      </c>
      <c r="D1063" t="s">
        <v>1575</v>
      </c>
      <c r="E1063" t="s">
        <v>712</v>
      </c>
      <c r="F1063" t="s">
        <v>1583</v>
      </c>
      <c r="I1063" t="s">
        <v>1058</v>
      </c>
      <c r="M1063" t="s">
        <v>190</v>
      </c>
      <c r="N1063" t="s">
        <v>209</v>
      </c>
      <c r="Q1063" s="2" t="str">
        <f>IF($C1063="","",IFERROR(VLOOKUP($C1063,sources!$A$2:$N$200,2,FALSE()),"?"))</f>
        <v>Photograph</v>
      </c>
      <c r="R1063" s="2" t="str">
        <f t="shared" si="16"/>
        <v>Image</v>
      </c>
      <c r="S1063" s="2" t="str">
        <f>IF($C1063="","",IFERROR(VLOOKUP($C1063,sources!$A$2:$N$200,9,FALSE()),"?"))</f>
        <v>US official</v>
      </c>
      <c r="T1063" t="s">
        <v>5692</v>
      </c>
      <c r="U1063">
        <f>IF(OR(B1063="",C1063="",T1063="Retracted",LEFT(D1063,8)="Negative"),0,IF(COUNTIFS($B$2:B1063,B1063,$C$2:C1063,C1063,$D$2:D1063,"&lt;&gt;Negative*",$T$2:T1063,"&lt;&gt;Retracted")=1,1,0))</f>
        <v>1</v>
      </c>
    </row>
    <row r="1064" spans="1:21" x14ac:dyDescent="0.2">
      <c r="A1064" t="s">
        <v>2993</v>
      </c>
      <c r="B1064" t="s">
        <v>714</v>
      </c>
      <c r="C1064" t="s">
        <v>1241</v>
      </c>
      <c r="D1064" t="s">
        <v>1575</v>
      </c>
      <c r="E1064" t="s">
        <v>715</v>
      </c>
      <c r="F1064" t="s">
        <v>1583</v>
      </c>
      <c r="I1064" t="s">
        <v>1058</v>
      </c>
      <c r="M1064" t="s">
        <v>190</v>
      </c>
      <c r="N1064" t="s">
        <v>209</v>
      </c>
      <c r="Q1064" s="2" t="str">
        <f>IF($C1064="","",IFERROR(VLOOKUP($C1064,sources!$A$2:$N$200,2,FALSE()),"?"))</f>
        <v>Photograph</v>
      </c>
      <c r="R1064" s="2" t="str">
        <f t="shared" si="16"/>
        <v>Image</v>
      </c>
      <c r="S1064" s="2" t="str">
        <f>IF($C1064="","",IFERROR(VLOOKUP($C1064,sources!$A$2:$N$200,9,FALSE()),"?"))</f>
        <v>US official</v>
      </c>
      <c r="T1064" t="s">
        <v>5692</v>
      </c>
      <c r="U1064">
        <f>IF(OR(B1064="",C1064="",T1064="Retracted",LEFT(D1064,8)="Negative"),0,IF(COUNTIFS($B$2:B1064,B1064,$C$2:C1064,C1064,$D$2:D1064,"&lt;&gt;Negative*",$T$2:T1064,"&lt;&gt;Retracted")=1,1,0))</f>
        <v>1</v>
      </c>
    </row>
    <row r="1065" spans="1:21" x14ac:dyDescent="0.2">
      <c r="A1065" t="s">
        <v>2994</v>
      </c>
      <c r="B1065" t="s">
        <v>717</v>
      </c>
      <c r="C1065" t="s">
        <v>1241</v>
      </c>
      <c r="D1065" t="s">
        <v>1575</v>
      </c>
      <c r="E1065" t="s">
        <v>718</v>
      </c>
      <c r="F1065" t="s">
        <v>1583</v>
      </c>
      <c r="I1065" t="s">
        <v>1058</v>
      </c>
      <c r="M1065" t="s">
        <v>190</v>
      </c>
      <c r="N1065" t="s">
        <v>209</v>
      </c>
      <c r="Q1065" s="2" t="str">
        <f>IF($C1065="","",IFERROR(VLOOKUP($C1065,sources!$A$2:$N$200,2,FALSE()),"?"))</f>
        <v>Photograph</v>
      </c>
      <c r="R1065" s="2" t="str">
        <f t="shared" si="16"/>
        <v>Image</v>
      </c>
      <c r="S1065" s="2" t="str">
        <f>IF($C1065="","",IFERROR(VLOOKUP($C1065,sources!$A$2:$N$200,9,FALSE()),"?"))</f>
        <v>US official</v>
      </c>
      <c r="T1065" t="s">
        <v>5692</v>
      </c>
      <c r="U1065">
        <f>IF(OR(B1065="",C1065="",T1065="Retracted",LEFT(D1065,8)="Negative"),0,IF(COUNTIFS($B$2:B1065,B1065,$C$2:C1065,C1065,$D$2:D1065,"&lt;&gt;Negative*",$T$2:T1065,"&lt;&gt;Retracted")=1,1,0))</f>
        <v>1</v>
      </c>
    </row>
    <row r="1066" spans="1:21" x14ac:dyDescent="0.2">
      <c r="A1066" t="s">
        <v>2995</v>
      </c>
      <c r="B1066" t="s">
        <v>720</v>
      </c>
      <c r="C1066" t="s">
        <v>1241</v>
      </c>
      <c r="D1066" t="s">
        <v>1575</v>
      </c>
      <c r="E1066" t="s">
        <v>721</v>
      </c>
      <c r="F1066" t="s">
        <v>1583</v>
      </c>
      <c r="I1066" t="s">
        <v>1058</v>
      </c>
      <c r="M1066" t="s">
        <v>190</v>
      </c>
      <c r="N1066" t="s">
        <v>209</v>
      </c>
      <c r="Q1066" s="2" t="str">
        <f>IF($C1066="","",IFERROR(VLOOKUP($C1066,sources!$A$2:$N$200,2,FALSE()),"?"))</f>
        <v>Photograph</v>
      </c>
      <c r="R1066" s="2" t="str">
        <f t="shared" si="16"/>
        <v>Image</v>
      </c>
      <c r="S1066" s="2" t="str">
        <f>IF($C1066="","",IFERROR(VLOOKUP($C1066,sources!$A$2:$N$200,9,FALSE()),"?"))</f>
        <v>US official</v>
      </c>
      <c r="T1066" t="s">
        <v>5692</v>
      </c>
      <c r="U1066">
        <f>IF(OR(B1066="",C1066="",T1066="Retracted",LEFT(D1066,8)="Negative"),0,IF(COUNTIFS($B$2:B1066,B1066,$C$2:C1066,C1066,$D$2:D1066,"&lt;&gt;Negative*",$T$2:T1066,"&lt;&gt;Retracted")=1,1,0))</f>
        <v>1</v>
      </c>
    </row>
    <row r="1067" spans="1:21" x14ac:dyDescent="0.2">
      <c r="A1067" t="s">
        <v>2996</v>
      </c>
      <c r="B1067" t="s">
        <v>723</v>
      </c>
      <c r="C1067" t="s">
        <v>1241</v>
      </c>
      <c r="D1067" t="s">
        <v>1613</v>
      </c>
      <c r="E1067" t="s">
        <v>724</v>
      </c>
      <c r="F1067" t="s">
        <v>1583</v>
      </c>
      <c r="I1067" t="s">
        <v>1058</v>
      </c>
      <c r="M1067" t="s">
        <v>190</v>
      </c>
      <c r="N1067" t="s">
        <v>209</v>
      </c>
      <c r="Q1067" s="2" t="str">
        <f>IF($C1067="","",IFERROR(VLOOKUP($C1067,sources!$A$2:$N$200,2,FALSE()),"?"))</f>
        <v>Photograph</v>
      </c>
      <c r="R1067" s="2" t="str">
        <f t="shared" si="16"/>
        <v>Image</v>
      </c>
      <c r="S1067" s="2" t="str">
        <f>IF($C1067="","",IFERROR(VLOOKUP($C1067,sources!$A$2:$N$200,9,FALSE()),"?"))</f>
        <v>US official</v>
      </c>
      <c r="T1067" t="s">
        <v>5692</v>
      </c>
      <c r="U1067">
        <f>IF(OR(B1067="",C1067="",T1067="Retracted",LEFT(D1067,8)="Negative"),0,IF(COUNTIFS($B$2:B1067,B1067,$C$2:C1067,C1067,$D$2:D1067,"&lt;&gt;Negative*",$T$2:T1067,"&lt;&gt;Retracted")=1,1,0))</f>
        <v>0</v>
      </c>
    </row>
    <row r="1068" spans="1:21" x14ac:dyDescent="0.2">
      <c r="A1068" t="s">
        <v>2997</v>
      </c>
      <c r="B1068" t="s">
        <v>727</v>
      </c>
      <c r="C1068" t="s">
        <v>1241</v>
      </c>
      <c r="D1068" t="s">
        <v>1575</v>
      </c>
      <c r="E1068" t="s">
        <v>728</v>
      </c>
      <c r="F1068" t="s">
        <v>1583</v>
      </c>
      <c r="I1068" t="s">
        <v>1058</v>
      </c>
      <c r="M1068" t="s">
        <v>190</v>
      </c>
      <c r="N1068" t="s">
        <v>209</v>
      </c>
      <c r="Q1068" s="2" t="str">
        <f>IF($C1068="","",IFERROR(VLOOKUP($C1068,sources!$A$2:$N$200,2,FALSE()),"?"))</f>
        <v>Photograph</v>
      </c>
      <c r="R1068" s="2" t="str">
        <f t="shared" si="16"/>
        <v>Image</v>
      </c>
      <c r="S1068" s="2" t="str">
        <f>IF($C1068="","",IFERROR(VLOOKUP($C1068,sources!$A$2:$N$200,9,FALSE()),"?"))</f>
        <v>US official</v>
      </c>
      <c r="T1068" t="s">
        <v>5692</v>
      </c>
      <c r="U1068">
        <f>IF(OR(B1068="",C1068="",T1068="Retracted",LEFT(D1068,8)="Negative"),0,IF(COUNTIFS($B$2:B1068,B1068,$C$2:C1068,C1068,$D$2:D1068,"&lt;&gt;Negative*",$T$2:T1068,"&lt;&gt;Retracted")=1,1,0))</f>
        <v>1</v>
      </c>
    </row>
    <row r="1069" spans="1:21" x14ac:dyDescent="0.2">
      <c r="A1069" t="s">
        <v>2998</v>
      </c>
      <c r="B1069" t="s">
        <v>746</v>
      </c>
      <c r="C1069" t="s">
        <v>1241</v>
      </c>
      <c r="D1069" t="s">
        <v>1613</v>
      </c>
      <c r="E1069" t="s">
        <v>747</v>
      </c>
      <c r="F1069" t="s">
        <v>1583</v>
      </c>
      <c r="I1069" t="s">
        <v>1058</v>
      </c>
      <c r="M1069" t="s">
        <v>190</v>
      </c>
      <c r="N1069" t="s">
        <v>209</v>
      </c>
      <c r="Q1069" s="2" t="str">
        <f>IF($C1069="","",IFERROR(VLOOKUP($C1069,sources!$A$2:$N$200,2,FALSE()),"?"))</f>
        <v>Photograph</v>
      </c>
      <c r="R1069" s="2" t="str">
        <f t="shared" si="16"/>
        <v>Image</v>
      </c>
      <c r="S1069" s="2" t="str">
        <f>IF($C1069="","",IFERROR(VLOOKUP($C1069,sources!$A$2:$N$200,9,FALSE()),"?"))</f>
        <v>US official</v>
      </c>
      <c r="T1069" t="s">
        <v>5692</v>
      </c>
      <c r="U1069">
        <f>IF(OR(B1069="",C1069="",T1069="Retracted",LEFT(D1069,8)="Negative"),0,IF(COUNTIFS($B$2:B1069,B1069,$C$2:C1069,C1069,$D$2:D1069,"&lt;&gt;Negative*",$T$2:T1069,"&lt;&gt;Retracted")=1,1,0))</f>
        <v>0</v>
      </c>
    </row>
    <row r="1070" spans="1:21" x14ac:dyDescent="0.2">
      <c r="A1070" t="s">
        <v>2999</v>
      </c>
      <c r="B1070" t="s">
        <v>758</v>
      </c>
      <c r="C1070" t="s">
        <v>1241</v>
      </c>
      <c r="D1070" t="s">
        <v>1575</v>
      </c>
      <c r="E1070" t="s">
        <v>759</v>
      </c>
      <c r="F1070" t="s">
        <v>1583</v>
      </c>
      <c r="I1070" t="s">
        <v>1058</v>
      </c>
      <c r="M1070" t="s">
        <v>190</v>
      </c>
      <c r="N1070" t="s">
        <v>209</v>
      </c>
      <c r="Q1070" s="2" t="str">
        <f>IF($C1070="","",IFERROR(VLOOKUP($C1070,sources!$A$2:$N$200,2,FALSE()),"?"))</f>
        <v>Photograph</v>
      </c>
      <c r="R1070" s="2" t="str">
        <f t="shared" si="16"/>
        <v>Image</v>
      </c>
      <c r="S1070" s="2" t="str">
        <f>IF($C1070="","",IFERROR(VLOOKUP($C1070,sources!$A$2:$N$200,9,FALSE()),"?"))</f>
        <v>US official</v>
      </c>
      <c r="T1070" t="s">
        <v>5692</v>
      </c>
      <c r="U1070">
        <f>IF(OR(B1070="",C1070="",T1070="Retracted",LEFT(D1070,8)="Negative"),0,IF(COUNTIFS($B$2:B1070,B1070,$C$2:C1070,C1070,$D$2:D1070,"&lt;&gt;Negative*",$T$2:T1070,"&lt;&gt;Retracted")=1,1,0))</f>
        <v>1</v>
      </c>
    </row>
    <row r="1071" spans="1:21" x14ac:dyDescent="0.2">
      <c r="A1071" t="s">
        <v>3000</v>
      </c>
      <c r="B1071" t="s">
        <v>764</v>
      </c>
      <c r="C1071" t="s">
        <v>1241</v>
      </c>
      <c r="D1071" t="s">
        <v>1613</v>
      </c>
      <c r="E1071" t="s">
        <v>765</v>
      </c>
      <c r="F1071" t="s">
        <v>1583</v>
      </c>
      <c r="I1071" t="s">
        <v>1058</v>
      </c>
      <c r="M1071" t="s">
        <v>190</v>
      </c>
      <c r="N1071" t="s">
        <v>209</v>
      </c>
      <c r="Q1071" s="2" t="str">
        <f>IF($C1071="","",IFERROR(VLOOKUP($C1071,sources!$A$2:$N$200,2,FALSE()),"?"))</f>
        <v>Photograph</v>
      </c>
      <c r="R1071" s="2" t="str">
        <f t="shared" si="16"/>
        <v>Image</v>
      </c>
      <c r="S1071" s="2" t="str">
        <f>IF($C1071="","",IFERROR(VLOOKUP($C1071,sources!$A$2:$N$200,9,FALSE()),"?"))</f>
        <v>US official</v>
      </c>
      <c r="T1071" t="s">
        <v>5692</v>
      </c>
      <c r="U1071">
        <f>IF(OR(B1071="",C1071="",T1071="Retracted",LEFT(D1071,8)="Negative"),0,IF(COUNTIFS($B$2:B1071,B1071,$C$2:C1071,C1071,$D$2:D1071,"&lt;&gt;Negative*",$T$2:T1071,"&lt;&gt;Retracted")=1,1,0))</f>
        <v>0</v>
      </c>
    </row>
    <row r="1072" spans="1:21" x14ac:dyDescent="0.2">
      <c r="A1072" t="s">
        <v>3001</v>
      </c>
      <c r="B1072" t="s">
        <v>767</v>
      </c>
      <c r="C1072" t="s">
        <v>1241</v>
      </c>
      <c r="D1072" t="s">
        <v>1613</v>
      </c>
      <c r="E1072" t="s">
        <v>768</v>
      </c>
      <c r="F1072" t="s">
        <v>1583</v>
      </c>
      <c r="I1072" t="s">
        <v>1058</v>
      </c>
      <c r="M1072" t="s">
        <v>190</v>
      </c>
      <c r="N1072" t="s">
        <v>209</v>
      </c>
      <c r="Q1072" s="2" t="str">
        <f>IF($C1072="","",IFERROR(VLOOKUP($C1072,sources!$A$2:$N$200,2,FALSE()),"?"))</f>
        <v>Photograph</v>
      </c>
      <c r="R1072" s="2" t="str">
        <f t="shared" si="16"/>
        <v>Image</v>
      </c>
      <c r="S1072" s="2" t="str">
        <f>IF($C1072="","",IFERROR(VLOOKUP($C1072,sources!$A$2:$N$200,9,FALSE()),"?"))</f>
        <v>US official</v>
      </c>
      <c r="T1072" t="s">
        <v>5692</v>
      </c>
      <c r="U1072">
        <f>IF(OR(B1072="",C1072="",T1072="Retracted",LEFT(D1072,8)="Negative"),0,IF(COUNTIFS($B$2:B1072,B1072,$C$2:C1072,C1072,$D$2:D1072,"&lt;&gt;Negative*",$T$2:T1072,"&lt;&gt;Retracted")=1,1,0))</f>
        <v>0</v>
      </c>
    </row>
    <row r="1073" spans="1:21" x14ac:dyDescent="0.2">
      <c r="A1073" t="s">
        <v>3002</v>
      </c>
      <c r="B1073" t="s">
        <v>773</v>
      </c>
      <c r="C1073" t="s">
        <v>1241</v>
      </c>
      <c r="D1073" t="s">
        <v>1613</v>
      </c>
      <c r="E1073" t="s">
        <v>774</v>
      </c>
      <c r="F1073" t="s">
        <v>1583</v>
      </c>
      <c r="I1073" t="s">
        <v>1058</v>
      </c>
      <c r="M1073" t="s">
        <v>190</v>
      </c>
      <c r="N1073" t="s">
        <v>209</v>
      </c>
      <c r="Q1073" s="2" t="str">
        <f>IF($C1073="","",IFERROR(VLOOKUP($C1073,sources!$A$2:$N$200,2,FALSE()),"?"))</f>
        <v>Photograph</v>
      </c>
      <c r="R1073" s="2" t="str">
        <f t="shared" si="16"/>
        <v>Image</v>
      </c>
      <c r="S1073" s="2" t="str">
        <f>IF($C1073="","",IFERROR(VLOOKUP($C1073,sources!$A$2:$N$200,9,FALSE()),"?"))</f>
        <v>US official</v>
      </c>
      <c r="T1073" t="s">
        <v>5692</v>
      </c>
      <c r="U1073">
        <f>IF(OR(B1073="",C1073="",T1073="Retracted",LEFT(D1073,8)="Negative"),0,IF(COUNTIFS($B$2:B1073,B1073,$C$2:C1073,C1073,$D$2:D1073,"&lt;&gt;Negative*",$T$2:T1073,"&lt;&gt;Retracted")=1,1,0))</f>
        <v>0</v>
      </c>
    </row>
    <row r="1074" spans="1:21" x14ac:dyDescent="0.2">
      <c r="A1074" t="s">
        <v>3003</v>
      </c>
      <c r="B1074" t="s">
        <v>635</v>
      </c>
      <c r="C1074" t="s">
        <v>1258</v>
      </c>
      <c r="D1074" t="s">
        <v>1575</v>
      </c>
      <c r="E1074" t="s">
        <v>636</v>
      </c>
      <c r="F1074" t="s">
        <v>1583</v>
      </c>
      <c r="I1074" t="s">
        <v>1058</v>
      </c>
      <c r="M1074" t="s">
        <v>190</v>
      </c>
      <c r="N1074" t="s">
        <v>209</v>
      </c>
      <c r="Q1074" s="2" t="str">
        <f>IF($C1074="","",IFERROR(VLOOKUP($C1074,sources!$A$2:$N$200,2,FALSE()),"?"))</f>
        <v>Administrative</v>
      </c>
      <c r="R1074" s="2" t="str">
        <f t="shared" si="16"/>
        <v>Textual</v>
      </c>
      <c r="S1074" s="2" t="str">
        <f>IF($C1074="","",IFERROR(VLOOKUP($C1074,sources!$A$2:$N$200,9,FALSE()),"?"))</f>
        <v>US official</v>
      </c>
      <c r="T1074" t="s">
        <v>5692</v>
      </c>
      <c r="U1074">
        <f>IF(OR(B1074="",C1074="",T1074="Retracted",LEFT(D1074,8)="Negative"),0,IF(COUNTIFS($B$2:B1074,B1074,$C$2:C1074,C1074,$D$2:D1074,"&lt;&gt;Negative*",$T$2:T1074,"&lt;&gt;Retracted")=1,1,0))</f>
        <v>1</v>
      </c>
    </row>
    <row r="1075" spans="1:21" x14ac:dyDescent="0.2">
      <c r="A1075" t="s">
        <v>3004</v>
      </c>
      <c r="B1075" t="s">
        <v>643</v>
      </c>
      <c r="C1075" t="s">
        <v>1258</v>
      </c>
      <c r="D1075" t="s">
        <v>1575</v>
      </c>
      <c r="E1075" t="s">
        <v>644</v>
      </c>
      <c r="F1075" t="s">
        <v>1583</v>
      </c>
      <c r="I1075" t="s">
        <v>1058</v>
      </c>
      <c r="M1075" t="s">
        <v>190</v>
      </c>
      <c r="N1075" t="s">
        <v>209</v>
      </c>
      <c r="Q1075" s="2" t="str">
        <f>IF($C1075="","",IFERROR(VLOOKUP($C1075,sources!$A$2:$N$200,2,FALSE()),"?"))</f>
        <v>Administrative</v>
      </c>
      <c r="R1075" s="2" t="str">
        <f t="shared" si="16"/>
        <v>Textual</v>
      </c>
      <c r="S1075" s="2" t="str">
        <f>IF($C1075="","",IFERROR(VLOOKUP($C1075,sources!$A$2:$N$200,9,FALSE()),"?"))</f>
        <v>US official</v>
      </c>
      <c r="T1075" t="s">
        <v>5692</v>
      </c>
      <c r="U1075">
        <f>IF(OR(B1075="",C1075="",T1075="Retracted",LEFT(D1075,8)="Negative"),0,IF(COUNTIFS($B$2:B1075,B1075,$C$2:C1075,C1075,$D$2:D1075,"&lt;&gt;Negative*",$T$2:T1075,"&lt;&gt;Retracted")=1,1,0))</f>
        <v>1</v>
      </c>
    </row>
    <row r="1076" spans="1:21" x14ac:dyDescent="0.2">
      <c r="A1076" t="s">
        <v>3005</v>
      </c>
      <c r="B1076" t="s">
        <v>646</v>
      </c>
      <c r="C1076" t="s">
        <v>1258</v>
      </c>
      <c r="D1076" t="s">
        <v>1613</v>
      </c>
      <c r="E1076" t="s">
        <v>647</v>
      </c>
      <c r="F1076" t="s">
        <v>1583</v>
      </c>
      <c r="I1076" t="s">
        <v>1058</v>
      </c>
      <c r="M1076" t="s">
        <v>190</v>
      </c>
      <c r="N1076" t="s">
        <v>209</v>
      </c>
      <c r="Q1076" s="2" t="str">
        <f>IF($C1076="","",IFERROR(VLOOKUP($C1076,sources!$A$2:$N$200,2,FALSE()),"?"))</f>
        <v>Administrative</v>
      </c>
      <c r="R1076" s="2" t="str">
        <f t="shared" si="16"/>
        <v>Textual</v>
      </c>
      <c r="S1076" s="2" t="str">
        <f>IF($C1076="","",IFERROR(VLOOKUP($C1076,sources!$A$2:$N$200,9,FALSE()),"?"))</f>
        <v>US official</v>
      </c>
      <c r="T1076" t="s">
        <v>5692</v>
      </c>
      <c r="U1076">
        <f>IF(OR(B1076="",C1076="",T1076="Retracted",LEFT(D1076,8)="Negative"),0,IF(COUNTIFS($B$2:B1076,B1076,$C$2:C1076,C1076,$D$2:D1076,"&lt;&gt;Negative*",$T$2:T1076,"&lt;&gt;Retracted")=1,1,0))</f>
        <v>0</v>
      </c>
    </row>
    <row r="1077" spans="1:21" x14ac:dyDescent="0.2">
      <c r="A1077" t="s">
        <v>3006</v>
      </c>
      <c r="B1077" t="s">
        <v>649</v>
      </c>
      <c r="C1077" t="s">
        <v>1258</v>
      </c>
      <c r="D1077" t="s">
        <v>1613</v>
      </c>
      <c r="E1077" t="s">
        <v>650</v>
      </c>
      <c r="F1077" t="s">
        <v>1583</v>
      </c>
      <c r="I1077" t="s">
        <v>1058</v>
      </c>
      <c r="M1077" t="s">
        <v>190</v>
      </c>
      <c r="N1077" t="s">
        <v>209</v>
      </c>
      <c r="Q1077" s="2" t="str">
        <f>IF($C1077="","",IFERROR(VLOOKUP($C1077,sources!$A$2:$N$200,2,FALSE()),"?"))</f>
        <v>Administrative</v>
      </c>
      <c r="R1077" s="2" t="str">
        <f t="shared" si="16"/>
        <v>Textual</v>
      </c>
      <c r="S1077" s="2" t="str">
        <f>IF($C1077="","",IFERROR(VLOOKUP($C1077,sources!$A$2:$N$200,9,FALSE()),"?"))</f>
        <v>US official</v>
      </c>
      <c r="T1077" t="s">
        <v>5692</v>
      </c>
      <c r="U1077">
        <f>IF(OR(B1077="",C1077="",T1077="Retracted",LEFT(D1077,8)="Negative"),0,IF(COUNTIFS($B$2:B1077,B1077,$C$2:C1077,C1077,$D$2:D1077,"&lt;&gt;Negative*",$T$2:T1077,"&lt;&gt;Retracted")=1,1,0))</f>
        <v>0</v>
      </c>
    </row>
    <row r="1078" spans="1:21" x14ac:dyDescent="0.2">
      <c r="A1078" t="s">
        <v>3007</v>
      </c>
      <c r="B1078" t="s">
        <v>619</v>
      </c>
      <c r="C1078" t="s">
        <v>1258</v>
      </c>
      <c r="D1078" t="s">
        <v>1613</v>
      </c>
      <c r="E1078" t="s">
        <v>620</v>
      </c>
      <c r="F1078" t="s">
        <v>1583</v>
      </c>
      <c r="I1078" t="s">
        <v>1058</v>
      </c>
      <c r="M1078" t="s">
        <v>190</v>
      </c>
      <c r="N1078" t="s">
        <v>209</v>
      </c>
      <c r="Q1078" s="2" t="str">
        <f>IF($C1078="","",IFERROR(VLOOKUP($C1078,sources!$A$2:$N$200,2,FALSE()),"?"))</f>
        <v>Administrative</v>
      </c>
      <c r="R1078" s="2" t="str">
        <f t="shared" si="16"/>
        <v>Textual</v>
      </c>
      <c r="S1078" s="2" t="str">
        <f>IF($C1078="","",IFERROR(VLOOKUP($C1078,sources!$A$2:$N$200,9,FALSE()),"?"))</f>
        <v>US official</v>
      </c>
      <c r="T1078" t="s">
        <v>5692</v>
      </c>
      <c r="U1078">
        <f>IF(OR(B1078="",C1078="",T1078="Retracted",LEFT(D1078,8)="Negative"),0,IF(COUNTIFS($B$2:B1078,B1078,$C$2:C1078,C1078,$D$2:D1078,"&lt;&gt;Negative*",$T$2:T1078,"&lt;&gt;Retracted")=1,1,0))</f>
        <v>0</v>
      </c>
    </row>
    <row r="1079" spans="1:21" x14ac:dyDescent="0.2">
      <c r="A1079" t="s">
        <v>3008</v>
      </c>
      <c r="B1079" t="s">
        <v>625</v>
      </c>
      <c r="C1079" t="s">
        <v>1258</v>
      </c>
      <c r="D1079" t="s">
        <v>1613</v>
      </c>
      <c r="E1079" t="s">
        <v>626</v>
      </c>
      <c r="F1079" t="s">
        <v>1583</v>
      </c>
      <c r="I1079" t="s">
        <v>1058</v>
      </c>
      <c r="M1079" t="s">
        <v>190</v>
      </c>
      <c r="N1079" t="s">
        <v>209</v>
      </c>
      <c r="Q1079" s="2" t="str">
        <f>IF($C1079="","",IFERROR(VLOOKUP($C1079,sources!$A$2:$N$200,2,FALSE()),"?"))</f>
        <v>Administrative</v>
      </c>
      <c r="R1079" s="2" t="str">
        <f t="shared" si="16"/>
        <v>Textual</v>
      </c>
      <c r="S1079" s="2" t="str">
        <f>IF($C1079="","",IFERROR(VLOOKUP($C1079,sources!$A$2:$N$200,9,FALSE()),"?"))</f>
        <v>US official</v>
      </c>
      <c r="T1079" t="s">
        <v>5692</v>
      </c>
      <c r="U1079">
        <f>IF(OR(B1079="",C1079="",T1079="Retracted",LEFT(D1079,8)="Negative"),0,IF(COUNTIFS($B$2:B1079,B1079,$C$2:C1079,C1079,$D$2:D1079,"&lt;&gt;Negative*",$T$2:T1079,"&lt;&gt;Retracted")=1,1,0))</f>
        <v>0</v>
      </c>
    </row>
    <row r="1080" spans="1:21" x14ac:dyDescent="0.2">
      <c r="A1080" t="s">
        <v>3009</v>
      </c>
      <c r="B1080" t="s">
        <v>630</v>
      </c>
      <c r="C1080" t="s">
        <v>1258</v>
      </c>
      <c r="D1080" t="s">
        <v>1613</v>
      </c>
      <c r="E1080" t="s">
        <v>631</v>
      </c>
      <c r="F1080" t="s">
        <v>1583</v>
      </c>
      <c r="I1080" t="s">
        <v>1058</v>
      </c>
      <c r="M1080" t="s">
        <v>190</v>
      </c>
      <c r="N1080" t="s">
        <v>209</v>
      </c>
      <c r="Q1080" s="2" t="str">
        <f>IF($C1080="","",IFERROR(VLOOKUP($C1080,sources!$A$2:$N$200,2,FALSE()),"?"))</f>
        <v>Administrative</v>
      </c>
      <c r="R1080" s="2" t="str">
        <f t="shared" si="16"/>
        <v>Textual</v>
      </c>
      <c r="S1080" s="2" t="str">
        <f>IF($C1080="","",IFERROR(VLOOKUP($C1080,sources!$A$2:$N$200,9,FALSE()),"?"))</f>
        <v>US official</v>
      </c>
      <c r="T1080" t="s">
        <v>5692</v>
      </c>
      <c r="U1080">
        <f>IF(OR(B1080="",C1080="",T1080="Retracted",LEFT(D1080,8)="Negative"),0,IF(COUNTIFS($B$2:B1080,B1080,$C$2:C1080,C1080,$D$2:D1080,"&lt;&gt;Negative*",$T$2:T1080,"&lt;&gt;Retracted")=1,1,0))</f>
        <v>0</v>
      </c>
    </row>
    <row r="1081" spans="1:21" x14ac:dyDescent="0.2">
      <c r="A1081" t="s">
        <v>3010</v>
      </c>
      <c r="B1081" t="s">
        <v>592</v>
      </c>
      <c r="C1081" t="s">
        <v>1258</v>
      </c>
      <c r="D1081" t="s">
        <v>1613</v>
      </c>
      <c r="E1081" t="s">
        <v>593</v>
      </c>
      <c r="F1081" t="s">
        <v>1583</v>
      </c>
      <c r="I1081" t="s">
        <v>1058</v>
      </c>
      <c r="M1081" t="s">
        <v>190</v>
      </c>
      <c r="N1081" t="s">
        <v>209</v>
      </c>
      <c r="Q1081" s="2" t="str">
        <f>IF($C1081="","",IFERROR(VLOOKUP($C1081,sources!$A$2:$N$200,2,FALSE()),"?"))</f>
        <v>Administrative</v>
      </c>
      <c r="R1081" s="2" t="str">
        <f t="shared" si="16"/>
        <v>Textual</v>
      </c>
      <c r="S1081" s="2" t="str">
        <f>IF($C1081="","",IFERROR(VLOOKUP($C1081,sources!$A$2:$N$200,9,FALSE()),"?"))</f>
        <v>US official</v>
      </c>
      <c r="T1081" t="s">
        <v>5692</v>
      </c>
      <c r="U1081">
        <f>IF(OR(B1081="",C1081="",T1081="Retracted",LEFT(D1081,8)="Negative"),0,IF(COUNTIFS($B$2:B1081,B1081,$C$2:C1081,C1081,$D$2:D1081,"&lt;&gt;Negative*",$T$2:T1081,"&lt;&gt;Retracted")=1,1,0))</f>
        <v>0</v>
      </c>
    </row>
    <row r="1082" spans="1:21" x14ac:dyDescent="0.2">
      <c r="A1082" t="s">
        <v>3011</v>
      </c>
      <c r="B1082" t="s">
        <v>565</v>
      </c>
      <c r="C1082" t="s">
        <v>1258</v>
      </c>
      <c r="D1082" t="s">
        <v>1613</v>
      </c>
      <c r="E1082" t="s">
        <v>566</v>
      </c>
      <c r="F1082" t="s">
        <v>1583</v>
      </c>
      <c r="I1082" t="s">
        <v>1058</v>
      </c>
      <c r="M1082" t="s">
        <v>190</v>
      </c>
      <c r="N1082" t="s">
        <v>209</v>
      </c>
      <c r="Q1082" s="2" t="str">
        <f>IF($C1082="","",IFERROR(VLOOKUP($C1082,sources!$A$2:$N$200,2,FALSE()),"?"))</f>
        <v>Administrative</v>
      </c>
      <c r="R1082" s="2" t="str">
        <f t="shared" si="16"/>
        <v>Textual</v>
      </c>
      <c r="S1082" s="2" t="str">
        <f>IF($C1082="","",IFERROR(VLOOKUP($C1082,sources!$A$2:$N$200,9,FALSE()),"?"))</f>
        <v>US official</v>
      </c>
      <c r="T1082" t="s">
        <v>5692</v>
      </c>
      <c r="U1082">
        <f>IF(OR(B1082="",C1082="",T1082="Retracted",LEFT(D1082,8)="Negative"),0,IF(COUNTIFS($B$2:B1082,B1082,$C$2:C1082,C1082,$D$2:D1082,"&lt;&gt;Negative*",$T$2:T1082,"&lt;&gt;Retracted")=1,1,0))</f>
        <v>0</v>
      </c>
    </row>
    <row r="1083" spans="1:21" x14ac:dyDescent="0.2">
      <c r="A1083" t="s">
        <v>3012</v>
      </c>
      <c r="B1083" t="s">
        <v>575</v>
      </c>
      <c r="C1083" t="s">
        <v>1258</v>
      </c>
      <c r="D1083" t="s">
        <v>1613</v>
      </c>
      <c r="E1083" t="s">
        <v>576</v>
      </c>
      <c r="F1083" t="s">
        <v>1583</v>
      </c>
      <c r="I1083" t="s">
        <v>1058</v>
      </c>
      <c r="M1083" t="s">
        <v>190</v>
      </c>
      <c r="N1083" t="s">
        <v>209</v>
      </c>
      <c r="Q1083" s="2" t="str">
        <f>IF($C1083="","",IFERROR(VLOOKUP($C1083,sources!$A$2:$N$200,2,FALSE()),"?"))</f>
        <v>Administrative</v>
      </c>
      <c r="R1083" s="2" t="str">
        <f t="shared" si="16"/>
        <v>Textual</v>
      </c>
      <c r="S1083" s="2" t="str">
        <f>IF($C1083="","",IFERROR(VLOOKUP($C1083,sources!$A$2:$N$200,9,FALSE()),"?"))</f>
        <v>US official</v>
      </c>
      <c r="T1083" t="s">
        <v>5692</v>
      </c>
      <c r="U1083">
        <f>IF(OR(B1083="",C1083="",T1083="Retracted",LEFT(D1083,8)="Negative"),0,IF(COUNTIFS($B$2:B1083,B1083,$C$2:C1083,C1083,$D$2:D1083,"&lt;&gt;Negative*",$T$2:T1083,"&lt;&gt;Retracted")=1,1,0))</f>
        <v>0</v>
      </c>
    </row>
    <row r="1084" spans="1:21" x14ac:dyDescent="0.2">
      <c r="A1084" t="s">
        <v>3013</v>
      </c>
      <c r="B1084" t="s">
        <v>580</v>
      </c>
      <c r="C1084" t="s">
        <v>1258</v>
      </c>
      <c r="D1084" t="s">
        <v>1613</v>
      </c>
      <c r="E1084" t="s">
        <v>581</v>
      </c>
      <c r="F1084" t="s">
        <v>1583</v>
      </c>
      <c r="I1084" t="s">
        <v>1058</v>
      </c>
      <c r="M1084" t="s">
        <v>190</v>
      </c>
      <c r="N1084" t="s">
        <v>209</v>
      </c>
      <c r="Q1084" s="2" t="str">
        <f>IF($C1084="","",IFERROR(VLOOKUP($C1084,sources!$A$2:$N$200,2,FALSE()),"?"))</f>
        <v>Administrative</v>
      </c>
      <c r="R1084" s="2" t="str">
        <f t="shared" si="16"/>
        <v>Textual</v>
      </c>
      <c r="S1084" s="2" t="str">
        <f>IF($C1084="","",IFERROR(VLOOKUP($C1084,sources!$A$2:$N$200,9,FALSE()),"?"))</f>
        <v>US official</v>
      </c>
      <c r="T1084" t="s">
        <v>5692</v>
      </c>
      <c r="U1084">
        <f>IF(OR(B1084="",C1084="",T1084="Retracted",LEFT(D1084,8)="Negative"),0,IF(COUNTIFS($B$2:B1084,B1084,$C$2:C1084,C1084,$D$2:D1084,"&lt;&gt;Negative*",$T$2:T1084,"&lt;&gt;Retracted")=1,1,0))</f>
        <v>0</v>
      </c>
    </row>
    <row r="1085" spans="1:21" x14ac:dyDescent="0.2">
      <c r="A1085" t="s">
        <v>3014</v>
      </c>
      <c r="B1085" t="s">
        <v>595</v>
      </c>
      <c r="C1085" t="s">
        <v>1258</v>
      </c>
      <c r="D1085" t="s">
        <v>1613</v>
      </c>
      <c r="E1085" t="s">
        <v>596</v>
      </c>
      <c r="F1085" t="s">
        <v>1583</v>
      </c>
      <c r="I1085" t="s">
        <v>1058</v>
      </c>
      <c r="M1085" t="s">
        <v>190</v>
      </c>
      <c r="N1085" t="s">
        <v>209</v>
      </c>
      <c r="Q1085" s="2" t="str">
        <f>IF($C1085="","",IFERROR(VLOOKUP($C1085,sources!$A$2:$N$200,2,FALSE()),"?"))</f>
        <v>Administrative</v>
      </c>
      <c r="R1085" s="2" t="str">
        <f t="shared" si="16"/>
        <v>Textual</v>
      </c>
      <c r="S1085" s="2" t="str">
        <f>IF($C1085="","",IFERROR(VLOOKUP($C1085,sources!$A$2:$N$200,9,FALSE()),"?"))</f>
        <v>US official</v>
      </c>
      <c r="T1085" t="s">
        <v>5692</v>
      </c>
      <c r="U1085">
        <f>IF(OR(B1085="",C1085="",T1085="Retracted",LEFT(D1085,8)="Negative"),0,IF(COUNTIFS($B$2:B1085,B1085,$C$2:C1085,C1085,$D$2:D1085,"&lt;&gt;Negative*",$T$2:T1085,"&lt;&gt;Retracted")=1,1,0))</f>
        <v>0</v>
      </c>
    </row>
    <row r="1086" spans="1:21" x14ac:dyDescent="0.2">
      <c r="A1086" t="s">
        <v>3015</v>
      </c>
      <c r="B1086" t="s">
        <v>603</v>
      </c>
      <c r="C1086" t="s">
        <v>1258</v>
      </c>
      <c r="D1086" t="s">
        <v>1613</v>
      </c>
      <c r="E1086" t="s">
        <v>604</v>
      </c>
      <c r="F1086" t="s">
        <v>1583</v>
      </c>
      <c r="I1086" t="s">
        <v>1058</v>
      </c>
      <c r="M1086" t="s">
        <v>190</v>
      </c>
      <c r="N1086" t="s">
        <v>209</v>
      </c>
      <c r="Q1086" s="2" t="str">
        <f>IF($C1086="","",IFERROR(VLOOKUP($C1086,sources!$A$2:$N$200,2,FALSE()),"?"))</f>
        <v>Administrative</v>
      </c>
      <c r="R1086" s="2" t="str">
        <f t="shared" si="16"/>
        <v>Textual</v>
      </c>
      <c r="S1086" s="2" t="str">
        <f>IF($C1086="","",IFERROR(VLOOKUP($C1086,sources!$A$2:$N$200,9,FALSE()),"?"))</f>
        <v>US official</v>
      </c>
      <c r="T1086" t="s">
        <v>5692</v>
      </c>
      <c r="U1086">
        <f>IF(OR(B1086="",C1086="",T1086="Retracted",LEFT(D1086,8)="Negative"),0,IF(COUNTIFS($B$2:B1086,B1086,$C$2:C1086,C1086,$D$2:D1086,"&lt;&gt;Negative*",$T$2:T1086,"&lt;&gt;Retracted")=1,1,0))</f>
        <v>0</v>
      </c>
    </row>
    <row r="1087" spans="1:21" x14ac:dyDescent="0.2">
      <c r="A1087" t="s">
        <v>3016</v>
      </c>
      <c r="B1087" t="s">
        <v>607</v>
      </c>
      <c r="C1087" t="s">
        <v>1258</v>
      </c>
      <c r="D1087" t="s">
        <v>1613</v>
      </c>
      <c r="E1087" t="s">
        <v>608</v>
      </c>
      <c r="F1087" t="s">
        <v>1583</v>
      </c>
      <c r="I1087" t="s">
        <v>1058</v>
      </c>
      <c r="M1087" t="s">
        <v>190</v>
      </c>
      <c r="N1087" t="s">
        <v>209</v>
      </c>
      <c r="Q1087" s="2" t="str">
        <f>IF($C1087="","",IFERROR(VLOOKUP($C1087,sources!$A$2:$N$200,2,FALSE()),"?"))</f>
        <v>Administrative</v>
      </c>
      <c r="R1087" s="2" t="str">
        <f t="shared" si="16"/>
        <v>Textual</v>
      </c>
      <c r="S1087" s="2" t="str">
        <f>IF($C1087="","",IFERROR(VLOOKUP($C1087,sources!$A$2:$N$200,9,FALSE()),"?"))</f>
        <v>US official</v>
      </c>
      <c r="T1087" t="s">
        <v>5692</v>
      </c>
      <c r="U1087">
        <f>IF(OR(B1087="",C1087="",T1087="Retracted",LEFT(D1087,8)="Negative"),0,IF(COUNTIFS($B$2:B1087,B1087,$C$2:C1087,C1087,$D$2:D1087,"&lt;&gt;Negative*",$T$2:T1087,"&lt;&gt;Retracted")=1,1,0))</f>
        <v>0</v>
      </c>
    </row>
    <row r="1088" spans="1:21" x14ac:dyDescent="0.2">
      <c r="A1088" t="s">
        <v>3017</v>
      </c>
      <c r="B1088" t="s">
        <v>570</v>
      </c>
      <c r="C1088" t="s">
        <v>1258</v>
      </c>
      <c r="D1088" t="s">
        <v>1613</v>
      </c>
      <c r="E1088" t="s">
        <v>571</v>
      </c>
      <c r="F1088" t="s">
        <v>1583</v>
      </c>
      <c r="I1088" t="s">
        <v>1058</v>
      </c>
      <c r="M1088" t="s">
        <v>190</v>
      </c>
      <c r="N1088" t="s">
        <v>209</v>
      </c>
      <c r="Q1088" s="2" t="str">
        <f>IF($C1088="","",IFERROR(VLOOKUP($C1088,sources!$A$2:$N$200,2,FALSE()),"?"))</f>
        <v>Administrative</v>
      </c>
      <c r="R1088" s="2" t="str">
        <f t="shared" si="16"/>
        <v>Textual</v>
      </c>
      <c r="S1088" s="2" t="str">
        <f>IF($C1088="","",IFERROR(VLOOKUP($C1088,sources!$A$2:$N$200,9,FALSE()),"?"))</f>
        <v>US official</v>
      </c>
      <c r="T1088" t="s">
        <v>5692</v>
      </c>
      <c r="U1088">
        <f>IF(OR(B1088="",C1088="",T1088="Retracted",LEFT(D1088,8)="Negative"),0,IF(COUNTIFS($B$2:B1088,B1088,$C$2:C1088,C1088,$D$2:D1088,"&lt;&gt;Negative*",$T$2:T1088,"&lt;&gt;Retracted")=1,1,0))</f>
        <v>0</v>
      </c>
    </row>
    <row r="1089" spans="1:21" x14ac:dyDescent="0.2">
      <c r="A1089" t="s">
        <v>3018</v>
      </c>
      <c r="B1089" t="s">
        <v>515</v>
      </c>
      <c r="C1089" t="s">
        <v>1258</v>
      </c>
      <c r="D1089" t="s">
        <v>1575</v>
      </c>
      <c r="E1089" t="s">
        <v>516</v>
      </c>
      <c r="F1089" t="s">
        <v>1583</v>
      </c>
      <c r="I1089" t="s">
        <v>1058</v>
      </c>
      <c r="M1089" t="s">
        <v>190</v>
      </c>
      <c r="N1089" t="s">
        <v>209</v>
      </c>
      <c r="Q1089" s="2" t="str">
        <f>IF($C1089="","",IFERROR(VLOOKUP($C1089,sources!$A$2:$N$200,2,FALSE()),"?"))</f>
        <v>Administrative</v>
      </c>
      <c r="R1089" s="2" t="str">
        <f t="shared" si="16"/>
        <v>Textual</v>
      </c>
      <c r="S1089" s="2" t="str">
        <f>IF($C1089="","",IFERROR(VLOOKUP($C1089,sources!$A$2:$N$200,9,FALSE()),"?"))</f>
        <v>US official</v>
      </c>
      <c r="T1089" t="s">
        <v>5692</v>
      </c>
      <c r="U1089">
        <f>IF(OR(B1089="",C1089="",T1089="Retracted",LEFT(D1089,8)="Negative"),0,IF(COUNTIFS($B$2:B1089,B1089,$C$2:C1089,C1089,$D$2:D1089,"&lt;&gt;Negative*",$T$2:T1089,"&lt;&gt;Retracted")=1,1,0))</f>
        <v>1</v>
      </c>
    </row>
    <row r="1090" spans="1:21" x14ac:dyDescent="0.2">
      <c r="A1090" t="s">
        <v>3019</v>
      </c>
      <c r="B1090" t="s">
        <v>520</v>
      </c>
      <c r="C1090" t="s">
        <v>1258</v>
      </c>
      <c r="D1090" t="s">
        <v>1575</v>
      </c>
      <c r="E1090" t="s">
        <v>521</v>
      </c>
      <c r="F1090" t="s">
        <v>1583</v>
      </c>
      <c r="I1090" t="s">
        <v>1058</v>
      </c>
      <c r="M1090" t="s">
        <v>190</v>
      </c>
      <c r="N1090" t="s">
        <v>209</v>
      </c>
      <c r="Q1090" s="2" t="str">
        <f>IF($C1090="","",IFERROR(VLOOKUP($C1090,sources!$A$2:$N$200,2,FALSE()),"?"))</f>
        <v>Administrative</v>
      </c>
      <c r="R1090" s="2" t="str">
        <f t="shared" ref="R1090:R1153" si="17">IF($Q1090="","",IF($Q1090="Map","Map",IF(OR($Q1090="Photograph",$Q1090="Postcard"),"Image",IF(OR($Q1090="Census or roll",$Q1090="Report",$Q1090="Newspaper",$Q1090="Letter",$Q1090="Memoir",$Q1090="Administrative",$Q1090="Web compilation"),"Textual",IF($Q1090="Legal claim","Legal/admin",IF($Q1090="Secondary","Secondary","Other"))))))</f>
        <v>Textual</v>
      </c>
      <c r="S1090" s="2" t="str">
        <f>IF($C1090="","",IFERROR(VLOOKUP($C1090,sources!$A$2:$N$200,9,FALSE()),"?"))</f>
        <v>US official</v>
      </c>
      <c r="T1090" t="s">
        <v>5692</v>
      </c>
      <c r="U1090">
        <f>IF(OR(B1090="",C1090="",T1090="Retracted",LEFT(D1090,8)="Negative"),0,IF(COUNTIFS($B$2:B1090,B1090,$C$2:C1090,C1090,$D$2:D1090,"&lt;&gt;Negative*",$T$2:T1090,"&lt;&gt;Retracted")=1,1,0))</f>
        <v>1</v>
      </c>
    </row>
    <row r="1091" spans="1:21" x14ac:dyDescent="0.2">
      <c r="A1091" t="s">
        <v>3020</v>
      </c>
      <c r="B1091" t="s">
        <v>525</v>
      </c>
      <c r="C1091" t="s">
        <v>1258</v>
      </c>
      <c r="D1091" t="s">
        <v>1575</v>
      </c>
      <c r="E1091" t="s">
        <v>526</v>
      </c>
      <c r="F1091" t="s">
        <v>1583</v>
      </c>
      <c r="I1091" t="s">
        <v>1058</v>
      </c>
      <c r="M1091" t="s">
        <v>190</v>
      </c>
      <c r="N1091" t="s">
        <v>209</v>
      </c>
      <c r="Q1091" s="2" t="str">
        <f>IF($C1091="","",IFERROR(VLOOKUP($C1091,sources!$A$2:$N$200,2,FALSE()),"?"))</f>
        <v>Administrative</v>
      </c>
      <c r="R1091" s="2" t="str">
        <f t="shared" si="17"/>
        <v>Textual</v>
      </c>
      <c r="S1091" s="2" t="str">
        <f>IF($C1091="","",IFERROR(VLOOKUP($C1091,sources!$A$2:$N$200,9,FALSE()),"?"))</f>
        <v>US official</v>
      </c>
      <c r="T1091" t="s">
        <v>5692</v>
      </c>
      <c r="U1091">
        <f>IF(OR(B1091="",C1091="",T1091="Retracted",LEFT(D1091,8)="Negative"),0,IF(COUNTIFS($B$2:B1091,B1091,$C$2:C1091,C1091,$D$2:D1091,"&lt;&gt;Negative*",$T$2:T1091,"&lt;&gt;Retracted")=1,1,0))</f>
        <v>1</v>
      </c>
    </row>
    <row r="1092" spans="1:21" x14ac:dyDescent="0.2">
      <c r="A1092" t="s">
        <v>3021</v>
      </c>
      <c r="B1092" t="s">
        <v>530</v>
      </c>
      <c r="C1092" t="s">
        <v>1258</v>
      </c>
      <c r="D1092" t="s">
        <v>1575</v>
      </c>
      <c r="E1092" t="s">
        <v>531</v>
      </c>
      <c r="F1092" t="s">
        <v>1583</v>
      </c>
      <c r="I1092" t="s">
        <v>1058</v>
      </c>
      <c r="M1092" t="s">
        <v>190</v>
      </c>
      <c r="N1092" t="s">
        <v>209</v>
      </c>
      <c r="Q1092" s="2" t="str">
        <f>IF($C1092="","",IFERROR(VLOOKUP($C1092,sources!$A$2:$N$200,2,FALSE()),"?"))</f>
        <v>Administrative</v>
      </c>
      <c r="R1092" s="2" t="str">
        <f t="shared" si="17"/>
        <v>Textual</v>
      </c>
      <c r="S1092" s="2" t="str">
        <f>IF($C1092="","",IFERROR(VLOOKUP($C1092,sources!$A$2:$N$200,9,FALSE()),"?"))</f>
        <v>US official</v>
      </c>
      <c r="T1092" t="s">
        <v>5692</v>
      </c>
      <c r="U1092">
        <f>IF(OR(B1092="",C1092="",T1092="Retracted",LEFT(D1092,8)="Negative"),0,IF(COUNTIFS($B$2:B1092,B1092,$C$2:C1092,C1092,$D$2:D1092,"&lt;&gt;Negative*",$T$2:T1092,"&lt;&gt;Retracted")=1,1,0))</f>
        <v>1</v>
      </c>
    </row>
    <row r="1093" spans="1:21" x14ac:dyDescent="0.2">
      <c r="A1093" t="s">
        <v>3022</v>
      </c>
      <c r="B1093" t="s">
        <v>534</v>
      </c>
      <c r="C1093" t="s">
        <v>1258</v>
      </c>
      <c r="D1093" t="s">
        <v>1575</v>
      </c>
      <c r="E1093" t="s">
        <v>535</v>
      </c>
      <c r="F1093" t="s">
        <v>1583</v>
      </c>
      <c r="I1093" t="s">
        <v>1058</v>
      </c>
      <c r="M1093" t="s">
        <v>190</v>
      </c>
      <c r="N1093" t="s">
        <v>209</v>
      </c>
      <c r="Q1093" s="2" t="str">
        <f>IF($C1093="","",IFERROR(VLOOKUP($C1093,sources!$A$2:$N$200,2,FALSE()),"?"))</f>
        <v>Administrative</v>
      </c>
      <c r="R1093" s="2" t="str">
        <f t="shared" si="17"/>
        <v>Textual</v>
      </c>
      <c r="S1093" s="2" t="str">
        <f>IF($C1093="","",IFERROR(VLOOKUP($C1093,sources!$A$2:$N$200,9,FALSE()),"?"))</f>
        <v>US official</v>
      </c>
      <c r="T1093" t="s">
        <v>5692</v>
      </c>
      <c r="U1093">
        <f>IF(OR(B1093="",C1093="",T1093="Retracted",LEFT(D1093,8)="Negative"),0,IF(COUNTIFS($B$2:B1093,B1093,$C$2:C1093,C1093,$D$2:D1093,"&lt;&gt;Negative*",$T$2:T1093,"&lt;&gt;Retracted")=1,1,0))</f>
        <v>1</v>
      </c>
    </row>
    <row r="1094" spans="1:21" x14ac:dyDescent="0.2">
      <c r="A1094" t="s">
        <v>3023</v>
      </c>
      <c r="B1094" t="s">
        <v>538</v>
      </c>
      <c r="C1094" t="s">
        <v>1258</v>
      </c>
      <c r="D1094" t="s">
        <v>1575</v>
      </c>
      <c r="E1094" t="s">
        <v>539</v>
      </c>
      <c r="F1094" t="s">
        <v>1583</v>
      </c>
      <c r="I1094" t="s">
        <v>1058</v>
      </c>
      <c r="M1094" t="s">
        <v>190</v>
      </c>
      <c r="N1094" t="s">
        <v>209</v>
      </c>
      <c r="Q1094" s="2" t="str">
        <f>IF($C1094="","",IFERROR(VLOOKUP($C1094,sources!$A$2:$N$200,2,FALSE()),"?"))</f>
        <v>Administrative</v>
      </c>
      <c r="R1094" s="2" t="str">
        <f t="shared" si="17"/>
        <v>Textual</v>
      </c>
      <c r="S1094" s="2" t="str">
        <f>IF($C1094="","",IFERROR(VLOOKUP($C1094,sources!$A$2:$N$200,9,FALSE()),"?"))</f>
        <v>US official</v>
      </c>
      <c r="T1094" t="s">
        <v>5692</v>
      </c>
      <c r="U1094">
        <f>IF(OR(B1094="",C1094="",T1094="Retracted",LEFT(D1094,8)="Negative"),0,IF(COUNTIFS($B$2:B1094,B1094,$C$2:C1094,C1094,$D$2:D1094,"&lt;&gt;Negative*",$T$2:T1094,"&lt;&gt;Retracted")=1,1,0))</f>
        <v>1</v>
      </c>
    </row>
    <row r="1095" spans="1:21" x14ac:dyDescent="0.2">
      <c r="A1095" t="s">
        <v>3024</v>
      </c>
      <c r="B1095" t="s">
        <v>542</v>
      </c>
      <c r="C1095" t="s">
        <v>1258</v>
      </c>
      <c r="D1095" t="s">
        <v>1575</v>
      </c>
      <c r="E1095" t="s">
        <v>543</v>
      </c>
      <c r="F1095" t="s">
        <v>1583</v>
      </c>
      <c r="I1095" t="s">
        <v>1058</v>
      </c>
      <c r="M1095" t="s">
        <v>190</v>
      </c>
      <c r="N1095" t="s">
        <v>209</v>
      </c>
      <c r="Q1095" s="2" t="str">
        <f>IF($C1095="","",IFERROR(VLOOKUP($C1095,sources!$A$2:$N$200,2,FALSE()),"?"))</f>
        <v>Administrative</v>
      </c>
      <c r="R1095" s="2" t="str">
        <f t="shared" si="17"/>
        <v>Textual</v>
      </c>
      <c r="S1095" s="2" t="str">
        <f>IF($C1095="","",IFERROR(VLOOKUP($C1095,sources!$A$2:$N$200,9,FALSE()),"?"))</f>
        <v>US official</v>
      </c>
      <c r="T1095" t="s">
        <v>5692</v>
      </c>
      <c r="U1095">
        <f>IF(OR(B1095="",C1095="",T1095="Retracted",LEFT(D1095,8)="Negative"),0,IF(COUNTIFS($B$2:B1095,B1095,$C$2:C1095,C1095,$D$2:D1095,"&lt;&gt;Negative*",$T$2:T1095,"&lt;&gt;Retracted")=1,1,0))</f>
        <v>1</v>
      </c>
    </row>
    <row r="1096" spans="1:21" x14ac:dyDescent="0.2">
      <c r="A1096" t="s">
        <v>3025</v>
      </c>
      <c r="B1096" t="s">
        <v>547</v>
      </c>
      <c r="C1096" t="s">
        <v>1258</v>
      </c>
      <c r="D1096" t="s">
        <v>1575</v>
      </c>
      <c r="E1096" t="s">
        <v>548</v>
      </c>
      <c r="F1096" t="s">
        <v>1583</v>
      </c>
      <c r="I1096" t="s">
        <v>1058</v>
      </c>
      <c r="M1096" t="s">
        <v>190</v>
      </c>
      <c r="N1096" t="s">
        <v>209</v>
      </c>
      <c r="Q1096" s="2" t="str">
        <f>IF($C1096="","",IFERROR(VLOOKUP($C1096,sources!$A$2:$N$200,2,FALSE()),"?"))</f>
        <v>Administrative</v>
      </c>
      <c r="R1096" s="2" t="str">
        <f t="shared" si="17"/>
        <v>Textual</v>
      </c>
      <c r="S1096" s="2" t="str">
        <f>IF($C1096="","",IFERROR(VLOOKUP($C1096,sources!$A$2:$N$200,9,FALSE()),"?"))</f>
        <v>US official</v>
      </c>
      <c r="T1096" t="s">
        <v>5692</v>
      </c>
      <c r="U1096">
        <f>IF(OR(B1096="",C1096="",T1096="Retracted",LEFT(D1096,8)="Negative"),0,IF(COUNTIFS($B$2:B1096,B1096,$C$2:C1096,C1096,$D$2:D1096,"&lt;&gt;Negative*",$T$2:T1096,"&lt;&gt;Retracted")=1,1,0))</f>
        <v>1</v>
      </c>
    </row>
    <row r="1097" spans="1:21" x14ac:dyDescent="0.2">
      <c r="A1097" t="s">
        <v>3026</v>
      </c>
      <c r="B1097" t="s">
        <v>552</v>
      </c>
      <c r="C1097" t="s">
        <v>1258</v>
      </c>
      <c r="D1097" t="s">
        <v>1575</v>
      </c>
      <c r="E1097" t="s">
        <v>553</v>
      </c>
      <c r="F1097" t="s">
        <v>1583</v>
      </c>
      <c r="I1097" t="s">
        <v>1058</v>
      </c>
      <c r="M1097" t="s">
        <v>190</v>
      </c>
      <c r="N1097" t="s">
        <v>209</v>
      </c>
      <c r="Q1097" s="2" t="str">
        <f>IF($C1097="","",IFERROR(VLOOKUP($C1097,sources!$A$2:$N$200,2,FALSE()),"?"))</f>
        <v>Administrative</v>
      </c>
      <c r="R1097" s="2" t="str">
        <f t="shared" si="17"/>
        <v>Textual</v>
      </c>
      <c r="S1097" s="2" t="str">
        <f>IF($C1097="","",IFERROR(VLOOKUP($C1097,sources!$A$2:$N$200,9,FALSE()),"?"))</f>
        <v>US official</v>
      </c>
      <c r="T1097" t="s">
        <v>5692</v>
      </c>
      <c r="U1097">
        <f>IF(OR(B1097="",C1097="",T1097="Retracted",LEFT(D1097,8)="Negative"),0,IF(COUNTIFS($B$2:B1097,B1097,$C$2:C1097,C1097,$D$2:D1097,"&lt;&gt;Negative*",$T$2:T1097,"&lt;&gt;Retracted")=1,1,0))</f>
        <v>1</v>
      </c>
    </row>
    <row r="1098" spans="1:21" x14ac:dyDescent="0.2">
      <c r="A1098" t="s">
        <v>3027</v>
      </c>
      <c r="B1098" t="s">
        <v>386</v>
      </c>
      <c r="C1098" t="s">
        <v>1258</v>
      </c>
      <c r="D1098" t="s">
        <v>1613</v>
      </c>
      <c r="E1098" t="s">
        <v>560</v>
      </c>
      <c r="F1098" t="s">
        <v>1583</v>
      </c>
      <c r="I1098" t="s">
        <v>1058</v>
      </c>
      <c r="M1098" t="s">
        <v>190</v>
      </c>
      <c r="N1098" t="s">
        <v>209</v>
      </c>
      <c r="Q1098" s="2" t="str">
        <f>IF($C1098="","",IFERROR(VLOOKUP($C1098,sources!$A$2:$N$200,2,FALSE()),"?"))</f>
        <v>Administrative</v>
      </c>
      <c r="R1098" s="2" t="str">
        <f t="shared" si="17"/>
        <v>Textual</v>
      </c>
      <c r="S1098" s="2" t="str">
        <f>IF($C1098="","",IFERROR(VLOOKUP($C1098,sources!$A$2:$N$200,9,FALSE()),"?"))</f>
        <v>US official</v>
      </c>
      <c r="T1098" t="s">
        <v>5692</v>
      </c>
      <c r="U1098">
        <f>IF(OR(B1098="",C1098="",T1098="Retracted",LEFT(D1098,8)="Negative"),0,IF(COUNTIFS($B$2:B1098,B1098,$C$2:C1098,C1098,$D$2:D1098,"&lt;&gt;Negative*",$T$2:T1098,"&lt;&gt;Retracted")=1,1,0))</f>
        <v>0</v>
      </c>
    </row>
    <row r="1099" spans="1:21" x14ac:dyDescent="0.2">
      <c r="A1099" t="s">
        <v>3028</v>
      </c>
      <c r="B1099" t="s">
        <v>584</v>
      </c>
      <c r="C1099" t="s">
        <v>1258</v>
      </c>
      <c r="D1099" t="s">
        <v>1613</v>
      </c>
      <c r="E1099" t="s">
        <v>585</v>
      </c>
      <c r="F1099" t="s">
        <v>1583</v>
      </c>
      <c r="I1099" t="s">
        <v>1058</v>
      </c>
      <c r="M1099" t="s">
        <v>190</v>
      </c>
      <c r="N1099" t="s">
        <v>209</v>
      </c>
      <c r="Q1099" s="2" t="str">
        <f>IF($C1099="","",IFERROR(VLOOKUP($C1099,sources!$A$2:$N$200,2,FALSE()),"?"))</f>
        <v>Administrative</v>
      </c>
      <c r="R1099" s="2" t="str">
        <f t="shared" si="17"/>
        <v>Textual</v>
      </c>
      <c r="S1099" s="2" t="str">
        <f>IF($C1099="","",IFERROR(VLOOKUP($C1099,sources!$A$2:$N$200,9,FALSE()),"?"))</f>
        <v>US official</v>
      </c>
      <c r="T1099" t="s">
        <v>5692</v>
      </c>
      <c r="U1099">
        <f>IF(OR(B1099="",C1099="",T1099="Retracted",LEFT(D1099,8)="Negative"),0,IF(COUNTIFS($B$2:B1099,B1099,$C$2:C1099,C1099,$D$2:D1099,"&lt;&gt;Negative*",$T$2:T1099,"&lt;&gt;Retracted")=1,1,0))</f>
        <v>0</v>
      </c>
    </row>
    <row r="1100" spans="1:21" x14ac:dyDescent="0.2">
      <c r="A1100" t="s">
        <v>3029</v>
      </c>
      <c r="B1100" t="s">
        <v>599</v>
      </c>
      <c r="C1100" t="s">
        <v>1258</v>
      </c>
      <c r="D1100" t="s">
        <v>1613</v>
      </c>
      <c r="E1100" t="s">
        <v>600</v>
      </c>
      <c r="F1100" t="s">
        <v>1583</v>
      </c>
      <c r="I1100" t="s">
        <v>1058</v>
      </c>
      <c r="M1100" t="s">
        <v>190</v>
      </c>
      <c r="N1100" t="s">
        <v>209</v>
      </c>
      <c r="Q1100" s="2" t="str">
        <f>IF($C1100="","",IFERROR(VLOOKUP($C1100,sources!$A$2:$N$200,2,FALSE()),"?"))</f>
        <v>Administrative</v>
      </c>
      <c r="R1100" s="2" t="str">
        <f t="shared" si="17"/>
        <v>Textual</v>
      </c>
      <c r="S1100" s="2" t="str">
        <f>IF($C1100="","",IFERROR(VLOOKUP($C1100,sources!$A$2:$N$200,9,FALSE()),"?"))</f>
        <v>US official</v>
      </c>
      <c r="T1100" t="s">
        <v>5692</v>
      </c>
      <c r="U1100">
        <f>IF(OR(B1100="",C1100="",T1100="Retracted",LEFT(D1100,8)="Negative"),0,IF(COUNTIFS($B$2:B1100,B1100,$C$2:C1100,C1100,$D$2:D1100,"&lt;&gt;Negative*",$T$2:T1100,"&lt;&gt;Retracted")=1,1,0))</f>
        <v>0</v>
      </c>
    </row>
    <row r="1101" spans="1:21" x14ac:dyDescent="0.2">
      <c r="A1101" t="s">
        <v>3030</v>
      </c>
      <c r="B1101" t="s">
        <v>639</v>
      </c>
      <c r="C1101" t="s">
        <v>1258</v>
      </c>
      <c r="D1101" t="s">
        <v>1613</v>
      </c>
      <c r="E1101" t="s">
        <v>640</v>
      </c>
      <c r="F1101" t="s">
        <v>1583</v>
      </c>
      <c r="I1101" t="s">
        <v>1058</v>
      </c>
      <c r="M1101" t="s">
        <v>190</v>
      </c>
      <c r="N1101" t="s">
        <v>209</v>
      </c>
      <c r="Q1101" s="2" t="str">
        <f>IF($C1101="","",IFERROR(VLOOKUP($C1101,sources!$A$2:$N$200,2,FALSE()),"?"))</f>
        <v>Administrative</v>
      </c>
      <c r="R1101" s="2" t="str">
        <f t="shared" si="17"/>
        <v>Textual</v>
      </c>
      <c r="S1101" s="2" t="str">
        <f>IF($C1101="","",IFERROR(VLOOKUP($C1101,sources!$A$2:$N$200,9,FALSE()),"?"))</f>
        <v>US official</v>
      </c>
      <c r="T1101" t="s">
        <v>5692</v>
      </c>
      <c r="U1101">
        <f>IF(OR(B1101="",C1101="",T1101="Retracted",LEFT(D1101,8)="Negative"),0,IF(COUNTIFS($B$2:B1101,B1101,$C$2:C1101,C1101,$D$2:D1101,"&lt;&gt;Negative*",$T$2:T1101,"&lt;&gt;Retracted")=1,1,0))</f>
        <v>0</v>
      </c>
    </row>
    <row r="1102" spans="1:21" x14ac:dyDescent="0.2">
      <c r="A1102" t="s">
        <v>3031</v>
      </c>
      <c r="B1102" t="s">
        <v>287</v>
      </c>
      <c r="C1102" t="s">
        <v>1258</v>
      </c>
      <c r="D1102" t="s">
        <v>1613</v>
      </c>
      <c r="E1102" t="s">
        <v>288</v>
      </c>
      <c r="F1102" t="s">
        <v>1583</v>
      </c>
      <c r="I1102" t="s">
        <v>1058</v>
      </c>
      <c r="M1102" t="s">
        <v>190</v>
      </c>
      <c r="N1102" t="s">
        <v>209</v>
      </c>
      <c r="Q1102" s="2" t="str">
        <f>IF($C1102="","",IFERROR(VLOOKUP($C1102,sources!$A$2:$N$200,2,FALSE()),"?"))</f>
        <v>Administrative</v>
      </c>
      <c r="R1102" s="2" t="str">
        <f t="shared" si="17"/>
        <v>Textual</v>
      </c>
      <c r="S1102" s="2" t="str">
        <f>IF($C1102="","",IFERROR(VLOOKUP($C1102,sources!$A$2:$N$200,9,FALSE()),"?"))</f>
        <v>US official</v>
      </c>
      <c r="T1102" t="s">
        <v>5692</v>
      </c>
      <c r="U1102">
        <f>IF(OR(B1102="",C1102="",T1102="Retracted",LEFT(D1102,8)="Negative"),0,IF(COUNTIFS($B$2:B1102,B1102,$C$2:C1102,C1102,$D$2:D1102,"&lt;&gt;Negative*",$T$2:T1102,"&lt;&gt;Retracted")=1,1,0))</f>
        <v>0</v>
      </c>
    </row>
    <row r="1103" spans="1:21" x14ac:dyDescent="0.2">
      <c r="A1103" t="s">
        <v>3032</v>
      </c>
      <c r="B1103" t="s">
        <v>294</v>
      </c>
      <c r="C1103" t="s">
        <v>1258</v>
      </c>
      <c r="D1103" t="s">
        <v>1613</v>
      </c>
      <c r="E1103" t="s">
        <v>295</v>
      </c>
      <c r="F1103" t="s">
        <v>1583</v>
      </c>
      <c r="I1103" t="s">
        <v>1058</v>
      </c>
      <c r="M1103" t="s">
        <v>190</v>
      </c>
      <c r="N1103" t="s">
        <v>209</v>
      </c>
      <c r="Q1103" s="2" t="str">
        <f>IF($C1103="","",IFERROR(VLOOKUP($C1103,sources!$A$2:$N$200,2,FALSE()),"?"))</f>
        <v>Administrative</v>
      </c>
      <c r="R1103" s="2" t="str">
        <f t="shared" si="17"/>
        <v>Textual</v>
      </c>
      <c r="S1103" s="2" t="str">
        <f>IF($C1103="","",IFERROR(VLOOKUP($C1103,sources!$A$2:$N$200,9,FALSE()),"?"))</f>
        <v>US official</v>
      </c>
      <c r="T1103" t="s">
        <v>5692</v>
      </c>
      <c r="U1103">
        <f>IF(OR(B1103="",C1103="",T1103="Retracted",LEFT(D1103,8)="Negative"),0,IF(COUNTIFS($B$2:B1103,B1103,$C$2:C1103,C1103,$D$2:D1103,"&lt;&gt;Negative*",$T$2:T1103,"&lt;&gt;Retracted")=1,1,0))</f>
        <v>0</v>
      </c>
    </row>
    <row r="1104" spans="1:21" x14ac:dyDescent="0.2">
      <c r="A1104" t="s">
        <v>3033</v>
      </c>
      <c r="B1104" t="s">
        <v>660</v>
      </c>
      <c r="C1104" t="s">
        <v>1258</v>
      </c>
      <c r="D1104" t="s">
        <v>1613</v>
      </c>
      <c r="E1104" t="s">
        <v>298</v>
      </c>
      <c r="F1104" t="s">
        <v>1583</v>
      </c>
      <c r="I1104" t="s">
        <v>1058</v>
      </c>
      <c r="M1104" t="s">
        <v>190</v>
      </c>
      <c r="N1104" t="s">
        <v>209</v>
      </c>
      <c r="Q1104" s="2" t="str">
        <f>IF($C1104="","",IFERROR(VLOOKUP($C1104,sources!$A$2:$N$200,2,FALSE()),"?"))</f>
        <v>Administrative</v>
      </c>
      <c r="R1104" s="2" t="str">
        <f t="shared" si="17"/>
        <v>Textual</v>
      </c>
      <c r="S1104" s="2" t="str">
        <f>IF($C1104="","",IFERROR(VLOOKUP($C1104,sources!$A$2:$N$200,9,FALSE()),"?"))</f>
        <v>US official</v>
      </c>
      <c r="T1104" t="s">
        <v>5692</v>
      </c>
      <c r="U1104">
        <f>IF(OR(B1104="",C1104="",T1104="Retracted",LEFT(D1104,8)="Negative"),0,IF(COUNTIFS($B$2:B1104,B1104,$C$2:C1104,C1104,$D$2:D1104,"&lt;&gt;Negative*",$T$2:T1104,"&lt;&gt;Retracted")=1,1,0))</f>
        <v>0</v>
      </c>
    </row>
    <row r="1105" spans="1:21" x14ac:dyDescent="0.2">
      <c r="A1105" t="s">
        <v>3034</v>
      </c>
      <c r="B1105" t="s">
        <v>317</v>
      </c>
      <c r="C1105" t="s">
        <v>1258</v>
      </c>
      <c r="D1105" t="s">
        <v>1613</v>
      </c>
      <c r="E1105" t="s">
        <v>318</v>
      </c>
      <c r="F1105" t="s">
        <v>1583</v>
      </c>
      <c r="I1105" t="s">
        <v>1058</v>
      </c>
      <c r="M1105" t="s">
        <v>190</v>
      </c>
      <c r="N1105" t="s">
        <v>209</v>
      </c>
      <c r="Q1105" s="2" t="str">
        <f>IF($C1105="","",IFERROR(VLOOKUP($C1105,sources!$A$2:$N$200,2,FALSE()),"?"))</f>
        <v>Administrative</v>
      </c>
      <c r="R1105" s="2" t="str">
        <f t="shared" si="17"/>
        <v>Textual</v>
      </c>
      <c r="S1105" s="2" t="str">
        <f>IF($C1105="","",IFERROR(VLOOKUP($C1105,sources!$A$2:$N$200,9,FALSE()),"?"))</f>
        <v>US official</v>
      </c>
      <c r="T1105" t="s">
        <v>5692</v>
      </c>
      <c r="U1105">
        <f>IF(OR(B1105="",C1105="",T1105="Retracted",LEFT(D1105,8)="Negative"),0,IF(COUNTIFS($B$2:B1105,B1105,$C$2:C1105,C1105,$D$2:D1105,"&lt;&gt;Negative*",$T$2:T1105,"&lt;&gt;Retracted")=1,1,0))</f>
        <v>0</v>
      </c>
    </row>
    <row r="1106" spans="1:21" x14ac:dyDescent="0.2">
      <c r="A1106" t="s">
        <v>3035</v>
      </c>
      <c r="B1106" t="s">
        <v>322</v>
      </c>
      <c r="C1106" t="s">
        <v>1258</v>
      </c>
      <c r="D1106" t="s">
        <v>1613</v>
      </c>
      <c r="E1106" t="s">
        <v>323</v>
      </c>
      <c r="F1106" t="s">
        <v>1583</v>
      </c>
      <c r="I1106" t="s">
        <v>1058</v>
      </c>
      <c r="M1106" t="s">
        <v>190</v>
      </c>
      <c r="N1106" t="s">
        <v>209</v>
      </c>
      <c r="Q1106" s="2" t="str">
        <f>IF($C1106="","",IFERROR(VLOOKUP($C1106,sources!$A$2:$N$200,2,FALSE()),"?"))</f>
        <v>Administrative</v>
      </c>
      <c r="R1106" s="2" t="str">
        <f t="shared" si="17"/>
        <v>Textual</v>
      </c>
      <c r="S1106" s="2" t="str">
        <f>IF($C1106="","",IFERROR(VLOOKUP($C1106,sources!$A$2:$N$200,9,FALSE()),"?"))</f>
        <v>US official</v>
      </c>
      <c r="T1106" t="s">
        <v>5692</v>
      </c>
      <c r="U1106">
        <f>IF(OR(B1106="",C1106="",T1106="Retracted",LEFT(D1106,8)="Negative"),0,IF(COUNTIFS($B$2:B1106,B1106,$C$2:C1106,C1106,$D$2:D1106,"&lt;&gt;Negative*",$T$2:T1106,"&lt;&gt;Retracted")=1,1,0))</f>
        <v>0</v>
      </c>
    </row>
    <row r="1107" spans="1:21" x14ac:dyDescent="0.2">
      <c r="A1107" t="s">
        <v>3036</v>
      </c>
      <c r="B1107" t="s">
        <v>652</v>
      </c>
      <c r="C1107" t="s">
        <v>1258</v>
      </c>
      <c r="D1107" t="s">
        <v>1613</v>
      </c>
      <c r="E1107" t="s">
        <v>653</v>
      </c>
      <c r="F1107" t="s">
        <v>1583</v>
      </c>
      <c r="I1107" t="s">
        <v>1058</v>
      </c>
      <c r="M1107" t="s">
        <v>190</v>
      </c>
      <c r="N1107" t="s">
        <v>209</v>
      </c>
      <c r="Q1107" s="2" t="str">
        <f>IF($C1107="","",IFERROR(VLOOKUP($C1107,sources!$A$2:$N$200,2,FALSE()),"?"))</f>
        <v>Administrative</v>
      </c>
      <c r="R1107" s="2" t="str">
        <f t="shared" si="17"/>
        <v>Textual</v>
      </c>
      <c r="S1107" s="2" t="str">
        <f>IF($C1107="","",IFERROR(VLOOKUP($C1107,sources!$A$2:$N$200,9,FALSE()),"?"))</f>
        <v>US official</v>
      </c>
      <c r="T1107" t="s">
        <v>5692</v>
      </c>
      <c r="U1107">
        <f>IF(OR(B1107="",C1107="",T1107="Retracted",LEFT(D1107,8)="Negative"),0,IF(COUNTIFS($B$2:B1107,B1107,$C$2:C1107,C1107,$D$2:D1107,"&lt;&gt;Negative*",$T$2:T1107,"&lt;&gt;Retracted")=1,1,0))</f>
        <v>0</v>
      </c>
    </row>
    <row r="1108" spans="1:21" x14ac:dyDescent="0.2">
      <c r="A1108" t="s">
        <v>3037</v>
      </c>
      <c r="B1108" t="s">
        <v>660</v>
      </c>
      <c r="C1108" t="s">
        <v>1258</v>
      </c>
      <c r="D1108" t="s">
        <v>1613</v>
      </c>
      <c r="E1108" t="s">
        <v>661</v>
      </c>
      <c r="F1108" t="s">
        <v>1583</v>
      </c>
      <c r="I1108" t="s">
        <v>1058</v>
      </c>
      <c r="M1108" t="s">
        <v>190</v>
      </c>
      <c r="N1108" t="s">
        <v>209</v>
      </c>
      <c r="Q1108" s="2" t="str">
        <f>IF($C1108="","",IFERROR(VLOOKUP($C1108,sources!$A$2:$N$200,2,FALSE()),"?"))</f>
        <v>Administrative</v>
      </c>
      <c r="R1108" s="2" t="str">
        <f t="shared" si="17"/>
        <v>Textual</v>
      </c>
      <c r="S1108" s="2" t="str">
        <f>IF($C1108="","",IFERROR(VLOOKUP($C1108,sources!$A$2:$N$200,9,FALSE()),"?"))</f>
        <v>US official</v>
      </c>
      <c r="T1108" t="s">
        <v>5692</v>
      </c>
      <c r="U1108">
        <f>IF(OR(B1108="",C1108="",T1108="Retracted",LEFT(D1108,8)="Negative"),0,IF(COUNTIFS($B$2:B1108,B1108,$C$2:C1108,C1108,$D$2:D1108,"&lt;&gt;Negative*",$T$2:T1108,"&lt;&gt;Retracted")=1,1,0))</f>
        <v>0</v>
      </c>
    </row>
    <row r="1109" spans="1:21" x14ac:dyDescent="0.2">
      <c r="A1109" t="s">
        <v>3038</v>
      </c>
      <c r="B1109" t="s">
        <v>663</v>
      </c>
      <c r="C1109" t="s">
        <v>1258</v>
      </c>
      <c r="D1109" t="s">
        <v>1613</v>
      </c>
      <c r="E1109" t="s">
        <v>664</v>
      </c>
      <c r="F1109" t="s">
        <v>1583</v>
      </c>
      <c r="I1109" t="s">
        <v>1058</v>
      </c>
      <c r="M1109" t="s">
        <v>190</v>
      </c>
      <c r="N1109" t="s">
        <v>209</v>
      </c>
      <c r="Q1109" s="2" t="str">
        <f>IF($C1109="","",IFERROR(VLOOKUP($C1109,sources!$A$2:$N$200,2,FALSE()),"?"))</f>
        <v>Administrative</v>
      </c>
      <c r="R1109" s="2" t="str">
        <f t="shared" si="17"/>
        <v>Textual</v>
      </c>
      <c r="S1109" s="2" t="str">
        <f>IF($C1109="","",IFERROR(VLOOKUP($C1109,sources!$A$2:$N$200,9,FALSE()),"?"))</f>
        <v>US official</v>
      </c>
      <c r="T1109" t="s">
        <v>5692</v>
      </c>
      <c r="U1109">
        <f>IF(OR(B1109="",C1109="",T1109="Retracted",LEFT(D1109,8)="Negative"),0,IF(COUNTIFS($B$2:B1109,B1109,$C$2:C1109,C1109,$D$2:D1109,"&lt;&gt;Negative*",$T$2:T1109,"&lt;&gt;Retracted")=1,1,0))</f>
        <v>0</v>
      </c>
    </row>
    <row r="1110" spans="1:21" x14ac:dyDescent="0.2">
      <c r="A1110" t="s">
        <v>3039</v>
      </c>
      <c r="B1110" t="s">
        <v>667</v>
      </c>
      <c r="C1110" t="s">
        <v>1258</v>
      </c>
      <c r="D1110" t="s">
        <v>1613</v>
      </c>
      <c r="E1110" t="s">
        <v>668</v>
      </c>
      <c r="F1110" t="s">
        <v>1583</v>
      </c>
      <c r="I1110" t="s">
        <v>1058</v>
      </c>
      <c r="M1110" t="s">
        <v>190</v>
      </c>
      <c r="N1110" t="s">
        <v>209</v>
      </c>
      <c r="Q1110" s="2" t="str">
        <f>IF($C1110="","",IFERROR(VLOOKUP($C1110,sources!$A$2:$N$200,2,FALSE()),"?"))</f>
        <v>Administrative</v>
      </c>
      <c r="R1110" s="2" t="str">
        <f t="shared" si="17"/>
        <v>Textual</v>
      </c>
      <c r="S1110" s="2" t="str">
        <f>IF($C1110="","",IFERROR(VLOOKUP($C1110,sources!$A$2:$N$200,9,FALSE()),"?"))</f>
        <v>US official</v>
      </c>
      <c r="T1110" t="s">
        <v>5692</v>
      </c>
      <c r="U1110">
        <f>IF(OR(B1110="",C1110="",T1110="Retracted",LEFT(D1110,8)="Negative"),0,IF(COUNTIFS($B$2:B1110,B1110,$C$2:C1110,C1110,$D$2:D1110,"&lt;&gt;Negative*",$T$2:T1110,"&lt;&gt;Retracted")=1,1,0))</f>
        <v>0</v>
      </c>
    </row>
    <row r="1111" spans="1:21" x14ac:dyDescent="0.2">
      <c r="A1111" t="s">
        <v>3040</v>
      </c>
      <c r="B1111" t="s">
        <v>673</v>
      </c>
      <c r="C1111" t="s">
        <v>1258</v>
      </c>
      <c r="D1111" t="s">
        <v>1613</v>
      </c>
      <c r="E1111" t="s">
        <v>674</v>
      </c>
      <c r="F1111" t="s">
        <v>1583</v>
      </c>
      <c r="I1111" t="s">
        <v>1058</v>
      </c>
      <c r="M1111" t="s">
        <v>190</v>
      </c>
      <c r="N1111" t="s">
        <v>209</v>
      </c>
      <c r="Q1111" s="2" t="str">
        <f>IF($C1111="","",IFERROR(VLOOKUP($C1111,sources!$A$2:$N$200,2,FALSE()),"?"))</f>
        <v>Administrative</v>
      </c>
      <c r="R1111" s="2" t="str">
        <f t="shared" si="17"/>
        <v>Textual</v>
      </c>
      <c r="S1111" s="2" t="str">
        <f>IF($C1111="","",IFERROR(VLOOKUP($C1111,sources!$A$2:$N$200,9,FALSE()),"?"))</f>
        <v>US official</v>
      </c>
      <c r="T1111" t="s">
        <v>5692</v>
      </c>
      <c r="U1111">
        <f>IF(OR(B1111="",C1111="",T1111="Retracted",LEFT(D1111,8)="Negative"),0,IF(COUNTIFS($B$2:B1111,B1111,$C$2:C1111,C1111,$D$2:D1111,"&lt;&gt;Negative*",$T$2:T1111,"&lt;&gt;Retracted")=1,1,0))</f>
        <v>0</v>
      </c>
    </row>
    <row r="1112" spans="1:21" x14ac:dyDescent="0.2">
      <c r="A1112" t="s">
        <v>3041</v>
      </c>
      <c r="B1112" t="s">
        <v>677</v>
      </c>
      <c r="C1112" t="s">
        <v>1258</v>
      </c>
      <c r="D1112" t="s">
        <v>1613</v>
      </c>
      <c r="E1112" t="s">
        <v>678</v>
      </c>
      <c r="F1112" t="s">
        <v>1583</v>
      </c>
      <c r="I1112" t="s">
        <v>1058</v>
      </c>
      <c r="M1112" t="s">
        <v>190</v>
      </c>
      <c r="N1112" t="s">
        <v>209</v>
      </c>
      <c r="Q1112" s="2" t="str">
        <f>IF($C1112="","",IFERROR(VLOOKUP($C1112,sources!$A$2:$N$200,2,FALSE()),"?"))</f>
        <v>Administrative</v>
      </c>
      <c r="R1112" s="2" t="str">
        <f t="shared" si="17"/>
        <v>Textual</v>
      </c>
      <c r="S1112" s="2" t="str">
        <f>IF($C1112="","",IFERROR(VLOOKUP($C1112,sources!$A$2:$N$200,9,FALSE()),"?"))</f>
        <v>US official</v>
      </c>
      <c r="T1112" t="s">
        <v>5692</v>
      </c>
      <c r="U1112">
        <f>IF(OR(B1112="",C1112="",T1112="Retracted",LEFT(D1112,8)="Negative"),0,IF(COUNTIFS($B$2:B1112,B1112,$C$2:C1112,C1112,$D$2:D1112,"&lt;&gt;Negative*",$T$2:T1112,"&lt;&gt;Retracted")=1,1,0))</f>
        <v>0</v>
      </c>
    </row>
    <row r="1113" spans="1:21" x14ac:dyDescent="0.2">
      <c r="A1113" t="s">
        <v>3042</v>
      </c>
      <c r="B1113" t="s">
        <v>686</v>
      </c>
      <c r="C1113" t="s">
        <v>1258</v>
      </c>
      <c r="D1113" t="s">
        <v>1613</v>
      </c>
      <c r="E1113" t="s">
        <v>687</v>
      </c>
      <c r="F1113" t="s">
        <v>1583</v>
      </c>
      <c r="I1113" t="s">
        <v>1058</v>
      </c>
      <c r="M1113" t="s">
        <v>190</v>
      </c>
      <c r="N1113" t="s">
        <v>209</v>
      </c>
      <c r="Q1113" s="2" t="str">
        <f>IF($C1113="","",IFERROR(VLOOKUP($C1113,sources!$A$2:$N$200,2,FALSE()),"?"))</f>
        <v>Administrative</v>
      </c>
      <c r="R1113" s="2" t="str">
        <f t="shared" si="17"/>
        <v>Textual</v>
      </c>
      <c r="S1113" s="2" t="str">
        <f>IF($C1113="","",IFERROR(VLOOKUP($C1113,sources!$A$2:$N$200,9,FALSE()),"?"))</f>
        <v>US official</v>
      </c>
      <c r="T1113" t="s">
        <v>5692</v>
      </c>
      <c r="U1113">
        <f>IF(OR(B1113="",C1113="",T1113="Retracted",LEFT(D1113,8)="Negative"),0,IF(COUNTIFS($B$2:B1113,B1113,$C$2:C1113,C1113,$D$2:D1113,"&lt;&gt;Negative*",$T$2:T1113,"&lt;&gt;Retracted")=1,1,0))</f>
        <v>0</v>
      </c>
    </row>
    <row r="1114" spans="1:21" x14ac:dyDescent="0.2">
      <c r="A1114" t="s">
        <v>3043</v>
      </c>
      <c r="B1114" t="s">
        <v>689</v>
      </c>
      <c r="C1114" t="s">
        <v>1258</v>
      </c>
      <c r="D1114" t="s">
        <v>1613</v>
      </c>
      <c r="E1114" t="s">
        <v>690</v>
      </c>
      <c r="F1114" t="s">
        <v>1583</v>
      </c>
      <c r="I1114" t="s">
        <v>1058</v>
      </c>
      <c r="M1114" t="s">
        <v>190</v>
      </c>
      <c r="N1114" t="s">
        <v>209</v>
      </c>
      <c r="Q1114" s="2" t="str">
        <f>IF($C1114="","",IFERROR(VLOOKUP($C1114,sources!$A$2:$N$200,2,FALSE()),"?"))</f>
        <v>Administrative</v>
      </c>
      <c r="R1114" s="2" t="str">
        <f t="shared" si="17"/>
        <v>Textual</v>
      </c>
      <c r="S1114" s="2" t="str">
        <f>IF($C1114="","",IFERROR(VLOOKUP($C1114,sources!$A$2:$N$200,9,FALSE()),"?"))</f>
        <v>US official</v>
      </c>
      <c r="T1114" t="s">
        <v>5692</v>
      </c>
      <c r="U1114">
        <f>IF(OR(B1114="",C1114="",T1114="Retracted",LEFT(D1114,8)="Negative"),0,IF(COUNTIFS($B$2:B1114,B1114,$C$2:C1114,C1114,$D$2:D1114,"&lt;&gt;Negative*",$T$2:T1114,"&lt;&gt;Retracted")=1,1,0))</f>
        <v>0</v>
      </c>
    </row>
    <row r="1115" spans="1:21" x14ac:dyDescent="0.2">
      <c r="A1115" t="s">
        <v>3044</v>
      </c>
      <c r="B1115" t="s">
        <v>693</v>
      </c>
      <c r="C1115" t="s">
        <v>1258</v>
      </c>
      <c r="D1115" t="s">
        <v>1613</v>
      </c>
      <c r="E1115" t="s">
        <v>694</v>
      </c>
      <c r="F1115" t="s">
        <v>1583</v>
      </c>
      <c r="I1115" t="s">
        <v>1058</v>
      </c>
      <c r="M1115" t="s">
        <v>190</v>
      </c>
      <c r="N1115" t="s">
        <v>209</v>
      </c>
      <c r="Q1115" s="2" t="str">
        <f>IF($C1115="","",IFERROR(VLOOKUP($C1115,sources!$A$2:$N$200,2,FALSE()),"?"))</f>
        <v>Administrative</v>
      </c>
      <c r="R1115" s="2" t="str">
        <f t="shared" si="17"/>
        <v>Textual</v>
      </c>
      <c r="S1115" s="2" t="str">
        <f>IF($C1115="","",IFERROR(VLOOKUP($C1115,sources!$A$2:$N$200,9,FALSE()),"?"))</f>
        <v>US official</v>
      </c>
      <c r="T1115" t="s">
        <v>5692</v>
      </c>
      <c r="U1115">
        <f>IF(OR(B1115="",C1115="",T1115="Retracted",LEFT(D1115,8)="Negative"),0,IF(COUNTIFS($B$2:B1115,B1115,$C$2:C1115,C1115,$D$2:D1115,"&lt;&gt;Negative*",$T$2:T1115,"&lt;&gt;Retracted")=1,1,0))</f>
        <v>0</v>
      </c>
    </row>
    <row r="1116" spans="1:21" x14ac:dyDescent="0.2">
      <c r="A1116" t="s">
        <v>3045</v>
      </c>
      <c r="B1116" t="s">
        <v>698</v>
      </c>
      <c r="C1116" t="s">
        <v>1258</v>
      </c>
      <c r="D1116" t="s">
        <v>1613</v>
      </c>
      <c r="E1116" t="s">
        <v>699</v>
      </c>
      <c r="F1116" t="s">
        <v>1583</v>
      </c>
      <c r="I1116" t="s">
        <v>1058</v>
      </c>
      <c r="M1116" t="s">
        <v>190</v>
      </c>
      <c r="N1116" t="s">
        <v>209</v>
      </c>
      <c r="Q1116" s="2" t="str">
        <f>IF($C1116="","",IFERROR(VLOOKUP($C1116,sources!$A$2:$N$200,2,FALSE()),"?"))</f>
        <v>Administrative</v>
      </c>
      <c r="R1116" s="2" t="str">
        <f t="shared" si="17"/>
        <v>Textual</v>
      </c>
      <c r="S1116" s="2" t="str">
        <f>IF($C1116="","",IFERROR(VLOOKUP($C1116,sources!$A$2:$N$200,9,FALSE()),"?"))</f>
        <v>US official</v>
      </c>
      <c r="T1116" t="s">
        <v>5692</v>
      </c>
      <c r="U1116">
        <f>IF(OR(B1116="",C1116="",T1116="Retracted",LEFT(D1116,8)="Negative"),0,IF(COUNTIFS($B$2:B1116,B1116,$C$2:C1116,C1116,$D$2:D1116,"&lt;&gt;Negative*",$T$2:T1116,"&lt;&gt;Retracted")=1,1,0))</f>
        <v>0</v>
      </c>
    </row>
    <row r="1117" spans="1:21" x14ac:dyDescent="0.2">
      <c r="A1117" t="s">
        <v>3046</v>
      </c>
      <c r="B1117" t="s">
        <v>704</v>
      </c>
      <c r="C1117" t="s">
        <v>1258</v>
      </c>
      <c r="D1117" t="s">
        <v>1613</v>
      </c>
      <c r="E1117" t="s">
        <v>705</v>
      </c>
      <c r="F1117" t="s">
        <v>1583</v>
      </c>
      <c r="I1117" t="s">
        <v>1058</v>
      </c>
      <c r="M1117" t="s">
        <v>190</v>
      </c>
      <c r="N1117" t="s">
        <v>209</v>
      </c>
      <c r="Q1117" s="2" t="str">
        <f>IF($C1117="","",IFERROR(VLOOKUP($C1117,sources!$A$2:$N$200,2,FALSE()),"?"))</f>
        <v>Administrative</v>
      </c>
      <c r="R1117" s="2" t="str">
        <f t="shared" si="17"/>
        <v>Textual</v>
      </c>
      <c r="S1117" s="2" t="str">
        <f>IF($C1117="","",IFERROR(VLOOKUP($C1117,sources!$A$2:$N$200,9,FALSE()),"?"))</f>
        <v>US official</v>
      </c>
      <c r="T1117" t="s">
        <v>5692</v>
      </c>
      <c r="U1117">
        <f>IF(OR(B1117="",C1117="",T1117="Retracted",LEFT(D1117,8)="Negative"),0,IF(COUNTIFS($B$2:B1117,B1117,$C$2:C1117,C1117,$D$2:D1117,"&lt;&gt;Negative*",$T$2:T1117,"&lt;&gt;Retracted")=1,1,0))</f>
        <v>0</v>
      </c>
    </row>
    <row r="1118" spans="1:21" x14ac:dyDescent="0.2">
      <c r="A1118" t="s">
        <v>3047</v>
      </c>
      <c r="B1118" t="s">
        <v>711</v>
      </c>
      <c r="C1118" t="s">
        <v>1258</v>
      </c>
      <c r="D1118" t="s">
        <v>1613</v>
      </c>
      <c r="E1118" t="s">
        <v>712</v>
      </c>
      <c r="F1118" t="s">
        <v>1583</v>
      </c>
      <c r="I1118" t="s">
        <v>1058</v>
      </c>
      <c r="M1118" t="s">
        <v>190</v>
      </c>
      <c r="N1118" t="s">
        <v>209</v>
      </c>
      <c r="Q1118" s="2" t="str">
        <f>IF($C1118="","",IFERROR(VLOOKUP($C1118,sources!$A$2:$N$200,2,FALSE()),"?"))</f>
        <v>Administrative</v>
      </c>
      <c r="R1118" s="2" t="str">
        <f t="shared" si="17"/>
        <v>Textual</v>
      </c>
      <c r="S1118" s="2" t="str">
        <f>IF($C1118="","",IFERROR(VLOOKUP($C1118,sources!$A$2:$N$200,9,FALSE()),"?"))</f>
        <v>US official</v>
      </c>
      <c r="T1118" t="s">
        <v>5692</v>
      </c>
      <c r="U1118">
        <f>IF(OR(B1118="",C1118="",T1118="Retracted",LEFT(D1118,8)="Negative"),0,IF(COUNTIFS($B$2:B1118,B1118,$C$2:C1118,C1118,$D$2:D1118,"&lt;&gt;Negative*",$T$2:T1118,"&lt;&gt;Retracted")=1,1,0))</f>
        <v>0</v>
      </c>
    </row>
    <row r="1119" spans="1:21" x14ac:dyDescent="0.2">
      <c r="A1119" t="s">
        <v>3048</v>
      </c>
      <c r="B1119" t="s">
        <v>714</v>
      </c>
      <c r="C1119" t="s">
        <v>1258</v>
      </c>
      <c r="D1119" t="s">
        <v>1613</v>
      </c>
      <c r="E1119" t="s">
        <v>715</v>
      </c>
      <c r="F1119" t="s">
        <v>1583</v>
      </c>
      <c r="I1119" t="s">
        <v>1058</v>
      </c>
      <c r="M1119" t="s">
        <v>190</v>
      </c>
      <c r="N1119" t="s">
        <v>209</v>
      </c>
      <c r="Q1119" s="2" t="str">
        <f>IF($C1119="","",IFERROR(VLOOKUP($C1119,sources!$A$2:$N$200,2,FALSE()),"?"))</f>
        <v>Administrative</v>
      </c>
      <c r="R1119" s="2" t="str">
        <f t="shared" si="17"/>
        <v>Textual</v>
      </c>
      <c r="S1119" s="2" t="str">
        <f>IF($C1119="","",IFERROR(VLOOKUP($C1119,sources!$A$2:$N$200,9,FALSE()),"?"))</f>
        <v>US official</v>
      </c>
      <c r="T1119" t="s">
        <v>5692</v>
      </c>
      <c r="U1119">
        <f>IF(OR(B1119="",C1119="",T1119="Retracted",LEFT(D1119,8)="Negative"),0,IF(COUNTIFS($B$2:B1119,B1119,$C$2:C1119,C1119,$D$2:D1119,"&lt;&gt;Negative*",$T$2:T1119,"&lt;&gt;Retracted")=1,1,0))</f>
        <v>0</v>
      </c>
    </row>
    <row r="1120" spans="1:21" x14ac:dyDescent="0.2">
      <c r="A1120" t="s">
        <v>3049</v>
      </c>
      <c r="B1120" t="s">
        <v>717</v>
      </c>
      <c r="C1120" t="s">
        <v>1258</v>
      </c>
      <c r="D1120" t="s">
        <v>1613</v>
      </c>
      <c r="E1120" t="s">
        <v>718</v>
      </c>
      <c r="F1120" t="s">
        <v>1583</v>
      </c>
      <c r="I1120" t="s">
        <v>1058</v>
      </c>
      <c r="M1120" t="s">
        <v>190</v>
      </c>
      <c r="N1120" t="s">
        <v>209</v>
      </c>
      <c r="Q1120" s="2" t="str">
        <f>IF($C1120="","",IFERROR(VLOOKUP($C1120,sources!$A$2:$N$200,2,FALSE()),"?"))</f>
        <v>Administrative</v>
      </c>
      <c r="R1120" s="2" t="str">
        <f t="shared" si="17"/>
        <v>Textual</v>
      </c>
      <c r="S1120" s="2" t="str">
        <f>IF($C1120="","",IFERROR(VLOOKUP($C1120,sources!$A$2:$N$200,9,FALSE()),"?"))</f>
        <v>US official</v>
      </c>
      <c r="T1120" t="s">
        <v>5692</v>
      </c>
      <c r="U1120">
        <f>IF(OR(B1120="",C1120="",T1120="Retracted",LEFT(D1120,8)="Negative"),0,IF(COUNTIFS($B$2:B1120,B1120,$C$2:C1120,C1120,$D$2:D1120,"&lt;&gt;Negative*",$T$2:T1120,"&lt;&gt;Retracted")=1,1,0))</f>
        <v>0</v>
      </c>
    </row>
    <row r="1121" spans="1:21" x14ac:dyDescent="0.2">
      <c r="A1121" t="s">
        <v>3050</v>
      </c>
      <c r="B1121" t="s">
        <v>720</v>
      </c>
      <c r="C1121" t="s">
        <v>1258</v>
      </c>
      <c r="D1121" t="s">
        <v>1613</v>
      </c>
      <c r="E1121" t="s">
        <v>721</v>
      </c>
      <c r="F1121" t="s">
        <v>1583</v>
      </c>
      <c r="I1121" t="s">
        <v>1058</v>
      </c>
      <c r="M1121" t="s">
        <v>190</v>
      </c>
      <c r="N1121" t="s">
        <v>209</v>
      </c>
      <c r="Q1121" s="2" t="str">
        <f>IF($C1121="","",IFERROR(VLOOKUP($C1121,sources!$A$2:$N$200,2,FALSE()),"?"))</f>
        <v>Administrative</v>
      </c>
      <c r="R1121" s="2" t="str">
        <f t="shared" si="17"/>
        <v>Textual</v>
      </c>
      <c r="S1121" s="2" t="str">
        <f>IF($C1121="","",IFERROR(VLOOKUP($C1121,sources!$A$2:$N$200,9,FALSE()),"?"))</f>
        <v>US official</v>
      </c>
      <c r="T1121" t="s">
        <v>5692</v>
      </c>
      <c r="U1121">
        <f>IF(OR(B1121="",C1121="",T1121="Retracted",LEFT(D1121,8)="Negative"),0,IF(COUNTIFS($B$2:B1121,B1121,$C$2:C1121,C1121,$D$2:D1121,"&lt;&gt;Negative*",$T$2:T1121,"&lt;&gt;Retracted")=1,1,0))</f>
        <v>0</v>
      </c>
    </row>
    <row r="1122" spans="1:21" x14ac:dyDescent="0.2">
      <c r="A1122" t="s">
        <v>3051</v>
      </c>
      <c r="B1122" t="s">
        <v>723</v>
      </c>
      <c r="C1122" t="s">
        <v>1258</v>
      </c>
      <c r="D1122" t="s">
        <v>1613</v>
      </c>
      <c r="E1122" t="s">
        <v>724</v>
      </c>
      <c r="F1122" t="s">
        <v>1583</v>
      </c>
      <c r="I1122" t="s">
        <v>1058</v>
      </c>
      <c r="M1122" t="s">
        <v>190</v>
      </c>
      <c r="N1122" t="s">
        <v>209</v>
      </c>
      <c r="Q1122" s="2" t="str">
        <f>IF($C1122="","",IFERROR(VLOOKUP($C1122,sources!$A$2:$N$200,2,FALSE()),"?"))</f>
        <v>Administrative</v>
      </c>
      <c r="R1122" s="2" t="str">
        <f t="shared" si="17"/>
        <v>Textual</v>
      </c>
      <c r="S1122" s="2" t="str">
        <f>IF($C1122="","",IFERROR(VLOOKUP($C1122,sources!$A$2:$N$200,9,FALSE()),"?"))</f>
        <v>US official</v>
      </c>
      <c r="T1122" t="s">
        <v>5692</v>
      </c>
      <c r="U1122">
        <f>IF(OR(B1122="",C1122="",T1122="Retracted",LEFT(D1122,8)="Negative"),0,IF(COUNTIFS($B$2:B1122,B1122,$C$2:C1122,C1122,$D$2:D1122,"&lt;&gt;Negative*",$T$2:T1122,"&lt;&gt;Retracted")=1,1,0))</f>
        <v>0</v>
      </c>
    </row>
    <row r="1123" spans="1:21" x14ac:dyDescent="0.2">
      <c r="A1123" t="s">
        <v>3052</v>
      </c>
      <c r="B1123" t="s">
        <v>727</v>
      </c>
      <c r="C1123" t="s">
        <v>1258</v>
      </c>
      <c r="D1123" t="s">
        <v>1613</v>
      </c>
      <c r="E1123" t="s">
        <v>728</v>
      </c>
      <c r="F1123" t="s">
        <v>1583</v>
      </c>
      <c r="I1123" t="s">
        <v>1058</v>
      </c>
      <c r="M1123" t="s">
        <v>190</v>
      </c>
      <c r="N1123" t="s">
        <v>209</v>
      </c>
      <c r="Q1123" s="2" t="str">
        <f>IF($C1123="","",IFERROR(VLOOKUP($C1123,sources!$A$2:$N$200,2,FALSE()),"?"))</f>
        <v>Administrative</v>
      </c>
      <c r="R1123" s="2" t="str">
        <f t="shared" si="17"/>
        <v>Textual</v>
      </c>
      <c r="S1123" s="2" t="str">
        <f>IF($C1123="","",IFERROR(VLOOKUP($C1123,sources!$A$2:$N$200,9,FALSE()),"?"))</f>
        <v>US official</v>
      </c>
      <c r="T1123" t="s">
        <v>5692</v>
      </c>
      <c r="U1123">
        <f>IF(OR(B1123="",C1123="",T1123="Retracted",LEFT(D1123,8)="Negative"),0,IF(COUNTIFS($B$2:B1123,B1123,$C$2:C1123,C1123,$D$2:D1123,"&lt;&gt;Negative*",$T$2:T1123,"&lt;&gt;Retracted")=1,1,0))</f>
        <v>0</v>
      </c>
    </row>
    <row r="1124" spans="1:21" x14ac:dyDescent="0.2">
      <c r="A1124" t="s">
        <v>3053</v>
      </c>
      <c r="B1124" t="s">
        <v>746</v>
      </c>
      <c r="C1124" t="s">
        <v>1258</v>
      </c>
      <c r="D1124" t="s">
        <v>1613</v>
      </c>
      <c r="E1124" t="s">
        <v>747</v>
      </c>
      <c r="F1124" t="s">
        <v>1583</v>
      </c>
      <c r="I1124" t="s">
        <v>1058</v>
      </c>
      <c r="M1124" t="s">
        <v>190</v>
      </c>
      <c r="N1124" t="s">
        <v>209</v>
      </c>
      <c r="Q1124" s="2" t="str">
        <f>IF($C1124="","",IFERROR(VLOOKUP($C1124,sources!$A$2:$N$200,2,FALSE()),"?"))</f>
        <v>Administrative</v>
      </c>
      <c r="R1124" s="2" t="str">
        <f t="shared" si="17"/>
        <v>Textual</v>
      </c>
      <c r="S1124" s="2" t="str">
        <f>IF($C1124="","",IFERROR(VLOOKUP($C1124,sources!$A$2:$N$200,9,FALSE()),"?"))</f>
        <v>US official</v>
      </c>
      <c r="T1124" t="s">
        <v>5692</v>
      </c>
      <c r="U1124">
        <f>IF(OR(B1124="",C1124="",T1124="Retracted",LEFT(D1124,8)="Negative"),0,IF(COUNTIFS($B$2:B1124,B1124,$C$2:C1124,C1124,$D$2:D1124,"&lt;&gt;Negative*",$T$2:T1124,"&lt;&gt;Retracted")=1,1,0))</f>
        <v>0</v>
      </c>
    </row>
    <row r="1125" spans="1:21" x14ac:dyDescent="0.2">
      <c r="A1125" t="s">
        <v>3054</v>
      </c>
      <c r="B1125" t="s">
        <v>758</v>
      </c>
      <c r="C1125" t="s">
        <v>1258</v>
      </c>
      <c r="D1125" t="s">
        <v>1613</v>
      </c>
      <c r="E1125" t="s">
        <v>759</v>
      </c>
      <c r="F1125" t="s">
        <v>1583</v>
      </c>
      <c r="I1125" t="s">
        <v>1058</v>
      </c>
      <c r="M1125" t="s">
        <v>190</v>
      </c>
      <c r="N1125" t="s">
        <v>209</v>
      </c>
      <c r="Q1125" s="2" t="str">
        <f>IF($C1125="","",IFERROR(VLOOKUP($C1125,sources!$A$2:$N$200,2,FALSE()),"?"))</f>
        <v>Administrative</v>
      </c>
      <c r="R1125" s="2" t="str">
        <f t="shared" si="17"/>
        <v>Textual</v>
      </c>
      <c r="S1125" s="2" t="str">
        <f>IF($C1125="","",IFERROR(VLOOKUP($C1125,sources!$A$2:$N$200,9,FALSE()),"?"))</f>
        <v>US official</v>
      </c>
      <c r="T1125" t="s">
        <v>5692</v>
      </c>
      <c r="U1125">
        <f>IF(OR(B1125="",C1125="",T1125="Retracted",LEFT(D1125,8)="Negative"),0,IF(COUNTIFS($B$2:B1125,B1125,$C$2:C1125,C1125,$D$2:D1125,"&lt;&gt;Negative*",$T$2:T1125,"&lt;&gt;Retracted")=1,1,0))</f>
        <v>0</v>
      </c>
    </row>
    <row r="1126" spans="1:21" x14ac:dyDescent="0.2">
      <c r="A1126" t="s">
        <v>3055</v>
      </c>
      <c r="B1126" t="s">
        <v>764</v>
      </c>
      <c r="C1126" t="s">
        <v>1258</v>
      </c>
      <c r="D1126" t="s">
        <v>1613</v>
      </c>
      <c r="E1126" t="s">
        <v>765</v>
      </c>
      <c r="F1126" t="s">
        <v>1583</v>
      </c>
      <c r="I1126" t="s">
        <v>1058</v>
      </c>
      <c r="M1126" t="s">
        <v>190</v>
      </c>
      <c r="N1126" t="s">
        <v>209</v>
      </c>
      <c r="Q1126" s="2" t="str">
        <f>IF($C1126="","",IFERROR(VLOOKUP($C1126,sources!$A$2:$N$200,2,FALSE()),"?"))</f>
        <v>Administrative</v>
      </c>
      <c r="R1126" s="2" t="str">
        <f t="shared" si="17"/>
        <v>Textual</v>
      </c>
      <c r="S1126" s="2" t="str">
        <f>IF($C1126="","",IFERROR(VLOOKUP($C1126,sources!$A$2:$N$200,9,FALSE()),"?"))</f>
        <v>US official</v>
      </c>
      <c r="T1126" t="s">
        <v>5692</v>
      </c>
      <c r="U1126">
        <f>IF(OR(B1126="",C1126="",T1126="Retracted",LEFT(D1126,8)="Negative"),0,IF(COUNTIFS($B$2:B1126,B1126,$C$2:C1126,C1126,$D$2:D1126,"&lt;&gt;Negative*",$T$2:T1126,"&lt;&gt;Retracted")=1,1,0))</f>
        <v>0</v>
      </c>
    </row>
    <row r="1127" spans="1:21" x14ac:dyDescent="0.2">
      <c r="A1127" t="s">
        <v>3056</v>
      </c>
      <c r="B1127" t="s">
        <v>767</v>
      </c>
      <c r="C1127" t="s">
        <v>1258</v>
      </c>
      <c r="D1127" t="s">
        <v>1613</v>
      </c>
      <c r="E1127" t="s">
        <v>768</v>
      </c>
      <c r="F1127" t="s">
        <v>1583</v>
      </c>
      <c r="I1127" t="s">
        <v>1058</v>
      </c>
      <c r="M1127" t="s">
        <v>190</v>
      </c>
      <c r="N1127" t="s">
        <v>209</v>
      </c>
      <c r="Q1127" s="2" t="str">
        <f>IF($C1127="","",IFERROR(VLOOKUP($C1127,sources!$A$2:$N$200,2,FALSE()),"?"))</f>
        <v>Administrative</v>
      </c>
      <c r="R1127" s="2" t="str">
        <f t="shared" si="17"/>
        <v>Textual</v>
      </c>
      <c r="S1127" s="2" t="str">
        <f>IF($C1127="","",IFERROR(VLOOKUP($C1127,sources!$A$2:$N$200,9,FALSE()),"?"))</f>
        <v>US official</v>
      </c>
      <c r="T1127" t="s">
        <v>5692</v>
      </c>
      <c r="U1127">
        <f>IF(OR(B1127="",C1127="",T1127="Retracted",LEFT(D1127,8)="Negative"),0,IF(COUNTIFS($B$2:B1127,B1127,$C$2:C1127,C1127,$D$2:D1127,"&lt;&gt;Negative*",$T$2:T1127,"&lt;&gt;Retracted")=1,1,0))</f>
        <v>0</v>
      </c>
    </row>
    <row r="1128" spans="1:21" x14ac:dyDescent="0.2">
      <c r="A1128" t="s">
        <v>3057</v>
      </c>
      <c r="B1128" t="s">
        <v>773</v>
      </c>
      <c r="C1128" t="s">
        <v>1258</v>
      </c>
      <c r="D1128" t="s">
        <v>1613</v>
      </c>
      <c r="E1128" t="s">
        <v>774</v>
      </c>
      <c r="F1128" t="s">
        <v>1583</v>
      </c>
      <c r="I1128" t="s">
        <v>1058</v>
      </c>
      <c r="M1128" t="s">
        <v>190</v>
      </c>
      <c r="N1128" t="s">
        <v>209</v>
      </c>
      <c r="Q1128" s="2" t="str">
        <f>IF($C1128="","",IFERROR(VLOOKUP($C1128,sources!$A$2:$N$200,2,FALSE()),"?"))</f>
        <v>Administrative</v>
      </c>
      <c r="R1128" s="2" t="str">
        <f t="shared" si="17"/>
        <v>Textual</v>
      </c>
      <c r="S1128" s="2" t="str">
        <f>IF($C1128="","",IFERROR(VLOOKUP($C1128,sources!$A$2:$N$200,9,FALSE()),"?"))</f>
        <v>US official</v>
      </c>
      <c r="T1128" t="s">
        <v>5692</v>
      </c>
      <c r="U1128">
        <f>IF(OR(B1128="",C1128="",T1128="Retracted",LEFT(D1128,8)="Negative"),0,IF(COUNTIFS($B$2:B1128,B1128,$C$2:C1128,C1128,$D$2:D1128,"&lt;&gt;Negative*",$T$2:T1128,"&lt;&gt;Retracted")=1,1,0))</f>
        <v>0</v>
      </c>
    </row>
    <row r="1129" spans="1:21" x14ac:dyDescent="0.2">
      <c r="A1129" t="s">
        <v>3058</v>
      </c>
      <c r="B1129" t="s">
        <v>776</v>
      </c>
      <c r="C1129" t="s">
        <v>1328</v>
      </c>
      <c r="D1129" t="s">
        <v>1572</v>
      </c>
      <c r="E1129" t="s">
        <v>778</v>
      </c>
      <c r="F1129" t="s">
        <v>2423</v>
      </c>
      <c r="G1129">
        <v>8.96096</v>
      </c>
      <c r="H1129">
        <v>-79.540520000000001</v>
      </c>
      <c r="I1129" t="s">
        <v>1573</v>
      </c>
      <c r="J1129">
        <v>200</v>
      </c>
      <c r="K1129">
        <v>1890</v>
      </c>
      <c r="L1129">
        <v>1890</v>
      </c>
      <c r="M1129" t="s">
        <v>203</v>
      </c>
      <c r="N1129" t="s">
        <v>209</v>
      </c>
      <c r="Q1129" s="2" t="str">
        <f>IF($C1129="","",IFERROR(VLOOKUP($C1129,sources!$A$2:$N$200,2,FALSE()),"?"))</f>
        <v>Map</v>
      </c>
      <c r="R1129" s="2" t="str">
        <f t="shared" si="17"/>
        <v>Map</v>
      </c>
      <c r="S1129" s="2" t="str">
        <f>IF($C1129="","",IFERROR(VLOOKUP($C1129,sources!$A$2:$N$200,9,FALSE()),"?"))</f>
        <v>French company</v>
      </c>
      <c r="T1129" t="s">
        <v>5692</v>
      </c>
      <c r="U1129">
        <f>IF(OR(B1129="",C1129="",T1129="Retracted",LEFT(D1129,8)="Negative"),0,IF(COUNTIFS($B$2:B1129,B1129,$C$2:C1129,C1129,$D$2:D1129,"&lt;&gt;Negative*",$T$2:T1129,"&lt;&gt;Retracted")=1,1,0))</f>
        <v>1</v>
      </c>
    </row>
    <row r="1130" spans="1:21" x14ac:dyDescent="0.2">
      <c r="A1130" t="s">
        <v>3059</v>
      </c>
      <c r="B1130" t="s">
        <v>783</v>
      </c>
      <c r="C1130" t="s">
        <v>1340</v>
      </c>
      <c r="D1130" t="s">
        <v>1572</v>
      </c>
      <c r="E1130" t="s">
        <v>784</v>
      </c>
      <c r="F1130" t="s">
        <v>1566</v>
      </c>
      <c r="G1130">
        <v>9.1161999999999992</v>
      </c>
      <c r="H1130">
        <v>-79.7273</v>
      </c>
      <c r="I1130" t="s">
        <v>1573</v>
      </c>
      <c r="J1130">
        <v>300</v>
      </c>
      <c r="K1130">
        <v>1862</v>
      </c>
      <c r="L1130">
        <v>1862</v>
      </c>
      <c r="M1130" t="s">
        <v>203</v>
      </c>
      <c r="N1130" t="s">
        <v>209</v>
      </c>
      <c r="Q1130" s="2" t="str">
        <f>IF($C1130="","",IFERROR(VLOOKUP($C1130,sources!$A$2:$N$200,2,FALSE()),"?"))</f>
        <v>Map</v>
      </c>
      <c r="R1130" s="2" t="str">
        <f t="shared" si="17"/>
        <v>Map</v>
      </c>
      <c r="S1130" s="2" t="str">
        <f>IF($C1130="","",IFERROR(VLOOKUP($C1130,sources!$A$2:$N$200,9,FALSE()),"?"))</f>
        <v>PRR company</v>
      </c>
      <c r="T1130" t="s">
        <v>5692</v>
      </c>
      <c r="U1130">
        <f>IF(OR(B1130="",C1130="",T1130="Retracted",LEFT(D1130,8)="Negative"),0,IF(COUNTIFS($B$2:B1130,B1130,$C$2:C1130,C1130,$D$2:D1130,"&lt;&gt;Negative*",$T$2:T1130,"&lt;&gt;Retracted")=1,1,0))</f>
        <v>1</v>
      </c>
    </row>
    <row r="1131" spans="1:21" x14ac:dyDescent="0.2">
      <c r="A1131" t="s">
        <v>3060</v>
      </c>
      <c r="B1131" t="s">
        <v>786</v>
      </c>
      <c r="C1131" t="s">
        <v>1356</v>
      </c>
      <c r="D1131" t="s">
        <v>1572</v>
      </c>
      <c r="E1131" t="s">
        <v>787</v>
      </c>
      <c r="F1131" t="s">
        <v>1583</v>
      </c>
      <c r="G1131">
        <v>9.3499400000000001</v>
      </c>
      <c r="H1131">
        <v>-79.891630000000006</v>
      </c>
      <c r="I1131" t="s">
        <v>1573</v>
      </c>
      <c r="J1131">
        <v>300</v>
      </c>
      <c r="K1131">
        <v>1947</v>
      </c>
      <c r="L1131">
        <v>1947</v>
      </c>
      <c r="M1131" t="s">
        <v>203</v>
      </c>
      <c r="N1131" t="s">
        <v>209</v>
      </c>
      <c r="Q1131" s="2" t="str">
        <f>IF($C1131="","",IFERROR(VLOOKUP($C1131,sources!$A$2:$N$200,2,FALSE()),"?"))</f>
        <v>Map</v>
      </c>
      <c r="R1131" s="2" t="str">
        <f t="shared" si="17"/>
        <v>Map</v>
      </c>
      <c r="S1131" s="2" t="str">
        <f>IF($C1131="","",IFERROR(VLOOKUP($C1131,sources!$A$2:$N$200,9,FALSE()),"?"))</f>
        <v>US official</v>
      </c>
      <c r="T1131" t="s">
        <v>5692</v>
      </c>
      <c r="U1131">
        <f>IF(OR(B1131="",C1131="",T1131="Retracted",LEFT(D1131,8)="Negative"),0,IF(COUNTIFS($B$2:B1131,B1131,$C$2:C1131,C1131,$D$2:D1131,"&lt;&gt;Negative*",$T$2:T1131,"&lt;&gt;Retracted")=1,1,0))</f>
        <v>1</v>
      </c>
    </row>
    <row r="1132" spans="1:21" x14ac:dyDescent="0.2">
      <c r="A1132" t="s">
        <v>3061</v>
      </c>
      <c r="B1132" t="s">
        <v>791</v>
      </c>
      <c r="C1132" t="s">
        <v>1311</v>
      </c>
      <c r="D1132" t="s">
        <v>1572</v>
      </c>
      <c r="E1132" t="s">
        <v>793</v>
      </c>
      <c r="F1132" t="s">
        <v>1583</v>
      </c>
      <c r="G1132">
        <v>9.0477000000000007</v>
      </c>
      <c r="H1132">
        <v>-79.654799999999994</v>
      </c>
      <c r="I1132" t="s">
        <v>1573</v>
      </c>
      <c r="J1132">
        <v>150</v>
      </c>
      <c r="K1132">
        <v>1910</v>
      </c>
      <c r="L1132">
        <v>1910</v>
      </c>
      <c r="M1132" t="s">
        <v>203</v>
      </c>
      <c r="N1132" t="s">
        <v>209</v>
      </c>
      <c r="Q1132" s="2" t="str">
        <f>IF($C1132="","",IFERROR(VLOOKUP($C1132,sources!$A$2:$N$200,2,FALSE()),"?"))</f>
        <v>Map</v>
      </c>
      <c r="R1132" s="2" t="str">
        <f t="shared" si="17"/>
        <v>Map</v>
      </c>
      <c r="S1132" s="2" t="str">
        <f>IF($C1132="","",IFERROR(VLOOKUP($C1132,sources!$A$2:$N$200,9,FALSE()),"?"))</f>
        <v>US official</v>
      </c>
      <c r="T1132" t="s">
        <v>5692</v>
      </c>
      <c r="U1132">
        <f>IF(OR(B1132="",C1132="",T1132="Retracted",LEFT(D1132,8)="Negative"),0,IF(COUNTIFS($B$2:B1132,B1132,$C$2:C1132,C1132,$D$2:D1132,"&lt;&gt;Negative*",$T$2:T1132,"&lt;&gt;Retracted")=1,1,0))</f>
        <v>1</v>
      </c>
    </row>
    <row r="1133" spans="1:21" x14ac:dyDescent="0.2">
      <c r="A1133" t="s">
        <v>3062</v>
      </c>
      <c r="B1133" t="s">
        <v>796</v>
      </c>
      <c r="C1133" t="s">
        <v>1335</v>
      </c>
      <c r="D1133" t="s">
        <v>1572</v>
      </c>
      <c r="E1133" t="s">
        <v>3063</v>
      </c>
      <c r="F1133" t="s">
        <v>1583</v>
      </c>
      <c r="G1133">
        <v>9.0443940000000005</v>
      </c>
      <c r="H1133">
        <v>-79.654788999999994</v>
      </c>
      <c r="I1133" t="s">
        <v>1573</v>
      </c>
      <c r="J1133">
        <v>200</v>
      </c>
      <c r="K1133">
        <v>1905</v>
      </c>
      <c r="L1133">
        <v>1906</v>
      </c>
      <c r="M1133" t="s">
        <v>203</v>
      </c>
      <c r="N1133" t="s">
        <v>209</v>
      </c>
      <c r="Q1133" s="2" t="str">
        <f>IF($C1133="","",IFERROR(VLOOKUP($C1133,sources!$A$2:$N$200,2,FALSE()),"?"))</f>
        <v>Map</v>
      </c>
      <c r="R1133" s="2" t="str">
        <f t="shared" si="17"/>
        <v>Map</v>
      </c>
      <c r="S1133" s="2" t="str">
        <f>IF($C1133="","",IFERROR(VLOOKUP($C1133,sources!$A$2:$N$200,9,FALSE()),"?"))</f>
        <v>US official</v>
      </c>
      <c r="T1133" t="s">
        <v>5692</v>
      </c>
      <c r="U1133">
        <f>IF(OR(B1133="",C1133="",T1133="Retracted",LEFT(D1133,8)="Negative"),0,IF(COUNTIFS($B$2:B1133,B1133,$C$2:C1133,C1133,$D$2:D1133,"&lt;&gt;Negative*",$T$2:T1133,"&lt;&gt;Retracted")=1,1,0))</f>
        <v>1</v>
      </c>
    </row>
    <row r="1134" spans="1:21" x14ac:dyDescent="0.2">
      <c r="A1134" t="s">
        <v>3064</v>
      </c>
      <c r="B1134" t="s">
        <v>801</v>
      </c>
      <c r="C1134" t="s">
        <v>1335</v>
      </c>
      <c r="D1134" t="s">
        <v>1575</v>
      </c>
      <c r="E1134" t="s">
        <v>3065</v>
      </c>
      <c r="F1134" t="s">
        <v>1583</v>
      </c>
      <c r="K1134">
        <v>1905</v>
      </c>
      <c r="L1134">
        <v>1906</v>
      </c>
      <c r="M1134" t="s">
        <v>203</v>
      </c>
      <c r="N1134" t="s">
        <v>209</v>
      </c>
      <c r="Q1134" s="2" t="str">
        <f>IF($C1134="","",IFERROR(VLOOKUP($C1134,sources!$A$2:$N$200,2,FALSE()),"?"))</f>
        <v>Map</v>
      </c>
      <c r="R1134" s="2" t="str">
        <f t="shared" si="17"/>
        <v>Map</v>
      </c>
      <c r="S1134" s="2" t="str">
        <f>IF($C1134="","",IFERROR(VLOOKUP($C1134,sources!$A$2:$N$200,9,FALSE()),"?"))</f>
        <v>US official</v>
      </c>
      <c r="T1134" t="s">
        <v>5692</v>
      </c>
      <c r="U1134">
        <f>IF(OR(B1134="",C1134="",T1134="Retracted",LEFT(D1134,8)="Negative"),0,IF(COUNTIFS($B$2:B1134,B1134,$C$2:C1134,C1134,$D$2:D1134,"&lt;&gt;Negative*",$T$2:T1134,"&lt;&gt;Retracted")=1,1,0))</f>
        <v>1</v>
      </c>
    </row>
    <row r="1135" spans="1:21" x14ac:dyDescent="0.2">
      <c r="A1135" t="s">
        <v>3066</v>
      </c>
      <c r="B1135" t="s">
        <v>805</v>
      </c>
      <c r="C1135" t="s">
        <v>1335</v>
      </c>
      <c r="D1135" t="s">
        <v>1575</v>
      </c>
      <c r="E1135" t="s">
        <v>3067</v>
      </c>
      <c r="F1135" t="s">
        <v>1583</v>
      </c>
      <c r="K1135">
        <v>1905</v>
      </c>
      <c r="L1135">
        <v>1906</v>
      </c>
      <c r="M1135" t="s">
        <v>203</v>
      </c>
      <c r="N1135" t="s">
        <v>209</v>
      </c>
      <c r="Q1135" s="2" t="str">
        <f>IF($C1135="","",IFERROR(VLOOKUP($C1135,sources!$A$2:$N$200,2,FALSE()),"?"))</f>
        <v>Map</v>
      </c>
      <c r="R1135" s="2" t="str">
        <f t="shared" si="17"/>
        <v>Map</v>
      </c>
      <c r="S1135" s="2" t="str">
        <f>IF($C1135="","",IFERROR(VLOOKUP($C1135,sources!$A$2:$N$200,9,FALSE()),"?"))</f>
        <v>US official</v>
      </c>
      <c r="T1135" t="s">
        <v>5692</v>
      </c>
      <c r="U1135">
        <f>IF(OR(B1135="",C1135="",T1135="Retracted",LEFT(D1135,8)="Negative"),0,IF(COUNTIFS($B$2:B1135,B1135,$C$2:C1135,C1135,$D$2:D1135,"&lt;&gt;Negative*",$T$2:T1135,"&lt;&gt;Retracted")=1,1,0))</f>
        <v>1</v>
      </c>
    </row>
    <row r="1136" spans="1:21" x14ac:dyDescent="0.2">
      <c r="A1136" t="s">
        <v>3068</v>
      </c>
      <c r="B1136" t="s">
        <v>808</v>
      </c>
      <c r="C1136" t="s">
        <v>1335</v>
      </c>
      <c r="D1136" t="s">
        <v>1575</v>
      </c>
      <c r="E1136" t="s">
        <v>3069</v>
      </c>
      <c r="F1136" t="s">
        <v>1583</v>
      </c>
      <c r="K1136">
        <v>1905</v>
      </c>
      <c r="L1136">
        <v>1906</v>
      </c>
      <c r="M1136" t="s">
        <v>203</v>
      </c>
      <c r="N1136" t="s">
        <v>209</v>
      </c>
      <c r="Q1136" s="2" t="str">
        <f>IF($C1136="","",IFERROR(VLOOKUP($C1136,sources!$A$2:$N$200,2,FALSE()),"?"))</f>
        <v>Map</v>
      </c>
      <c r="R1136" s="2" t="str">
        <f t="shared" si="17"/>
        <v>Map</v>
      </c>
      <c r="S1136" s="2" t="str">
        <f>IF($C1136="","",IFERROR(VLOOKUP($C1136,sources!$A$2:$N$200,9,FALSE()),"?"))</f>
        <v>US official</v>
      </c>
      <c r="T1136" t="s">
        <v>5692</v>
      </c>
      <c r="U1136">
        <f>IF(OR(B1136="",C1136="",T1136="Retracted",LEFT(D1136,8)="Negative"),0,IF(COUNTIFS($B$2:B1136,B1136,$C$2:C1136,C1136,$D$2:D1136,"&lt;&gt;Negative*",$T$2:T1136,"&lt;&gt;Retracted")=1,1,0))</f>
        <v>1</v>
      </c>
    </row>
    <row r="1137" spans="1:21" x14ac:dyDescent="0.2">
      <c r="A1137" t="s">
        <v>3070</v>
      </c>
      <c r="B1137" t="s">
        <v>811</v>
      </c>
      <c r="C1137" t="s">
        <v>1168</v>
      </c>
      <c r="D1137" t="s">
        <v>1572</v>
      </c>
      <c r="E1137" t="s">
        <v>812</v>
      </c>
      <c r="F1137" t="s">
        <v>1583</v>
      </c>
      <c r="G1137">
        <v>9.04955</v>
      </c>
      <c r="H1137">
        <v>-79.676469999999995</v>
      </c>
      <c r="I1137" t="s">
        <v>1573</v>
      </c>
      <c r="J1137">
        <v>350</v>
      </c>
      <c r="K1137">
        <v>1911</v>
      </c>
      <c r="L1137">
        <v>1911</v>
      </c>
      <c r="M1137" t="s">
        <v>203</v>
      </c>
      <c r="N1137" t="s">
        <v>209</v>
      </c>
      <c r="Q1137" s="2" t="str">
        <f>IF($C1137="","",IFERROR(VLOOKUP($C1137,sources!$A$2:$N$200,2,FALSE()),"?"))</f>
        <v>Map</v>
      </c>
      <c r="R1137" s="2" t="str">
        <f t="shared" si="17"/>
        <v>Map</v>
      </c>
      <c r="S1137" s="2" t="str">
        <f>IF($C1137="","",IFERROR(VLOOKUP($C1137,sources!$A$2:$N$200,9,FALSE()),"?"))</f>
        <v>US official</v>
      </c>
      <c r="T1137" t="s">
        <v>5692</v>
      </c>
      <c r="U1137">
        <f>IF(OR(B1137="",C1137="",T1137="Retracted",LEFT(D1137,8)="Negative"),0,IF(COUNTIFS($B$2:B1137,B1137,$C$2:C1137,C1137,$D$2:D1137,"&lt;&gt;Negative*",$T$2:T1137,"&lt;&gt;Retracted")=1,1,0))</f>
        <v>1</v>
      </c>
    </row>
    <row r="1138" spans="1:21" x14ac:dyDescent="0.2">
      <c r="A1138" t="s">
        <v>3071</v>
      </c>
      <c r="B1138" t="s">
        <v>816</v>
      </c>
      <c r="C1138" t="s">
        <v>1168</v>
      </c>
      <c r="D1138" t="s">
        <v>1572</v>
      </c>
      <c r="E1138" t="s">
        <v>3072</v>
      </c>
      <c r="F1138" t="s">
        <v>1566</v>
      </c>
      <c r="G1138">
        <v>9.0400500000000008</v>
      </c>
      <c r="H1138">
        <v>-79.662149999999997</v>
      </c>
      <c r="I1138" t="s">
        <v>1573</v>
      </c>
      <c r="J1138">
        <v>350</v>
      </c>
      <c r="K1138">
        <v>1911</v>
      </c>
      <c r="L1138">
        <v>1911</v>
      </c>
      <c r="M1138" t="s">
        <v>203</v>
      </c>
      <c r="N1138" t="s">
        <v>209</v>
      </c>
      <c r="Q1138" s="2" t="str">
        <f>IF($C1138="","",IFERROR(VLOOKUP($C1138,sources!$A$2:$N$200,2,FALSE()),"?"))</f>
        <v>Map</v>
      </c>
      <c r="R1138" s="2" t="str">
        <f t="shared" si="17"/>
        <v>Map</v>
      </c>
      <c r="S1138" s="2" t="str">
        <f>IF($C1138="","",IFERROR(VLOOKUP($C1138,sources!$A$2:$N$200,9,FALSE()),"?"))</f>
        <v>US official</v>
      </c>
      <c r="T1138" t="s">
        <v>5692</v>
      </c>
      <c r="U1138">
        <f>IF(OR(B1138="",C1138="",T1138="Retracted",LEFT(D1138,8)="Negative"),0,IF(COUNTIFS($B$2:B1138,B1138,$C$2:C1138,C1138,$D$2:D1138,"&lt;&gt;Negative*",$T$2:T1138,"&lt;&gt;Retracted")=1,1,0))</f>
        <v>1</v>
      </c>
    </row>
    <row r="1139" spans="1:21" x14ac:dyDescent="0.2">
      <c r="A1139" t="s">
        <v>3073</v>
      </c>
      <c r="B1139" t="s">
        <v>819</v>
      </c>
      <c r="C1139" t="s">
        <v>1356</v>
      </c>
      <c r="D1139" t="s">
        <v>1572</v>
      </c>
      <c r="E1139" t="s">
        <v>820</v>
      </c>
      <c r="F1139" t="s">
        <v>1566</v>
      </c>
      <c r="G1139">
        <v>8.9781720000000007</v>
      </c>
      <c r="H1139">
        <v>-79.535677000000007</v>
      </c>
      <c r="I1139" t="s">
        <v>1573</v>
      </c>
      <c r="J1139">
        <v>300</v>
      </c>
      <c r="K1139">
        <v>1947</v>
      </c>
      <c r="L1139">
        <v>1947</v>
      </c>
      <c r="M1139" t="s">
        <v>203</v>
      </c>
      <c r="N1139" t="s">
        <v>209</v>
      </c>
      <c r="Q1139" s="2" t="str">
        <f>IF($C1139="","",IFERROR(VLOOKUP($C1139,sources!$A$2:$N$200,2,FALSE()),"?"))</f>
        <v>Map</v>
      </c>
      <c r="R1139" s="2" t="str">
        <f t="shared" si="17"/>
        <v>Map</v>
      </c>
      <c r="S1139" s="2" t="str">
        <f>IF($C1139="","",IFERROR(VLOOKUP($C1139,sources!$A$2:$N$200,9,FALSE()),"?"))</f>
        <v>US official</v>
      </c>
      <c r="T1139" t="s">
        <v>5692</v>
      </c>
      <c r="U1139">
        <f>IF(OR(B1139="",C1139="",T1139="Retracted",LEFT(D1139,8)="Negative"),0,IF(COUNTIFS($B$2:B1139,B1139,$C$2:C1139,C1139,$D$2:D1139,"&lt;&gt;Negative*",$T$2:T1139,"&lt;&gt;Retracted")=1,1,0))</f>
        <v>1</v>
      </c>
    </row>
    <row r="1140" spans="1:21" x14ac:dyDescent="0.2">
      <c r="A1140" t="s">
        <v>3074</v>
      </c>
      <c r="B1140" t="s">
        <v>824</v>
      </c>
      <c r="C1140" t="s">
        <v>1356</v>
      </c>
      <c r="D1140" t="s">
        <v>1572</v>
      </c>
      <c r="E1140" t="s">
        <v>825</v>
      </c>
      <c r="F1140" t="s">
        <v>1566</v>
      </c>
      <c r="G1140">
        <v>9.3461879999999997</v>
      </c>
      <c r="H1140">
        <v>-79.869187999999994</v>
      </c>
      <c r="I1140" t="s">
        <v>1573</v>
      </c>
      <c r="J1140">
        <v>300</v>
      </c>
      <c r="K1140">
        <v>1947</v>
      </c>
      <c r="L1140">
        <v>1947</v>
      </c>
      <c r="M1140" t="s">
        <v>203</v>
      </c>
      <c r="N1140" t="s">
        <v>209</v>
      </c>
      <c r="Q1140" s="2" t="str">
        <f>IF($C1140="","",IFERROR(VLOOKUP($C1140,sources!$A$2:$N$200,2,FALSE()),"?"))</f>
        <v>Map</v>
      </c>
      <c r="R1140" s="2" t="str">
        <f t="shared" si="17"/>
        <v>Map</v>
      </c>
      <c r="S1140" s="2" t="str">
        <f>IF($C1140="","",IFERROR(VLOOKUP($C1140,sources!$A$2:$N$200,9,FALSE()),"?"))</f>
        <v>US official</v>
      </c>
      <c r="T1140" t="s">
        <v>5692</v>
      </c>
      <c r="U1140">
        <f>IF(OR(B1140="",C1140="",T1140="Retracted",LEFT(D1140,8)="Negative"),0,IF(COUNTIFS($B$2:B1140,B1140,$C$2:C1140,C1140,$D$2:D1140,"&lt;&gt;Negative*",$T$2:T1140,"&lt;&gt;Retracted")=1,1,0))</f>
        <v>1</v>
      </c>
    </row>
    <row r="1141" spans="1:21" x14ac:dyDescent="0.2">
      <c r="A1141" t="s">
        <v>3075</v>
      </c>
      <c r="B1141" t="s">
        <v>828</v>
      </c>
      <c r="C1141" t="s">
        <v>1356</v>
      </c>
      <c r="D1141" t="s">
        <v>1572</v>
      </c>
      <c r="E1141" t="s">
        <v>829</v>
      </c>
      <c r="F1141" t="s">
        <v>1583</v>
      </c>
      <c r="G1141">
        <v>9.3638630000000003</v>
      </c>
      <c r="H1141">
        <v>-79.892736999999997</v>
      </c>
      <c r="I1141" t="s">
        <v>1573</v>
      </c>
      <c r="J1141">
        <v>300</v>
      </c>
      <c r="K1141">
        <v>1947</v>
      </c>
      <c r="L1141">
        <v>1947</v>
      </c>
      <c r="M1141" t="s">
        <v>203</v>
      </c>
      <c r="N1141" t="s">
        <v>209</v>
      </c>
      <c r="Q1141" s="2" t="str">
        <f>IF($C1141="","",IFERROR(VLOOKUP($C1141,sources!$A$2:$N$200,2,FALSE()),"?"))</f>
        <v>Map</v>
      </c>
      <c r="R1141" s="2" t="str">
        <f t="shared" si="17"/>
        <v>Map</v>
      </c>
      <c r="S1141" s="2" t="str">
        <f>IF($C1141="","",IFERROR(VLOOKUP($C1141,sources!$A$2:$N$200,9,FALSE()),"?"))</f>
        <v>US official</v>
      </c>
      <c r="T1141" t="s">
        <v>5692</v>
      </c>
      <c r="U1141">
        <f>IF(OR(B1141="",C1141="",T1141="Retracted",LEFT(D1141,8)="Negative"),0,IF(COUNTIFS($B$2:B1141,B1141,$C$2:C1141,C1141,$D$2:D1141,"&lt;&gt;Negative*",$T$2:T1141,"&lt;&gt;Retracted")=1,1,0))</f>
        <v>1</v>
      </c>
    </row>
    <row r="1142" spans="1:21" x14ac:dyDescent="0.2">
      <c r="A1142" t="s">
        <v>3076</v>
      </c>
      <c r="B1142" t="s">
        <v>832</v>
      </c>
      <c r="C1142" t="s">
        <v>1356</v>
      </c>
      <c r="D1142" t="s">
        <v>1572</v>
      </c>
      <c r="E1142" t="s">
        <v>833</v>
      </c>
      <c r="F1142" t="s">
        <v>1583</v>
      </c>
      <c r="G1142">
        <v>8.9517980000000001</v>
      </c>
      <c r="H1142">
        <v>-79.601146999999997</v>
      </c>
      <c r="I1142" t="s">
        <v>1573</v>
      </c>
      <c r="J1142">
        <v>400</v>
      </c>
      <c r="K1142">
        <v>1947</v>
      </c>
      <c r="L1142">
        <v>1947</v>
      </c>
      <c r="M1142" t="s">
        <v>203</v>
      </c>
      <c r="N1142" t="s">
        <v>190</v>
      </c>
      <c r="Q1142" s="2" t="str">
        <f>IF($C1142="","",IFERROR(VLOOKUP($C1142,sources!$A$2:$N$200,2,FALSE()),"?"))</f>
        <v>Map</v>
      </c>
      <c r="R1142" s="2" t="str">
        <f t="shared" si="17"/>
        <v>Map</v>
      </c>
      <c r="S1142" s="2" t="str">
        <f>IF($C1142="","",IFERROR(VLOOKUP($C1142,sources!$A$2:$N$200,9,FALSE()),"?"))</f>
        <v>US official</v>
      </c>
      <c r="T1142" t="s">
        <v>5692</v>
      </c>
      <c r="U1142">
        <f>IF(OR(B1142="",C1142="",T1142="Retracted",LEFT(D1142,8)="Negative"),0,IF(COUNTIFS($B$2:B1142,B1142,$C$2:C1142,C1142,$D$2:D1142,"&lt;&gt;Negative*",$T$2:T1142,"&lt;&gt;Retracted")=1,1,0))</f>
        <v>1</v>
      </c>
    </row>
    <row r="1143" spans="1:21" x14ac:dyDescent="0.2">
      <c r="A1143" t="s">
        <v>3077</v>
      </c>
      <c r="B1143" t="s">
        <v>835</v>
      </c>
      <c r="C1143" t="s">
        <v>1347</v>
      </c>
      <c r="D1143" t="s">
        <v>1572</v>
      </c>
      <c r="E1143" t="s">
        <v>2489</v>
      </c>
      <c r="F1143" t="s">
        <v>1566</v>
      </c>
      <c r="G1143">
        <v>8.9579000000000004</v>
      </c>
      <c r="H1143">
        <v>-79.564599999999999</v>
      </c>
      <c r="I1143" t="s">
        <v>1573</v>
      </c>
      <c r="J1143">
        <v>500</v>
      </c>
      <c r="K1143">
        <v>1895</v>
      </c>
      <c r="L1143">
        <v>1895</v>
      </c>
      <c r="M1143" t="s">
        <v>203</v>
      </c>
      <c r="N1143" t="s">
        <v>209</v>
      </c>
      <c r="Q1143" s="2" t="str">
        <f>IF($C1143="","",IFERROR(VLOOKUP($C1143,sources!$A$2:$N$200,2,FALSE()),"?"))</f>
        <v>Map</v>
      </c>
      <c r="R1143" s="2" t="str">
        <f t="shared" si="17"/>
        <v>Map</v>
      </c>
      <c r="S1143" s="2" t="str">
        <f>IF($C1143="","",IFERROR(VLOOKUP($C1143,sources!$A$2:$N$200,9,FALSE()),"?"))</f>
        <v>French company</v>
      </c>
      <c r="T1143" t="s">
        <v>5692</v>
      </c>
      <c r="U1143">
        <f>IF(OR(B1143="",C1143="",T1143="Retracted",LEFT(D1143,8)="Negative"),0,IF(COUNTIFS($B$2:B1143,B1143,$C$2:C1143,C1143,$D$2:D1143,"&lt;&gt;Negative*",$T$2:T1143,"&lt;&gt;Retracted")=1,1,0))</f>
        <v>1</v>
      </c>
    </row>
    <row r="1144" spans="1:21" x14ac:dyDescent="0.2">
      <c r="A1144" t="s">
        <v>3078</v>
      </c>
      <c r="B1144" t="s">
        <v>844</v>
      </c>
      <c r="C1144" t="s">
        <v>1168</v>
      </c>
      <c r="D1144" t="s">
        <v>1575</v>
      </c>
      <c r="E1144" t="s">
        <v>3079</v>
      </c>
      <c r="F1144" t="s">
        <v>1583</v>
      </c>
      <c r="K1144">
        <v>1911</v>
      </c>
      <c r="L1144">
        <v>1911</v>
      </c>
      <c r="M1144" t="s">
        <v>203</v>
      </c>
      <c r="N1144" t="s">
        <v>209</v>
      </c>
      <c r="Q1144" s="2" t="str">
        <f>IF($C1144="","",IFERROR(VLOOKUP($C1144,sources!$A$2:$N$200,2,FALSE()),"?"))</f>
        <v>Map</v>
      </c>
      <c r="R1144" s="2" t="str">
        <f t="shared" si="17"/>
        <v>Map</v>
      </c>
      <c r="S1144" s="2" t="str">
        <f>IF($C1144="","",IFERROR(VLOOKUP($C1144,sources!$A$2:$N$200,9,FALSE()),"?"))</f>
        <v>US official</v>
      </c>
      <c r="T1144" t="s">
        <v>5692</v>
      </c>
      <c r="U1144">
        <f>IF(OR(B1144="",C1144="",T1144="Retracted",LEFT(D1144,8)="Negative"),0,IF(COUNTIFS($B$2:B1144,B1144,$C$2:C1144,C1144,$D$2:D1144,"&lt;&gt;Negative*",$T$2:T1144,"&lt;&gt;Retracted")=1,1,0))</f>
        <v>1</v>
      </c>
    </row>
    <row r="1145" spans="1:21" x14ac:dyDescent="0.2">
      <c r="A1145" t="s">
        <v>3080</v>
      </c>
      <c r="B1145" t="s">
        <v>335</v>
      </c>
      <c r="C1145" t="s">
        <v>1370</v>
      </c>
      <c r="D1145" t="s">
        <v>1575</v>
      </c>
      <c r="E1145" t="s">
        <v>336</v>
      </c>
      <c r="F1145" t="s">
        <v>1583</v>
      </c>
      <c r="K1145">
        <v>1940</v>
      </c>
      <c r="L1145">
        <v>1940</v>
      </c>
      <c r="M1145" t="s">
        <v>203</v>
      </c>
      <c r="N1145" t="s">
        <v>203</v>
      </c>
      <c r="Q1145" s="2" t="str">
        <f>IF($C1145="","",IFERROR(VLOOKUP($C1145,sources!$A$2:$N$200,2,FALSE()),"?"))</f>
        <v>Map</v>
      </c>
      <c r="R1145" s="2" t="str">
        <f t="shared" si="17"/>
        <v>Map</v>
      </c>
      <c r="S1145" s="2" t="str">
        <f>IF($C1145="","",IFERROR(VLOOKUP($C1145,sources!$A$2:$N$200,9,FALSE()),"?"))</f>
        <v>US official</v>
      </c>
      <c r="T1145" t="s">
        <v>5692</v>
      </c>
      <c r="U1145">
        <f>IF(OR(B1145="",C1145="",T1145="Retracted",LEFT(D1145,8)="Negative"),0,IF(COUNTIFS($B$2:B1145,B1145,$C$2:C1145,C1145,$D$2:D1145,"&lt;&gt;Negative*",$T$2:T1145,"&lt;&gt;Retracted")=1,1,0))</f>
        <v>1</v>
      </c>
    </row>
    <row r="1146" spans="1:21" x14ac:dyDescent="0.2">
      <c r="A1146" t="s">
        <v>3081</v>
      </c>
      <c r="B1146" t="s">
        <v>411</v>
      </c>
      <c r="C1146" t="s">
        <v>1370</v>
      </c>
      <c r="D1146" t="s">
        <v>1575</v>
      </c>
      <c r="E1146" t="s">
        <v>412</v>
      </c>
      <c r="F1146" t="s">
        <v>1583</v>
      </c>
      <c r="K1146">
        <v>1940</v>
      </c>
      <c r="L1146">
        <v>1940</v>
      </c>
      <c r="M1146" t="s">
        <v>203</v>
      </c>
      <c r="N1146" t="s">
        <v>203</v>
      </c>
      <c r="Q1146" s="2" t="str">
        <f>IF($C1146="","",IFERROR(VLOOKUP($C1146,sources!$A$2:$N$200,2,FALSE()),"?"))</f>
        <v>Map</v>
      </c>
      <c r="R1146" s="2" t="str">
        <f t="shared" si="17"/>
        <v>Map</v>
      </c>
      <c r="S1146" s="2" t="str">
        <f>IF($C1146="","",IFERROR(VLOOKUP($C1146,sources!$A$2:$N$200,9,FALSE()),"?"))</f>
        <v>US official</v>
      </c>
      <c r="T1146" t="s">
        <v>5692</v>
      </c>
      <c r="U1146">
        <f>IF(OR(B1146="",C1146="",T1146="Retracted",LEFT(D1146,8)="Negative"),0,IF(COUNTIFS($B$2:B1146,B1146,$C$2:C1146,C1146,$D$2:D1146,"&lt;&gt;Negative*",$T$2:T1146,"&lt;&gt;Retracted")=1,1,0))</f>
        <v>1</v>
      </c>
    </row>
    <row r="1147" spans="1:21" x14ac:dyDescent="0.2">
      <c r="A1147" t="s">
        <v>3082</v>
      </c>
      <c r="B1147" t="s">
        <v>351</v>
      </c>
      <c r="C1147" t="s">
        <v>1370</v>
      </c>
      <c r="D1147" t="s">
        <v>1575</v>
      </c>
      <c r="E1147" t="s">
        <v>352</v>
      </c>
      <c r="F1147" t="s">
        <v>1583</v>
      </c>
      <c r="K1147">
        <v>1940</v>
      </c>
      <c r="L1147">
        <v>1940</v>
      </c>
      <c r="M1147" t="s">
        <v>203</v>
      </c>
      <c r="N1147" t="s">
        <v>203</v>
      </c>
      <c r="Q1147" s="2" t="str">
        <f>IF($C1147="","",IFERROR(VLOOKUP($C1147,sources!$A$2:$N$200,2,FALSE()),"?"))</f>
        <v>Map</v>
      </c>
      <c r="R1147" s="2" t="str">
        <f t="shared" si="17"/>
        <v>Map</v>
      </c>
      <c r="S1147" s="2" t="str">
        <f>IF($C1147="","",IFERROR(VLOOKUP($C1147,sources!$A$2:$N$200,9,FALSE()),"?"))</f>
        <v>US official</v>
      </c>
      <c r="T1147" t="s">
        <v>5692</v>
      </c>
      <c r="U1147">
        <f>IF(OR(B1147="",C1147="",T1147="Retracted",LEFT(D1147,8)="Negative"),0,IF(COUNTIFS($B$2:B1147,B1147,$C$2:C1147,C1147,$D$2:D1147,"&lt;&gt;Negative*",$T$2:T1147,"&lt;&gt;Retracted")=1,1,0))</f>
        <v>1</v>
      </c>
    </row>
    <row r="1148" spans="1:21" x14ac:dyDescent="0.2">
      <c r="A1148" t="s">
        <v>3083</v>
      </c>
      <c r="B1148" t="s">
        <v>525</v>
      </c>
      <c r="C1148" t="s">
        <v>1370</v>
      </c>
      <c r="D1148" t="s">
        <v>1575</v>
      </c>
      <c r="E1148" t="s">
        <v>526</v>
      </c>
      <c r="F1148" t="s">
        <v>1583</v>
      </c>
      <c r="K1148">
        <v>1940</v>
      </c>
      <c r="L1148">
        <v>1940</v>
      </c>
      <c r="M1148" t="s">
        <v>203</v>
      </c>
      <c r="N1148" t="s">
        <v>203</v>
      </c>
      <c r="Q1148" s="2" t="str">
        <f>IF($C1148="","",IFERROR(VLOOKUP($C1148,sources!$A$2:$N$200,2,FALSE()),"?"))</f>
        <v>Map</v>
      </c>
      <c r="R1148" s="2" t="str">
        <f t="shared" si="17"/>
        <v>Map</v>
      </c>
      <c r="S1148" s="2" t="str">
        <f>IF($C1148="","",IFERROR(VLOOKUP($C1148,sources!$A$2:$N$200,9,FALSE()),"?"))</f>
        <v>US official</v>
      </c>
      <c r="T1148" t="s">
        <v>5692</v>
      </c>
      <c r="U1148">
        <f>IF(OR(B1148="",C1148="",T1148="Retracted",LEFT(D1148,8)="Negative"),0,IF(COUNTIFS($B$2:B1148,B1148,$C$2:C1148,C1148,$D$2:D1148,"&lt;&gt;Negative*",$T$2:T1148,"&lt;&gt;Retracted")=1,1,0))</f>
        <v>1</v>
      </c>
    </row>
    <row r="1149" spans="1:21" x14ac:dyDescent="0.2">
      <c r="A1149" t="s">
        <v>3084</v>
      </c>
      <c r="B1149" t="s">
        <v>847</v>
      </c>
      <c r="C1149" t="s">
        <v>1370</v>
      </c>
      <c r="D1149" t="s">
        <v>1575</v>
      </c>
      <c r="E1149" t="s">
        <v>355</v>
      </c>
      <c r="F1149" t="s">
        <v>1583</v>
      </c>
      <c r="K1149">
        <v>1940</v>
      </c>
      <c r="L1149">
        <v>1940</v>
      </c>
      <c r="M1149" t="s">
        <v>203</v>
      </c>
      <c r="N1149" t="s">
        <v>203</v>
      </c>
      <c r="Q1149" s="2" t="str">
        <f>IF($C1149="","",IFERROR(VLOOKUP($C1149,sources!$A$2:$N$200,2,FALSE()),"?"))</f>
        <v>Map</v>
      </c>
      <c r="R1149" s="2" t="str">
        <f t="shared" si="17"/>
        <v>Map</v>
      </c>
      <c r="S1149" s="2" t="str">
        <f>IF($C1149="","",IFERROR(VLOOKUP($C1149,sources!$A$2:$N$200,9,FALSE()),"?"))</f>
        <v>US official</v>
      </c>
      <c r="T1149" t="s">
        <v>5692</v>
      </c>
      <c r="U1149">
        <f>IF(OR(B1149="",C1149="",T1149="Retracted",LEFT(D1149,8)="Negative"),0,IF(COUNTIFS($B$2:B1149,B1149,$C$2:C1149,C1149,$D$2:D1149,"&lt;&gt;Negative*",$T$2:T1149,"&lt;&gt;Retracted")=1,1,0))</f>
        <v>1</v>
      </c>
    </row>
    <row r="1150" spans="1:21" x14ac:dyDescent="0.2">
      <c r="A1150" t="s">
        <v>3085</v>
      </c>
      <c r="B1150" t="s">
        <v>357</v>
      </c>
      <c r="C1150" t="s">
        <v>1370</v>
      </c>
      <c r="D1150" t="s">
        <v>1575</v>
      </c>
      <c r="E1150" t="s">
        <v>358</v>
      </c>
      <c r="F1150" t="s">
        <v>1583</v>
      </c>
      <c r="K1150">
        <v>1940</v>
      </c>
      <c r="L1150">
        <v>1940</v>
      </c>
      <c r="M1150" t="s">
        <v>203</v>
      </c>
      <c r="N1150" t="s">
        <v>203</v>
      </c>
      <c r="Q1150" s="2" t="str">
        <f>IF($C1150="","",IFERROR(VLOOKUP($C1150,sources!$A$2:$N$200,2,FALSE()),"?"))</f>
        <v>Map</v>
      </c>
      <c r="R1150" s="2" t="str">
        <f t="shared" si="17"/>
        <v>Map</v>
      </c>
      <c r="S1150" s="2" t="str">
        <f>IF($C1150="","",IFERROR(VLOOKUP($C1150,sources!$A$2:$N$200,9,FALSE()),"?"))</f>
        <v>US official</v>
      </c>
      <c r="T1150" t="s">
        <v>5692</v>
      </c>
      <c r="U1150">
        <f>IF(OR(B1150="",C1150="",T1150="Retracted",LEFT(D1150,8)="Negative"),0,IF(COUNTIFS($B$2:B1150,B1150,$C$2:C1150,C1150,$D$2:D1150,"&lt;&gt;Negative*",$T$2:T1150,"&lt;&gt;Retracted")=1,1,0))</f>
        <v>1</v>
      </c>
    </row>
    <row r="1151" spans="1:21" x14ac:dyDescent="0.2">
      <c r="A1151" t="s">
        <v>3086</v>
      </c>
      <c r="B1151" t="s">
        <v>844</v>
      </c>
      <c r="C1151" t="s">
        <v>1370</v>
      </c>
      <c r="D1151" t="s">
        <v>1575</v>
      </c>
      <c r="E1151" t="s">
        <v>345</v>
      </c>
      <c r="F1151" t="s">
        <v>1583</v>
      </c>
      <c r="K1151">
        <v>1940</v>
      </c>
      <c r="L1151">
        <v>1940</v>
      </c>
      <c r="M1151" t="s">
        <v>203</v>
      </c>
      <c r="N1151" t="s">
        <v>203</v>
      </c>
      <c r="Q1151" s="2" t="str">
        <f>IF($C1151="","",IFERROR(VLOOKUP($C1151,sources!$A$2:$N$200,2,FALSE()),"?"))</f>
        <v>Map</v>
      </c>
      <c r="R1151" s="2" t="str">
        <f t="shared" si="17"/>
        <v>Map</v>
      </c>
      <c r="S1151" s="2" t="str">
        <f>IF($C1151="","",IFERROR(VLOOKUP($C1151,sources!$A$2:$N$200,9,FALSE()),"?"))</f>
        <v>US official</v>
      </c>
      <c r="T1151" t="s">
        <v>5692</v>
      </c>
      <c r="U1151">
        <f>IF(OR(B1151="",C1151="",T1151="Retracted",LEFT(D1151,8)="Negative"),0,IF(COUNTIFS($B$2:B1151,B1151,$C$2:C1151,C1151,$D$2:D1151,"&lt;&gt;Negative*",$T$2:T1151,"&lt;&gt;Retracted")=1,1,0))</f>
        <v>1</v>
      </c>
    </row>
    <row r="1152" spans="1:21" x14ac:dyDescent="0.2">
      <c r="A1152" t="s">
        <v>3087</v>
      </c>
      <c r="B1152" t="s">
        <v>461</v>
      </c>
      <c r="C1152" t="s">
        <v>1370</v>
      </c>
      <c r="D1152" t="s">
        <v>1575</v>
      </c>
      <c r="E1152" t="s">
        <v>462</v>
      </c>
      <c r="F1152" t="s">
        <v>1583</v>
      </c>
      <c r="K1152">
        <v>1940</v>
      </c>
      <c r="L1152">
        <v>1940</v>
      </c>
      <c r="M1152" t="s">
        <v>203</v>
      </c>
      <c r="N1152" t="s">
        <v>203</v>
      </c>
      <c r="Q1152" s="2" t="str">
        <f>IF($C1152="","",IFERROR(VLOOKUP($C1152,sources!$A$2:$N$200,2,FALSE()),"?"))</f>
        <v>Map</v>
      </c>
      <c r="R1152" s="2" t="str">
        <f t="shared" si="17"/>
        <v>Map</v>
      </c>
      <c r="S1152" s="2" t="str">
        <f>IF($C1152="","",IFERROR(VLOOKUP($C1152,sources!$A$2:$N$200,9,FALSE()),"?"))</f>
        <v>US official</v>
      </c>
      <c r="T1152" t="s">
        <v>5692</v>
      </c>
      <c r="U1152">
        <f>IF(OR(B1152="",C1152="",T1152="Retracted",LEFT(D1152,8)="Negative"),0,IF(COUNTIFS($B$2:B1152,B1152,$C$2:C1152,C1152,$D$2:D1152,"&lt;&gt;Negative*",$T$2:T1152,"&lt;&gt;Retracted")=1,1,0))</f>
        <v>1</v>
      </c>
    </row>
    <row r="1153" spans="1:21" x14ac:dyDescent="0.2">
      <c r="A1153" t="s">
        <v>3088</v>
      </c>
      <c r="B1153" t="s">
        <v>456</v>
      </c>
      <c r="C1153" t="s">
        <v>1370</v>
      </c>
      <c r="D1153" t="s">
        <v>1575</v>
      </c>
      <c r="E1153" t="s">
        <v>457</v>
      </c>
      <c r="F1153" t="s">
        <v>1583</v>
      </c>
      <c r="K1153">
        <v>1940</v>
      </c>
      <c r="L1153">
        <v>1940</v>
      </c>
      <c r="M1153" t="s">
        <v>203</v>
      </c>
      <c r="N1153" t="s">
        <v>203</v>
      </c>
      <c r="Q1153" s="2" t="str">
        <f>IF($C1153="","",IFERROR(VLOOKUP($C1153,sources!$A$2:$N$200,2,FALSE()),"?"))</f>
        <v>Map</v>
      </c>
      <c r="R1153" s="2" t="str">
        <f t="shared" si="17"/>
        <v>Map</v>
      </c>
      <c r="S1153" s="2" t="str">
        <f>IF($C1153="","",IFERROR(VLOOKUP($C1153,sources!$A$2:$N$200,9,FALSE()),"?"))</f>
        <v>US official</v>
      </c>
      <c r="T1153" t="s">
        <v>5692</v>
      </c>
      <c r="U1153">
        <f>IF(OR(B1153="",C1153="",T1153="Retracted",LEFT(D1153,8)="Negative"),0,IF(COUNTIFS($B$2:B1153,B1153,$C$2:C1153,C1153,$D$2:D1153,"&lt;&gt;Negative*",$T$2:T1153,"&lt;&gt;Retracted")=1,1,0))</f>
        <v>1</v>
      </c>
    </row>
    <row r="1154" spans="1:21" x14ac:dyDescent="0.2">
      <c r="A1154" t="s">
        <v>3089</v>
      </c>
      <c r="B1154" t="s">
        <v>330</v>
      </c>
      <c r="C1154" t="s">
        <v>1370</v>
      </c>
      <c r="D1154" t="s">
        <v>1575</v>
      </c>
      <c r="E1154" t="s">
        <v>331</v>
      </c>
      <c r="F1154" t="s">
        <v>1583</v>
      </c>
      <c r="K1154">
        <v>1940</v>
      </c>
      <c r="L1154">
        <v>1940</v>
      </c>
      <c r="M1154" t="s">
        <v>203</v>
      </c>
      <c r="N1154" t="s">
        <v>203</v>
      </c>
      <c r="Q1154" s="2" t="str">
        <f>IF($C1154="","",IFERROR(VLOOKUP($C1154,sources!$A$2:$N$200,2,FALSE()),"?"))</f>
        <v>Map</v>
      </c>
      <c r="R1154" s="2" t="str">
        <f t="shared" ref="R1154:R1217" si="18">IF($Q1154="","",IF($Q1154="Map","Map",IF(OR($Q1154="Photograph",$Q1154="Postcard"),"Image",IF(OR($Q1154="Census or roll",$Q1154="Report",$Q1154="Newspaper",$Q1154="Letter",$Q1154="Memoir",$Q1154="Administrative",$Q1154="Web compilation"),"Textual",IF($Q1154="Legal claim","Legal/admin",IF($Q1154="Secondary","Secondary","Other"))))))</f>
        <v>Map</v>
      </c>
      <c r="S1154" s="2" t="str">
        <f>IF($C1154="","",IFERROR(VLOOKUP($C1154,sources!$A$2:$N$200,9,FALSE()),"?"))</f>
        <v>US official</v>
      </c>
      <c r="T1154" t="s">
        <v>5692</v>
      </c>
      <c r="U1154">
        <f>IF(OR(B1154="",C1154="",T1154="Retracted",LEFT(D1154,8)="Negative"),0,IF(COUNTIFS($B$2:B1154,B1154,$C$2:C1154,C1154,$D$2:D1154,"&lt;&gt;Negative*",$T$2:T1154,"&lt;&gt;Retracted")=1,1,0))</f>
        <v>1</v>
      </c>
    </row>
    <row r="1155" spans="1:21" x14ac:dyDescent="0.2">
      <c r="A1155" t="s">
        <v>3090</v>
      </c>
      <c r="B1155" t="s">
        <v>530</v>
      </c>
      <c r="C1155" t="s">
        <v>1370</v>
      </c>
      <c r="D1155" t="s">
        <v>1575</v>
      </c>
      <c r="E1155" t="s">
        <v>3091</v>
      </c>
      <c r="F1155" t="s">
        <v>1583</v>
      </c>
      <c r="K1155">
        <v>1940</v>
      </c>
      <c r="L1155">
        <v>1940</v>
      </c>
      <c r="M1155" t="s">
        <v>203</v>
      </c>
      <c r="N1155" t="s">
        <v>203</v>
      </c>
      <c r="Q1155" s="2" t="str">
        <f>IF($C1155="","",IFERROR(VLOOKUP($C1155,sources!$A$2:$N$200,2,FALSE()),"?"))</f>
        <v>Map</v>
      </c>
      <c r="R1155" s="2" t="str">
        <f t="shared" si="18"/>
        <v>Map</v>
      </c>
      <c r="S1155" s="2" t="str">
        <f>IF($C1155="","",IFERROR(VLOOKUP($C1155,sources!$A$2:$N$200,9,FALSE()),"?"))</f>
        <v>US official</v>
      </c>
      <c r="T1155" t="s">
        <v>5692</v>
      </c>
      <c r="U1155">
        <f>IF(OR(B1155="",C1155="",T1155="Retracted",LEFT(D1155,8)="Negative"),0,IF(COUNTIFS($B$2:B1155,B1155,$C$2:C1155,C1155,$D$2:D1155,"&lt;&gt;Negative*",$T$2:T1155,"&lt;&gt;Retracted")=1,1,0))</f>
        <v>1</v>
      </c>
    </row>
    <row r="1156" spans="1:21" x14ac:dyDescent="0.2">
      <c r="A1156" t="s">
        <v>3092</v>
      </c>
      <c r="B1156" t="s">
        <v>226</v>
      </c>
      <c r="C1156" t="s">
        <v>1370</v>
      </c>
      <c r="D1156" t="s">
        <v>1575</v>
      </c>
      <c r="E1156" t="s">
        <v>1580</v>
      </c>
      <c r="F1156" t="s">
        <v>1583</v>
      </c>
      <c r="K1156">
        <v>1940</v>
      </c>
      <c r="L1156">
        <v>1940</v>
      </c>
      <c r="M1156" t="s">
        <v>203</v>
      </c>
      <c r="N1156" t="s">
        <v>203</v>
      </c>
      <c r="Q1156" s="2" t="str">
        <f>IF($C1156="","",IFERROR(VLOOKUP($C1156,sources!$A$2:$N$200,2,FALSE()),"?"))</f>
        <v>Map</v>
      </c>
      <c r="R1156" s="2" t="str">
        <f t="shared" si="18"/>
        <v>Map</v>
      </c>
      <c r="S1156" s="2" t="str">
        <f>IF($C1156="","",IFERROR(VLOOKUP($C1156,sources!$A$2:$N$200,9,FALSE()),"?"))</f>
        <v>US official</v>
      </c>
      <c r="T1156" t="s">
        <v>5692</v>
      </c>
      <c r="U1156">
        <f>IF(OR(B1156="",C1156="",T1156="Retracted",LEFT(D1156,8)="Negative"),0,IF(COUNTIFS($B$2:B1156,B1156,$C$2:C1156,C1156,$D$2:D1156,"&lt;&gt;Negative*",$T$2:T1156,"&lt;&gt;Retracted")=1,1,0))</f>
        <v>1</v>
      </c>
    </row>
    <row r="1157" spans="1:21" x14ac:dyDescent="0.2">
      <c r="A1157" t="s">
        <v>3093</v>
      </c>
      <c r="B1157" t="s">
        <v>403</v>
      </c>
      <c r="C1157" t="s">
        <v>1370</v>
      </c>
      <c r="D1157" t="s">
        <v>1575</v>
      </c>
      <c r="E1157" t="s">
        <v>404</v>
      </c>
      <c r="F1157" t="s">
        <v>1583</v>
      </c>
      <c r="K1157">
        <v>1940</v>
      </c>
      <c r="L1157">
        <v>1940</v>
      </c>
      <c r="M1157" t="s">
        <v>203</v>
      </c>
      <c r="N1157" t="s">
        <v>203</v>
      </c>
      <c r="Q1157" s="2" t="str">
        <f>IF($C1157="","",IFERROR(VLOOKUP($C1157,sources!$A$2:$N$200,2,FALSE()),"?"))</f>
        <v>Map</v>
      </c>
      <c r="R1157" s="2" t="str">
        <f t="shared" si="18"/>
        <v>Map</v>
      </c>
      <c r="S1157" s="2" t="str">
        <f>IF($C1157="","",IFERROR(VLOOKUP($C1157,sources!$A$2:$N$200,9,FALSE()),"?"))</f>
        <v>US official</v>
      </c>
      <c r="T1157" t="s">
        <v>5692</v>
      </c>
      <c r="U1157">
        <f>IF(OR(B1157="",C1157="",T1157="Retracted",LEFT(D1157,8)="Negative"),0,IF(COUNTIFS($B$2:B1157,B1157,$C$2:C1157,C1157,$D$2:D1157,"&lt;&gt;Negative*",$T$2:T1157,"&lt;&gt;Retracted")=1,1,0))</f>
        <v>1</v>
      </c>
    </row>
    <row r="1158" spans="1:21" x14ac:dyDescent="0.2">
      <c r="A1158" t="s">
        <v>3094</v>
      </c>
      <c r="B1158" t="s">
        <v>415</v>
      </c>
      <c r="C1158" t="s">
        <v>1370</v>
      </c>
      <c r="D1158" t="s">
        <v>1575</v>
      </c>
      <c r="E1158" t="s">
        <v>416</v>
      </c>
      <c r="F1158" t="s">
        <v>1583</v>
      </c>
      <c r="K1158">
        <v>1940</v>
      </c>
      <c r="L1158">
        <v>1940</v>
      </c>
      <c r="M1158" t="s">
        <v>203</v>
      </c>
      <c r="N1158" t="s">
        <v>203</v>
      </c>
      <c r="Q1158" s="2" t="str">
        <f>IF($C1158="","",IFERROR(VLOOKUP($C1158,sources!$A$2:$N$200,2,FALSE()),"?"))</f>
        <v>Map</v>
      </c>
      <c r="R1158" s="2" t="str">
        <f t="shared" si="18"/>
        <v>Map</v>
      </c>
      <c r="S1158" s="2" t="str">
        <f>IF($C1158="","",IFERROR(VLOOKUP($C1158,sources!$A$2:$N$200,9,FALSE()),"?"))</f>
        <v>US official</v>
      </c>
      <c r="T1158" t="s">
        <v>5692</v>
      </c>
      <c r="U1158">
        <f>IF(OR(B1158="",C1158="",T1158="Retracted",LEFT(D1158,8)="Negative"),0,IF(COUNTIFS($B$2:B1158,B1158,$C$2:C1158,C1158,$D$2:D1158,"&lt;&gt;Negative*",$T$2:T1158,"&lt;&gt;Retracted")=1,1,0))</f>
        <v>1</v>
      </c>
    </row>
    <row r="1159" spans="1:21" ht="26" x14ac:dyDescent="0.2">
      <c r="A1159" t="s">
        <v>3095</v>
      </c>
      <c r="B1159" t="s">
        <v>205</v>
      </c>
      <c r="C1159" t="s">
        <v>1384</v>
      </c>
      <c r="D1159" t="s">
        <v>1613</v>
      </c>
      <c r="E1159" t="s">
        <v>206</v>
      </c>
      <c r="F1159" t="s">
        <v>1583</v>
      </c>
      <c r="N1159" t="s">
        <v>209</v>
      </c>
      <c r="Q1159" s="2" t="str">
        <f>IF($C1159="","",IFERROR(VLOOKUP($C1159,sources!$A$2:$N$200,2,FALSE()),"?"))</f>
        <v>Newspaper</v>
      </c>
      <c r="R1159" s="2" t="str">
        <f t="shared" si="18"/>
        <v>Textual</v>
      </c>
      <c r="S1159" s="2" t="str">
        <f>IF($C1159="","",IFERROR(VLOOKUP($C1159,sources!$A$2:$N$200,9,FALSE()),"?"))</f>
        <v>Caribbean community</v>
      </c>
      <c r="T1159" t="s">
        <v>5692</v>
      </c>
      <c r="U1159">
        <f>IF(OR(B1159="",C1159="",T1159="Retracted",LEFT(D1159,8)="Negative"),0,IF(COUNTIFS($B$2:B1159,B1159,$C$2:C1159,C1159,$D$2:D1159,"&lt;&gt;Negative*",$T$2:T1159,"&lt;&gt;Retracted")=1,1,0))</f>
        <v>0</v>
      </c>
    </row>
    <row r="1160" spans="1:21" ht="26" x14ac:dyDescent="0.2">
      <c r="A1160" t="s">
        <v>3096</v>
      </c>
      <c r="B1160" t="s">
        <v>215</v>
      </c>
      <c r="C1160" t="s">
        <v>1384</v>
      </c>
      <c r="D1160" t="s">
        <v>1613</v>
      </c>
      <c r="E1160" t="s">
        <v>216</v>
      </c>
      <c r="F1160" t="s">
        <v>1583</v>
      </c>
      <c r="N1160" t="s">
        <v>209</v>
      </c>
      <c r="Q1160" s="2" t="str">
        <f>IF($C1160="","",IFERROR(VLOOKUP($C1160,sources!$A$2:$N$200,2,FALSE()),"?"))</f>
        <v>Newspaper</v>
      </c>
      <c r="R1160" s="2" t="str">
        <f t="shared" si="18"/>
        <v>Textual</v>
      </c>
      <c r="S1160" s="2" t="str">
        <f>IF($C1160="","",IFERROR(VLOOKUP($C1160,sources!$A$2:$N$200,9,FALSE()),"?"))</f>
        <v>Caribbean community</v>
      </c>
      <c r="T1160" t="s">
        <v>5692</v>
      </c>
      <c r="U1160">
        <f>IF(OR(B1160="",C1160="",T1160="Retracted",LEFT(D1160,8)="Negative"),0,IF(COUNTIFS($B$2:B1160,B1160,$C$2:C1160,C1160,$D$2:D1160,"&lt;&gt;Negative*",$T$2:T1160,"&lt;&gt;Retracted")=1,1,0))</f>
        <v>0</v>
      </c>
    </row>
    <row r="1161" spans="1:21" ht="26" x14ac:dyDescent="0.2">
      <c r="A1161" t="s">
        <v>3097</v>
      </c>
      <c r="B1161" t="s">
        <v>217</v>
      </c>
      <c r="C1161" t="s">
        <v>1384</v>
      </c>
      <c r="D1161" t="s">
        <v>1613</v>
      </c>
      <c r="E1161" t="s">
        <v>218</v>
      </c>
      <c r="F1161" t="s">
        <v>1583</v>
      </c>
      <c r="N1161" t="s">
        <v>209</v>
      </c>
      <c r="Q1161" s="2" t="str">
        <f>IF($C1161="","",IFERROR(VLOOKUP($C1161,sources!$A$2:$N$200,2,FALSE()),"?"))</f>
        <v>Newspaper</v>
      </c>
      <c r="R1161" s="2" t="str">
        <f t="shared" si="18"/>
        <v>Textual</v>
      </c>
      <c r="S1161" s="2" t="str">
        <f>IF($C1161="","",IFERROR(VLOOKUP($C1161,sources!$A$2:$N$200,9,FALSE()),"?"))</f>
        <v>Caribbean community</v>
      </c>
      <c r="T1161" t="s">
        <v>5692</v>
      </c>
      <c r="U1161">
        <f>IF(OR(B1161="",C1161="",T1161="Retracted",LEFT(D1161,8)="Negative"),0,IF(COUNTIFS($B$2:B1161,B1161,$C$2:C1161,C1161,$D$2:D1161,"&lt;&gt;Negative*",$T$2:T1161,"&lt;&gt;Retracted")=1,1,0))</f>
        <v>0</v>
      </c>
    </row>
    <row r="1162" spans="1:21" ht="26" x14ac:dyDescent="0.2">
      <c r="A1162" t="s">
        <v>3098</v>
      </c>
      <c r="B1162" t="s">
        <v>242</v>
      </c>
      <c r="C1162" t="s">
        <v>1384</v>
      </c>
      <c r="D1162" t="s">
        <v>1575</v>
      </c>
      <c r="E1162" t="s">
        <v>243</v>
      </c>
      <c r="F1162" t="s">
        <v>1583</v>
      </c>
      <c r="N1162" t="s">
        <v>190</v>
      </c>
      <c r="Q1162" s="2" t="str">
        <f>IF($C1162="","",IFERROR(VLOOKUP($C1162,sources!$A$2:$N$200,2,FALSE()),"?"))</f>
        <v>Newspaper</v>
      </c>
      <c r="R1162" s="2" t="str">
        <f t="shared" si="18"/>
        <v>Textual</v>
      </c>
      <c r="S1162" s="2" t="str">
        <f>IF($C1162="","",IFERROR(VLOOKUP($C1162,sources!$A$2:$N$200,9,FALSE()),"?"))</f>
        <v>Caribbean community</v>
      </c>
      <c r="T1162" t="s">
        <v>5692</v>
      </c>
      <c r="U1162">
        <f>IF(OR(B1162="",C1162="",T1162="Retracted",LEFT(D1162,8)="Negative"),0,IF(COUNTIFS($B$2:B1162,B1162,$C$2:C1162,C1162,$D$2:D1162,"&lt;&gt;Negative*",$T$2:T1162,"&lt;&gt;Retracted")=1,1,0))</f>
        <v>1</v>
      </c>
    </row>
    <row r="1163" spans="1:21" ht="26" x14ac:dyDescent="0.2">
      <c r="A1163" t="s">
        <v>3099</v>
      </c>
      <c r="B1163" t="s">
        <v>233</v>
      </c>
      <c r="C1163" t="s">
        <v>1384</v>
      </c>
      <c r="D1163" t="s">
        <v>1575</v>
      </c>
      <c r="E1163" t="s">
        <v>305</v>
      </c>
      <c r="F1163" t="s">
        <v>1583</v>
      </c>
      <c r="N1163" t="s">
        <v>190</v>
      </c>
      <c r="Q1163" s="2" t="str">
        <f>IF($C1163="","",IFERROR(VLOOKUP($C1163,sources!$A$2:$N$200,2,FALSE()),"?"))</f>
        <v>Newspaper</v>
      </c>
      <c r="R1163" s="2" t="str">
        <f t="shared" si="18"/>
        <v>Textual</v>
      </c>
      <c r="S1163" s="2" t="str">
        <f>IF($C1163="","",IFERROR(VLOOKUP($C1163,sources!$A$2:$N$200,9,FALSE()),"?"))</f>
        <v>Caribbean community</v>
      </c>
      <c r="T1163" t="s">
        <v>5692</v>
      </c>
      <c r="U1163">
        <f>IF(OR(B1163="",C1163="",T1163="Retracted",LEFT(D1163,8)="Negative"),0,IF(COUNTIFS($B$2:B1163,B1163,$C$2:C1163,C1163,$D$2:D1163,"&lt;&gt;Negative*",$T$2:T1163,"&lt;&gt;Retracted")=1,1,0))</f>
        <v>1</v>
      </c>
    </row>
    <row r="1164" spans="1:21" ht="26" x14ac:dyDescent="0.2">
      <c r="A1164" t="s">
        <v>3100</v>
      </c>
      <c r="B1164" t="s">
        <v>344</v>
      </c>
      <c r="C1164" t="s">
        <v>1384</v>
      </c>
      <c r="D1164" t="s">
        <v>1575</v>
      </c>
      <c r="E1164" t="s">
        <v>345</v>
      </c>
      <c r="F1164" t="s">
        <v>1583</v>
      </c>
      <c r="N1164" t="s">
        <v>190</v>
      </c>
      <c r="Q1164" s="2" t="str">
        <f>IF($C1164="","",IFERROR(VLOOKUP($C1164,sources!$A$2:$N$200,2,FALSE()),"?"))</f>
        <v>Newspaper</v>
      </c>
      <c r="R1164" s="2" t="str">
        <f t="shared" si="18"/>
        <v>Textual</v>
      </c>
      <c r="S1164" s="2" t="str">
        <f>IF($C1164="","",IFERROR(VLOOKUP($C1164,sources!$A$2:$N$200,9,FALSE()),"?"))</f>
        <v>Caribbean community</v>
      </c>
      <c r="T1164" t="s">
        <v>5692</v>
      </c>
      <c r="U1164">
        <f>IF(OR(B1164="",C1164="",T1164="Retracted",LEFT(D1164,8)="Negative"),0,IF(COUNTIFS($B$2:B1164,B1164,$C$2:C1164,C1164,$D$2:D1164,"&lt;&gt;Negative*",$T$2:T1164,"&lt;&gt;Retracted")=1,1,0))</f>
        <v>1</v>
      </c>
    </row>
    <row r="1165" spans="1:21" ht="26" x14ac:dyDescent="0.2">
      <c r="A1165" t="s">
        <v>3101</v>
      </c>
      <c r="B1165" t="s">
        <v>363</v>
      </c>
      <c r="C1165" t="s">
        <v>1384</v>
      </c>
      <c r="D1165" t="s">
        <v>1613</v>
      </c>
      <c r="E1165" t="s">
        <v>364</v>
      </c>
      <c r="F1165" t="s">
        <v>1583</v>
      </c>
      <c r="N1165" t="s">
        <v>209</v>
      </c>
      <c r="Q1165" s="2" t="str">
        <f>IF($C1165="","",IFERROR(VLOOKUP($C1165,sources!$A$2:$N$200,2,FALSE()),"?"))</f>
        <v>Newspaper</v>
      </c>
      <c r="R1165" s="2" t="str">
        <f t="shared" si="18"/>
        <v>Textual</v>
      </c>
      <c r="S1165" s="2" t="str">
        <f>IF($C1165="","",IFERROR(VLOOKUP($C1165,sources!$A$2:$N$200,9,FALSE()),"?"))</f>
        <v>Caribbean community</v>
      </c>
      <c r="T1165" t="s">
        <v>5692</v>
      </c>
      <c r="U1165">
        <f>IF(OR(B1165="",C1165="",T1165="Retracted",LEFT(D1165,8)="Negative"),0,IF(COUNTIFS($B$2:B1165,B1165,$C$2:C1165,C1165,$D$2:D1165,"&lt;&gt;Negative*",$T$2:T1165,"&lt;&gt;Retracted")=1,1,0))</f>
        <v>0</v>
      </c>
    </row>
    <row r="1166" spans="1:21" ht="26" x14ac:dyDescent="0.2">
      <c r="A1166" t="s">
        <v>3102</v>
      </c>
      <c r="B1166" t="s">
        <v>378</v>
      </c>
      <c r="C1166" t="s">
        <v>1384</v>
      </c>
      <c r="D1166" t="s">
        <v>1613</v>
      </c>
      <c r="E1166" t="s">
        <v>379</v>
      </c>
      <c r="F1166" t="s">
        <v>1583</v>
      </c>
      <c r="N1166" t="s">
        <v>209</v>
      </c>
      <c r="Q1166" s="2" t="str">
        <f>IF($C1166="","",IFERROR(VLOOKUP($C1166,sources!$A$2:$N$200,2,FALSE()),"?"))</f>
        <v>Newspaper</v>
      </c>
      <c r="R1166" s="2" t="str">
        <f t="shared" si="18"/>
        <v>Textual</v>
      </c>
      <c r="S1166" s="2" t="str">
        <f>IF($C1166="","",IFERROR(VLOOKUP($C1166,sources!$A$2:$N$200,9,FALSE()),"?"))</f>
        <v>Caribbean community</v>
      </c>
      <c r="T1166" t="s">
        <v>5692</v>
      </c>
      <c r="U1166">
        <f>IF(OR(B1166="",C1166="",T1166="Retracted",LEFT(D1166,8)="Negative"),0,IF(COUNTIFS($B$2:B1166,B1166,$C$2:C1166,C1166,$D$2:D1166,"&lt;&gt;Negative*",$T$2:T1166,"&lt;&gt;Retracted")=1,1,0))</f>
        <v>0</v>
      </c>
    </row>
    <row r="1167" spans="1:21" ht="26" x14ac:dyDescent="0.2">
      <c r="A1167" t="s">
        <v>3103</v>
      </c>
      <c r="B1167" t="s">
        <v>510</v>
      </c>
      <c r="C1167" t="s">
        <v>1384</v>
      </c>
      <c r="D1167" t="s">
        <v>1575</v>
      </c>
      <c r="E1167" t="s">
        <v>511</v>
      </c>
      <c r="F1167" t="s">
        <v>1583</v>
      </c>
      <c r="N1167" t="s">
        <v>190</v>
      </c>
      <c r="Q1167" s="2" t="str">
        <f>IF($C1167="","",IFERROR(VLOOKUP($C1167,sources!$A$2:$N$200,2,FALSE()),"?"))</f>
        <v>Newspaper</v>
      </c>
      <c r="R1167" s="2" t="str">
        <f t="shared" si="18"/>
        <v>Textual</v>
      </c>
      <c r="S1167" s="2" t="str">
        <f>IF($C1167="","",IFERROR(VLOOKUP($C1167,sources!$A$2:$N$200,9,FALSE()),"?"))</f>
        <v>Caribbean community</v>
      </c>
      <c r="T1167" t="s">
        <v>5692</v>
      </c>
      <c r="U1167">
        <f>IF(OR(B1167="",C1167="",T1167="Retracted",LEFT(D1167,8)="Negative"),0,IF(COUNTIFS($B$2:B1167,B1167,$C$2:C1167,C1167,$D$2:D1167,"&lt;&gt;Negative*",$T$2:T1167,"&lt;&gt;Retracted")=1,1,0))</f>
        <v>1</v>
      </c>
    </row>
    <row r="1168" spans="1:21" ht="26" x14ac:dyDescent="0.2">
      <c r="A1168" t="s">
        <v>3104</v>
      </c>
      <c r="B1168" t="s">
        <v>783</v>
      </c>
      <c r="C1168" t="s">
        <v>1384</v>
      </c>
      <c r="D1168" t="s">
        <v>1613</v>
      </c>
      <c r="E1168" t="s">
        <v>784</v>
      </c>
      <c r="F1168" t="s">
        <v>1583</v>
      </c>
      <c r="N1168" t="s">
        <v>209</v>
      </c>
      <c r="Q1168" s="2" t="str">
        <f>IF($C1168="","",IFERROR(VLOOKUP($C1168,sources!$A$2:$N$200,2,FALSE()),"?"))</f>
        <v>Newspaper</v>
      </c>
      <c r="R1168" s="2" t="str">
        <f t="shared" si="18"/>
        <v>Textual</v>
      </c>
      <c r="S1168" s="2" t="str">
        <f>IF($C1168="","",IFERROR(VLOOKUP($C1168,sources!$A$2:$N$200,9,FALSE()),"?"))</f>
        <v>Caribbean community</v>
      </c>
      <c r="T1168" t="s">
        <v>5692</v>
      </c>
      <c r="U1168">
        <f>IF(OR(B1168="",C1168="",T1168="Retracted",LEFT(D1168,8)="Negative"),0,IF(COUNTIFS($B$2:B1168,B1168,$C$2:C1168,C1168,$D$2:D1168,"&lt;&gt;Negative*",$T$2:T1168,"&lt;&gt;Retracted")=1,1,0))</f>
        <v>0</v>
      </c>
    </row>
    <row r="1169" spans="1:21" ht="26" x14ac:dyDescent="0.2">
      <c r="A1169" t="s">
        <v>3105</v>
      </c>
      <c r="B1169" t="s">
        <v>179</v>
      </c>
      <c r="C1169" t="s">
        <v>1384</v>
      </c>
      <c r="D1169" t="s">
        <v>1575</v>
      </c>
      <c r="E1169" t="s">
        <v>180</v>
      </c>
      <c r="F1169" t="s">
        <v>1583</v>
      </c>
      <c r="N1169" t="s">
        <v>190</v>
      </c>
      <c r="Q1169" s="2" t="str">
        <f>IF($C1169="","",IFERROR(VLOOKUP($C1169,sources!$A$2:$N$200,2,FALSE()),"?"))</f>
        <v>Newspaper</v>
      </c>
      <c r="R1169" s="2" t="str">
        <f t="shared" si="18"/>
        <v>Textual</v>
      </c>
      <c r="S1169" s="2" t="str">
        <f>IF($C1169="","",IFERROR(VLOOKUP($C1169,sources!$A$2:$N$200,9,FALSE()),"?"))</f>
        <v>Caribbean community</v>
      </c>
      <c r="T1169" t="s">
        <v>5692</v>
      </c>
      <c r="U1169">
        <f>IF(OR(B1169="",C1169="",T1169="Retracted",LEFT(D1169,8)="Negative"),0,IF(COUNTIFS($B$2:B1169,B1169,$C$2:C1169,C1169,$D$2:D1169,"&lt;&gt;Negative*",$T$2:T1169,"&lt;&gt;Retracted")=1,1,0))</f>
        <v>1</v>
      </c>
    </row>
    <row r="1170" spans="1:21" ht="26" x14ac:dyDescent="0.2">
      <c r="A1170" t="s">
        <v>3106</v>
      </c>
      <c r="B1170" t="s">
        <v>226</v>
      </c>
      <c r="C1170" t="s">
        <v>1384</v>
      </c>
      <c r="D1170" t="s">
        <v>1575</v>
      </c>
      <c r="E1170" t="s">
        <v>227</v>
      </c>
      <c r="F1170" t="s">
        <v>1583</v>
      </c>
      <c r="N1170" t="s">
        <v>190</v>
      </c>
      <c r="Q1170" s="2" t="str">
        <f>IF($C1170="","",IFERROR(VLOOKUP($C1170,sources!$A$2:$N$200,2,FALSE()),"?"))</f>
        <v>Newspaper</v>
      </c>
      <c r="R1170" s="2" t="str">
        <f t="shared" si="18"/>
        <v>Textual</v>
      </c>
      <c r="S1170" s="2" t="str">
        <f>IF($C1170="","",IFERROR(VLOOKUP($C1170,sources!$A$2:$N$200,9,FALSE()),"?"))</f>
        <v>Caribbean community</v>
      </c>
      <c r="T1170" t="s">
        <v>5692</v>
      </c>
      <c r="U1170">
        <f>IF(OR(B1170="",C1170="",T1170="Retracted",LEFT(D1170,8)="Negative"),0,IF(COUNTIFS($B$2:B1170,B1170,$C$2:C1170,C1170,$D$2:D1170,"&lt;&gt;Negative*",$T$2:T1170,"&lt;&gt;Retracted")=1,1,0))</f>
        <v>1</v>
      </c>
    </row>
    <row r="1171" spans="1:21" ht="26" x14ac:dyDescent="0.2">
      <c r="A1171" t="s">
        <v>3107</v>
      </c>
      <c r="B1171" t="s">
        <v>253</v>
      </c>
      <c r="C1171" t="s">
        <v>1384</v>
      </c>
      <c r="D1171" t="s">
        <v>1575</v>
      </c>
      <c r="E1171" t="s">
        <v>254</v>
      </c>
      <c r="F1171" t="s">
        <v>1583</v>
      </c>
      <c r="N1171" t="s">
        <v>190</v>
      </c>
      <c r="Q1171" s="2" t="str">
        <f>IF($C1171="","",IFERROR(VLOOKUP($C1171,sources!$A$2:$N$200,2,FALSE()),"?"))</f>
        <v>Newspaper</v>
      </c>
      <c r="R1171" s="2" t="str">
        <f t="shared" si="18"/>
        <v>Textual</v>
      </c>
      <c r="S1171" s="2" t="str">
        <f>IF($C1171="","",IFERROR(VLOOKUP($C1171,sources!$A$2:$N$200,9,FALSE()),"?"))</f>
        <v>Caribbean community</v>
      </c>
      <c r="T1171" t="s">
        <v>5692</v>
      </c>
      <c r="U1171">
        <f>IF(OR(B1171="",C1171="",T1171="Retracted",LEFT(D1171,8)="Negative"),0,IF(COUNTIFS($B$2:B1171,B1171,$C$2:C1171,C1171,$D$2:D1171,"&lt;&gt;Negative*",$T$2:T1171,"&lt;&gt;Retracted")=1,1,0))</f>
        <v>1</v>
      </c>
    </row>
    <row r="1172" spans="1:21" ht="26" x14ac:dyDescent="0.2">
      <c r="A1172" t="s">
        <v>3108</v>
      </c>
      <c r="B1172" t="s">
        <v>261</v>
      </c>
      <c r="C1172" t="s">
        <v>1384</v>
      </c>
      <c r="D1172" t="s">
        <v>1575</v>
      </c>
      <c r="E1172" t="s">
        <v>262</v>
      </c>
      <c r="F1172" t="s">
        <v>1583</v>
      </c>
      <c r="N1172" t="s">
        <v>190</v>
      </c>
      <c r="Q1172" s="2" t="str">
        <f>IF($C1172="","",IFERROR(VLOOKUP($C1172,sources!$A$2:$N$200,2,FALSE()),"?"))</f>
        <v>Newspaper</v>
      </c>
      <c r="R1172" s="2" t="str">
        <f t="shared" si="18"/>
        <v>Textual</v>
      </c>
      <c r="S1172" s="2" t="str">
        <f>IF($C1172="","",IFERROR(VLOOKUP($C1172,sources!$A$2:$N$200,9,FALSE()),"?"))</f>
        <v>Caribbean community</v>
      </c>
      <c r="T1172" t="s">
        <v>5692</v>
      </c>
      <c r="U1172">
        <f>IF(OR(B1172="",C1172="",T1172="Retracted",LEFT(D1172,8)="Negative"),0,IF(COUNTIFS($B$2:B1172,B1172,$C$2:C1172,C1172,$D$2:D1172,"&lt;&gt;Negative*",$T$2:T1172,"&lt;&gt;Retracted")=1,1,0))</f>
        <v>1</v>
      </c>
    </row>
    <row r="1173" spans="1:21" ht="26" x14ac:dyDescent="0.2">
      <c r="A1173" t="s">
        <v>3109</v>
      </c>
      <c r="B1173" t="s">
        <v>398</v>
      </c>
      <c r="C1173" t="s">
        <v>1384</v>
      </c>
      <c r="D1173" t="s">
        <v>1575</v>
      </c>
      <c r="E1173" t="s">
        <v>399</v>
      </c>
      <c r="F1173" t="s">
        <v>1583</v>
      </c>
      <c r="N1173" t="s">
        <v>190</v>
      </c>
      <c r="Q1173" s="2" t="str">
        <f>IF($C1173="","",IFERROR(VLOOKUP($C1173,sources!$A$2:$N$200,2,FALSE()),"?"))</f>
        <v>Newspaper</v>
      </c>
      <c r="R1173" s="2" t="str">
        <f t="shared" si="18"/>
        <v>Textual</v>
      </c>
      <c r="S1173" s="2" t="str">
        <f>IF($C1173="","",IFERROR(VLOOKUP($C1173,sources!$A$2:$N$200,9,FALSE()),"?"))</f>
        <v>Caribbean community</v>
      </c>
      <c r="T1173" t="s">
        <v>5692</v>
      </c>
      <c r="U1173">
        <f>IF(OR(B1173="",C1173="",T1173="Retracted",LEFT(D1173,8)="Negative"),0,IF(COUNTIFS($B$2:B1173,B1173,$C$2:C1173,C1173,$D$2:D1173,"&lt;&gt;Negative*",$T$2:T1173,"&lt;&gt;Retracted")=1,1,0))</f>
        <v>1</v>
      </c>
    </row>
    <row r="1174" spans="1:21" ht="26" x14ac:dyDescent="0.2">
      <c r="A1174" t="s">
        <v>3110</v>
      </c>
      <c r="B1174" t="s">
        <v>403</v>
      </c>
      <c r="C1174" t="s">
        <v>1384</v>
      </c>
      <c r="D1174" t="s">
        <v>1575</v>
      </c>
      <c r="E1174" t="s">
        <v>404</v>
      </c>
      <c r="F1174" t="s">
        <v>1583</v>
      </c>
      <c r="N1174" t="s">
        <v>190</v>
      </c>
      <c r="Q1174" s="2" t="str">
        <f>IF($C1174="","",IFERROR(VLOOKUP($C1174,sources!$A$2:$N$200,2,FALSE()),"?"))</f>
        <v>Newspaper</v>
      </c>
      <c r="R1174" s="2" t="str">
        <f t="shared" si="18"/>
        <v>Textual</v>
      </c>
      <c r="S1174" s="2" t="str">
        <f>IF($C1174="","",IFERROR(VLOOKUP($C1174,sources!$A$2:$N$200,9,FALSE()),"?"))</f>
        <v>Caribbean community</v>
      </c>
      <c r="T1174" t="s">
        <v>5692</v>
      </c>
      <c r="U1174">
        <f>IF(OR(B1174="",C1174="",T1174="Retracted",LEFT(D1174,8)="Negative"),0,IF(COUNTIFS($B$2:B1174,B1174,$C$2:C1174,C1174,$D$2:D1174,"&lt;&gt;Negative*",$T$2:T1174,"&lt;&gt;Retracted")=1,1,0))</f>
        <v>1</v>
      </c>
    </row>
    <row r="1175" spans="1:21" ht="26" x14ac:dyDescent="0.2">
      <c r="A1175" t="s">
        <v>3111</v>
      </c>
      <c r="B1175" t="s">
        <v>436</v>
      </c>
      <c r="C1175" t="s">
        <v>1384</v>
      </c>
      <c r="D1175" t="s">
        <v>1575</v>
      </c>
      <c r="E1175" t="s">
        <v>437</v>
      </c>
      <c r="F1175" t="s">
        <v>1583</v>
      </c>
      <c r="N1175" t="s">
        <v>190</v>
      </c>
      <c r="Q1175" s="2" t="str">
        <f>IF($C1175="","",IFERROR(VLOOKUP($C1175,sources!$A$2:$N$200,2,FALSE()),"?"))</f>
        <v>Newspaper</v>
      </c>
      <c r="R1175" s="2" t="str">
        <f t="shared" si="18"/>
        <v>Textual</v>
      </c>
      <c r="S1175" s="2" t="str">
        <f>IF($C1175="","",IFERROR(VLOOKUP($C1175,sources!$A$2:$N$200,9,FALSE()),"?"))</f>
        <v>Caribbean community</v>
      </c>
      <c r="T1175" t="s">
        <v>5692</v>
      </c>
      <c r="U1175">
        <f>IF(OR(B1175="",C1175="",T1175="Retracted",LEFT(D1175,8)="Negative"),0,IF(COUNTIFS($B$2:B1175,B1175,$C$2:C1175,C1175,$D$2:D1175,"&lt;&gt;Negative*",$T$2:T1175,"&lt;&gt;Retracted")=1,1,0))</f>
        <v>1</v>
      </c>
    </row>
    <row r="1176" spans="1:21" ht="26" x14ac:dyDescent="0.2">
      <c r="A1176" t="s">
        <v>3112</v>
      </c>
      <c r="B1176" t="s">
        <v>461</v>
      </c>
      <c r="C1176" t="s">
        <v>1384</v>
      </c>
      <c r="D1176" t="s">
        <v>1575</v>
      </c>
      <c r="E1176" t="s">
        <v>462</v>
      </c>
      <c r="F1176" t="s">
        <v>1583</v>
      </c>
      <c r="N1176" t="s">
        <v>190</v>
      </c>
      <c r="Q1176" s="2" t="str">
        <f>IF($C1176="","",IFERROR(VLOOKUP($C1176,sources!$A$2:$N$200,2,FALSE()),"?"))</f>
        <v>Newspaper</v>
      </c>
      <c r="R1176" s="2" t="str">
        <f t="shared" si="18"/>
        <v>Textual</v>
      </c>
      <c r="S1176" s="2" t="str">
        <f>IF($C1176="","",IFERROR(VLOOKUP($C1176,sources!$A$2:$N$200,9,FALSE()),"?"))</f>
        <v>Caribbean community</v>
      </c>
      <c r="T1176" t="s">
        <v>5692</v>
      </c>
      <c r="U1176">
        <f>IF(OR(B1176="",C1176="",T1176="Retracted",LEFT(D1176,8)="Negative"),0,IF(COUNTIFS($B$2:B1176,B1176,$C$2:C1176,C1176,$D$2:D1176,"&lt;&gt;Negative*",$T$2:T1176,"&lt;&gt;Retracted")=1,1,0))</f>
        <v>1</v>
      </c>
    </row>
    <row r="1177" spans="1:21" ht="26" x14ac:dyDescent="0.2">
      <c r="A1177" t="s">
        <v>3113</v>
      </c>
      <c r="B1177" t="s">
        <v>495</v>
      </c>
      <c r="C1177" t="s">
        <v>1384</v>
      </c>
      <c r="D1177" t="s">
        <v>1575</v>
      </c>
      <c r="E1177" t="s">
        <v>496</v>
      </c>
      <c r="F1177" t="s">
        <v>1583</v>
      </c>
      <c r="N1177" t="s">
        <v>190</v>
      </c>
      <c r="Q1177" s="2" t="str">
        <f>IF($C1177="","",IFERROR(VLOOKUP($C1177,sources!$A$2:$N$200,2,FALSE()),"?"))</f>
        <v>Newspaper</v>
      </c>
      <c r="R1177" s="2" t="str">
        <f t="shared" si="18"/>
        <v>Textual</v>
      </c>
      <c r="S1177" s="2" t="str">
        <f>IF($C1177="","",IFERROR(VLOOKUP($C1177,sources!$A$2:$N$200,9,FALSE()),"?"))</f>
        <v>Caribbean community</v>
      </c>
      <c r="T1177" t="s">
        <v>5692</v>
      </c>
      <c r="U1177">
        <f>IF(OR(B1177="",C1177="",T1177="Retracted",LEFT(D1177,8)="Negative"),0,IF(COUNTIFS($B$2:B1177,B1177,$C$2:C1177,C1177,$D$2:D1177,"&lt;&gt;Negative*",$T$2:T1177,"&lt;&gt;Retracted")=1,1,0))</f>
        <v>1</v>
      </c>
    </row>
    <row r="1178" spans="1:21" ht="26" x14ac:dyDescent="0.2">
      <c r="A1178" t="s">
        <v>3114</v>
      </c>
      <c r="B1178" t="s">
        <v>776</v>
      </c>
      <c r="C1178" t="s">
        <v>1384</v>
      </c>
      <c r="D1178" t="s">
        <v>1575</v>
      </c>
      <c r="E1178" t="s">
        <v>777</v>
      </c>
      <c r="F1178" t="s">
        <v>1583</v>
      </c>
      <c r="N1178" t="s">
        <v>190</v>
      </c>
      <c r="Q1178" s="2" t="str">
        <f>IF($C1178="","",IFERROR(VLOOKUP($C1178,sources!$A$2:$N$200,2,FALSE()),"?"))</f>
        <v>Newspaper</v>
      </c>
      <c r="R1178" s="2" t="str">
        <f t="shared" si="18"/>
        <v>Textual</v>
      </c>
      <c r="S1178" s="2" t="str">
        <f>IF($C1178="","",IFERROR(VLOOKUP($C1178,sources!$A$2:$N$200,9,FALSE()),"?"))</f>
        <v>Caribbean community</v>
      </c>
      <c r="T1178" t="s">
        <v>5692</v>
      </c>
      <c r="U1178">
        <f>IF(OR(B1178="",C1178="",T1178="Retracted",LEFT(D1178,8)="Negative"),0,IF(COUNTIFS($B$2:B1178,B1178,$C$2:C1178,C1178,$D$2:D1178,"&lt;&gt;Negative*",$T$2:T1178,"&lt;&gt;Retracted")=1,1,0))</f>
        <v>1</v>
      </c>
    </row>
    <row r="1179" spans="1:21" ht="26" x14ac:dyDescent="0.2">
      <c r="A1179" t="s">
        <v>3115</v>
      </c>
      <c r="B1179" t="s">
        <v>819</v>
      </c>
      <c r="C1179" t="s">
        <v>1384</v>
      </c>
      <c r="D1179" t="s">
        <v>1575</v>
      </c>
      <c r="E1179" t="s">
        <v>820</v>
      </c>
      <c r="F1179" t="s">
        <v>1583</v>
      </c>
      <c r="N1179" t="s">
        <v>190</v>
      </c>
      <c r="Q1179" s="2" t="str">
        <f>IF($C1179="","",IFERROR(VLOOKUP($C1179,sources!$A$2:$N$200,2,FALSE()),"?"))</f>
        <v>Newspaper</v>
      </c>
      <c r="R1179" s="2" t="str">
        <f t="shared" si="18"/>
        <v>Textual</v>
      </c>
      <c r="S1179" s="2" t="str">
        <f>IF($C1179="","",IFERROR(VLOOKUP($C1179,sources!$A$2:$N$200,9,FALSE()),"?"))</f>
        <v>Caribbean community</v>
      </c>
      <c r="T1179" t="s">
        <v>5692</v>
      </c>
      <c r="U1179">
        <f>IF(OR(B1179="",C1179="",T1179="Retracted",LEFT(D1179,8)="Negative"),0,IF(COUNTIFS($B$2:B1179,B1179,$C$2:C1179,C1179,$D$2:D1179,"&lt;&gt;Negative*",$T$2:T1179,"&lt;&gt;Retracted")=1,1,0))</f>
        <v>1</v>
      </c>
    </row>
    <row r="1180" spans="1:21" ht="26" x14ac:dyDescent="0.2">
      <c r="A1180" t="s">
        <v>3116</v>
      </c>
      <c r="B1180" t="s">
        <v>824</v>
      </c>
      <c r="C1180" t="s">
        <v>1384</v>
      </c>
      <c r="D1180" t="s">
        <v>1575</v>
      </c>
      <c r="E1180" t="s">
        <v>825</v>
      </c>
      <c r="F1180" t="s">
        <v>1583</v>
      </c>
      <c r="K1180">
        <v>1949</v>
      </c>
      <c r="L1180">
        <v>1949</v>
      </c>
      <c r="M1180" t="s">
        <v>203</v>
      </c>
      <c r="N1180" t="s">
        <v>190</v>
      </c>
      <c r="Q1180" s="2" t="str">
        <f>IF($C1180="","",IFERROR(VLOOKUP($C1180,sources!$A$2:$N$200,2,FALSE()),"?"))</f>
        <v>Newspaper</v>
      </c>
      <c r="R1180" s="2" t="str">
        <f t="shared" si="18"/>
        <v>Textual</v>
      </c>
      <c r="S1180" s="2" t="str">
        <f>IF($C1180="","",IFERROR(VLOOKUP($C1180,sources!$A$2:$N$200,9,FALSE()),"?"))</f>
        <v>Caribbean community</v>
      </c>
      <c r="T1180" t="s">
        <v>5692</v>
      </c>
      <c r="U1180">
        <f>IF(OR(B1180="",C1180="",T1180="Retracted",LEFT(D1180,8)="Negative"),0,IF(COUNTIFS($B$2:B1180,B1180,$C$2:C1180,C1180,$D$2:D1180,"&lt;&gt;Negative*",$T$2:T1180,"&lt;&gt;Retracted")=1,1,0))</f>
        <v>1</v>
      </c>
    </row>
    <row r="1181" spans="1:21" ht="26" x14ac:dyDescent="0.2">
      <c r="A1181" t="s">
        <v>3117</v>
      </c>
      <c r="B1181" t="s">
        <v>828</v>
      </c>
      <c r="C1181" t="s">
        <v>1384</v>
      </c>
      <c r="D1181" t="s">
        <v>1575</v>
      </c>
      <c r="E1181" t="s">
        <v>829</v>
      </c>
      <c r="F1181" t="s">
        <v>1583</v>
      </c>
      <c r="N1181" t="s">
        <v>190</v>
      </c>
      <c r="Q1181" s="2" t="str">
        <f>IF($C1181="","",IFERROR(VLOOKUP($C1181,sources!$A$2:$N$200,2,FALSE()),"?"))</f>
        <v>Newspaper</v>
      </c>
      <c r="R1181" s="2" t="str">
        <f t="shared" si="18"/>
        <v>Textual</v>
      </c>
      <c r="S1181" s="2" t="str">
        <f>IF($C1181="","",IFERROR(VLOOKUP($C1181,sources!$A$2:$N$200,9,FALSE()),"?"))</f>
        <v>Caribbean community</v>
      </c>
      <c r="T1181" t="s">
        <v>5692</v>
      </c>
      <c r="U1181">
        <f>IF(OR(B1181="",C1181="",T1181="Retracted",LEFT(D1181,8)="Negative"),0,IF(COUNTIFS($B$2:B1181,B1181,$C$2:C1181,C1181,$D$2:D1181,"&lt;&gt;Negative*",$T$2:T1181,"&lt;&gt;Retracted")=1,1,0))</f>
        <v>1</v>
      </c>
    </row>
    <row r="1182" spans="1:21" x14ac:dyDescent="0.2">
      <c r="A1182" t="s">
        <v>3118</v>
      </c>
      <c r="B1182" t="s">
        <v>447</v>
      </c>
      <c r="C1182" t="s">
        <v>1370</v>
      </c>
      <c r="D1182" t="s">
        <v>1575</v>
      </c>
      <c r="E1182" t="s">
        <v>449</v>
      </c>
      <c r="F1182" t="s">
        <v>1583</v>
      </c>
      <c r="K1182">
        <v>1940</v>
      </c>
      <c r="L1182">
        <v>1940</v>
      </c>
      <c r="M1182" t="s">
        <v>203</v>
      </c>
      <c r="N1182" t="s">
        <v>203</v>
      </c>
      <c r="Q1182" s="2" t="str">
        <f>IF($C1182="","",IFERROR(VLOOKUP($C1182,sources!$A$2:$N$200,2,FALSE()),"?"))</f>
        <v>Map</v>
      </c>
      <c r="R1182" s="2" t="str">
        <f t="shared" si="18"/>
        <v>Map</v>
      </c>
      <c r="S1182" s="2" t="str">
        <f>IF($C1182="","",IFERROR(VLOOKUP($C1182,sources!$A$2:$N$200,9,FALSE()),"?"))</f>
        <v>US official</v>
      </c>
      <c r="T1182" t="s">
        <v>5692</v>
      </c>
      <c r="U1182">
        <f>IF(OR(B1182="",C1182="",T1182="Retracted",LEFT(D1182,8)="Negative"),0,IF(COUNTIFS($B$2:B1182,B1182,$C$2:C1182,C1182,$D$2:D1182,"&lt;&gt;Negative*",$T$2:T1182,"&lt;&gt;Retracted")=1,1,0))</f>
        <v>1</v>
      </c>
    </row>
    <row r="1183" spans="1:21" ht="26" x14ac:dyDescent="0.2">
      <c r="A1183" t="s">
        <v>3119</v>
      </c>
      <c r="B1183" t="s">
        <v>776</v>
      </c>
      <c r="C1183" t="s">
        <v>1393</v>
      </c>
      <c r="D1183" t="s">
        <v>1575</v>
      </c>
      <c r="E1183" t="s">
        <v>3120</v>
      </c>
      <c r="F1183" t="s">
        <v>1583</v>
      </c>
      <c r="K1183">
        <v>1906</v>
      </c>
      <c r="L1183">
        <v>1963</v>
      </c>
      <c r="M1183" t="s">
        <v>203</v>
      </c>
      <c r="N1183" t="s">
        <v>203</v>
      </c>
      <c r="Q1183" s="2" t="str">
        <f>IF($C1183="","",IFERROR(VLOOKUP($C1183,sources!$A$2:$N$200,2,FALSE()),"?"))</f>
        <v>Web compilation</v>
      </c>
      <c r="R1183" s="2" t="str">
        <f t="shared" si="18"/>
        <v>Textual</v>
      </c>
      <c r="S1183" s="2" t="str">
        <f>IF($C1183="","",IFERROR(VLOOKUP($C1183,sources!$A$2:$N$200,9,FALSE()),"?"))</f>
        <v>Caribbean community</v>
      </c>
      <c r="T1183" t="s">
        <v>5692</v>
      </c>
      <c r="U1183">
        <f>IF(OR(B1183="",C1183="",T1183="Retracted",LEFT(D1183,8)="Negative"),0,IF(COUNTIFS($B$2:B1183,B1183,$C$2:C1183,C1183,$D$2:D1183,"&lt;&gt;Negative*",$T$2:T1183,"&lt;&gt;Retracted")=1,1,0))</f>
        <v>1</v>
      </c>
    </row>
    <row r="1184" spans="1:21" ht="26" x14ac:dyDescent="0.2">
      <c r="A1184" t="s">
        <v>3121</v>
      </c>
      <c r="B1184" t="s">
        <v>847</v>
      </c>
      <c r="C1184" t="s">
        <v>1384</v>
      </c>
      <c r="D1184" t="s">
        <v>1575</v>
      </c>
      <c r="E1184" t="s">
        <v>848</v>
      </c>
      <c r="F1184" t="s">
        <v>1583</v>
      </c>
      <c r="N1184" t="s">
        <v>209</v>
      </c>
      <c r="Q1184" s="2" t="str">
        <f>IF($C1184="","",IFERROR(VLOOKUP($C1184,sources!$A$2:$N$200,2,FALSE()),"?"))</f>
        <v>Newspaper</v>
      </c>
      <c r="R1184" s="2" t="str">
        <f t="shared" si="18"/>
        <v>Textual</v>
      </c>
      <c r="S1184" s="2" t="str">
        <f>IF($C1184="","",IFERROR(VLOOKUP($C1184,sources!$A$2:$N$200,9,FALSE()),"?"))</f>
        <v>Caribbean community</v>
      </c>
      <c r="T1184" t="s">
        <v>5692</v>
      </c>
      <c r="U1184">
        <f>IF(OR(B1184="",C1184="",T1184="Retracted",LEFT(D1184,8)="Negative"),0,IF(COUNTIFS($B$2:B1184,B1184,$C$2:C1184,C1184,$D$2:D1184,"&lt;&gt;Negative*",$T$2:T1184,"&lt;&gt;Retracted")=1,1,0))</f>
        <v>1</v>
      </c>
    </row>
    <row r="1185" spans="1:21" x14ac:dyDescent="0.2">
      <c r="A1185" t="s">
        <v>3122</v>
      </c>
      <c r="B1185" t="s">
        <v>472</v>
      </c>
      <c r="C1185" t="s">
        <v>1203</v>
      </c>
      <c r="D1185" t="s">
        <v>1575</v>
      </c>
      <c r="E1185" t="s">
        <v>473</v>
      </c>
      <c r="F1185" t="s">
        <v>1583</v>
      </c>
      <c r="I1185" t="s">
        <v>1058</v>
      </c>
      <c r="M1185" t="s">
        <v>190</v>
      </c>
      <c r="N1185" t="s">
        <v>209</v>
      </c>
      <c r="Q1185" s="2" t="str">
        <f>IF($C1185="","",IFERROR(VLOOKUP($C1185,sources!$A$2:$N$200,2,FALSE()),"?"))</f>
        <v>Newspaper</v>
      </c>
      <c r="R1185" s="2" t="str">
        <f t="shared" si="18"/>
        <v>Textual</v>
      </c>
      <c r="S1185" s="2" t="str">
        <f>IF($C1185="","",IFERROR(VLOOKUP($C1185,sources!$A$2:$N$200,9,FALSE()),"?"))</f>
        <v>US press</v>
      </c>
      <c r="T1185" t="s">
        <v>5692</v>
      </c>
      <c r="U1185">
        <f>IF(OR(B1185="",C1185="",T1185="Retracted",LEFT(D1185,8)="Negative"),0,IF(COUNTIFS($B$2:B1185,B1185,$C$2:C1185,C1185,$D$2:D1185,"&lt;&gt;Negative*",$T$2:T1185,"&lt;&gt;Retracted")=1,1,0))</f>
        <v>1</v>
      </c>
    </row>
    <row r="1186" spans="1:21" x14ac:dyDescent="0.2">
      <c r="A1186" t="s">
        <v>3123</v>
      </c>
      <c r="B1186" t="s">
        <v>480</v>
      </c>
      <c r="C1186" t="s">
        <v>1203</v>
      </c>
      <c r="D1186" t="s">
        <v>1575</v>
      </c>
      <c r="E1186" t="s">
        <v>481</v>
      </c>
      <c r="F1186" t="s">
        <v>1583</v>
      </c>
      <c r="I1186" t="s">
        <v>1058</v>
      </c>
      <c r="M1186" t="s">
        <v>190</v>
      </c>
      <c r="N1186" t="s">
        <v>209</v>
      </c>
      <c r="Q1186" s="2" t="str">
        <f>IF($C1186="","",IFERROR(VLOOKUP($C1186,sources!$A$2:$N$200,2,FALSE()),"?"))</f>
        <v>Newspaper</v>
      </c>
      <c r="R1186" s="2" t="str">
        <f t="shared" si="18"/>
        <v>Textual</v>
      </c>
      <c r="S1186" s="2" t="str">
        <f>IF($C1186="","",IFERROR(VLOOKUP($C1186,sources!$A$2:$N$200,9,FALSE()),"?"))</f>
        <v>US press</v>
      </c>
      <c r="T1186" t="s">
        <v>5692</v>
      </c>
      <c r="U1186">
        <f>IF(OR(B1186="",C1186="",T1186="Retracted",LEFT(D1186,8)="Negative"),0,IF(COUNTIFS($B$2:B1186,B1186,$C$2:C1186,C1186,$D$2:D1186,"&lt;&gt;Negative*",$T$2:T1186,"&lt;&gt;Retracted")=1,1,0))</f>
        <v>1</v>
      </c>
    </row>
    <row r="1187" spans="1:21" x14ac:dyDescent="0.2">
      <c r="A1187" t="s">
        <v>3124</v>
      </c>
      <c r="B1187" t="s">
        <v>484</v>
      </c>
      <c r="C1187" t="s">
        <v>1203</v>
      </c>
      <c r="D1187" t="s">
        <v>1613</v>
      </c>
      <c r="E1187" t="s">
        <v>485</v>
      </c>
      <c r="F1187" t="s">
        <v>1583</v>
      </c>
      <c r="I1187" t="s">
        <v>1058</v>
      </c>
      <c r="M1187" t="s">
        <v>190</v>
      </c>
      <c r="N1187" t="s">
        <v>209</v>
      </c>
      <c r="Q1187" s="2" t="str">
        <f>IF($C1187="","",IFERROR(VLOOKUP($C1187,sources!$A$2:$N$200,2,FALSE()),"?"))</f>
        <v>Newspaper</v>
      </c>
      <c r="R1187" s="2" t="str">
        <f t="shared" si="18"/>
        <v>Textual</v>
      </c>
      <c r="S1187" s="2" t="str">
        <f>IF($C1187="","",IFERROR(VLOOKUP($C1187,sources!$A$2:$N$200,9,FALSE()),"?"))</f>
        <v>US press</v>
      </c>
      <c r="T1187" t="s">
        <v>5692</v>
      </c>
      <c r="U1187">
        <f>IF(OR(B1187="",C1187="",T1187="Retracted",LEFT(D1187,8)="Negative"),0,IF(COUNTIFS($B$2:B1187,B1187,$C$2:C1187,C1187,$D$2:D1187,"&lt;&gt;Negative*",$T$2:T1187,"&lt;&gt;Retracted")=1,1,0))</f>
        <v>0</v>
      </c>
    </row>
    <row r="1188" spans="1:21" x14ac:dyDescent="0.2">
      <c r="A1188" t="s">
        <v>3125</v>
      </c>
      <c r="B1188" t="s">
        <v>490</v>
      </c>
      <c r="C1188" t="s">
        <v>1203</v>
      </c>
      <c r="D1188" t="s">
        <v>1575</v>
      </c>
      <c r="E1188" t="s">
        <v>491</v>
      </c>
      <c r="F1188" t="s">
        <v>1583</v>
      </c>
      <c r="I1188" t="s">
        <v>1058</v>
      </c>
      <c r="M1188" t="s">
        <v>190</v>
      </c>
      <c r="N1188" t="s">
        <v>209</v>
      </c>
      <c r="Q1188" s="2" t="str">
        <f>IF($C1188="","",IFERROR(VLOOKUP($C1188,sources!$A$2:$N$200,2,FALSE()),"?"))</f>
        <v>Newspaper</v>
      </c>
      <c r="R1188" s="2" t="str">
        <f t="shared" si="18"/>
        <v>Textual</v>
      </c>
      <c r="S1188" s="2" t="str">
        <f>IF($C1188="","",IFERROR(VLOOKUP($C1188,sources!$A$2:$N$200,9,FALSE()),"?"))</f>
        <v>US press</v>
      </c>
      <c r="T1188" t="s">
        <v>5692</v>
      </c>
      <c r="U1188">
        <f>IF(OR(B1188="",C1188="",T1188="Retracted",LEFT(D1188,8)="Negative"),0,IF(COUNTIFS($B$2:B1188,B1188,$C$2:C1188,C1188,$D$2:D1188,"&lt;&gt;Negative*",$T$2:T1188,"&lt;&gt;Retracted")=1,1,0))</f>
        <v>1</v>
      </c>
    </row>
    <row r="1189" spans="1:21" x14ac:dyDescent="0.2">
      <c r="A1189" t="s">
        <v>3126</v>
      </c>
      <c r="B1189" t="s">
        <v>495</v>
      </c>
      <c r="C1189" t="s">
        <v>1203</v>
      </c>
      <c r="D1189" t="s">
        <v>1575</v>
      </c>
      <c r="E1189" t="s">
        <v>496</v>
      </c>
      <c r="F1189" t="s">
        <v>1583</v>
      </c>
      <c r="I1189" t="s">
        <v>1058</v>
      </c>
      <c r="K1189">
        <v>1893</v>
      </c>
      <c r="L1189">
        <v>1893</v>
      </c>
      <c r="M1189" t="s">
        <v>209</v>
      </c>
      <c r="N1189" t="s">
        <v>209</v>
      </c>
      <c r="Q1189" s="2" t="str">
        <f>IF($C1189="","",IFERROR(VLOOKUP($C1189,sources!$A$2:$N$200,2,FALSE()),"?"))</f>
        <v>Newspaper</v>
      </c>
      <c r="R1189" s="2" t="str">
        <f t="shared" si="18"/>
        <v>Textual</v>
      </c>
      <c r="S1189" s="2" t="str">
        <f>IF($C1189="","",IFERROR(VLOOKUP($C1189,sources!$A$2:$N$200,9,FALSE()),"?"))</f>
        <v>US press</v>
      </c>
      <c r="T1189" t="s">
        <v>5692</v>
      </c>
      <c r="U1189">
        <f>IF(OR(B1189="",C1189="",T1189="Retracted",LEFT(D1189,8)="Negative"),0,IF(COUNTIFS($B$2:B1189,B1189,$C$2:C1189,C1189,$D$2:D1189,"&lt;&gt;Negative*",$T$2:T1189,"&lt;&gt;Retracted")=1,1,0))</f>
        <v>1</v>
      </c>
    </row>
    <row r="1190" spans="1:21" x14ac:dyDescent="0.2">
      <c r="A1190" t="s">
        <v>3127</v>
      </c>
      <c r="B1190" t="s">
        <v>498</v>
      </c>
      <c r="C1190" t="s">
        <v>1203</v>
      </c>
      <c r="D1190" t="s">
        <v>1575</v>
      </c>
      <c r="E1190" t="s">
        <v>499</v>
      </c>
      <c r="F1190" t="s">
        <v>1583</v>
      </c>
      <c r="I1190" t="s">
        <v>1058</v>
      </c>
      <c r="M1190" t="s">
        <v>190</v>
      </c>
      <c r="N1190" t="s">
        <v>209</v>
      </c>
      <c r="Q1190" s="2" t="str">
        <f>IF($C1190="","",IFERROR(VLOOKUP($C1190,sources!$A$2:$N$200,2,FALSE()),"?"))</f>
        <v>Newspaper</v>
      </c>
      <c r="R1190" s="2" t="str">
        <f t="shared" si="18"/>
        <v>Textual</v>
      </c>
      <c r="S1190" s="2" t="str">
        <f>IF($C1190="","",IFERROR(VLOOKUP($C1190,sources!$A$2:$N$200,9,FALSE()),"?"))</f>
        <v>US press</v>
      </c>
      <c r="T1190" t="s">
        <v>5692</v>
      </c>
      <c r="U1190">
        <f>IF(OR(B1190="",C1190="",T1190="Retracted",LEFT(D1190,8)="Negative"),0,IF(COUNTIFS($B$2:B1190,B1190,$C$2:C1190,C1190,$D$2:D1190,"&lt;&gt;Negative*",$T$2:T1190,"&lt;&gt;Retracted")=1,1,0))</f>
        <v>1</v>
      </c>
    </row>
    <row r="1191" spans="1:21" x14ac:dyDescent="0.2">
      <c r="A1191" t="s">
        <v>3128</v>
      </c>
      <c r="B1191" t="s">
        <v>503</v>
      </c>
      <c r="C1191" t="s">
        <v>1203</v>
      </c>
      <c r="D1191" t="s">
        <v>1575</v>
      </c>
      <c r="E1191" t="s">
        <v>504</v>
      </c>
      <c r="F1191" t="s">
        <v>1583</v>
      </c>
      <c r="I1191" t="s">
        <v>1058</v>
      </c>
      <c r="K1191">
        <v>1908</v>
      </c>
      <c r="L1191">
        <v>1908</v>
      </c>
      <c r="M1191" t="s">
        <v>209</v>
      </c>
      <c r="N1191" t="s">
        <v>209</v>
      </c>
      <c r="Q1191" s="2" t="str">
        <f>IF($C1191="","",IFERROR(VLOOKUP($C1191,sources!$A$2:$N$200,2,FALSE()),"?"))</f>
        <v>Newspaper</v>
      </c>
      <c r="R1191" s="2" t="str">
        <f t="shared" si="18"/>
        <v>Textual</v>
      </c>
      <c r="S1191" s="2" t="str">
        <f>IF($C1191="","",IFERROR(VLOOKUP($C1191,sources!$A$2:$N$200,9,FALSE()),"?"))</f>
        <v>US press</v>
      </c>
      <c r="T1191" t="s">
        <v>5692</v>
      </c>
      <c r="U1191">
        <f>IF(OR(B1191="",C1191="",T1191="Retracted",LEFT(D1191,8)="Negative"),0,IF(COUNTIFS($B$2:B1191,B1191,$C$2:C1191,C1191,$D$2:D1191,"&lt;&gt;Negative*",$T$2:T1191,"&lt;&gt;Retracted")=1,1,0))</f>
        <v>1</v>
      </c>
    </row>
    <row r="1192" spans="1:21" x14ac:dyDescent="0.2">
      <c r="A1192" t="s">
        <v>3129</v>
      </c>
      <c r="B1192" t="s">
        <v>507</v>
      </c>
      <c r="C1192" t="s">
        <v>1203</v>
      </c>
      <c r="D1192" t="s">
        <v>1575</v>
      </c>
      <c r="E1192" t="s">
        <v>508</v>
      </c>
      <c r="F1192" t="s">
        <v>1583</v>
      </c>
      <c r="I1192" t="s">
        <v>1058</v>
      </c>
      <c r="M1192" t="s">
        <v>190</v>
      </c>
      <c r="N1192" t="s">
        <v>209</v>
      </c>
      <c r="Q1192" s="2" t="str">
        <f>IF($C1192="","",IFERROR(VLOOKUP($C1192,sources!$A$2:$N$200,2,FALSE()),"?"))</f>
        <v>Newspaper</v>
      </c>
      <c r="R1192" s="2" t="str">
        <f t="shared" si="18"/>
        <v>Textual</v>
      </c>
      <c r="S1192" s="2" t="str">
        <f>IF($C1192="","",IFERROR(VLOOKUP($C1192,sources!$A$2:$N$200,9,FALSE()),"?"))</f>
        <v>US press</v>
      </c>
      <c r="T1192" t="s">
        <v>5692</v>
      </c>
      <c r="U1192">
        <f>IF(OR(B1192="",C1192="",T1192="Retracted",LEFT(D1192,8)="Negative"),0,IF(COUNTIFS($B$2:B1192,B1192,$C$2:C1192,C1192,$D$2:D1192,"&lt;&gt;Negative*",$T$2:T1192,"&lt;&gt;Retracted")=1,1,0))</f>
        <v>1</v>
      </c>
    </row>
    <row r="1193" spans="1:21" x14ac:dyDescent="0.2">
      <c r="A1193" t="s">
        <v>3130</v>
      </c>
      <c r="B1193" t="s">
        <v>510</v>
      </c>
      <c r="C1193" t="s">
        <v>1203</v>
      </c>
      <c r="D1193" t="s">
        <v>1575</v>
      </c>
      <c r="E1193" t="s">
        <v>511</v>
      </c>
      <c r="F1193" t="s">
        <v>1583</v>
      </c>
      <c r="I1193" t="s">
        <v>1058</v>
      </c>
      <c r="K1193">
        <v>1905</v>
      </c>
      <c r="L1193">
        <v>1905</v>
      </c>
      <c r="M1193" t="s">
        <v>209</v>
      </c>
      <c r="N1193" t="s">
        <v>209</v>
      </c>
      <c r="Q1193" s="2" t="str">
        <f>IF($C1193="","",IFERROR(VLOOKUP($C1193,sources!$A$2:$N$200,2,FALSE()),"?"))</f>
        <v>Newspaper</v>
      </c>
      <c r="R1193" s="2" t="str">
        <f t="shared" si="18"/>
        <v>Textual</v>
      </c>
      <c r="S1193" s="2" t="str">
        <f>IF($C1193="","",IFERROR(VLOOKUP($C1193,sources!$A$2:$N$200,9,FALSE()),"?"))</f>
        <v>US press</v>
      </c>
      <c r="T1193" t="s">
        <v>5692</v>
      </c>
      <c r="U1193">
        <f>IF(OR(B1193="",C1193="",T1193="Retracted",LEFT(D1193,8)="Negative"),0,IF(COUNTIFS($B$2:B1193,B1193,$C$2:C1193,C1193,$D$2:D1193,"&lt;&gt;Negative*",$T$2:T1193,"&lt;&gt;Retracted")=1,1,0))</f>
        <v>1</v>
      </c>
    </row>
    <row r="1194" spans="1:21" x14ac:dyDescent="0.2">
      <c r="A1194" t="s">
        <v>3131</v>
      </c>
      <c r="B1194" t="s">
        <v>515</v>
      </c>
      <c r="C1194" t="s">
        <v>1203</v>
      </c>
      <c r="D1194" t="s">
        <v>1575</v>
      </c>
      <c r="E1194" t="s">
        <v>516</v>
      </c>
      <c r="F1194" t="s">
        <v>1583</v>
      </c>
      <c r="I1194" t="s">
        <v>1058</v>
      </c>
      <c r="M1194" t="s">
        <v>190</v>
      </c>
      <c r="N1194" t="s">
        <v>209</v>
      </c>
      <c r="Q1194" s="2" t="str">
        <f>IF($C1194="","",IFERROR(VLOOKUP($C1194,sources!$A$2:$N$200,2,FALSE()),"?"))</f>
        <v>Newspaper</v>
      </c>
      <c r="R1194" s="2" t="str">
        <f t="shared" si="18"/>
        <v>Textual</v>
      </c>
      <c r="S1194" s="2" t="str">
        <f>IF($C1194="","",IFERROR(VLOOKUP($C1194,sources!$A$2:$N$200,9,FALSE()),"?"))</f>
        <v>US press</v>
      </c>
      <c r="T1194" t="s">
        <v>5692</v>
      </c>
      <c r="U1194">
        <f>IF(OR(B1194="",C1194="",T1194="Retracted",LEFT(D1194,8)="Negative"),0,IF(COUNTIFS($B$2:B1194,B1194,$C$2:C1194,C1194,$D$2:D1194,"&lt;&gt;Negative*",$T$2:T1194,"&lt;&gt;Retracted")=1,1,0))</f>
        <v>1</v>
      </c>
    </row>
    <row r="1195" spans="1:21" x14ac:dyDescent="0.2">
      <c r="A1195" t="s">
        <v>3132</v>
      </c>
      <c r="B1195" t="s">
        <v>520</v>
      </c>
      <c r="C1195" t="s">
        <v>1203</v>
      </c>
      <c r="D1195" t="s">
        <v>1575</v>
      </c>
      <c r="E1195" t="s">
        <v>521</v>
      </c>
      <c r="F1195" t="s">
        <v>1583</v>
      </c>
      <c r="I1195" t="s">
        <v>1058</v>
      </c>
      <c r="M1195" t="s">
        <v>190</v>
      </c>
      <c r="N1195" t="s">
        <v>209</v>
      </c>
      <c r="Q1195" s="2" t="str">
        <f>IF($C1195="","",IFERROR(VLOOKUP($C1195,sources!$A$2:$N$200,2,FALSE()),"?"))</f>
        <v>Newspaper</v>
      </c>
      <c r="R1195" s="2" t="str">
        <f t="shared" si="18"/>
        <v>Textual</v>
      </c>
      <c r="S1195" s="2" t="str">
        <f>IF($C1195="","",IFERROR(VLOOKUP($C1195,sources!$A$2:$N$200,9,FALSE()),"?"))</f>
        <v>US press</v>
      </c>
      <c r="T1195" t="s">
        <v>5692</v>
      </c>
      <c r="U1195">
        <f>IF(OR(B1195="",C1195="",T1195="Retracted",LEFT(D1195,8)="Negative"),0,IF(COUNTIFS($B$2:B1195,B1195,$C$2:C1195,C1195,$D$2:D1195,"&lt;&gt;Negative*",$T$2:T1195,"&lt;&gt;Retracted")=1,1,0))</f>
        <v>1</v>
      </c>
    </row>
    <row r="1196" spans="1:21" x14ac:dyDescent="0.2">
      <c r="A1196" t="s">
        <v>3133</v>
      </c>
      <c r="B1196" t="s">
        <v>525</v>
      </c>
      <c r="C1196" t="s">
        <v>1203</v>
      </c>
      <c r="D1196" t="s">
        <v>1575</v>
      </c>
      <c r="E1196" t="s">
        <v>526</v>
      </c>
      <c r="F1196" t="s">
        <v>1583</v>
      </c>
      <c r="I1196" t="s">
        <v>1058</v>
      </c>
      <c r="K1196">
        <v>1919</v>
      </c>
      <c r="L1196">
        <v>1919</v>
      </c>
      <c r="M1196" t="s">
        <v>209</v>
      </c>
      <c r="N1196" t="s">
        <v>209</v>
      </c>
      <c r="Q1196" s="2" t="str">
        <f>IF($C1196="","",IFERROR(VLOOKUP($C1196,sources!$A$2:$N$200,2,FALSE()),"?"))</f>
        <v>Newspaper</v>
      </c>
      <c r="R1196" s="2" t="str">
        <f t="shared" si="18"/>
        <v>Textual</v>
      </c>
      <c r="S1196" s="2" t="str">
        <f>IF($C1196="","",IFERROR(VLOOKUP($C1196,sources!$A$2:$N$200,9,FALSE()),"?"))</f>
        <v>US press</v>
      </c>
      <c r="T1196" t="s">
        <v>5692</v>
      </c>
      <c r="U1196">
        <f>IF(OR(B1196="",C1196="",T1196="Retracted",LEFT(D1196,8)="Negative"),0,IF(COUNTIFS($B$2:B1196,B1196,$C$2:C1196,C1196,$D$2:D1196,"&lt;&gt;Negative*",$T$2:T1196,"&lt;&gt;Retracted")=1,1,0))</f>
        <v>1</v>
      </c>
    </row>
    <row r="1197" spans="1:21" x14ac:dyDescent="0.2">
      <c r="A1197" t="s">
        <v>3134</v>
      </c>
      <c r="B1197" t="s">
        <v>530</v>
      </c>
      <c r="C1197" t="s">
        <v>1203</v>
      </c>
      <c r="D1197" t="s">
        <v>1575</v>
      </c>
      <c r="E1197" t="s">
        <v>531</v>
      </c>
      <c r="F1197" t="s">
        <v>1583</v>
      </c>
      <c r="I1197" t="s">
        <v>1058</v>
      </c>
      <c r="M1197" t="s">
        <v>190</v>
      </c>
      <c r="N1197" t="s">
        <v>209</v>
      </c>
      <c r="Q1197" s="2" t="str">
        <f>IF($C1197="","",IFERROR(VLOOKUP($C1197,sources!$A$2:$N$200,2,FALSE()),"?"))</f>
        <v>Newspaper</v>
      </c>
      <c r="R1197" s="2" t="str">
        <f t="shared" si="18"/>
        <v>Textual</v>
      </c>
      <c r="S1197" s="2" t="str">
        <f>IF($C1197="","",IFERROR(VLOOKUP($C1197,sources!$A$2:$N$200,9,FALSE()),"?"))</f>
        <v>US press</v>
      </c>
      <c r="T1197" t="s">
        <v>5692</v>
      </c>
      <c r="U1197">
        <f>IF(OR(B1197="",C1197="",T1197="Retracted",LEFT(D1197,8)="Negative"),0,IF(COUNTIFS($B$2:B1197,B1197,$C$2:C1197,C1197,$D$2:D1197,"&lt;&gt;Negative*",$T$2:T1197,"&lt;&gt;Retracted")=1,1,0))</f>
        <v>1</v>
      </c>
    </row>
    <row r="1198" spans="1:21" x14ac:dyDescent="0.2">
      <c r="A1198" t="s">
        <v>3135</v>
      </c>
      <c r="B1198" t="s">
        <v>534</v>
      </c>
      <c r="C1198" t="s">
        <v>1203</v>
      </c>
      <c r="D1198" t="s">
        <v>1575</v>
      </c>
      <c r="E1198" t="s">
        <v>535</v>
      </c>
      <c r="F1198" t="s">
        <v>1583</v>
      </c>
      <c r="I1198" t="s">
        <v>1058</v>
      </c>
      <c r="M1198" t="s">
        <v>190</v>
      </c>
      <c r="N1198" t="s">
        <v>209</v>
      </c>
      <c r="Q1198" s="2" t="str">
        <f>IF($C1198="","",IFERROR(VLOOKUP($C1198,sources!$A$2:$N$200,2,FALSE()),"?"))</f>
        <v>Newspaper</v>
      </c>
      <c r="R1198" s="2" t="str">
        <f t="shared" si="18"/>
        <v>Textual</v>
      </c>
      <c r="S1198" s="2" t="str">
        <f>IF($C1198="","",IFERROR(VLOOKUP($C1198,sources!$A$2:$N$200,9,FALSE()),"?"))</f>
        <v>US press</v>
      </c>
      <c r="T1198" t="s">
        <v>5692</v>
      </c>
      <c r="U1198">
        <f>IF(OR(B1198="",C1198="",T1198="Retracted",LEFT(D1198,8)="Negative"),0,IF(COUNTIFS($B$2:B1198,B1198,$C$2:C1198,C1198,$D$2:D1198,"&lt;&gt;Negative*",$T$2:T1198,"&lt;&gt;Retracted")=1,1,0))</f>
        <v>1</v>
      </c>
    </row>
    <row r="1199" spans="1:21" x14ac:dyDescent="0.2">
      <c r="A1199" t="s">
        <v>3136</v>
      </c>
      <c r="B1199" t="s">
        <v>538</v>
      </c>
      <c r="C1199" t="s">
        <v>1203</v>
      </c>
      <c r="D1199" t="s">
        <v>1575</v>
      </c>
      <c r="E1199" t="s">
        <v>539</v>
      </c>
      <c r="F1199" t="s">
        <v>1583</v>
      </c>
      <c r="I1199" t="s">
        <v>1058</v>
      </c>
      <c r="M1199" t="s">
        <v>190</v>
      </c>
      <c r="N1199" t="s">
        <v>209</v>
      </c>
      <c r="Q1199" s="2" t="str">
        <f>IF($C1199="","",IFERROR(VLOOKUP($C1199,sources!$A$2:$N$200,2,FALSE()),"?"))</f>
        <v>Newspaper</v>
      </c>
      <c r="R1199" s="2" t="str">
        <f t="shared" si="18"/>
        <v>Textual</v>
      </c>
      <c r="S1199" s="2" t="str">
        <f>IF($C1199="","",IFERROR(VLOOKUP($C1199,sources!$A$2:$N$200,9,FALSE()),"?"))</f>
        <v>US press</v>
      </c>
      <c r="T1199" t="s">
        <v>5692</v>
      </c>
      <c r="U1199">
        <f>IF(OR(B1199="",C1199="",T1199="Retracted",LEFT(D1199,8)="Negative"),0,IF(COUNTIFS($B$2:B1199,B1199,$C$2:C1199,C1199,$D$2:D1199,"&lt;&gt;Negative*",$T$2:T1199,"&lt;&gt;Retracted")=1,1,0))</f>
        <v>1</v>
      </c>
    </row>
    <row r="1200" spans="1:21" x14ac:dyDescent="0.2">
      <c r="A1200" t="s">
        <v>3137</v>
      </c>
      <c r="B1200" t="s">
        <v>542</v>
      </c>
      <c r="C1200" t="s">
        <v>1203</v>
      </c>
      <c r="D1200" t="s">
        <v>1575</v>
      </c>
      <c r="E1200" t="s">
        <v>3138</v>
      </c>
      <c r="F1200" t="s">
        <v>1583</v>
      </c>
      <c r="I1200" t="s">
        <v>1058</v>
      </c>
      <c r="M1200" t="s">
        <v>190</v>
      </c>
      <c r="N1200" t="s">
        <v>209</v>
      </c>
      <c r="Q1200" s="2" t="str">
        <f>IF($C1200="","",IFERROR(VLOOKUP($C1200,sources!$A$2:$N$200,2,FALSE()),"?"))</f>
        <v>Newspaper</v>
      </c>
      <c r="R1200" s="2" t="str">
        <f t="shared" si="18"/>
        <v>Textual</v>
      </c>
      <c r="S1200" s="2" t="str">
        <f>IF($C1200="","",IFERROR(VLOOKUP($C1200,sources!$A$2:$N$200,9,FALSE()),"?"))</f>
        <v>US press</v>
      </c>
      <c r="T1200" t="s">
        <v>5692</v>
      </c>
      <c r="U1200">
        <f>IF(OR(B1200="",C1200="",T1200="Retracted",LEFT(D1200,8)="Negative"),0,IF(COUNTIFS($B$2:B1200,B1200,$C$2:C1200,C1200,$D$2:D1200,"&lt;&gt;Negative*",$T$2:T1200,"&lt;&gt;Retracted")=1,1,0))</f>
        <v>1</v>
      </c>
    </row>
    <row r="1201" spans="1:21" x14ac:dyDescent="0.2">
      <c r="A1201" t="s">
        <v>3139</v>
      </c>
      <c r="B1201" t="s">
        <v>547</v>
      </c>
      <c r="C1201" t="s">
        <v>1203</v>
      </c>
      <c r="D1201" t="s">
        <v>1575</v>
      </c>
      <c r="E1201" t="s">
        <v>548</v>
      </c>
      <c r="F1201" t="s">
        <v>1583</v>
      </c>
      <c r="I1201" t="s">
        <v>1058</v>
      </c>
      <c r="K1201">
        <v>1916</v>
      </c>
      <c r="L1201">
        <v>1916</v>
      </c>
      <c r="M1201" t="s">
        <v>209</v>
      </c>
      <c r="N1201" t="s">
        <v>209</v>
      </c>
      <c r="Q1201" s="2" t="str">
        <f>IF($C1201="","",IFERROR(VLOOKUP($C1201,sources!$A$2:$N$200,2,FALSE()),"?"))</f>
        <v>Newspaper</v>
      </c>
      <c r="R1201" s="2" t="str">
        <f t="shared" si="18"/>
        <v>Textual</v>
      </c>
      <c r="S1201" s="2" t="str">
        <f>IF($C1201="","",IFERROR(VLOOKUP($C1201,sources!$A$2:$N$200,9,FALSE()),"?"))</f>
        <v>US press</v>
      </c>
      <c r="T1201" t="s">
        <v>5692</v>
      </c>
      <c r="U1201">
        <f>IF(OR(B1201="",C1201="",T1201="Retracted",LEFT(D1201,8)="Negative"),0,IF(COUNTIFS($B$2:B1201,B1201,$C$2:C1201,C1201,$D$2:D1201,"&lt;&gt;Negative*",$T$2:T1201,"&lt;&gt;Retracted")=1,1,0))</f>
        <v>1</v>
      </c>
    </row>
    <row r="1202" spans="1:21" x14ac:dyDescent="0.2">
      <c r="A1202" t="s">
        <v>3140</v>
      </c>
      <c r="B1202" t="s">
        <v>552</v>
      </c>
      <c r="C1202" t="s">
        <v>1203</v>
      </c>
      <c r="D1202" t="s">
        <v>1575</v>
      </c>
      <c r="E1202" t="s">
        <v>554</v>
      </c>
      <c r="F1202" t="s">
        <v>1583</v>
      </c>
      <c r="I1202" t="s">
        <v>1058</v>
      </c>
      <c r="M1202" t="s">
        <v>190</v>
      </c>
      <c r="N1202" t="s">
        <v>209</v>
      </c>
      <c r="Q1202" s="2" t="str">
        <f>IF($C1202="","",IFERROR(VLOOKUP($C1202,sources!$A$2:$N$200,2,FALSE()),"?"))</f>
        <v>Newspaper</v>
      </c>
      <c r="R1202" s="2" t="str">
        <f t="shared" si="18"/>
        <v>Textual</v>
      </c>
      <c r="S1202" s="2" t="str">
        <f>IF($C1202="","",IFERROR(VLOOKUP($C1202,sources!$A$2:$N$200,9,FALSE()),"?"))</f>
        <v>US press</v>
      </c>
      <c r="T1202" t="s">
        <v>5692</v>
      </c>
      <c r="U1202">
        <f>IF(OR(B1202="",C1202="",T1202="Retracted",LEFT(D1202,8)="Negative"),0,IF(COUNTIFS($B$2:B1202,B1202,$C$2:C1202,C1202,$D$2:D1202,"&lt;&gt;Negative*",$T$2:T1202,"&lt;&gt;Retracted")=1,1,0))</f>
        <v>1</v>
      </c>
    </row>
    <row r="1203" spans="1:21" x14ac:dyDescent="0.2">
      <c r="A1203" t="s">
        <v>3141</v>
      </c>
      <c r="B1203" t="s">
        <v>386</v>
      </c>
      <c r="C1203" t="s">
        <v>1203</v>
      </c>
      <c r="D1203" t="s">
        <v>1575</v>
      </c>
      <c r="E1203" t="s">
        <v>560</v>
      </c>
      <c r="F1203" t="s">
        <v>1583</v>
      </c>
      <c r="I1203" t="s">
        <v>1058</v>
      </c>
      <c r="M1203" t="s">
        <v>190</v>
      </c>
      <c r="N1203" t="s">
        <v>209</v>
      </c>
      <c r="Q1203" s="2" t="str">
        <f>IF($C1203="","",IFERROR(VLOOKUP($C1203,sources!$A$2:$N$200,2,FALSE()),"?"))</f>
        <v>Newspaper</v>
      </c>
      <c r="R1203" s="2" t="str">
        <f t="shared" si="18"/>
        <v>Textual</v>
      </c>
      <c r="S1203" s="2" t="str">
        <f>IF($C1203="","",IFERROR(VLOOKUP($C1203,sources!$A$2:$N$200,9,FALSE()),"?"))</f>
        <v>US press</v>
      </c>
      <c r="T1203" t="s">
        <v>5693</v>
      </c>
      <c r="U1203">
        <f>IF(OR(B1203="",C1203="",T1203="Retracted",LEFT(D1203,8)="Negative"),0,IF(COUNTIFS($B$2:B1203,B1203,$C$2:C1203,C1203,$D$2:D1203,"&lt;&gt;Negative*",$T$2:T1203,"&lt;&gt;Retracted")=1,1,0))</f>
        <v>0</v>
      </c>
    </row>
    <row r="1204" spans="1:21" x14ac:dyDescent="0.2">
      <c r="A1204" t="s">
        <v>3142</v>
      </c>
      <c r="B1204" t="s">
        <v>565</v>
      </c>
      <c r="C1204" t="s">
        <v>1203</v>
      </c>
      <c r="D1204" t="s">
        <v>1575</v>
      </c>
      <c r="E1204" t="s">
        <v>566</v>
      </c>
      <c r="F1204" t="s">
        <v>1583</v>
      </c>
      <c r="I1204" t="s">
        <v>1058</v>
      </c>
      <c r="K1204">
        <v>1883</v>
      </c>
      <c r="L1204">
        <v>1883</v>
      </c>
      <c r="M1204" t="s">
        <v>209</v>
      </c>
      <c r="N1204" t="s">
        <v>209</v>
      </c>
      <c r="Q1204" s="2" t="str">
        <f>IF($C1204="","",IFERROR(VLOOKUP($C1204,sources!$A$2:$N$200,2,FALSE()),"?"))</f>
        <v>Newspaper</v>
      </c>
      <c r="R1204" s="2" t="str">
        <f t="shared" si="18"/>
        <v>Textual</v>
      </c>
      <c r="S1204" s="2" t="str">
        <f>IF($C1204="","",IFERROR(VLOOKUP($C1204,sources!$A$2:$N$200,9,FALSE()),"?"))</f>
        <v>US press</v>
      </c>
      <c r="T1204" t="s">
        <v>5692</v>
      </c>
      <c r="U1204">
        <f>IF(OR(B1204="",C1204="",T1204="Retracted",LEFT(D1204,8)="Negative"),0,IF(COUNTIFS($B$2:B1204,B1204,$C$2:C1204,C1204,$D$2:D1204,"&lt;&gt;Negative*",$T$2:T1204,"&lt;&gt;Retracted")=1,1,0))</f>
        <v>1</v>
      </c>
    </row>
    <row r="1205" spans="1:21" x14ac:dyDescent="0.2">
      <c r="A1205" t="s">
        <v>3143</v>
      </c>
      <c r="B1205" t="s">
        <v>570</v>
      </c>
      <c r="C1205" t="s">
        <v>1203</v>
      </c>
      <c r="D1205" t="s">
        <v>1613</v>
      </c>
      <c r="E1205" t="s">
        <v>571</v>
      </c>
      <c r="F1205" t="s">
        <v>1583</v>
      </c>
      <c r="I1205" t="s">
        <v>1058</v>
      </c>
      <c r="M1205" t="s">
        <v>190</v>
      </c>
      <c r="N1205" t="s">
        <v>209</v>
      </c>
      <c r="Q1205" s="2" t="str">
        <f>IF($C1205="","",IFERROR(VLOOKUP($C1205,sources!$A$2:$N$200,2,FALSE()),"?"))</f>
        <v>Newspaper</v>
      </c>
      <c r="R1205" s="2" t="str">
        <f t="shared" si="18"/>
        <v>Textual</v>
      </c>
      <c r="S1205" s="2" t="str">
        <f>IF($C1205="","",IFERROR(VLOOKUP($C1205,sources!$A$2:$N$200,9,FALSE()),"?"))</f>
        <v>US press</v>
      </c>
      <c r="T1205" t="s">
        <v>5692</v>
      </c>
      <c r="U1205">
        <f>IF(OR(B1205="",C1205="",T1205="Retracted",LEFT(D1205,8)="Negative"),0,IF(COUNTIFS($B$2:B1205,B1205,$C$2:C1205,C1205,$D$2:D1205,"&lt;&gt;Negative*",$T$2:T1205,"&lt;&gt;Retracted")=1,1,0))</f>
        <v>0</v>
      </c>
    </row>
    <row r="1206" spans="1:21" x14ac:dyDescent="0.2">
      <c r="A1206" t="s">
        <v>3144</v>
      </c>
      <c r="B1206" t="s">
        <v>575</v>
      </c>
      <c r="C1206" t="s">
        <v>1203</v>
      </c>
      <c r="D1206" t="s">
        <v>1575</v>
      </c>
      <c r="E1206" t="s">
        <v>576</v>
      </c>
      <c r="F1206" t="s">
        <v>1583</v>
      </c>
      <c r="I1206" t="s">
        <v>1058</v>
      </c>
      <c r="M1206" t="s">
        <v>190</v>
      </c>
      <c r="N1206" t="s">
        <v>209</v>
      </c>
      <c r="Q1206" s="2" t="str">
        <f>IF($C1206="","",IFERROR(VLOOKUP($C1206,sources!$A$2:$N$200,2,FALSE()),"?"))</f>
        <v>Newspaper</v>
      </c>
      <c r="R1206" s="2" t="str">
        <f t="shared" si="18"/>
        <v>Textual</v>
      </c>
      <c r="S1206" s="2" t="str">
        <f>IF($C1206="","",IFERROR(VLOOKUP($C1206,sources!$A$2:$N$200,9,FALSE()),"?"))</f>
        <v>US press</v>
      </c>
      <c r="T1206" t="s">
        <v>5692</v>
      </c>
      <c r="U1206">
        <f>IF(OR(B1206="",C1206="",T1206="Retracted",LEFT(D1206,8)="Negative"),0,IF(COUNTIFS($B$2:B1206,B1206,$C$2:C1206,C1206,$D$2:D1206,"&lt;&gt;Negative*",$T$2:T1206,"&lt;&gt;Retracted")=1,1,0))</f>
        <v>1</v>
      </c>
    </row>
    <row r="1207" spans="1:21" x14ac:dyDescent="0.2">
      <c r="A1207" t="s">
        <v>3145</v>
      </c>
      <c r="B1207" t="s">
        <v>580</v>
      </c>
      <c r="C1207" t="s">
        <v>1203</v>
      </c>
      <c r="D1207" t="s">
        <v>1575</v>
      </c>
      <c r="E1207" t="s">
        <v>581</v>
      </c>
      <c r="F1207" t="s">
        <v>1583</v>
      </c>
      <c r="I1207" t="s">
        <v>1058</v>
      </c>
      <c r="M1207" t="s">
        <v>190</v>
      </c>
      <c r="N1207" t="s">
        <v>209</v>
      </c>
      <c r="Q1207" s="2" t="str">
        <f>IF($C1207="","",IFERROR(VLOOKUP($C1207,sources!$A$2:$N$200,2,FALSE()),"?"))</f>
        <v>Newspaper</v>
      </c>
      <c r="R1207" s="2" t="str">
        <f t="shared" si="18"/>
        <v>Textual</v>
      </c>
      <c r="S1207" s="2" t="str">
        <f>IF($C1207="","",IFERROR(VLOOKUP($C1207,sources!$A$2:$N$200,9,FALSE()),"?"))</f>
        <v>US press</v>
      </c>
      <c r="T1207" t="s">
        <v>5692</v>
      </c>
      <c r="U1207">
        <f>IF(OR(B1207="",C1207="",T1207="Retracted",LEFT(D1207,8)="Negative"),0,IF(COUNTIFS($B$2:B1207,B1207,$C$2:C1207,C1207,$D$2:D1207,"&lt;&gt;Negative*",$T$2:T1207,"&lt;&gt;Retracted")=1,1,0))</f>
        <v>1</v>
      </c>
    </row>
    <row r="1208" spans="1:21" x14ac:dyDescent="0.2">
      <c r="A1208" t="s">
        <v>3146</v>
      </c>
      <c r="B1208" t="s">
        <v>584</v>
      </c>
      <c r="C1208" t="s">
        <v>1203</v>
      </c>
      <c r="D1208" t="s">
        <v>1613</v>
      </c>
      <c r="E1208" t="s">
        <v>586</v>
      </c>
      <c r="F1208" t="s">
        <v>1583</v>
      </c>
      <c r="I1208" t="s">
        <v>1058</v>
      </c>
      <c r="M1208" t="s">
        <v>190</v>
      </c>
      <c r="N1208" t="s">
        <v>209</v>
      </c>
      <c r="Q1208" s="2" t="str">
        <f>IF($C1208="","",IFERROR(VLOOKUP($C1208,sources!$A$2:$N$200,2,FALSE()),"?"))</f>
        <v>Newspaper</v>
      </c>
      <c r="R1208" s="2" t="str">
        <f t="shared" si="18"/>
        <v>Textual</v>
      </c>
      <c r="S1208" s="2" t="str">
        <f>IF($C1208="","",IFERROR(VLOOKUP($C1208,sources!$A$2:$N$200,9,FALSE()),"?"))</f>
        <v>US press</v>
      </c>
      <c r="T1208" t="s">
        <v>5692</v>
      </c>
      <c r="U1208">
        <f>IF(OR(B1208="",C1208="",T1208="Retracted",LEFT(D1208,8)="Negative"),0,IF(COUNTIFS($B$2:B1208,B1208,$C$2:C1208,C1208,$D$2:D1208,"&lt;&gt;Negative*",$T$2:T1208,"&lt;&gt;Retracted")=1,1,0))</f>
        <v>0</v>
      </c>
    </row>
    <row r="1209" spans="1:21" x14ac:dyDescent="0.2">
      <c r="A1209" t="s">
        <v>3147</v>
      </c>
      <c r="B1209" t="s">
        <v>592</v>
      </c>
      <c r="C1209" t="s">
        <v>1203</v>
      </c>
      <c r="D1209" t="s">
        <v>1575</v>
      </c>
      <c r="E1209" t="s">
        <v>593</v>
      </c>
      <c r="F1209" t="s">
        <v>1583</v>
      </c>
      <c r="I1209" t="s">
        <v>1058</v>
      </c>
      <c r="K1209">
        <v>1902</v>
      </c>
      <c r="L1209">
        <v>1902</v>
      </c>
      <c r="M1209" t="s">
        <v>209</v>
      </c>
      <c r="N1209" t="s">
        <v>209</v>
      </c>
      <c r="Q1209" s="2" t="str">
        <f>IF($C1209="","",IFERROR(VLOOKUP($C1209,sources!$A$2:$N$200,2,FALSE()),"?"))</f>
        <v>Newspaper</v>
      </c>
      <c r="R1209" s="2" t="str">
        <f t="shared" si="18"/>
        <v>Textual</v>
      </c>
      <c r="S1209" s="2" t="str">
        <f>IF($C1209="","",IFERROR(VLOOKUP($C1209,sources!$A$2:$N$200,9,FALSE()),"?"))</f>
        <v>US press</v>
      </c>
      <c r="T1209" t="s">
        <v>5692</v>
      </c>
      <c r="U1209">
        <f>IF(OR(B1209="",C1209="",T1209="Retracted",LEFT(D1209,8)="Negative"),0,IF(COUNTIFS($B$2:B1209,B1209,$C$2:C1209,C1209,$D$2:D1209,"&lt;&gt;Negative*",$T$2:T1209,"&lt;&gt;Retracted")=1,1,0))</f>
        <v>1</v>
      </c>
    </row>
    <row r="1210" spans="1:21" x14ac:dyDescent="0.2">
      <c r="A1210" t="s">
        <v>3148</v>
      </c>
      <c r="B1210" t="s">
        <v>595</v>
      </c>
      <c r="C1210" t="s">
        <v>1203</v>
      </c>
      <c r="D1210" t="s">
        <v>1575</v>
      </c>
      <c r="E1210" t="s">
        <v>596</v>
      </c>
      <c r="F1210" t="s">
        <v>1583</v>
      </c>
      <c r="I1210" t="s">
        <v>1058</v>
      </c>
      <c r="K1210">
        <v>1912</v>
      </c>
      <c r="L1210">
        <v>1912</v>
      </c>
      <c r="M1210" t="s">
        <v>209</v>
      </c>
      <c r="N1210" t="s">
        <v>209</v>
      </c>
      <c r="Q1210" s="2" t="str">
        <f>IF($C1210="","",IFERROR(VLOOKUP($C1210,sources!$A$2:$N$200,2,FALSE()),"?"))</f>
        <v>Newspaper</v>
      </c>
      <c r="R1210" s="2" t="str">
        <f t="shared" si="18"/>
        <v>Textual</v>
      </c>
      <c r="S1210" s="2" t="str">
        <f>IF($C1210="","",IFERROR(VLOOKUP($C1210,sources!$A$2:$N$200,9,FALSE()),"?"))</f>
        <v>US press</v>
      </c>
      <c r="T1210" t="s">
        <v>5692</v>
      </c>
      <c r="U1210">
        <f>IF(OR(B1210="",C1210="",T1210="Retracted",LEFT(D1210,8)="Negative"),0,IF(COUNTIFS($B$2:B1210,B1210,$C$2:C1210,C1210,$D$2:D1210,"&lt;&gt;Negative*",$T$2:T1210,"&lt;&gt;Retracted")=1,1,0))</f>
        <v>1</v>
      </c>
    </row>
    <row r="1211" spans="1:21" x14ac:dyDescent="0.2">
      <c r="A1211" t="s">
        <v>3149</v>
      </c>
      <c r="B1211" t="s">
        <v>599</v>
      </c>
      <c r="C1211" t="s">
        <v>1203</v>
      </c>
      <c r="D1211" t="s">
        <v>1575</v>
      </c>
      <c r="E1211" t="s">
        <v>2853</v>
      </c>
      <c r="F1211" t="s">
        <v>1583</v>
      </c>
      <c r="I1211" t="s">
        <v>1058</v>
      </c>
      <c r="K1211">
        <v>1907</v>
      </c>
      <c r="L1211">
        <v>1907</v>
      </c>
      <c r="M1211" t="s">
        <v>209</v>
      </c>
      <c r="N1211" t="s">
        <v>209</v>
      </c>
      <c r="Q1211" s="2" t="str">
        <f>IF($C1211="","",IFERROR(VLOOKUP($C1211,sources!$A$2:$N$200,2,FALSE()),"?"))</f>
        <v>Newspaper</v>
      </c>
      <c r="R1211" s="2" t="str">
        <f t="shared" si="18"/>
        <v>Textual</v>
      </c>
      <c r="S1211" s="2" t="str">
        <f>IF($C1211="","",IFERROR(VLOOKUP($C1211,sources!$A$2:$N$200,9,FALSE()),"?"))</f>
        <v>US press</v>
      </c>
      <c r="T1211" t="s">
        <v>5692</v>
      </c>
      <c r="U1211">
        <f>IF(OR(B1211="",C1211="",T1211="Retracted",LEFT(D1211,8)="Negative"),0,IF(COUNTIFS($B$2:B1211,B1211,$C$2:C1211,C1211,$D$2:D1211,"&lt;&gt;Negative*",$T$2:T1211,"&lt;&gt;Retracted")=1,1,0))</f>
        <v>1</v>
      </c>
    </row>
    <row r="1212" spans="1:21" x14ac:dyDescent="0.2">
      <c r="A1212" t="s">
        <v>3150</v>
      </c>
      <c r="B1212" t="s">
        <v>603</v>
      </c>
      <c r="C1212" t="s">
        <v>1203</v>
      </c>
      <c r="D1212" t="s">
        <v>1613</v>
      </c>
      <c r="E1212" t="s">
        <v>604</v>
      </c>
      <c r="F1212" t="s">
        <v>1583</v>
      </c>
      <c r="I1212" t="s">
        <v>1058</v>
      </c>
      <c r="M1212" t="s">
        <v>190</v>
      </c>
      <c r="N1212" t="s">
        <v>209</v>
      </c>
      <c r="Q1212" s="2" t="str">
        <f>IF($C1212="","",IFERROR(VLOOKUP($C1212,sources!$A$2:$N$200,2,FALSE()),"?"))</f>
        <v>Newspaper</v>
      </c>
      <c r="R1212" s="2" t="str">
        <f t="shared" si="18"/>
        <v>Textual</v>
      </c>
      <c r="S1212" s="2" t="str">
        <f>IF($C1212="","",IFERROR(VLOOKUP($C1212,sources!$A$2:$N$200,9,FALSE()),"?"))</f>
        <v>US press</v>
      </c>
      <c r="T1212" t="s">
        <v>5692</v>
      </c>
      <c r="U1212">
        <f>IF(OR(B1212="",C1212="",T1212="Retracted",LEFT(D1212,8)="Negative"),0,IF(COUNTIFS($B$2:B1212,B1212,$C$2:C1212,C1212,$D$2:D1212,"&lt;&gt;Negative*",$T$2:T1212,"&lt;&gt;Retracted")=1,1,0))</f>
        <v>0</v>
      </c>
    </row>
    <row r="1213" spans="1:21" x14ac:dyDescent="0.2">
      <c r="A1213" t="s">
        <v>3151</v>
      </c>
      <c r="B1213" t="s">
        <v>607</v>
      </c>
      <c r="C1213" t="s">
        <v>1203</v>
      </c>
      <c r="D1213" t="s">
        <v>1575</v>
      </c>
      <c r="E1213" t="s">
        <v>609</v>
      </c>
      <c r="F1213" t="s">
        <v>1583</v>
      </c>
      <c r="I1213" t="s">
        <v>1058</v>
      </c>
      <c r="K1213">
        <v>1902</v>
      </c>
      <c r="L1213">
        <v>1902</v>
      </c>
      <c r="M1213" t="s">
        <v>209</v>
      </c>
      <c r="N1213" t="s">
        <v>209</v>
      </c>
      <c r="Q1213" s="2" t="str">
        <f>IF($C1213="","",IFERROR(VLOOKUP($C1213,sources!$A$2:$N$200,2,FALSE()),"?"))</f>
        <v>Newspaper</v>
      </c>
      <c r="R1213" s="2" t="str">
        <f t="shared" si="18"/>
        <v>Textual</v>
      </c>
      <c r="S1213" s="2" t="str">
        <f>IF($C1213="","",IFERROR(VLOOKUP($C1213,sources!$A$2:$N$200,9,FALSE()),"?"))</f>
        <v>US press</v>
      </c>
      <c r="T1213" t="s">
        <v>5692</v>
      </c>
      <c r="U1213">
        <f>IF(OR(B1213="",C1213="",T1213="Retracted",LEFT(D1213,8)="Negative"),0,IF(COUNTIFS($B$2:B1213,B1213,$C$2:C1213,C1213,$D$2:D1213,"&lt;&gt;Negative*",$T$2:T1213,"&lt;&gt;Retracted")=1,1,0))</f>
        <v>1</v>
      </c>
    </row>
    <row r="1214" spans="1:21" x14ac:dyDescent="0.2">
      <c r="A1214" t="s">
        <v>3152</v>
      </c>
      <c r="B1214" t="s">
        <v>287</v>
      </c>
      <c r="C1214" t="s">
        <v>1203</v>
      </c>
      <c r="D1214" t="s">
        <v>1613</v>
      </c>
      <c r="E1214" t="s">
        <v>2857</v>
      </c>
      <c r="F1214" t="s">
        <v>1583</v>
      </c>
      <c r="I1214" t="s">
        <v>1058</v>
      </c>
      <c r="M1214" t="s">
        <v>190</v>
      </c>
      <c r="N1214" t="s">
        <v>209</v>
      </c>
      <c r="Q1214" s="2" t="str">
        <f>IF($C1214="","",IFERROR(VLOOKUP($C1214,sources!$A$2:$N$200,2,FALSE()),"?"))</f>
        <v>Newspaper</v>
      </c>
      <c r="R1214" s="2" t="str">
        <f t="shared" si="18"/>
        <v>Textual</v>
      </c>
      <c r="S1214" s="2" t="str">
        <f>IF($C1214="","",IFERROR(VLOOKUP($C1214,sources!$A$2:$N$200,9,FALSE()),"?"))</f>
        <v>US press</v>
      </c>
      <c r="T1214" t="s">
        <v>5692</v>
      </c>
      <c r="U1214">
        <f>IF(OR(B1214="",C1214="",T1214="Retracted",LEFT(D1214,8)="Negative"),0,IF(COUNTIFS($B$2:B1214,B1214,$C$2:C1214,C1214,$D$2:D1214,"&lt;&gt;Negative*",$T$2:T1214,"&lt;&gt;Retracted")=1,1,0))</f>
        <v>0</v>
      </c>
    </row>
    <row r="1215" spans="1:21" x14ac:dyDescent="0.2">
      <c r="A1215" t="s">
        <v>3153</v>
      </c>
      <c r="B1215" t="s">
        <v>294</v>
      </c>
      <c r="C1215" t="s">
        <v>1203</v>
      </c>
      <c r="D1215" t="s">
        <v>1613</v>
      </c>
      <c r="E1215" t="s">
        <v>2859</v>
      </c>
      <c r="F1215" t="s">
        <v>1583</v>
      </c>
      <c r="I1215" t="s">
        <v>1058</v>
      </c>
      <c r="M1215" t="s">
        <v>190</v>
      </c>
      <c r="N1215" t="s">
        <v>209</v>
      </c>
      <c r="Q1215" s="2" t="str">
        <f>IF($C1215="","",IFERROR(VLOOKUP($C1215,sources!$A$2:$N$200,2,FALSE()),"?"))</f>
        <v>Newspaper</v>
      </c>
      <c r="R1215" s="2" t="str">
        <f t="shared" si="18"/>
        <v>Textual</v>
      </c>
      <c r="S1215" s="2" t="str">
        <f>IF($C1215="","",IFERROR(VLOOKUP($C1215,sources!$A$2:$N$200,9,FALSE()),"?"))</f>
        <v>US press</v>
      </c>
      <c r="T1215" t="s">
        <v>5692</v>
      </c>
      <c r="U1215">
        <f>IF(OR(B1215="",C1215="",T1215="Retracted",LEFT(D1215,8)="Negative"),0,IF(COUNTIFS($B$2:B1215,B1215,$C$2:C1215,C1215,$D$2:D1215,"&lt;&gt;Negative*",$T$2:T1215,"&lt;&gt;Retracted")=1,1,0))</f>
        <v>0</v>
      </c>
    </row>
    <row r="1216" spans="1:21" x14ac:dyDescent="0.2">
      <c r="A1216" t="s">
        <v>3154</v>
      </c>
      <c r="B1216" t="s">
        <v>660</v>
      </c>
      <c r="C1216" t="s">
        <v>1203</v>
      </c>
      <c r="D1216" t="s">
        <v>1613</v>
      </c>
      <c r="E1216" t="s">
        <v>3155</v>
      </c>
      <c r="F1216" t="s">
        <v>1583</v>
      </c>
      <c r="I1216" t="s">
        <v>1058</v>
      </c>
      <c r="M1216" t="s">
        <v>190</v>
      </c>
      <c r="N1216" t="s">
        <v>209</v>
      </c>
      <c r="Q1216" s="2" t="str">
        <f>IF($C1216="","",IFERROR(VLOOKUP($C1216,sources!$A$2:$N$200,2,FALSE()),"?"))</f>
        <v>Newspaper</v>
      </c>
      <c r="R1216" s="2" t="str">
        <f t="shared" si="18"/>
        <v>Textual</v>
      </c>
      <c r="S1216" s="2" t="str">
        <f>IF($C1216="","",IFERROR(VLOOKUP($C1216,sources!$A$2:$N$200,9,FALSE()),"?"))</f>
        <v>US press</v>
      </c>
      <c r="T1216" t="s">
        <v>5692</v>
      </c>
      <c r="U1216">
        <f>IF(OR(B1216="",C1216="",T1216="Retracted",LEFT(D1216,8)="Negative"),0,IF(COUNTIFS($B$2:B1216,B1216,$C$2:C1216,C1216,$D$2:D1216,"&lt;&gt;Negative*",$T$2:T1216,"&lt;&gt;Retracted")=1,1,0))</f>
        <v>0</v>
      </c>
    </row>
    <row r="1217" spans="1:21" x14ac:dyDescent="0.2">
      <c r="A1217" t="s">
        <v>3156</v>
      </c>
      <c r="B1217" t="s">
        <v>317</v>
      </c>
      <c r="C1217" t="s">
        <v>1203</v>
      </c>
      <c r="D1217" t="s">
        <v>1575</v>
      </c>
      <c r="E1217" t="s">
        <v>3157</v>
      </c>
      <c r="F1217" t="s">
        <v>1583</v>
      </c>
      <c r="I1217" t="s">
        <v>1058</v>
      </c>
      <c r="M1217" t="s">
        <v>190</v>
      </c>
      <c r="N1217" t="s">
        <v>209</v>
      </c>
      <c r="Q1217" s="2" t="str">
        <f>IF($C1217="","",IFERROR(VLOOKUP($C1217,sources!$A$2:$N$200,2,FALSE()),"?"))</f>
        <v>Newspaper</v>
      </c>
      <c r="R1217" s="2" t="str">
        <f t="shared" si="18"/>
        <v>Textual</v>
      </c>
      <c r="S1217" s="2" t="str">
        <f>IF($C1217="","",IFERROR(VLOOKUP($C1217,sources!$A$2:$N$200,9,FALSE()),"?"))</f>
        <v>US press</v>
      </c>
      <c r="T1217" t="s">
        <v>5692</v>
      </c>
      <c r="U1217">
        <f>IF(OR(B1217="",C1217="",T1217="Retracted",LEFT(D1217,8)="Negative"),0,IF(COUNTIFS($B$2:B1217,B1217,$C$2:C1217,C1217,$D$2:D1217,"&lt;&gt;Negative*",$T$2:T1217,"&lt;&gt;Retracted")=1,1,0))</f>
        <v>1</v>
      </c>
    </row>
    <row r="1218" spans="1:21" x14ac:dyDescent="0.2">
      <c r="A1218" t="s">
        <v>3158</v>
      </c>
      <c r="B1218" t="s">
        <v>322</v>
      </c>
      <c r="C1218" t="s">
        <v>1203</v>
      </c>
      <c r="D1218" t="s">
        <v>1575</v>
      </c>
      <c r="E1218" t="s">
        <v>3159</v>
      </c>
      <c r="F1218" t="s">
        <v>1583</v>
      </c>
      <c r="I1218" t="s">
        <v>1058</v>
      </c>
      <c r="M1218" t="s">
        <v>190</v>
      </c>
      <c r="N1218" t="s">
        <v>209</v>
      </c>
      <c r="Q1218" s="2" t="str">
        <f>IF($C1218="","",IFERROR(VLOOKUP($C1218,sources!$A$2:$N$200,2,FALSE()),"?"))</f>
        <v>Newspaper</v>
      </c>
      <c r="R1218" s="2" t="str">
        <f t="shared" ref="R1218:R1281" si="19">IF($Q1218="","",IF($Q1218="Map","Map",IF(OR($Q1218="Photograph",$Q1218="Postcard"),"Image",IF(OR($Q1218="Census or roll",$Q1218="Report",$Q1218="Newspaper",$Q1218="Letter",$Q1218="Memoir",$Q1218="Administrative",$Q1218="Web compilation"),"Textual",IF($Q1218="Legal claim","Legal/admin",IF($Q1218="Secondary","Secondary","Other"))))))</f>
        <v>Textual</v>
      </c>
      <c r="S1218" s="2" t="str">
        <f>IF($C1218="","",IFERROR(VLOOKUP($C1218,sources!$A$2:$N$200,9,FALSE()),"?"))</f>
        <v>US press</v>
      </c>
      <c r="T1218" t="s">
        <v>5692</v>
      </c>
      <c r="U1218">
        <f>IF(OR(B1218="",C1218="",T1218="Retracted",LEFT(D1218,8)="Negative"),0,IF(COUNTIFS($B$2:B1218,B1218,$C$2:C1218,C1218,$D$2:D1218,"&lt;&gt;Negative*",$T$2:T1218,"&lt;&gt;Retracted")=1,1,0))</f>
        <v>1</v>
      </c>
    </row>
    <row r="1219" spans="1:21" x14ac:dyDescent="0.2">
      <c r="A1219" t="s">
        <v>3160</v>
      </c>
      <c r="B1219" t="s">
        <v>619</v>
      </c>
      <c r="C1219" t="s">
        <v>1203</v>
      </c>
      <c r="D1219" t="s">
        <v>1575</v>
      </c>
      <c r="E1219" t="s">
        <v>620</v>
      </c>
      <c r="F1219" t="s">
        <v>1583</v>
      </c>
      <c r="I1219" t="s">
        <v>1058</v>
      </c>
      <c r="M1219" t="s">
        <v>190</v>
      </c>
      <c r="N1219" t="s">
        <v>209</v>
      </c>
      <c r="Q1219" s="2" t="str">
        <f>IF($C1219="","",IFERROR(VLOOKUP($C1219,sources!$A$2:$N$200,2,FALSE()),"?"))</f>
        <v>Newspaper</v>
      </c>
      <c r="R1219" s="2" t="str">
        <f t="shared" si="19"/>
        <v>Textual</v>
      </c>
      <c r="S1219" s="2" t="str">
        <f>IF($C1219="","",IFERROR(VLOOKUP($C1219,sources!$A$2:$N$200,9,FALSE()),"?"))</f>
        <v>US press</v>
      </c>
      <c r="T1219" t="s">
        <v>5692</v>
      </c>
      <c r="U1219">
        <f>IF(OR(B1219="",C1219="",T1219="Retracted",LEFT(D1219,8)="Negative"),0,IF(COUNTIFS($B$2:B1219,B1219,$C$2:C1219,C1219,$D$2:D1219,"&lt;&gt;Negative*",$T$2:T1219,"&lt;&gt;Retracted")=1,1,0))</f>
        <v>1</v>
      </c>
    </row>
    <row r="1220" spans="1:21" x14ac:dyDescent="0.2">
      <c r="A1220" t="s">
        <v>3161</v>
      </c>
      <c r="B1220" t="s">
        <v>625</v>
      </c>
      <c r="C1220" t="s">
        <v>1203</v>
      </c>
      <c r="D1220" t="s">
        <v>1575</v>
      </c>
      <c r="E1220" t="s">
        <v>626</v>
      </c>
      <c r="F1220" t="s">
        <v>1583</v>
      </c>
      <c r="I1220" t="s">
        <v>1058</v>
      </c>
      <c r="M1220" t="s">
        <v>190</v>
      </c>
      <c r="N1220" t="s">
        <v>209</v>
      </c>
      <c r="Q1220" s="2" t="str">
        <f>IF($C1220="","",IFERROR(VLOOKUP($C1220,sources!$A$2:$N$200,2,FALSE()),"?"))</f>
        <v>Newspaper</v>
      </c>
      <c r="R1220" s="2" t="str">
        <f t="shared" si="19"/>
        <v>Textual</v>
      </c>
      <c r="S1220" s="2" t="str">
        <f>IF($C1220="","",IFERROR(VLOOKUP($C1220,sources!$A$2:$N$200,9,FALSE()),"?"))</f>
        <v>US press</v>
      </c>
      <c r="T1220" t="s">
        <v>5692</v>
      </c>
      <c r="U1220">
        <f>IF(OR(B1220="",C1220="",T1220="Retracted",LEFT(D1220,8)="Negative"),0,IF(COUNTIFS($B$2:B1220,B1220,$C$2:C1220,C1220,$D$2:D1220,"&lt;&gt;Negative*",$T$2:T1220,"&lt;&gt;Retracted")=1,1,0))</f>
        <v>1</v>
      </c>
    </row>
    <row r="1221" spans="1:21" x14ac:dyDescent="0.2">
      <c r="A1221" t="s">
        <v>3162</v>
      </c>
      <c r="B1221" t="s">
        <v>630</v>
      </c>
      <c r="C1221" t="s">
        <v>1203</v>
      </c>
      <c r="D1221" t="s">
        <v>1575</v>
      </c>
      <c r="E1221" t="s">
        <v>631</v>
      </c>
      <c r="F1221" t="s">
        <v>1583</v>
      </c>
      <c r="I1221" t="s">
        <v>1058</v>
      </c>
      <c r="K1221">
        <v>1906</v>
      </c>
      <c r="L1221">
        <v>1906</v>
      </c>
      <c r="M1221" t="s">
        <v>209</v>
      </c>
      <c r="N1221" t="s">
        <v>209</v>
      </c>
      <c r="Q1221" s="2" t="str">
        <f>IF($C1221="","",IFERROR(VLOOKUP($C1221,sources!$A$2:$N$200,2,FALSE()),"?"))</f>
        <v>Newspaper</v>
      </c>
      <c r="R1221" s="2" t="str">
        <f t="shared" si="19"/>
        <v>Textual</v>
      </c>
      <c r="S1221" s="2" t="str">
        <f>IF($C1221="","",IFERROR(VLOOKUP($C1221,sources!$A$2:$N$200,9,FALSE()),"?"))</f>
        <v>US press</v>
      </c>
      <c r="T1221" t="s">
        <v>5692</v>
      </c>
      <c r="U1221">
        <f>IF(OR(B1221="",C1221="",T1221="Retracted",LEFT(D1221,8)="Negative"),0,IF(COUNTIFS($B$2:B1221,B1221,$C$2:C1221,C1221,$D$2:D1221,"&lt;&gt;Negative*",$T$2:T1221,"&lt;&gt;Retracted")=1,1,0))</f>
        <v>1</v>
      </c>
    </row>
    <row r="1222" spans="1:21" x14ac:dyDescent="0.2">
      <c r="A1222" t="s">
        <v>3163</v>
      </c>
      <c r="B1222" t="s">
        <v>635</v>
      </c>
      <c r="C1222" t="s">
        <v>1203</v>
      </c>
      <c r="D1222" t="s">
        <v>1613</v>
      </c>
      <c r="E1222" t="s">
        <v>636</v>
      </c>
      <c r="F1222" t="s">
        <v>1583</v>
      </c>
      <c r="I1222" t="s">
        <v>1058</v>
      </c>
      <c r="M1222" t="s">
        <v>190</v>
      </c>
      <c r="N1222" t="s">
        <v>209</v>
      </c>
      <c r="Q1222" s="2" t="str">
        <f>IF($C1222="","",IFERROR(VLOOKUP($C1222,sources!$A$2:$N$200,2,FALSE()),"?"))</f>
        <v>Newspaper</v>
      </c>
      <c r="R1222" s="2" t="str">
        <f t="shared" si="19"/>
        <v>Textual</v>
      </c>
      <c r="S1222" s="2" t="str">
        <f>IF($C1222="","",IFERROR(VLOOKUP($C1222,sources!$A$2:$N$200,9,FALSE()),"?"))</f>
        <v>US press</v>
      </c>
      <c r="T1222" t="s">
        <v>5692</v>
      </c>
      <c r="U1222">
        <f>IF(OR(B1222="",C1222="",T1222="Retracted",LEFT(D1222,8)="Negative"),0,IF(COUNTIFS($B$2:B1222,B1222,$C$2:C1222,C1222,$D$2:D1222,"&lt;&gt;Negative*",$T$2:T1222,"&lt;&gt;Retracted")=1,1,0))</f>
        <v>0</v>
      </c>
    </row>
    <row r="1223" spans="1:21" x14ac:dyDescent="0.2">
      <c r="A1223" t="s">
        <v>3164</v>
      </c>
      <c r="B1223" t="s">
        <v>639</v>
      </c>
      <c r="C1223" t="s">
        <v>1203</v>
      </c>
      <c r="D1223" t="s">
        <v>1613</v>
      </c>
      <c r="E1223" t="s">
        <v>2855</v>
      </c>
      <c r="F1223" t="s">
        <v>1583</v>
      </c>
      <c r="I1223" t="s">
        <v>1058</v>
      </c>
      <c r="M1223" t="s">
        <v>190</v>
      </c>
      <c r="N1223" t="s">
        <v>209</v>
      </c>
      <c r="Q1223" s="2" t="str">
        <f>IF($C1223="","",IFERROR(VLOOKUP($C1223,sources!$A$2:$N$200,2,FALSE()),"?"))</f>
        <v>Newspaper</v>
      </c>
      <c r="R1223" s="2" t="str">
        <f t="shared" si="19"/>
        <v>Textual</v>
      </c>
      <c r="S1223" s="2" t="str">
        <f>IF($C1223="","",IFERROR(VLOOKUP($C1223,sources!$A$2:$N$200,9,FALSE()),"?"))</f>
        <v>US press</v>
      </c>
      <c r="T1223" t="s">
        <v>5692</v>
      </c>
      <c r="U1223">
        <f>IF(OR(B1223="",C1223="",T1223="Retracted",LEFT(D1223,8)="Negative"),0,IF(COUNTIFS($B$2:B1223,B1223,$C$2:C1223,C1223,$D$2:D1223,"&lt;&gt;Negative*",$T$2:T1223,"&lt;&gt;Retracted")=1,1,0))</f>
        <v>0</v>
      </c>
    </row>
    <row r="1224" spans="1:21" x14ac:dyDescent="0.2">
      <c r="A1224" t="s">
        <v>3165</v>
      </c>
      <c r="B1224" t="s">
        <v>643</v>
      </c>
      <c r="C1224" t="s">
        <v>1203</v>
      </c>
      <c r="D1224" t="s">
        <v>1575</v>
      </c>
      <c r="E1224" t="s">
        <v>644</v>
      </c>
      <c r="F1224" t="s">
        <v>1583</v>
      </c>
      <c r="I1224" t="s">
        <v>1058</v>
      </c>
      <c r="M1224" t="s">
        <v>190</v>
      </c>
      <c r="N1224" t="s">
        <v>209</v>
      </c>
      <c r="Q1224" s="2" t="str">
        <f>IF($C1224="","",IFERROR(VLOOKUP($C1224,sources!$A$2:$N$200,2,FALSE()),"?"))</f>
        <v>Newspaper</v>
      </c>
      <c r="R1224" s="2" t="str">
        <f t="shared" si="19"/>
        <v>Textual</v>
      </c>
      <c r="S1224" s="2" t="str">
        <f>IF($C1224="","",IFERROR(VLOOKUP($C1224,sources!$A$2:$N$200,9,FALSE()),"?"))</f>
        <v>US press</v>
      </c>
      <c r="T1224" t="s">
        <v>5692</v>
      </c>
      <c r="U1224">
        <f>IF(OR(B1224="",C1224="",T1224="Retracted",LEFT(D1224,8)="Negative"),0,IF(COUNTIFS($B$2:B1224,B1224,$C$2:C1224,C1224,$D$2:D1224,"&lt;&gt;Negative*",$T$2:T1224,"&lt;&gt;Retracted")=1,1,0))</f>
        <v>1</v>
      </c>
    </row>
    <row r="1225" spans="1:21" x14ac:dyDescent="0.2">
      <c r="A1225" t="s">
        <v>3166</v>
      </c>
      <c r="B1225" t="s">
        <v>646</v>
      </c>
      <c r="C1225" t="s">
        <v>1203</v>
      </c>
      <c r="D1225" t="s">
        <v>1575</v>
      </c>
      <c r="E1225" t="s">
        <v>647</v>
      </c>
      <c r="F1225" t="s">
        <v>1583</v>
      </c>
      <c r="I1225" t="s">
        <v>1058</v>
      </c>
      <c r="M1225" t="s">
        <v>190</v>
      </c>
      <c r="N1225" t="s">
        <v>209</v>
      </c>
      <c r="Q1225" s="2" t="str">
        <f>IF($C1225="","",IFERROR(VLOOKUP($C1225,sources!$A$2:$N$200,2,FALSE()),"?"))</f>
        <v>Newspaper</v>
      </c>
      <c r="R1225" s="2" t="str">
        <f t="shared" si="19"/>
        <v>Textual</v>
      </c>
      <c r="S1225" s="2" t="str">
        <f>IF($C1225="","",IFERROR(VLOOKUP($C1225,sources!$A$2:$N$200,9,FALSE()),"?"))</f>
        <v>US press</v>
      </c>
      <c r="T1225" t="s">
        <v>5692</v>
      </c>
      <c r="U1225">
        <f>IF(OR(B1225="",C1225="",T1225="Retracted",LEFT(D1225,8)="Negative"),0,IF(COUNTIFS($B$2:B1225,B1225,$C$2:C1225,C1225,$D$2:D1225,"&lt;&gt;Negative*",$T$2:T1225,"&lt;&gt;Retracted")=1,1,0))</f>
        <v>1</v>
      </c>
    </row>
    <row r="1226" spans="1:21" x14ac:dyDescent="0.2">
      <c r="A1226" t="s">
        <v>3167</v>
      </c>
      <c r="B1226" t="s">
        <v>649</v>
      </c>
      <c r="C1226" t="s">
        <v>1203</v>
      </c>
      <c r="D1226" t="s">
        <v>1575</v>
      </c>
      <c r="E1226" t="s">
        <v>650</v>
      </c>
      <c r="F1226" t="s">
        <v>1583</v>
      </c>
      <c r="I1226" t="s">
        <v>1058</v>
      </c>
      <c r="M1226" t="s">
        <v>190</v>
      </c>
      <c r="N1226" t="s">
        <v>209</v>
      </c>
      <c r="Q1226" s="2" t="str">
        <f>IF($C1226="","",IFERROR(VLOOKUP($C1226,sources!$A$2:$N$200,2,FALSE()),"?"))</f>
        <v>Newspaper</v>
      </c>
      <c r="R1226" s="2" t="str">
        <f t="shared" si="19"/>
        <v>Textual</v>
      </c>
      <c r="S1226" s="2" t="str">
        <f>IF($C1226="","",IFERROR(VLOOKUP($C1226,sources!$A$2:$N$200,9,FALSE()),"?"))</f>
        <v>US press</v>
      </c>
      <c r="T1226" t="s">
        <v>5692</v>
      </c>
      <c r="U1226">
        <f>IF(OR(B1226="",C1226="",T1226="Retracted",LEFT(D1226,8)="Negative"),0,IF(COUNTIFS($B$2:B1226,B1226,$C$2:C1226,C1226,$D$2:D1226,"&lt;&gt;Negative*",$T$2:T1226,"&lt;&gt;Retracted")=1,1,0))</f>
        <v>1</v>
      </c>
    </row>
    <row r="1227" spans="1:21" x14ac:dyDescent="0.2">
      <c r="A1227" t="s">
        <v>3168</v>
      </c>
      <c r="B1227" t="s">
        <v>652</v>
      </c>
      <c r="C1227" t="s">
        <v>1203</v>
      </c>
      <c r="D1227" t="s">
        <v>1575</v>
      </c>
      <c r="E1227" t="s">
        <v>2867</v>
      </c>
      <c r="F1227" t="s">
        <v>1583</v>
      </c>
      <c r="I1227" t="s">
        <v>1058</v>
      </c>
      <c r="M1227" t="s">
        <v>190</v>
      </c>
      <c r="N1227" t="s">
        <v>209</v>
      </c>
      <c r="Q1227" s="2" t="str">
        <f>IF($C1227="","",IFERROR(VLOOKUP($C1227,sources!$A$2:$N$200,2,FALSE()),"?"))</f>
        <v>Newspaper</v>
      </c>
      <c r="R1227" s="2" t="str">
        <f t="shared" si="19"/>
        <v>Textual</v>
      </c>
      <c r="S1227" s="2" t="str">
        <f>IF($C1227="","",IFERROR(VLOOKUP($C1227,sources!$A$2:$N$200,9,FALSE()),"?"))</f>
        <v>US press</v>
      </c>
      <c r="T1227" t="s">
        <v>5692</v>
      </c>
      <c r="U1227">
        <f>IF(OR(B1227="",C1227="",T1227="Retracted",LEFT(D1227,8)="Negative"),0,IF(COUNTIFS($B$2:B1227,B1227,$C$2:C1227,C1227,$D$2:D1227,"&lt;&gt;Negative*",$T$2:T1227,"&lt;&gt;Retracted")=1,1,0))</f>
        <v>1</v>
      </c>
    </row>
    <row r="1228" spans="1:21" x14ac:dyDescent="0.2">
      <c r="A1228" t="s">
        <v>3169</v>
      </c>
      <c r="B1228" t="s">
        <v>660</v>
      </c>
      <c r="C1228" t="s">
        <v>1203</v>
      </c>
      <c r="D1228" t="s">
        <v>1575</v>
      </c>
      <c r="E1228" t="s">
        <v>3170</v>
      </c>
      <c r="F1228" t="s">
        <v>1583</v>
      </c>
      <c r="I1228" t="s">
        <v>1058</v>
      </c>
      <c r="M1228" t="s">
        <v>190</v>
      </c>
      <c r="N1228" t="s">
        <v>209</v>
      </c>
      <c r="Q1228" s="2" t="str">
        <f>IF($C1228="","",IFERROR(VLOOKUP($C1228,sources!$A$2:$N$200,2,FALSE()),"?"))</f>
        <v>Newspaper</v>
      </c>
      <c r="R1228" s="2" t="str">
        <f t="shared" si="19"/>
        <v>Textual</v>
      </c>
      <c r="S1228" s="2" t="str">
        <f>IF($C1228="","",IFERROR(VLOOKUP($C1228,sources!$A$2:$N$200,9,FALSE()),"?"))</f>
        <v>US press</v>
      </c>
      <c r="T1228" t="s">
        <v>5692</v>
      </c>
      <c r="U1228">
        <f>IF(OR(B1228="",C1228="",T1228="Retracted",LEFT(D1228,8)="Negative"),0,IF(COUNTIFS($B$2:B1228,B1228,$C$2:C1228,C1228,$D$2:D1228,"&lt;&gt;Negative*",$T$2:T1228,"&lt;&gt;Retracted")=1,1,0))</f>
        <v>1</v>
      </c>
    </row>
    <row r="1229" spans="1:21" x14ac:dyDescent="0.2">
      <c r="A1229" t="s">
        <v>3171</v>
      </c>
      <c r="B1229" t="s">
        <v>663</v>
      </c>
      <c r="C1229" t="s">
        <v>1203</v>
      </c>
      <c r="D1229" t="s">
        <v>1575</v>
      </c>
      <c r="E1229" t="s">
        <v>3172</v>
      </c>
      <c r="F1229" t="s">
        <v>1583</v>
      </c>
      <c r="I1229" t="s">
        <v>1058</v>
      </c>
      <c r="M1229" t="s">
        <v>190</v>
      </c>
      <c r="N1229" t="s">
        <v>209</v>
      </c>
      <c r="Q1229" s="2" t="str">
        <f>IF($C1229="","",IFERROR(VLOOKUP($C1229,sources!$A$2:$N$200,2,FALSE()),"?"))</f>
        <v>Newspaper</v>
      </c>
      <c r="R1229" s="2" t="str">
        <f t="shared" si="19"/>
        <v>Textual</v>
      </c>
      <c r="S1229" s="2" t="str">
        <f>IF($C1229="","",IFERROR(VLOOKUP($C1229,sources!$A$2:$N$200,9,FALSE()),"?"))</f>
        <v>US press</v>
      </c>
      <c r="T1229" t="s">
        <v>5692</v>
      </c>
      <c r="U1229">
        <f>IF(OR(B1229="",C1229="",T1229="Retracted",LEFT(D1229,8)="Negative"),0,IF(COUNTIFS($B$2:B1229,B1229,$C$2:C1229,C1229,$D$2:D1229,"&lt;&gt;Negative*",$T$2:T1229,"&lt;&gt;Retracted")=1,1,0))</f>
        <v>1</v>
      </c>
    </row>
    <row r="1230" spans="1:21" x14ac:dyDescent="0.2">
      <c r="A1230" t="s">
        <v>3173</v>
      </c>
      <c r="B1230" t="s">
        <v>667</v>
      </c>
      <c r="C1230" t="s">
        <v>1203</v>
      </c>
      <c r="D1230" t="s">
        <v>1575</v>
      </c>
      <c r="E1230" t="s">
        <v>3174</v>
      </c>
      <c r="F1230" t="s">
        <v>1583</v>
      </c>
      <c r="I1230" t="s">
        <v>1058</v>
      </c>
      <c r="M1230" t="s">
        <v>190</v>
      </c>
      <c r="N1230" t="s">
        <v>209</v>
      </c>
      <c r="Q1230" s="2" t="str">
        <f>IF($C1230="","",IFERROR(VLOOKUP($C1230,sources!$A$2:$N$200,2,FALSE()),"?"))</f>
        <v>Newspaper</v>
      </c>
      <c r="R1230" s="2" t="str">
        <f t="shared" si="19"/>
        <v>Textual</v>
      </c>
      <c r="S1230" s="2" t="str">
        <f>IF($C1230="","",IFERROR(VLOOKUP($C1230,sources!$A$2:$N$200,9,FALSE()),"?"))</f>
        <v>US press</v>
      </c>
      <c r="T1230" t="s">
        <v>5692</v>
      </c>
      <c r="U1230">
        <f>IF(OR(B1230="",C1230="",T1230="Retracted",LEFT(D1230,8)="Negative"),0,IF(COUNTIFS($B$2:B1230,B1230,$C$2:C1230,C1230,$D$2:D1230,"&lt;&gt;Negative*",$T$2:T1230,"&lt;&gt;Retracted")=1,1,0))</f>
        <v>1</v>
      </c>
    </row>
    <row r="1231" spans="1:21" x14ac:dyDescent="0.2">
      <c r="A1231" t="s">
        <v>3175</v>
      </c>
      <c r="B1231" t="s">
        <v>673</v>
      </c>
      <c r="C1231" t="s">
        <v>1203</v>
      </c>
      <c r="D1231" t="s">
        <v>1575</v>
      </c>
      <c r="E1231" t="s">
        <v>3176</v>
      </c>
      <c r="F1231" t="s">
        <v>1583</v>
      </c>
      <c r="I1231" t="s">
        <v>1058</v>
      </c>
      <c r="M1231" t="s">
        <v>190</v>
      </c>
      <c r="N1231" t="s">
        <v>209</v>
      </c>
      <c r="Q1231" s="2" t="str">
        <f>IF($C1231="","",IFERROR(VLOOKUP($C1231,sources!$A$2:$N$200,2,FALSE()),"?"))</f>
        <v>Newspaper</v>
      </c>
      <c r="R1231" s="2" t="str">
        <f t="shared" si="19"/>
        <v>Textual</v>
      </c>
      <c r="S1231" s="2" t="str">
        <f>IF($C1231="","",IFERROR(VLOOKUP($C1231,sources!$A$2:$N$200,9,FALSE()),"?"))</f>
        <v>US press</v>
      </c>
      <c r="T1231" t="s">
        <v>5692</v>
      </c>
      <c r="U1231">
        <f>IF(OR(B1231="",C1231="",T1231="Retracted",LEFT(D1231,8)="Negative"),0,IF(COUNTIFS($B$2:B1231,B1231,$C$2:C1231,C1231,$D$2:D1231,"&lt;&gt;Negative*",$T$2:T1231,"&lt;&gt;Retracted")=1,1,0))</f>
        <v>1</v>
      </c>
    </row>
    <row r="1232" spans="1:21" x14ac:dyDescent="0.2">
      <c r="A1232" t="s">
        <v>3177</v>
      </c>
      <c r="B1232" t="s">
        <v>677</v>
      </c>
      <c r="C1232" t="s">
        <v>1203</v>
      </c>
      <c r="D1232" t="s">
        <v>1613</v>
      </c>
      <c r="E1232" t="s">
        <v>3178</v>
      </c>
      <c r="F1232" t="s">
        <v>1583</v>
      </c>
      <c r="I1232" t="s">
        <v>1058</v>
      </c>
      <c r="M1232" t="s">
        <v>190</v>
      </c>
      <c r="N1232" t="s">
        <v>209</v>
      </c>
      <c r="Q1232" s="2" t="str">
        <f>IF($C1232="","",IFERROR(VLOOKUP($C1232,sources!$A$2:$N$200,2,FALSE()),"?"))</f>
        <v>Newspaper</v>
      </c>
      <c r="R1232" s="2" t="str">
        <f t="shared" si="19"/>
        <v>Textual</v>
      </c>
      <c r="S1232" s="2" t="str">
        <f>IF($C1232="","",IFERROR(VLOOKUP($C1232,sources!$A$2:$N$200,9,FALSE()),"?"))</f>
        <v>US press</v>
      </c>
      <c r="T1232" t="s">
        <v>5692</v>
      </c>
      <c r="U1232">
        <f>IF(OR(B1232="",C1232="",T1232="Retracted",LEFT(D1232,8)="Negative"),0,IF(COUNTIFS($B$2:B1232,B1232,$C$2:C1232,C1232,$D$2:D1232,"&lt;&gt;Negative*",$T$2:T1232,"&lt;&gt;Retracted")=1,1,0))</f>
        <v>0</v>
      </c>
    </row>
    <row r="1233" spans="1:21" x14ac:dyDescent="0.2">
      <c r="A1233" t="s">
        <v>3179</v>
      </c>
      <c r="B1233" t="s">
        <v>686</v>
      </c>
      <c r="C1233" t="s">
        <v>1203</v>
      </c>
      <c r="D1233" t="s">
        <v>1613</v>
      </c>
      <c r="E1233" t="s">
        <v>3180</v>
      </c>
      <c r="F1233" t="s">
        <v>1583</v>
      </c>
      <c r="I1233" t="s">
        <v>1058</v>
      </c>
      <c r="M1233" t="s">
        <v>190</v>
      </c>
      <c r="N1233" t="s">
        <v>209</v>
      </c>
      <c r="Q1233" s="2" t="str">
        <f>IF($C1233="","",IFERROR(VLOOKUP($C1233,sources!$A$2:$N$200,2,FALSE()),"?"))</f>
        <v>Newspaper</v>
      </c>
      <c r="R1233" s="2" t="str">
        <f t="shared" si="19"/>
        <v>Textual</v>
      </c>
      <c r="S1233" s="2" t="str">
        <f>IF($C1233="","",IFERROR(VLOOKUP($C1233,sources!$A$2:$N$200,9,FALSE()),"?"))</f>
        <v>US press</v>
      </c>
      <c r="T1233" t="s">
        <v>5692</v>
      </c>
      <c r="U1233">
        <f>IF(OR(B1233="",C1233="",T1233="Retracted",LEFT(D1233,8)="Negative"),0,IF(COUNTIFS($B$2:B1233,B1233,$C$2:C1233,C1233,$D$2:D1233,"&lt;&gt;Negative*",$T$2:T1233,"&lt;&gt;Retracted")=1,1,0))</f>
        <v>0</v>
      </c>
    </row>
    <row r="1234" spans="1:21" x14ac:dyDescent="0.2">
      <c r="A1234" t="s">
        <v>3181</v>
      </c>
      <c r="B1234" t="s">
        <v>689</v>
      </c>
      <c r="C1234" t="s">
        <v>1203</v>
      </c>
      <c r="D1234" t="s">
        <v>1613</v>
      </c>
      <c r="E1234" t="s">
        <v>3182</v>
      </c>
      <c r="F1234" t="s">
        <v>1583</v>
      </c>
      <c r="I1234" t="s">
        <v>1058</v>
      </c>
      <c r="M1234" t="s">
        <v>190</v>
      </c>
      <c r="N1234" t="s">
        <v>209</v>
      </c>
      <c r="Q1234" s="2" t="str">
        <f>IF($C1234="","",IFERROR(VLOOKUP($C1234,sources!$A$2:$N$200,2,FALSE()),"?"))</f>
        <v>Newspaper</v>
      </c>
      <c r="R1234" s="2" t="str">
        <f t="shared" si="19"/>
        <v>Textual</v>
      </c>
      <c r="S1234" s="2" t="str">
        <f>IF($C1234="","",IFERROR(VLOOKUP($C1234,sources!$A$2:$N$200,9,FALSE()),"?"))</f>
        <v>US press</v>
      </c>
      <c r="T1234" t="s">
        <v>5692</v>
      </c>
      <c r="U1234">
        <f>IF(OR(B1234="",C1234="",T1234="Retracted",LEFT(D1234,8)="Negative"),0,IF(COUNTIFS($B$2:B1234,B1234,$C$2:C1234,C1234,$D$2:D1234,"&lt;&gt;Negative*",$T$2:T1234,"&lt;&gt;Retracted")=1,1,0))</f>
        <v>0</v>
      </c>
    </row>
    <row r="1235" spans="1:21" x14ac:dyDescent="0.2">
      <c r="A1235" t="s">
        <v>3183</v>
      </c>
      <c r="B1235" t="s">
        <v>693</v>
      </c>
      <c r="C1235" t="s">
        <v>1203</v>
      </c>
      <c r="D1235" t="s">
        <v>1613</v>
      </c>
      <c r="E1235" t="s">
        <v>3184</v>
      </c>
      <c r="F1235" t="s">
        <v>1583</v>
      </c>
      <c r="I1235" t="s">
        <v>1058</v>
      </c>
      <c r="M1235" t="s">
        <v>190</v>
      </c>
      <c r="N1235" t="s">
        <v>209</v>
      </c>
      <c r="Q1235" s="2" t="str">
        <f>IF($C1235="","",IFERROR(VLOOKUP($C1235,sources!$A$2:$N$200,2,FALSE()),"?"))</f>
        <v>Newspaper</v>
      </c>
      <c r="R1235" s="2" t="str">
        <f t="shared" si="19"/>
        <v>Textual</v>
      </c>
      <c r="S1235" s="2" t="str">
        <f>IF($C1235="","",IFERROR(VLOOKUP($C1235,sources!$A$2:$N$200,9,FALSE()),"?"))</f>
        <v>US press</v>
      </c>
      <c r="T1235" t="s">
        <v>5692</v>
      </c>
      <c r="U1235">
        <f>IF(OR(B1235="",C1235="",T1235="Retracted",LEFT(D1235,8)="Negative"),0,IF(COUNTIFS($B$2:B1235,B1235,$C$2:C1235,C1235,$D$2:D1235,"&lt;&gt;Negative*",$T$2:T1235,"&lt;&gt;Retracted")=1,1,0))</f>
        <v>0</v>
      </c>
    </row>
    <row r="1236" spans="1:21" x14ac:dyDescent="0.2">
      <c r="A1236" t="s">
        <v>3185</v>
      </c>
      <c r="B1236" t="s">
        <v>698</v>
      </c>
      <c r="C1236" t="s">
        <v>1203</v>
      </c>
      <c r="D1236" t="s">
        <v>1613</v>
      </c>
      <c r="E1236" t="s">
        <v>3186</v>
      </c>
      <c r="F1236" t="s">
        <v>1583</v>
      </c>
      <c r="I1236" t="s">
        <v>1058</v>
      </c>
      <c r="M1236" t="s">
        <v>190</v>
      </c>
      <c r="N1236" t="s">
        <v>209</v>
      </c>
      <c r="Q1236" s="2" t="str">
        <f>IF($C1236="","",IFERROR(VLOOKUP($C1236,sources!$A$2:$N$200,2,FALSE()),"?"))</f>
        <v>Newspaper</v>
      </c>
      <c r="R1236" s="2" t="str">
        <f t="shared" si="19"/>
        <v>Textual</v>
      </c>
      <c r="S1236" s="2" t="str">
        <f>IF($C1236="","",IFERROR(VLOOKUP($C1236,sources!$A$2:$N$200,9,FALSE()),"?"))</f>
        <v>US press</v>
      </c>
      <c r="T1236" t="s">
        <v>5692</v>
      </c>
      <c r="U1236">
        <f>IF(OR(B1236="",C1236="",T1236="Retracted",LEFT(D1236,8)="Negative"),0,IF(COUNTIFS($B$2:B1236,B1236,$C$2:C1236,C1236,$D$2:D1236,"&lt;&gt;Negative*",$T$2:T1236,"&lt;&gt;Retracted")=1,1,0))</f>
        <v>0</v>
      </c>
    </row>
    <row r="1237" spans="1:21" x14ac:dyDescent="0.2">
      <c r="A1237" t="s">
        <v>3187</v>
      </c>
      <c r="B1237" t="s">
        <v>704</v>
      </c>
      <c r="C1237" t="s">
        <v>1203</v>
      </c>
      <c r="D1237" t="s">
        <v>1575</v>
      </c>
      <c r="E1237" t="s">
        <v>2899</v>
      </c>
      <c r="F1237" t="s">
        <v>1583</v>
      </c>
      <c r="I1237" t="s">
        <v>1058</v>
      </c>
      <c r="M1237" t="s">
        <v>190</v>
      </c>
      <c r="N1237" t="s">
        <v>209</v>
      </c>
      <c r="Q1237" s="2" t="str">
        <f>IF($C1237="","",IFERROR(VLOOKUP($C1237,sources!$A$2:$N$200,2,FALSE()),"?"))</f>
        <v>Newspaper</v>
      </c>
      <c r="R1237" s="2" t="str">
        <f t="shared" si="19"/>
        <v>Textual</v>
      </c>
      <c r="S1237" s="2" t="str">
        <f>IF($C1237="","",IFERROR(VLOOKUP($C1237,sources!$A$2:$N$200,9,FALSE()),"?"))</f>
        <v>US press</v>
      </c>
      <c r="T1237" t="s">
        <v>5692</v>
      </c>
      <c r="U1237">
        <f>IF(OR(B1237="",C1237="",T1237="Retracted",LEFT(D1237,8)="Negative"),0,IF(COUNTIFS($B$2:B1237,B1237,$C$2:C1237,C1237,$D$2:D1237,"&lt;&gt;Negative*",$T$2:T1237,"&lt;&gt;Retracted")=1,1,0))</f>
        <v>1</v>
      </c>
    </row>
    <row r="1238" spans="1:21" x14ac:dyDescent="0.2">
      <c r="A1238" t="s">
        <v>3188</v>
      </c>
      <c r="B1238" t="s">
        <v>711</v>
      </c>
      <c r="C1238" t="s">
        <v>1203</v>
      </c>
      <c r="D1238" t="s">
        <v>1575</v>
      </c>
      <c r="E1238" t="s">
        <v>3189</v>
      </c>
      <c r="F1238" t="s">
        <v>1583</v>
      </c>
      <c r="I1238" t="s">
        <v>1058</v>
      </c>
      <c r="K1238">
        <v>1912</v>
      </c>
      <c r="L1238">
        <v>1912</v>
      </c>
      <c r="M1238" t="s">
        <v>209</v>
      </c>
      <c r="N1238" t="s">
        <v>209</v>
      </c>
      <c r="Q1238" s="2" t="str">
        <f>IF($C1238="","",IFERROR(VLOOKUP($C1238,sources!$A$2:$N$200,2,FALSE()),"?"))</f>
        <v>Newspaper</v>
      </c>
      <c r="R1238" s="2" t="str">
        <f t="shared" si="19"/>
        <v>Textual</v>
      </c>
      <c r="S1238" s="2" t="str">
        <f>IF($C1238="","",IFERROR(VLOOKUP($C1238,sources!$A$2:$N$200,9,FALSE()),"?"))</f>
        <v>US press</v>
      </c>
      <c r="T1238" t="s">
        <v>5692</v>
      </c>
      <c r="U1238">
        <f>IF(OR(B1238="",C1238="",T1238="Retracted",LEFT(D1238,8)="Negative"),0,IF(COUNTIFS($B$2:B1238,B1238,$C$2:C1238,C1238,$D$2:D1238,"&lt;&gt;Negative*",$T$2:T1238,"&lt;&gt;Retracted")=1,1,0))</f>
        <v>1</v>
      </c>
    </row>
    <row r="1239" spans="1:21" x14ac:dyDescent="0.2">
      <c r="A1239" t="s">
        <v>3190</v>
      </c>
      <c r="B1239" t="s">
        <v>714</v>
      </c>
      <c r="C1239" t="s">
        <v>1203</v>
      </c>
      <c r="D1239" t="s">
        <v>1575</v>
      </c>
      <c r="E1239" t="s">
        <v>3191</v>
      </c>
      <c r="F1239" t="s">
        <v>1583</v>
      </c>
      <c r="I1239" t="s">
        <v>1058</v>
      </c>
      <c r="M1239" t="s">
        <v>190</v>
      </c>
      <c r="N1239" t="s">
        <v>209</v>
      </c>
      <c r="Q1239" s="2" t="str">
        <f>IF($C1239="","",IFERROR(VLOOKUP($C1239,sources!$A$2:$N$200,2,FALSE()),"?"))</f>
        <v>Newspaper</v>
      </c>
      <c r="R1239" s="2" t="str">
        <f t="shared" si="19"/>
        <v>Textual</v>
      </c>
      <c r="S1239" s="2" t="str">
        <f>IF($C1239="","",IFERROR(VLOOKUP($C1239,sources!$A$2:$N$200,9,FALSE()),"?"))</f>
        <v>US press</v>
      </c>
      <c r="T1239" t="s">
        <v>5692</v>
      </c>
      <c r="U1239">
        <f>IF(OR(B1239="",C1239="",T1239="Retracted",LEFT(D1239,8)="Negative"),0,IF(COUNTIFS($B$2:B1239,B1239,$C$2:C1239,C1239,$D$2:D1239,"&lt;&gt;Negative*",$T$2:T1239,"&lt;&gt;Retracted")=1,1,0))</f>
        <v>1</v>
      </c>
    </row>
    <row r="1240" spans="1:21" x14ac:dyDescent="0.2">
      <c r="A1240" t="s">
        <v>3192</v>
      </c>
      <c r="B1240" t="s">
        <v>717</v>
      </c>
      <c r="C1240" t="s">
        <v>1203</v>
      </c>
      <c r="D1240" t="s">
        <v>1613</v>
      </c>
      <c r="E1240" t="s">
        <v>3193</v>
      </c>
      <c r="F1240" t="s">
        <v>1583</v>
      </c>
      <c r="I1240" t="s">
        <v>1058</v>
      </c>
      <c r="M1240" t="s">
        <v>190</v>
      </c>
      <c r="N1240" t="s">
        <v>209</v>
      </c>
      <c r="Q1240" s="2" t="str">
        <f>IF($C1240="","",IFERROR(VLOOKUP($C1240,sources!$A$2:$N$200,2,FALSE()),"?"))</f>
        <v>Newspaper</v>
      </c>
      <c r="R1240" s="2" t="str">
        <f t="shared" si="19"/>
        <v>Textual</v>
      </c>
      <c r="S1240" s="2" t="str">
        <f>IF($C1240="","",IFERROR(VLOOKUP($C1240,sources!$A$2:$N$200,9,FALSE()),"?"))</f>
        <v>US press</v>
      </c>
      <c r="T1240" t="s">
        <v>5692</v>
      </c>
      <c r="U1240">
        <f>IF(OR(B1240="",C1240="",T1240="Retracted",LEFT(D1240,8)="Negative"),0,IF(COUNTIFS($B$2:B1240,B1240,$C$2:C1240,C1240,$D$2:D1240,"&lt;&gt;Negative*",$T$2:T1240,"&lt;&gt;Retracted")=1,1,0))</f>
        <v>0</v>
      </c>
    </row>
    <row r="1241" spans="1:21" x14ac:dyDescent="0.2">
      <c r="A1241" t="s">
        <v>3194</v>
      </c>
      <c r="B1241" t="s">
        <v>720</v>
      </c>
      <c r="C1241" t="s">
        <v>1203</v>
      </c>
      <c r="D1241" t="s">
        <v>1613</v>
      </c>
      <c r="E1241" t="s">
        <v>3195</v>
      </c>
      <c r="F1241" t="s">
        <v>1583</v>
      </c>
      <c r="I1241" t="s">
        <v>1058</v>
      </c>
      <c r="M1241" t="s">
        <v>190</v>
      </c>
      <c r="N1241" t="s">
        <v>209</v>
      </c>
      <c r="Q1241" s="2" t="str">
        <f>IF($C1241="","",IFERROR(VLOOKUP($C1241,sources!$A$2:$N$200,2,FALSE()),"?"))</f>
        <v>Newspaper</v>
      </c>
      <c r="R1241" s="2" t="str">
        <f t="shared" si="19"/>
        <v>Textual</v>
      </c>
      <c r="S1241" s="2" t="str">
        <f>IF($C1241="","",IFERROR(VLOOKUP($C1241,sources!$A$2:$N$200,9,FALSE()),"?"))</f>
        <v>US press</v>
      </c>
      <c r="T1241" t="s">
        <v>5692</v>
      </c>
      <c r="U1241">
        <f>IF(OR(B1241="",C1241="",T1241="Retracted",LEFT(D1241,8)="Negative"),0,IF(COUNTIFS($B$2:B1241,B1241,$C$2:C1241,C1241,$D$2:D1241,"&lt;&gt;Negative*",$T$2:T1241,"&lt;&gt;Retracted")=1,1,0))</f>
        <v>0</v>
      </c>
    </row>
    <row r="1242" spans="1:21" x14ac:dyDescent="0.2">
      <c r="A1242" t="s">
        <v>3196</v>
      </c>
      <c r="B1242" t="s">
        <v>723</v>
      </c>
      <c r="C1242" t="s">
        <v>1203</v>
      </c>
      <c r="D1242" t="s">
        <v>1613</v>
      </c>
      <c r="E1242" t="s">
        <v>3197</v>
      </c>
      <c r="F1242" t="s">
        <v>1583</v>
      </c>
      <c r="I1242" t="s">
        <v>1058</v>
      </c>
      <c r="M1242" t="s">
        <v>190</v>
      </c>
      <c r="N1242" t="s">
        <v>209</v>
      </c>
      <c r="Q1242" s="2" t="str">
        <f>IF($C1242="","",IFERROR(VLOOKUP($C1242,sources!$A$2:$N$200,2,FALSE()),"?"))</f>
        <v>Newspaper</v>
      </c>
      <c r="R1242" s="2" t="str">
        <f t="shared" si="19"/>
        <v>Textual</v>
      </c>
      <c r="S1242" s="2" t="str">
        <f>IF($C1242="","",IFERROR(VLOOKUP($C1242,sources!$A$2:$N$200,9,FALSE()),"?"))</f>
        <v>US press</v>
      </c>
      <c r="T1242" t="s">
        <v>5692</v>
      </c>
      <c r="U1242">
        <f>IF(OR(B1242="",C1242="",T1242="Retracted",LEFT(D1242,8)="Negative"),0,IF(COUNTIFS($B$2:B1242,B1242,$C$2:C1242,C1242,$D$2:D1242,"&lt;&gt;Negative*",$T$2:T1242,"&lt;&gt;Retracted")=1,1,0))</f>
        <v>0</v>
      </c>
    </row>
    <row r="1243" spans="1:21" x14ac:dyDescent="0.2">
      <c r="A1243" t="s">
        <v>3198</v>
      </c>
      <c r="B1243" t="s">
        <v>727</v>
      </c>
      <c r="C1243" t="s">
        <v>1203</v>
      </c>
      <c r="D1243" t="s">
        <v>1613</v>
      </c>
      <c r="E1243" t="s">
        <v>3199</v>
      </c>
      <c r="F1243" t="s">
        <v>1583</v>
      </c>
      <c r="I1243" t="s">
        <v>1058</v>
      </c>
      <c r="M1243" t="s">
        <v>190</v>
      </c>
      <c r="N1243" t="s">
        <v>209</v>
      </c>
      <c r="Q1243" s="2" t="str">
        <f>IF($C1243="","",IFERROR(VLOOKUP($C1243,sources!$A$2:$N$200,2,FALSE()),"?"))</f>
        <v>Newspaper</v>
      </c>
      <c r="R1243" s="2" t="str">
        <f t="shared" si="19"/>
        <v>Textual</v>
      </c>
      <c r="S1243" s="2" t="str">
        <f>IF($C1243="","",IFERROR(VLOOKUP($C1243,sources!$A$2:$N$200,9,FALSE()),"?"))</f>
        <v>US press</v>
      </c>
      <c r="T1243" t="s">
        <v>5692</v>
      </c>
      <c r="U1243">
        <f>IF(OR(B1243="",C1243="",T1243="Retracted",LEFT(D1243,8)="Negative"),0,IF(COUNTIFS($B$2:B1243,B1243,$C$2:C1243,C1243,$D$2:D1243,"&lt;&gt;Negative*",$T$2:T1243,"&lt;&gt;Retracted")=1,1,0))</f>
        <v>0</v>
      </c>
    </row>
    <row r="1244" spans="1:21" x14ac:dyDescent="0.2">
      <c r="A1244" t="s">
        <v>3200</v>
      </c>
      <c r="B1244" t="s">
        <v>746</v>
      </c>
      <c r="C1244" t="s">
        <v>1203</v>
      </c>
      <c r="D1244" t="s">
        <v>1613</v>
      </c>
      <c r="E1244" t="s">
        <v>3201</v>
      </c>
      <c r="F1244" t="s">
        <v>1583</v>
      </c>
      <c r="I1244" t="s">
        <v>1058</v>
      </c>
      <c r="M1244" t="s">
        <v>190</v>
      </c>
      <c r="N1244" t="s">
        <v>209</v>
      </c>
      <c r="Q1244" s="2" t="str">
        <f>IF($C1244="","",IFERROR(VLOOKUP($C1244,sources!$A$2:$N$200,2,FALSE()),"?"))</f>
        <v>Newspaper</v>
      </c>
      <c r="R1244" s="2" t="str">
        <f t="shared" si="19"/>
        <v>Textual</v>
      </c>
      <c r="S1244" s="2" t="str">
        <f>IF($C1244="","",IFERROR(VLOOKUP($C1244,sources!$A$2:$N$200,9,FALSE()),"?"))</f>
        <v>US press</v>
      </c>
      <c r="T1244" t="s">
        <v>5692</v>
      </c>
      <c r="U1244">
        <f>IF(OR(B1244="",C1244="",T1244="Retracted",LEFT(D1244,8)="Negative"),0,IF(COUNTIFS($B$2:B1244,B1244,$C$2:C1244,C1244,$D$2:D1244,"&lt;&gt;Negative*",$T$2:T1244,"&lt;&gt;Retracted")=1,1,0))</f>
        <v>0</v>
      </c>
    </row>
    <row r="1245" spans="1:21" x14ac:dyDescent="0.2">
      <c r="A1245" t="s">
        <v>3202</v>
      </c>
      <c r="B1245" t="s">
        <v>758</v>
      </c>
      <c r="C1245" t="s">
        <v>1203</v>
      </c>
      <c r="D1245" t="s">
        <v>1575</v>
      </c>
      <c r="E1245" t="s">
        <v>2718</v>
      </c>
      <c r="F1245" t="s">
        <v>1583</v>
      </c>
      <c r="I1245" t="s">
        <v>1058</v>
      </c>
      <c r="K1245">
        <v>1915</v>
      </c>
      <c r="L1245">
        <v>1915</v>
      </c>
      <c r="M1245" t="s">
        <v>209</v>
      </c>
      <c r="N1245" t="s">
        <v>209</v>
      </c>
      <c r="Q1245" s="2" t="str">
        <f>IF($C1245="","",IFERROR(VLOOKUP($C1245,sources!$A$2:$N$200,2,FALSE()),"?"))</f>
        <v>Newspaper</v>
      </c>
      <c r="R1245" s="2" t="str">
        <f t="shared" si="19"/>
        <v>Textual</v>
      </c>
      <c r="S1245" s="2" t="str">
        <f>IF($C1245="","",IFERROR(VLOOKUP($C1245,sources!$A$2:$N$200,9,FALSE()),"?"))</f>
        <v>US press</v>
      </c>
      <c r="T1245" t="s">
        <v>5692</v>
      </c>
      <c r="U1245">
        <f>IF(OR(B1245="",C1245="",T1245="Retracted",LEFT(D1245,8)="Negative"),0,IF(COUNTIFS($B$2:B1245,B1245,$C$2:C1245,C1245,$D$2:D1245,"&lt;&gt;Negative*",$T$2:T1245,"&lt;&gt;Retracted")=1,1,0))</f>
        <v>1</v>
      </c>
    </row>
    <row r="1246" spans="1:21" x14ac:dyDescent="0.2">
      <c r="A1246" t="s">
        <v>3203</v>
      </c>
      <c r="B1246" t="s">
        <v>764</v>
      </c>
      <c r="C1246" t="s">
        <v>1203</v>
      </c>
      <c r="D1246" t="s">
        <v>1613</v>
      </c>
      <c r="E1246" t="s">
        <v>3204</v>
      </c>
      <c r="F1246" t="s">
        <v>1583</v>
      </c>
      <c r="I1246" t="s">
        <v>1058</v>
      </c>
      <c r="M1246" t="s">
        <v>190</v>
      </c>
      <c r="N1246" t="s">
        <v>209</v>
      </c>
      <c r="Q1246" s="2" t="str">
        <f>IF($C1246="","",IFERROR(VLOOKUP($C1246,sources!$A$2:$N$200,2,FALSE()),"?"))</f>
        <v>Newspaper</v>
      </c>
      <c r="R1246" s="2" t="str">
        <f t="shared" si="19"/>
        <v>Textual</v>
      </c>
      <c r="S1246" s="2" t="str">
        <f>IF($C1246="","",IFERROR(VLOOKUP($C1246,sources!$A$2:$N$200,9,FALSE()),"?"))</f>
        <v>US press</v>
      </c>
      <c r="T1246" t="s">
        <v>5692</v>
      </c>
      <c r="U1246">
        <f>IF(OR(B1246="",C1246="",T1246="Retracted",LEFT(D1246,8)="Negative"),0,IF(COUNTIFS($B$2:B1246,B1246,$C$2:C1246,C1246,$D$2:D1246,"&lt;&gt;Negative*",$T$2:T1246,"&lt;&gt;Retracted")=1,1,0))</f>
        <v>0</v>
      </c>
    </row>
    <row r="1247" spans="1:21" x14ac:dyDescent="0.2">
      <c r="A1247" t="s">
        <v>3205</v>
      </c>
      <c r="B1247" t="s">
        <v>767</v>
      </c>
      <c r="C1247" t="s">
        <v>1203</v>
      </c>
      <c r="D1247" t="s">
        <v>1613</v>
      </c>
      <c r="E1247" t="s">
        <v>3206</v>
      </c>
      <c r="F1247" t="s">
        <v>1583</v>
      </c>
      <c r="I1247" t="s">
        <v>1058</v>
      </c>
      <c r="M1247" t="s">
        <v>190</v>
      </c>
      <c r="N1247" t="s">
        <v>209</v>
      </c>
      <c r="Q1247" s="2" t="str">
        <f>IF($C1247="","",IFERROR(VLOOKUP($C1247,sources!$A$2:$N$200,2,FALSE()),"?"))</f>
        <v>Newspaper</v>
      </c>
      <c r="R1247" s="2" t="str">
        <f t="shared" si="19"/>
        <v>Textual</v>
      </c>
      <c r="S1247" s="2" t="str">
        <f>IF($C1247="","",IFERROR(VLOOKUP($C1247,sources!$A$2:$N$200,9,FALSE()),"?"))</f>
        <v>US press</v>
      </c>
      <c r="T1247" t="s">
        <v>5692</v>
      </c>
      <c r="U1247">
        <f>IF(OR(B1247="",C1247="",T1247="Retracted",LEFT(D1247,8)="Negative"),0,IF(COUNTIFS($B$2:B1247,B1247,$C$2:C1247,C1247,$D$2:D1247,"&lt;&gt;Negative*",$T$2:T1247,"&lt;&gt;Retracted")=1,1,0))</f>
        <v>0</v>
      </c>
    </row>
    <row r="1248" spans="1:21" x14ac:dyDescent="0.2">
      <c r="A1248" t="s">
        <v>3207</v>
      </c>
      <c r="B1248" t="s">
        <v>773</v>
      </c>
      <c r="C1248" t="s">
        <v>1203</v>
      </c>
      <c r="D1248" t="s">
        <v>1613</v>
      </c>
      <c r="E1248" t="s">
        <v>3208</v>
      </c>
      <c r="F1248" t="s">
        <v>1583</v>
      </c>
      <c r="I1248" t="s">
        <v>1058</v>
      </c>
      <c r="M1248" t="s">
        <v>190</v>
      </c>
      <c r="N1248" t="s">
        <v>209</v>
      </c>
      <c r="Q1248" s="2" t="str">
        <f>IF($C1248="","",IFERROR(VLOOKUP($C1248,sources!$A$2:$N$200,2,FALSE()),"?"))</f>
        <v>Newspaper</v>
      </c>
      <c r="R1248" s="2" t="str">
        <f t="shared" si="19"/>
        <v>Textual</v>
      </c>
      <c r="S1248" s="2" t="str">
        <f>IF($C1248="","",IFERROR(VLOOKUP($C1248,sources!$A$2:$N$200,9,FALSE()),"?"))</f>
        <v>US press</v>
      </c>
      <c r="T1248" t="s">
        <v>5692</v>
      </c>
      <c r="U1248">
        <f>IF(OR(B1248="",C1248="",T1248="Retracted",LEFT(D1248,8)="Negative"),0,IF(COUNTIFS($B$2:B1248,B1248,$C$2:C1248,C1248,$D$2:D1248,"&lt;&gt;Negative*",$T$2:T1248,"&lt;&gt;Retracted")=1,1,0))</f>
        <v>0</v>
      </c>
    </row>
    <row r="1249" spans="1:21" ht="26" x14ac:dyDescent="0.2">
      <c r="A1249" t="s">
        <v>3209</v>
      </c>
      <c r="B1249" t="s">
        <v>480</v>
      </c>
      <c r="C1249" t="s">
        <v>1393</v>
      </c>
      <c r="D1249" t="s">
        <v>1575</v>
      </c>
      <c r="E1249" t="s">
        <v>481</v>
      </c>
      <c r="F1249" t="s">
        <v>1583</v>
      </c>
      <c r="N1249" t="s">
        <v>209</v>
      </c>
      <c r="Q1249" s="2" t="str">
        <f>IF($C1249="","",IFERROR(VLOOKUP($C1249,sources!$A$2:$N$200,2,FALSE()),"?"))</f>
        <v>Web compilation</v>
      </c>
      <c r="R1249" s="2" t="str">
        <f t="shared" si="19"/>
        <v>Textual</v>
      </c>
      <c r="S1249" s="2" t="str">
        <f>IF($C1249="","",IFERROR(VLOOKUP($C1249,sources!$A$2:$N$200,9,FALSE()),"?"))</f>
        <v>Caribbean community</v>
      </c>
      <c r="T1249" t="s">
        <v>5692</v>
      </c>
      <c r="U1249">
        <f>IF(OR(B1249="",C1249="",T1249="Retracted",LEFT(D1249,8)="Negative"),0,IF(COUNTIFS($B$2:B1249,B1249,$C$2:C1249,C1249,$D$2:D1249,"&lt;&gt;Negative*",$T$2:T1249,"&lt;&gt;Retracted")=1,1,0))</f>
        <v>1</v>
      </c>
    </row>
    <row r="1250" spans="1:21" ht="26" x14ac:dyDescent="0.2">
      <c r="A1250" t="s">
        <v>3210</v>
      </c>
      <c r="B1250" t="s">
        <v>205</v>
      </c>
      <c r="C1250" t="s">
        <v>1393</v>
      </c>
      <c r="D1250" t="s">
        <v>1613</v>
      </c>
      <c r="E1250" t="s">
        <v>206</v>
      </c>
      <c r="F1250" t="s">
        <v>1583</v>
      </c>
      <c r="N1250" t="s">
        <v>209</v>
      </c>
      <c r="Q1250" s="2" t="str">
        <f>IF($C1250="","",IFERROR(VLOOKUP($C1250,sources!$A$2:$N$200,2,FALSE()),"?"))</f>
        <v>Web compilation</v>
      </c>
      <c r="R1250" s="2" t="str">
        <f t="shared" si="19"/>
        <v>Textual</v>
      </c>
      <c r="S1250" s="2" t="str">
        <f>IF($C1250="","",IFERROR(VLOOKUP($C1250,sources!$A$2:$N$200,9,FALSE()),"?"))</f>
        <v>Caribbean community</v>
      </c>
      <c r="T1250" t="s">
        <v>5692</v>
      </c>
      <c r="U1250">
        <f>IF(OR(B1250="",C1250="",T1250="Retracted",LEFT(D1250,8)="Negative"),0,IF(COUNTIFS($B$2:B1250,B1250,$C$2:C1250,C1250,$D$2:D1250,"&lt;&gt;Negative*",$T$2:T1250,"&lt;&gt;Retracted")=1,1,0))</f>
        <v>0</v>
      </c>
    </row>
    <row r="1251" spans="1:21" ht="26" x14ac:dyDescent="0.2">
      <c r="A1251" t="s">
        <v>3211</v>
      </c>
      <c r="B1251" t="s">
        <v>429</v>
      </c>
      <c r="C1251" t="s">
        <v>1393</v>
      </c>
      <c r="D1251" t="s">
        <v>1613</v>
      </c>
      <c r="E1251" t="s">
        <v>430</v>
      </c>
      <c r="F1251" t="s">
        <v>1583</v>
      </c>
      <c r="N1251" t="s">
        <v>209</v>
      </c>
      <c r="Q1251" s="2" t="str">
        <f>IF($C1251="","",IFERROR(VLOOKUP($C1251,sources!$A$2:$N$200,2,FALSE()),"?"))</f>
        <v>Web compilation</v>
      </c>
      <c r="R1251" s="2" t="str">
        <f t="shared" si="19"/>
        <v>Textual</v>
      </c>
      <c r="S1251" s="2" t="str">
        <f>IF($C1251="","",IFERROR(VLOOKUP($C1251,sources!$A$2:$N$200,9,FALSE()),"?"))</f>
        <v>Caribbean community</v>
      </c>
      <c r="T1251" t="s">
        <v>5692</v>
      </c>
      <c r="U1251">
        <f>IF(OR(B1251="",C1251="",T1251="Retracted",LEFT(D1251,8)="Negative"),0,IF(COUNTIFS($B$2:B1251,B1251,$C$2:C1251,C1251,$D$2:D1251,"&lt;&gt;Negative*",$T$2:T1251,"&lt;&gt;Retracted")=1,1,0))</f>
        <v>0</v>
      </c>
    </row>
    <row r="1252" spans="1:21" ht="26" x14ac:dyDescent="0.2">
      <c r="A1252" t="s">
        <v>3212</v>
      </c>
      <c r="B1252" t="s">
        <v>570</v>
      </c>
      <c r="C1252" t="s">
        <v>1393</v>
      </c>
      <c r="D1252" t="s">
        <v>1613</v>
      </c>
      <c r="E1252" t="s">
        <v>571</v>
      </c>
      <c r="F1252" t="s">
        <v>1583</v>
      </c>
      <c r="N1252" t="s">
        <v>209</v>
      </c>
      <c r="Q1252" s="2" t="str">
        <f>IF($C1252="","",IFERROR(VLOOKUP($C1252,sources!$A$2:$N$200,2,FALSE()),"?"))</f>
        <v>Web compilation</v>
      </c>
      <c r="R1252" s="2" t="str">
        <f t="shared" si="19"/>
        <v>Textual</v>
      </c>
      <c r="S1252" s="2" t="str">
        <f>IF($C1252="","",IFERROR(VLOOKUP($C1252,sources!$A$2:$N$200,9,FALSE()),"?"))</f>
        <v>Caribbean community</v>
      </c>
      <c r="T1252" t="s">
        <v>5692</v>
      </c>
      <c r="U1252">
        <f>IF(OR(B1252="",C1252="",T1252="Retracted",LEFT(D1252,8)="Negative"),0,IF(COUNTIFS($B$2:B1252,B1252,$C$2:C1252,C1252,$D$2:D1252,"&lt;&gt;Negative*",$T$2:T1252,"&lt;&gt;Retracted")=1,1,0))</f>
        <v>0</v>
      </c>
    </row>
    <row r="1253" spans="1:21" ht="26" x14ac:dyDescent="0.2">
      <c r="A1253" t="s">
        <v>3213</v>
      </c>
      <c r="B1253" t="s">
        <v>335</v>
      </c>
      <c r="C1253" t="s">
        <v>1393</v>
      </c>
      <c r="D1253" t="s">
        <v>1575</v>
      </c>
      <c r="E1253" t="s">
        <v>336</v>
      </c>
      <c r="F1253" t="s">
        <v>1583</v>
      </c>
      <c r="N1253" t="s">
        <v>203</v>
      </c>
      <c r="Q1253" s="2" t="str">
        <f>IF($C1253="","",IFERROR(VLOOKUP($C1253,sources!$A$2:$N$200,2,FALSE()),"?"))</f>
        <v>Web compilation</v>
      </c>
      <c r="R1253" s="2" t="str">
        <f t="shared" si="19"/>
        <v>Textual</v>
      </c>
      <c r="S1253" s="2" t="str">
        <f>IF($C1253="","",IFERROR(VLOOKUP($C1253,sources!$A$2:$N$200,9,FALSE()),"?"))</f>
        <v>Caribbean community</v>
      </c>
      <c r="T1253" t="s">
        <v>5692</v>
      </c>
      <c r="U1253">
        <f>IF(OR(B1253="",C1253="",T1253="Retracted",LEFT(D1253,8)="Negative"),0,IF(COUNTIFS($B$2:B1253,B1253,$C$2:C1253,C1253,$D$2:D1253,"&lt;&gt;Negative*",$T$2:T1253,"&lt;&gt;Retracted")=1,1,0))</f>
        <v>1</v>
      </c>
    </row>
    <row r="1254" spans="1:21" ht="26" x14ac:dyDescent="0.2">
      <c r="A1254" t="s">
        <v>3214</v>
      </c>
      <c r="B1254" t="s">
        <v>801</v>
      </c>
      <c r="C1254" t="s">
        <v>1393</v>
      </c>
      <c r="D1254" t="s">
        <v>1575</v>
      </c>
      <c r="E1254" t="s">
        <v>802</v>
      </c>
      <c r="F1254" t="s">
        <v>1583</v>
      </c>
      <c r="N1254" t="s">
        <v>203</v>
      </c>
      <c r="Q1254" s="2" t="str">
        <f>IF($C1254="","",IFERROR(VLOOKUP($C1254,sources!$A$2:$N$200,2,FALSE()),"?"))</f>
        <v>Web compilation</v>
      </c>
      <c r="R1254" s="2" t="str">
        <f t="shared" si="19"/>
        <v>Textual</v>
      </c>
      <c r="S1254" s="2" t="str">
        <f>IF($C1254="","",IFERROR(VLOOKUP($C1254,sources!$A$2:$N$200,9,FALSE()),"?"))</f>
        <v>Caribbean community</v>
      </c>
      <c r="T1254" t="s">
        <v>5692</v>
      </c>
      <c r="U1254">
        <f>IF(OR(B1254="",C1254="",T1254="Retracted",LEFT(D1254,8)="Negative"),0,IF(COUNTIFS($B$2:B1254,B1254,$C$2:C1254,C1254,$D$2:D1254,"&lt;&gt;Negative*",$T$2:T1254,"&lt;&gt;Retracted")=1,1,0))</f>
        <v>1</v>
      </c>
    </row>
    <row r="1255" spans="1:21" ht="26" x14ac:dyDescent="0.2">
      <c r="A1255" t="s">
        <v>3215</v>
      </c>
      <c r="B1255" t="s">
        <v>215</v>
      </c>
      <c r="C1255" t="s">
        <v>1393</v>
      </c>
      <c r="D1255" t="s">
        <v>1613</v>
      </c>
      <c r="E1255" t="s">
        <v>216</v>
      </c>
      <c r="F1255" t="s">
        <v>1583</v>
      </c>
      <c r="N1255" t="s">
        <v>209</v>
      </c>
      <c r="Q1255" s="2" t="str">
        <f>IF($C1255="","",IFERROR(VLOOKUP($C1255,sources!$A$2:$N$200,2,FALSE()),"?"))</f>
        <v>Web compilation</v>
      </c>
      <c r="R1255" s="2" t="str">
        <f t="shared" si="19"/>
        <v>Textual</v>
      </c>
      <c r="S1255" s="2" t="str">
        <f>IF($C1255="","",IFERROR(VLOOKUP($C1255,sources!$A$2:$N$200,9,FALSE()),"?"))</f>
        <v>Caribbean community</v>
      </c>
      <c r="T1255" t="s">
        <v>5692</v>
      </c>
      <c r="U1255">
        <f>IF(OR(B1255="",C1255="",T1255="Retracted",LEFT(D1255,8)="Negative"),0,IF(COUNTIFS($B$2:B1255,B1255,$C$2:C1255,C1255,$D$2:D1255,"&lt;&gt;Negative*",$T$2:T1255,"&lt;&gt;Retracted")=1,1,0))</f>
        <v>0</v>
      </c>
    </row>
    <row r="1256" spans="1:21" ht="26" x14ac:dyDescent="0.2">
      <c r="A1256" t="s">
        <v>3216</v>
      </c>
      <c r="B1256" t="s">
        <v>411</v>
      </c>
      <c r="C1256" t="s">
        <v>1393</v>
      </c>
      <c r="D1256" t="s">
        <v>1575</v>
      </c>
      <c r="E1256" t="s">
        <v>412</v>
      </c>
      <c r="F1256" t="s">
        <v>1583</v>
      </c>
      <c r="N1256" t="s">
        <v>203</v>
      </c>
      <c r="Q1256" s="2" t="str">
        <f>IF($C1256="","",IFERROR(VLOOKUP($C1256,sources!$A$2:$N$200,2,FALSE()),"?"))</f>
        <v>Web compilation</v>
      </c>
      <c r="R1256" s="2" t="str">
        <f t="shared" si="19"/>
        <v>Textual</v>
      </c>
      <c r="S1256" s="2" t="str">
        <f>IF($C1256="","",IFERROR(VLOOKUP($C1256,sources!$A$2:$N$200,9,FALSE()),"?"))</f>
        <v>Caribbean community</v>
      </c>
      <c r="T1256" t="s">
        <v>5692</v>
      </c>
      <c r="U1256">
        <f>IF(OR(B1256="",C1256="",T1256="Retracted",LEFT(D1256,8)="Negative"),0,IF(COUNTIFS($B$2:B1256,B1256,$C$2:C1256,C1256,$D$2:D1256,"&lt;&gt;Negative*",$T$2:T1256,"&lt;&gt;Retracted")=1,1,0))</f>
        <v>1</v>
      </c>
    </row>
    <row r="1257" spans="1:21" ht="26" x14ac:dyDescent="0.2">
      <c r="A1257" t="s">
        <v>3217</v>
      </c>
      <c r="B1257" t="s">
        <v>439</v>
      </c>
      <c r="C1257" t="s">
        <v>1393</v>
      </c>
      <c r="D1257" t="s">
        <v>1575</v>
      </c>
      <c r="E1257" t="s">
        <v>440</v>
      </c>
      <c r="F1257" t="s">
        <v>1583</v>
      </c>
      <c r="N1257" t="s">
        <v>203</v>
      </c>
      <c r="Q1257" s="2" t="str">
        <f>IF($C1257="","",IFERROR(VLOOKUP($C1257,sources!$A$2:$N$200,2,FALSE()),"?"))</f>
        <v>Web compilation</v>
      </c>
      <c r="R1257" s="2" t="str">
        <f t="shared" si="19"/>
        <v>Textual</v>
      </c>
      <c r="S1257" s="2" t="str">
        <f>IF($C1257="","",IFERROR(VLOOKUP($C1257,sources!$A$2:$N$200,9,FALSE()),"?"))</f>
        <v>Caribbean community</v>
      </c>
      <c r="T1257" t="s">
        <v>5692</v>
      </c>
      <c r="U1257">
        <f>IF(OR(B1257="",C1257="",T1257="Retracted",LEFT(D1257,8)="Negative"),0,IF(COUNTIFS($B$2:B1257,B1257,$C$2:C1257,C1257,$D$2:D1257,"&lt;&gt;Negative*",$T$2:T1257,"&lt;&gt;Retracted")=1,1,0))</f>
        <v>1</v>
      </c>
    </row>
    <row r="1258" spans="1:21" ht="26" x14ac:dyDescent="0.2">
      <c r="A1258" t="s">
        <v>3218</v>
      </c>
      <c r="B1258" t="s">
        <v>194</v>
      </c>
      <c r="C1258" t="s">
        <v>1393</v>
      </c>
      <c r="D1258" t="s">
        <v>1575</v>
      </c>
      <c r="E1258" t="s">
        <v>195</v>
      </c>
      <c r="F1258" t="s">
        <v>1583</v>
      </c>
      <c r="N1258" t="s">
        <v>209</v>
      </c>
      <c r="Q1258" s="2" t="str">
        <f>IF($C1258="","",IFERROR(VLOOKUP($C1258,sources!$A$2:$N$200,2,FALSE()),"?"))</f>
        <v>Web compilation</v>
      </c>
      <c r="R1258" s="2" t="str">
        <f t="shared" si="19"/>
        <v>Textual</v>
      </c>
      <c r="S1258" s="2" t="str">
        <f>IF($C1258="","",IFERROR(VLOOKUP($C1258,sources!$A$2:$N$200,9,FALSE()),"?"))</f>
        <v>Caribbean community</v>
      </c>
      <c r="T1258" t="s">
        <v>5692</v>
      </c>
      <c r="U1258">
        <f>IF(OR(B1258="",C1258="",T1258="Retracted",LEFT(D1258,8)="Negative"),0,IF(COUNTIFS($B$2:B1258,B1258,$C$2:C1258,C1258,$D$2:D1258,"&lt;&gt;Negative*",$T$2:T1258,"&lt;&gt;Retracted")=1,1,0))</f>
        <v>1</v>
      </c>
    </row>
    <row r="1259" spans="1:21" ht="26" x14ac:dyDescent="0.2">
      <c r="A1259" t="s">
        <v>3219</v>
      </c>
      <c r="B1259" t="s">
        <v>253</v>
      </c>
      <c r="C1259" t="s">
        <v>1393</v>
      </c>
      <c r="D1259" t="s">
        <v>1575</v>
      </c>
      <c r="E1259" t="s">
        <v>254</v>
      </c>
      <c r="F1259" t="s">
        <v>1583</v>
      </c>
      <c r="N1259" t="s">
        <v>203</v>
      </c>
      <c r="Q1259" s="2" t="str">
        <f>IF($C1259="","",IFERROR(VLOOKUP($C1259,sources!$A$2:$N$200,2,FALSE()),"?"))</f>
        <v>Web compilation</v>
      </c>
      <c r="R1259" s="2" t="str">
        <f t="shared" si="19"/>
        <v>Textual</v>
      </c>
      <c r="S1259" s="2" t="str">
        <f>IF($C1259="","",IFERROR(VLOOKUP($C1259,sources!$A$2:$N$200,9,FALSE()),"?"))</f>
        <v>Caribbean community</v>
      </c>
      <c r="T1259" t="s">
        <v>5692</v>
      </c>
      <c r="U1259">
        <f>IF(OR(B1259="",C1259="",T1259="Retracted",LEFT(D1259,8)="Negative"),0,IF(COUNTIFS($B$2:B1259,B1259,$C$2:C1259,C1259,$D$2:D1259,"&lt;&gt;Negative*",$T$2:T1259,"&lt;&gt;Retracted")=1,1,0))</f>
        <v>1</v>
      </c>
    </row>
    <row r="1260" spans="1:21" ht="26" x14ac:dyDescent="0.2">
      <c r="A1260" t="s">
        <v>3220</v>
      </c>
      <c r="B1260" t="s">
        <v>265</v>
      </c>
      <c r="C1260" t="s">
        <v>1393</v>
      </c>
      <c r="D1260" t="s">
        <v>1575</v>
      </c>
      <c r="E1260" t="s">
        <v>266</v>
      </c>
      <c r="F1260" t="s">
        <v>1583</v>
      </c>
      <c r="N1260" t="s">
        <v>209</v>
      </c>
      <c r="Q1260" s="2" t="str">
        <f>IF($C1260="","",IFERROR(VLOOKUP($C1260,sources!$A$2:$N$200,2,FALSE()),"?"))</f>
        <v>Web compilation</v>
      </c>
      <c r="R1260" s="2" t="str">
        <f t="shared" si="19"/>
        <v>Textual</v>
      </c>
      <c r="S1260" s="2" t="str">
        <f>IF($C1260="","",IFERROR(VLOOKUP($C1260,sources!$A$2:$N$200,9,FALSE()),"?"))</f>
        <v>Caribbean community</v>
      </c>
      <c r="T1260" t="s">
        <v>5692</v>
      </c>
      <c r="U1260">
        <f>IF(OR(B1260="",C1260="",T1260="Retracted",LEFT(D1260,8)="Negative"),0,IF(COUNTIFS($B$2:B1260,B1260,$C$2:C1260,C1260,$D$2:D1260,"&lt;&gt;Negative*",$T$2:T1260,"&lt;&gt;Retracted")=1,1,0))</f>
        <v>1</v>
      </c>
    </row>
    <row r="1261" spans="1:21" ht="26" x14ac:dyDescent="0.2">
      <c r="A1261" t="s">
        <v>3221</v>
      </c>
      <c r="B1261" t="s">
        <v>386</v>
      </c>
      <c r="C1261" t="s">
        <v>1393</v>
      </c>
      <c r="D1261" t="s">
        <v>1613</v>
      </c>
      <c r="E1261" t="s">
        <v>387</v>
      </c>
      <c r="F1261" t="s">
        <v>1583</v>
      </c>
      <c r="N1261" t="s">
        <v>209</v>
      </c>
      <c r="Q1261" s="2" t="str">
        <f>IF($C1261="","",IFERROR(VLOOKUP($C1261,sources!$A$2:$N$200,2,FALSE()),"?"))</f>
        <v>Web compilation</v>
      </c>
      <c r="R1261" s="2" t="str">
        <f t="shared" si="19"/>
        <v>Textual</v>
      </c>
      <c r="S1261" s="2" t="str">
        <f>IF($C1261="","",IFERROR(VLOOKUP($C1261,sources!$A$2:$N$200,9,FALSE()),"?"))</f>
        <v>Caribbean community</v>
      </c>
      <c r="T1261" t="s">
        <v>5692</v>
      </c>
      <c r="U1261">
        <f>IF(OR(B1261="",C1261="",T1261="Retracted",LEFT(D1261,8)="Negative"),0,IF(COUNTIFS($B$2:B1261,B1261,$C$2:C1261,C1261,$D$2:D1261,"&lt;&gt;Negative*",$T$2:T1261,"&lt;&gt;Retracted")=1,1,0))</f>
        <v>0</v>
      </c>
    </row>
    <row r="1262" spans="1:21" ht="26" x14ac:dyDescent="0.2">
      <c r="A1262" t="s">
        <v>3222</v>
      </c>
      <c r="B1262" t="s">
        <v>592</v>
      </c>
      <c r="C1262" t="s">
        <v>1393</v>
      </c>
      <c r="D1262" t="s">
        <v>1575</v>
      </c>
      <c r="E1262" t="s">
        <v>593</v>
      </c>
      <c r="F1262" t="s">
        <v>1583</v>
      </c>
      <c r="N1262" t="s">
        <v>203</v>
      </c>
      <c r="Q1262" s="2" t="str">
        <f>IF($C1262="","",IFERROR(VLOOKUP($C1262,sources!$A$2:$N$200,2,FALSE()),"?"))</f>
        <v>Web compilation</v>
      </c>
      <c r="R1262" s="2" t="str">
        <f t="shared" si="19"/>
        <v>Textual</v>
      </c>
      <c r="S1262" s="2" t="str">
        <f>IF($C1262="","",IFERROR(VLOOKUP($C1262,sources!$A$2:$N$200,9,FALSE()),"?"))</f>
        <v>Caribbean community</v>
      </c>
      <c r="T1262" t="s">
        <v>5692</v>
      </c>
      <c r="U1262">
        <f>IF(OR(B1262="",C1262="",T1262="Retracted",LEFT(D1262,8)="Negative"),0,IF(COUNTIFS($B$2:B1262,B1262,$C$2:C1262,C1262,$D$2:D1262,"&lt;&gt;Negative*",$T$2:T1262,"&lt;&gt;Retracted")=1,1,0))</f>
        <v>1</v>
      </c>
    </row>
    <row r="1263" spans="1:21" ht="26" x14ac:dyDescent="0.2">
      <c r="A1263" t="s">
        <v>3223</v>
      </c>
      <c r="B1263" t="s">
        <v>211</v>
      </c>
      <c r="C1263" t="s">
        <v>1393</v>
      </c>
      <c r="D1263" t="s">
        <v>1613</v>
      </c>
      <c r="E1263" t="s">
        <v>212</v>
      </c>
      <c r="F1263" t="s">
        <v>1583</v>
      </c>
      <c r="N1263" t="s">
        <v>209</v>
      </c>
      <c r="Q1263" s="2" t="str">
        <f>IF($C1263="","",IFERROR(VLOOKUP($C1263,sources!$A$2:$N$200,2,FALSE()),"?"))</f>
        <v>Web compilation</v>
      </c>
      <c r="R1263" s="2" t="str">
        <f t="shared" si="19"/>
        <v>Textual</v>
      </c>
      <c r="S1263" s="2" t="str">
        <f>IF($C1263="","",IFERROR(VLOOKUP($C1263,sources!$A$2:$N$200,9,FALSE()),"?"))</f>
        <v>Caribbean community</v>
      </c>
      <c r="T1263" t="s">
        <v>5692</v>
      </c>
      <c r="U1263">
        <f>IF(OR(B1263="",C1263="",T1263="Retracted",LEFT(D1263,8)="Negative"),0,IF(COUNTIFS($B$2:B1263,B1263,$C$2:C1263,C1263,$D$2:D1263,"&lt;&gt;Negative*",$T$2:T1263,"&lt;&gt;Retracted")=1,1,0))</f>
        <v>0</v>
      </c>
    </row>
    <row r="1264" spans="1:21" ht="26" x14ac:dyDescent="0.2">
      <c r="A1264" t="s">
        <v>3224</v>
      </c>
      <c r="B1264" t="s">
        <v>465</v>
      </c>
      <c r="C1264" t="s">
        <v>1393</v>
      </c>
      <c r="D1264" t="s">
        <v>1575</v>
      </c>
      <c r="E1264" t="s">
        <v>466</v>
      </c>
      <c r="F1264" t="s">
        <v>1583</v>
      </c>
      <c r="N1264" t="s">
        <v>209</v>
      </c>
      <c r="Q1264" s="2" t="str">
        <f>IF($C1264="","",IFERROR(VLOOKUP($C1264,sources!$A$2:$N$200,2,FALSE()),"?"))</f>
        <v>Web compilation</v>
      </c>
      <c r="R1264" s="2" t="str">
        <f t="shared" si="19"/>
        <v>Textual</v>
      </c>
      <c r="S1264" s="2" t="str">
        <f>IF($C1264="","",IFERROR(VLOOKUP($C1264,sources!$A$2:$N$200,9,FALSE()),"?"))</f>
        <v>Caribbean community</v>
      </c>
      <c r="T1264" t="s">
        <v>5692</v>
      </c>
      <c r="U1264">
        <f>IF(OR(B1264="",C1264="",T1264="Retracted",LEFT(D1264,8)="Negative"),0,IF(COUNTIFS($B$2:B1264,B1264,$C$2:C1264,C1264,$D$2:D1264,"&lt;&gt;Negative*",$T$2:T1264,"&lt;&gt;Retracted")=1,1,0))</f>
        <v>1</v>
      </c>
    </row>
    <row r="1265" spans="1:21" ht="26" x14ac:dyDescent="0.2">
      <c r="A1265" t="s">
        <v>3225</v>
      </c>
      <c r="B1265" t="s">
        <v>398</v>
      </c>
      <c r="C1265" t="s">
        <v>1393</v>
      </c>
      <c r="D1265" t="s">
        <v>1613</v>
      </c>
      <c r="E1265" t="s">
        <v>399</v>
      </c>
      <c r="F1265" t="s">
        <v>1583</v>
      </c>
      <c r="N1265" t="s">
        <v>209</v>
      </c>
      <c r="Q1265" s="2" t="str">
        <f>IF($C1265="","",IFERROR(VLOOKUP($C1265,sources!$A$2:$N$200,2,FALSE()),"?"))</f>
        <v>Web compilation</v>
      </c>
      <c r="R1265" s="2" t="str">
        <f t="shared" si="19"/>
        <v>Textual</v>
      </c>
      <c r="S1265" s="2" t="str">
        <f>IF($C1265="","",IFERROR(VLOOKUP($C1265,sources!$A$2:$N$200,9,FALSE()),"?"))</f>
        <v>Caribbean community</v>
      </c>
      <c r="T1265" t="s">
        <v>5692</v>
      </c>
      <c r="U1265">
        <f>IF(OR(B1265="",C1265="",T1265="Retracted",LEFT(D1265,8)="Negative"),0,IF(COUNTIFS($B$2:B1265,B1265,$C$2:C1265,C1265,$D$2:D1265,"&lt;&gt;Negative*",$T$2:T1265,"&lt;&gt;Retracted")=1,1,0))</f>
        <v>0</v>
      </c>
    </row>
    <row r="1266" spans="1:21" ht="26" x14ac:dyDescent="0.2">
      <c r="A1266" t="s">
        <v>3226</v>
      </c>
      <c r="B1266" t="s">
        <v>649</v>
      </c>
      <c r="C1266" t="s">
        <v>1393</v>
      </c>
      <c r="D1266" t="s">
        <v>1613</v>
      </c>
      <c r="E1266" t="s">
        <v>650</v>
      </c>
      <c r="F1266" t="s">
        <v>1583</v>
      </c>
      <c r="N1266" t="s">
        <v>209</v>
      </c>
      <c r="Q1266" s="2" t="str">
        <f>IF($C1266="","",IFERROR(VLOOKUP($C1266,sources!$A$2:$N$200,2,FALSE()),"?"))</f>
        <v>Web compilation</v>
      </c>
      <c r="R1266" s="2" t="str">
        <f t="shared" si="19"/>
        <v>Textual</v>
      </c>
      <c r="S1266" s="2" t="str">
        <f>IF($C1266="","",IFERROR(VLOOKUP($C1266,sources!$A$2:$N$200,9,FALSE()),"?"))</f>
        <v>Caribbean community</v>
      </c>
      <c r="T1266" t="s">
        <v>5692</v>
      </c>
      <c r="U1266">
        <f>IF(OR(B1266="",C1266="",T1266="Retracted",LEFT(D1266,8)="Negative"),0,IF(COUNTIFS($B$2:B1266,B1266,$C$2:C1266,C1266,$D$2:D1266,"&lt;&gt;Negative*",$T$2:T1266,"&lt;&gt;Retracted")=1,1,0))</f>
        <v>0</v>
      </c>
    </row>
    <row r="1267" spans="1:21" ht="26" x14ac:dyDescent="0.2">
      <c r="A1267" t="s">
        <v>3227</v>
      </c>
      <c r="B1267" t="s">
        <v>783</v>
      </c>
      <c r="C1267" t="s">
        <v>1393</v>
      </c>
      <c r="D1267" t="s">
        <v>1613</v>
      </c>
      <c r="E1267" t="s">
        <v>784</v>
      </c>
      <c r="F1267" t="s">
        <v>1583</v>
      </c>
      <c r="N1267" t="s">
        <v>209</v>
      </c>
      <c r="Q1267" s="2" t="str">
        <f>IF($C1267="","",IFERROR(VLOOKUP($C1267,sources!$A$2:$N$200,2,FALSE()),"?"))</f>
        <v>Web compilation</v>
      </c>
      <c r="R1267" s="2" t="str">
        <f t="shared" si="19"/>
        <v>Textual</v>
      </c>
      <c r="S1267" s="2" t="str">
        <f>IF($C1267="","",IFERROR(VLOOKUP($C1267,sources!$A$2:$N$200,9,FALSE()),"?"))</f>
        <v>Caribbean community</v>
      </c>
      <c r="T1267" t="s">
        <v>5692</v>
      </c>
      <c r="U1267">
        <f>IF(OR(B1267="",C1267="",T1267="Retracted",LEFT(D1267,8)="Negative"),0,IF(COUNTIFS($B$2:B1267,B1267,$C$2:C1267,C1267,$D$2:D1267,"&lt;&gt;Negative*",$T$2:T1267,"&lt;&gt;Retracted")=1,1,0))</f>
        <v>0</v>
      </c>
    </row>
    <row r="1268" spans="1:21" ht="26" x14ac:dyDescent="0.2">
      <c r="A1268" t="s">
        <v>3228</v>
      </c>
      <c r="B1268" t="s">
        <v>630</v>
      </c>
      <c r="C1268" t="s">
        <v>1393</v>
      </c>
      <c r="D1268" t="s">
        <v>1613</v>
      </c>
      <c r="E1268" t="s">
        <v>631</v>
      </c>
      <c r="F1268" t="s">
        <v>1583</v>
      </c>
      <c r="N1268" t="s">
        <v>209</v>
      </c>
      <c r="Q1268" s="2" t="str">
        <f>IF($C1268="","",IFERROR(VLOOKUP($C1268,sources!$A$2:$N$200,2,FALSE()),"?"))</f>
        <v>Web compilation</v>
      </c>
      <c r="R1268" s="2" t="str">
        <f t="shared" si="19"/>
        <v>Textual</v>
      </c>
      <c r="S1268" s="2" t="str">
        <f>IF($C1268="","",IFERROR(VLOOKUP($C1268,sources!$A$2:$N$200,9,FALSE()),"?"))</f>
        <v>Caribbean community</v>
      </c>
      <c r="T1268" t="s">
        <v>5692</v>
      </c>
      <c r="U1268">
        <f>IF(OR(B1268="",C1268="",T1268="Retracted",LEFT(D1268,8)="Negative"),0,IF(COUNTIFS($B$2:B1268,B1268,$C$2:C1268,C1268,$D$2:D1268,"&lt;&gt;Negative*",$T$2:T1268,"&lt;&gt;Retracted")=1,1,0))</f>
        <v>0</v>
      </c>
    </row>
    <row r="1269" spans="1:21" ht="26" x14ac:dyDescent="0.2">
      <c r="A1269" t="s">
        <v>3229</v>
      </c>
      <c r="B1269" t="s">
        <v>503</v>
      </c>
      <c r="C1269" t="s">
        <v>1393</v>
      </c>
      <c r="D1269" t="s">
        <v>1613</v>
      </c>
      <c r="E1269" t="s">
        <v>504</v>
      </c>
      <c r="F1269" t="s">
        <v>1583</v>
      </c>
      <c r="N1269" t="s">
        <v>209</v>
      </c>
      <c r="Q1269" s="2" t="str">
        <f>IF($C1269="","",IFERROR(VLOOKUP($C1269,sources!$A$2:$N$200,2,FALSE()),"?"))</f>
        <v>Web compilation</v>
      </c>
      <c r="R1269" s="2" t="str">
        <f t="shared" si="19"/>
        <v>Textual</v>
      </c>
      <c r="S1269" s="2" t="str">
        <f>IF($C1269="","",IFERROR(VLOOKUP($C1269,sources!$A$2:$N$200,9,FALSE()),"?"))</f>
        <v>Caribbean community</v>
      </c>
      <c r="T1269" t="s">
        <v>5692</v>
      </c>
      <c r="U1269">
        <f>IF(OR(B1269="",C1269="",T1269="Retracted",LEFT(D1269,8)="Negative"),0,IF(COUNTIFS($B$2:B1269,B1269,$C$2:C1269,C1269,$D$2:D1269,"&lt;&gt;Negative*",$T$2:T1269,"&lt;&gt;Retracted")=1,1,0))</f>
        <v>0</v>
      </c>
    </row>
    <row r="1270" spans="1:21" ht="26" x14ac:dyDescent="0.2">
      <c r="A1270" t="s">
        <v>3230</v>
      </c>
      <c r="B1270" t="s">
        <v>635</v>
      </c>
      <c r="C1270" t="s">
        <v>1393</v>
      </c>
      <c r="D1270" t="s">
        <v>1613</v>
      </c>
      <c r="E1270" t="s">
        <v>636</v>
      </c>
      <c r="F1270" t="s">
        <v>1583</v>
      </c>
      <c r="N1270" t="s">
        <v>209</v>
      </c>
      <c r="Q1270" s="2" t="str">
        <f>IF($C1270="","",IFERROR(VLOOKUP($C1270,sources!$A$2:$N$200,2,FALSE()),"?"))</f>
        <v>Web compilation</v>
      </c>
      <c r="R1270" s="2" t="str">
        <f t="shared" si="19"/>
        <v>Textual</v>
      </c>
      <c r="S1270" s="2" t="str">
        <f>IF($C1270="","",IFERROR(VLOOKUP($C1270,sources!$A$2:$N$200,9,FALSE()),"?"))</f>
        <v>Caribbean community</v>
      </c>
      <c r="T1270" t="s">
        <v>5692</v>
      </c>
      <c r="U1270">
        <f>IF(OR(B1270="",C1270="",T1270="Retracted",LEFT(D1270,8)="Negative"),0,IF(COUNTIFS($B$2:B1270,B1270,$C$2:C1270,C1270,$D$2:D1270,"&lt;&gt;Negative*",$T$2:T1270,"&lt;&gt;Retracted")=1,1,0))</f>
        <v>0</v>
      </c>
    </row>
    <row r="1271" spans="1:21" ht="26" x14ac:dyDescent="0.2">
      <c r="A1271" t="s">
        <v>3231</v>
      </c>
      <c r="B1271" t="s">
        <v>816</v>
      </c>
      <c r="C1271" t="s">
        <v>1393</v>
      </c>
      <c r="D1271" t="s">
        <v>1613</v>
      </c>
      <c r="E1271" t="s">
        <v>817</v>
      </c>
      <c r="F1271" t="s">
        <v>1583</v>
      </c>
      <c r="N1271" t="s">
        <v>209</v>
      </c>
      <c r="Q1271" s="2" t="str">
        <f>IF($C1271="","",IFERROR(VLOOKUP($C1271,sources!$A$2:$N$200,2,FALSE()),"?"))</f>
        <v>Web compilation</v>
      </c>
      <c r="R1271" s="2" t="str">
        <f t="shared" si="19"/>
        <v>Textual</v>
      </c>
      <c r="S1271" s="2" t="str">
        <f>IF($C1271="","",IFERROR(VLOOKUP($C1271,sources!$A$2:$N$200,9,FALSE()),"?"))</f>
        <v>Caribbean community</v>
      </c>
      <c r="T1271" t="s">
        <v>5692</v>
      </c>
      <c r="U1271">
        <f>IF(OR(B1271="",C1271="",T1271="Retracted",LEFT(D1271,8)="Negative"),0,IF(COUNTIFS($B$2:B1271,B1271,$C$2:C1271,C1271,$D$2:D1271,"&lt;&gt;Negative*",$T$2:T1271,"&lt;&gt;Retracted")=1,1,0))</f>
        <v>0</v>
      </c>
    </row>
    <row r="1272" spans="1:21" ht="26" x14ac:dyDescent="0.2">
      <c r="A1272" t="s">
        <v>3232</v>
      </c>
      <c r="B1272" t="s">
        <v>443</v>
      </c>
      <c r="C1272" t="s">
        <v>1393</v>
      </c>
      <c r="D1272" t="s">
        <v>1575</v>
      </c>
      <c r="E1272" t="s">
        <v>444</v>
      </c>
      <c r="F1272" t="s">
        <v>1583</v>
      </c>
      <c r="N1272" t="s">
        <v>203</v>
      </c>
      <c r="Q1272" s="2" t="str">
        <f>IF($C1272="","",IFERROR(VLOOKUP($C1272,sources!$A$2:$N$200,2,FALSE()),"?"))</f>
        <v>Web compilation</v>
      </c>
      <c r="R1272" s="2" t="str">
        <f t="shared" si="19"/>
        <v>Textual</v>
      </c>
      <c r="S1272" s="2" t="str">
        <f>IF($C1272="","",IFERROR(VLOOKUP($C1272,sources!$A$2:$N$200,9,FALSE()),"?"))</f>
        <v>Caribbean community</v>
      </c>
      <c r="T1272" t="s">
        <v>5692</v>
      </c>
      <c r="U1272">
        <f>IF(OR(B1272="",C1272="",T1272="Retracted",LEFT(D1272,8)="Negative"),0,IF(COUNTIFS($B$2:B1272,B1272,$C$2:C1272,C1272,$D$2:D1272,"&lt;&gt;Negative*",$T$2:T1272,"&lt;&gt;Retracted")=1,1,0))</f>
        <v>1</v>
      </c>
    </row>
    <row r="1273" spans="1:21" ht="26" x14ac:dyDescent="0.2">
      <c r="A1273" t="s">
        <v>3233</v>
      </c>
      <c r="B1273" t="s">
        <v>595</v>
      </c>
      <c r="C1273" t="s">
        <v>1393</v>
      </c>
      <c r="D1273" t="s">
        <v>1613</v>
      </c>
      <c r="E1273" t="s">
        <v>596</v>
      </c>
      <c r="F1273" t="s">
        <v>1583</v>
      </c>
      <c r="N1273" t="s">
        <v>209</v>
      </c>
      <c r="Q1273" s="2" t="str">
        <f>IF($C1273="","",IFERROR(VLOOKUP($C1273,sources!$A$2:$N$200,2,FALSE()),"?"))</f>
        <v>Web compilation</v>
      </c>
      <c r="R1273" s="2" t="str">
        <f t="shared" si="19"/>
        <v>Textual</v>
      </c>
      <c r="S1273" s="2" t="str">
        <f>IF($C1273="","",IFERROR(VLOOKUP($C1273,sources!$A$2:$N$200,9,FALSE()),"?"))</f>
        <v>Caribbean community</v>
      </c>
      <c r="T1273" t="s">
        <v>5692</v>
      </c>
      <c r="U1273">
        <f>IF(OR(B1273="",C1273="",T1273="Retracted",LEFT(D1273,8)="Negative"),0,IF(COUNTIFS($B$2:B1273,B1273,$C$2:C1273,C1273,$D$2:D1273,"&lt;&gt;Negative*",$T$2:T1273,"&lt;&gt;Retracted")=1,1,0))</f>
        <v>0</v>
      </c>
    </row>
    <row r="1274" spans="1:21" ht="26" x14ac:dyDescent="0.2">
      <c r="A1274" t="s">
        <v>3234</v>
      </c>
      <c r="B1274" t="s">
        <v>510</v>
      </c>
      <c r="C1274" t="s">
        <v>1393</v>
      </c>
      <c r="D1274" t="s">
        <v>1575</v>
      </c>
      <c r="E1274" t="s">
        <v>511</v>
      </c>
      <c r="F1274" t="s">
        <v>1583</v>
      </c>
      <c r="N1274" t="s">
        <v>209</v>
      </c>
      <c r="Q1274" s="2" t="str">
        <f>IF($C1274="","",IFERROR(VLOOKUP($C1274,sources!$A$2:$N$200,2,FALSE()),"?"))</f>
        <v>Web compilation</v>
      </c>
      <c r="R1274" s="2" t="str">
        <f t="shared" si="19"/>
        <v>Textual</v>
      </c>
      <c r="S1274" s="2" t="str">
        <f>IF($C1274="","",IFERROR(VLOOKUP($C1274,sources!$A$2:$N$200,9,FALSE()),"?"))</f>
        <v>Caribbean community</v>
      </c>
      <c r="T1274" t="s">
        <v>5692</v>
      </c>
      <c r="U1274">
        <f>IF(OR(B1274="",C1274="",T1274="Retracted",LEFT(D1274,8)="Negative"),0,IF(COUNTIFS($B$2:B1274,B1274,$C$2:C1274,C1274,$D$2:D1274,"&lt;&gt;Negative*",$T$2:T1274,"&lt;&gt;Retracted")=1,1,0))</f>
        <v>1</v>
      </c>
    </row>
    <row r="1275" spans="1:21" ht="26" x14ac:dyDescent="0.2">
      <c r="A1275" t="s">
        <v>3235</v>
      </c>
      <c r="B1275" t="s">
        <v>575</v>
      </c>
      <c r="C1275" t="s">
        <v>1393</v>
      </c>
      <c r="D1275" t="s">
        <v>1613</v>
      </c>
      <c r="E1275" t="s">
        <v>576</v>
      </c>
      <c r="F1275" t="s">
        <v>1583</v>
      </c>
      <c r="N1275" t="s">
        <v>209</v>
      </c>
      <c r="Q1275" s="2" t="str">
        <f>IF($C1275="","",IFERROR(VLOOKUP($C1275,sources!$A$2:$N$200,2,FALSE()),"?"))</f>
        <v>Web compilation</v>
      </c>
      <c r="R1275" s="2" t="str">
        <f t="shared" si="19"/>
        <v>Textual</v>
      </c>
      <c r="S1275" s="2" t="str">
        <f>IF($C1275="","",IFERROR(VLOOKUP($C1275,sources!$A$2:$N$200,9,FALSE()),"?"))</f>
        <v>Caribbean community</v>
      </c>
      <c r="T1275" t="s">
        <v>5692</v>
      </c>
      <c r="U1275">
        <f>IF(OR(B1275="",C1275="",T1275="Retracted",LEFT(D1275,8)="Negative"),0,IF(COUNTIFS($B$2:B1275,B1275,$C$2:C1275,C1275,$D$2:D1275,"&lt;&gt;Negative*",$T$2:T1275,"&lt;&gt;Retracted")=1,1,0))</f>
        <v>0</v>
      </c>
    </row>
    <row r="1276" spans="1:21" ht="26" x14ac:dyDescent="0.2">
      <c r="A1276" t="s">
        <v>3236</v>
      </c>
      <c r="B1276" t="s">
        <v>351</v>
      </c>
      <c r="C1276" t="s">
        <v>1393</v>
      </c>
      <c r="D1276" t="s">
        <v>1575</v>
      </c>
      <c r="E1276" t="s">
        <v>352</v>
      </c>
      <c r="F1276" t="s">
        <v>1583</v>
      </c>
      <c r="N1276" t="s">
        <v>203</v>
      </c>
      <c r="Q1276" s="2" t="str">
        <f>IF($C1276="","",IFERROR(VLOOKUP($C1276,sources!$A$2:$N$200,2,FALSE()),"?"))</f>
        <v>Web compilation</v>
      </c>
      <c r="R1276" s="2" t="str">
        <f t="shared" si="19"/>
        <v>Textual</v>
      </c>
      <c r="S1276" s="2" t="str">
        <f>IF($C1276="","",IFERROR(VLOOKUP($C1276,sources!$A$2:$N$200,9,FALSE()),"?"))</f>
        <v>Caribbean community</v>
      </c>
      <c r="T1276" t="s">
        <v>5692</v>
      </c>
      <c r="U1276">
        <f>IF(OR(B1276="",C1276="",T1276="Retracted",LEFT(D1276,8)="Negative"),0,IF(COUNTIFS($B$2:B1276,B1276,$C$2:C1276,C1276,$D$2:D1276,"&lt;&gt;Negative*",$T$2:T1276,"&lt;&gt;Retracted")=1,1,0))</f>
        <v>1</v>
      </c>
    </row>
    <row r="1277" spans="1:21" ht="26" x14ac:dyDescent="0.2">
      <c r="A1277" t="s">
        <v>3237</v>
      </c>
      <c r="B1277" t="s">
        <v>330</v>
      </c>
      <c r="C1277" t="s">
        <v>1393</v>
      </c>
      <c r="D1277" t="s">
        <v>1575</v>
      </c>
      <c r="E1277" t="s">
        <v>331</v>
      </c>
      <c r="F1277" t="s">
        <v>1583</v>
      </c>
      <c r="N1277" t="s">
        <v>203</v>
      </c>
      <c r="Q1277" s="2" t="str">
        <f>IF($C1277="","",IFERROR(VLOOKUP($C1277,sources!$A$2:$N$200,2,FALSE()),"?"))</f>
        <v>Web compilation</v>
      </c>
      <c r="R1277" s="2" t="str">
        <f t="shared" si="19"/>
        <v>Textual</v>
      </c>
      <c r="S1277" s="2" t="str">
        <f>IF($C1277="","",IFERROR(VLOOKUP($C1277,sources!$A$2:$N$200,9,FALSE()),"?"))</f>
        <v>Caribbean community</v>
      </c>
      <c r="T1277" t="s">
        <v>5692</v>
      </c>
      <c r="U1277">
        <f>IF(OR(B1277="",C1277="",T1277="Retracted",LEFT(D1277,8)="Negative"),0,IF(COUNTIFS($B$2:B1277,B1277,$C$2:C1277,C1277,$D$2:D1277,"&lt;&gt;Negative*",$T$2:T1277,"&lt;&gt;Retracted")=1,1,0))</f>
        <v>1</v>
      </c>
    </row>
    <row r="1278" spans="1:21" ht="26" x14ac:dyDescent="0.2">
      <c r="A1278" t="s">
        <v>3238</v>
      </c>
      <c r="B1278" t="s">
        <v>199</v>
      </c>
      <c r="C1278" t="s">
        <v>1393</v>
      </c>
      <c r="D1278" t="s">
        <v>1575</v>
      </c>
      <c r="E1278" t="s">
        <v>200</v>
      </c>
      <c r="F1278" t="s">
        <v>1583</v>
      </c>
      <c r="N1278" t="s">
        <v>209</v>
      </c>
      <c r="Q1278" s="2" t="str">
        <f>IF($C1278="","",IFERROR(VLOOKUP($C1278,sources!$A$2:$N$200,2,FALSE()),"?"))</f>
        <v>Web compilation</v>
      </c>
      <c r="R1278" s="2" t="str">
        <f t="shared" si="19"/>
        <v>Textual</v>
      </c>
      <c r="S1278" s="2" t="str">
        <f>IF($C1278="","",IFERROR(VLOOKUP($C1278,sources!$A$2:$N$200,9,FALSE()),"?"))</f>
        <v>Caribbean community</v>
      </c>
      <c r="T1278" t="s">
        <v>5692</v>
      </c>
      <c r="U1278">
        <f>IF(OR(B1278="",C1278="",T1278="Retracted",LEFT(D1278,8)="Negative"),0,IF(COUNTIFS($B$2:B1278,B1278,$C$2:C1278,C1278,$D$2:D1278,"&lt;&gt;Negative*",$T$2:T1278,"&lt;&gt;Retracted")=1,1,0))</f>
        <v>1</v>
      </c>
    </row>
    <row r="1279" spans="1:21" ht="26" x14ac:dyDescent="0.2">
      <c r="A1279" t="s">
        <v>3239</v>
      </c>
      <c r="B1279" t="s">
        <v>217</v>
      </c>
      <c r="C1279" t="s">
        <v>1393</v>
      </c>
      <c r="D1279" t="s">
        <v>1613</v>
      </c>
      <c r="E1279" t="s">
        <v>218</v>
      </c>
      <c r="F1279" t="s">
        <v>1583</v>
      </c>
      <c r="N1279" t="s">
        <v>209</v>
      </c>
      <c r="Q1279" s="2" t="str">
        <f>IF($C1279="","",IFERROR(VLOOKUP($C1279,sources!$A$2:$N$200,2,FALSE()),"?"))</f>
        <v>Web compilation</v>
      </c>
      <c r="R1279" s="2" t="str">
        <f t="shared" si="19"/>
        <v>Textual</v>
      </c>
      <c r="S1279" s="2" t="str">
        <f>IF($C1279="","",IFERROR(VLOOKUP($C1279,sources!$A$2:$N$200,9,FALSE()),"?"))</f>
        <v>Caribbean community</v>
      </c>
      <c r="T1279" t="s">
        <v>5692</v>
      </c>
      <c r="U1279">
        <f>IF(OR(B1279="",C1279="",T1279="Retracted",LEFT(D1279,8)="Negative"),0,IF(COUNTIFS($B$2:B1279,B1279,$C$2:C1279,C1279,$D$2:D1279,"&lt;&gt;Negative*",$T$2:T1279,"&lt;&gt;Retracted")=1,1,0))</f>
        <v>0</v>
      </c>
    </row>
    <row r="1280" spans="1:21" ht="26" x14ac:dyDescent="0.2">
      <c r="A1280" t="s">
        <v>3240</v>
      </c>
      <c r="B1280" t="s">
        <v>378</v>
      </c>
      <c r="C1280" t="s">
        <v>1393</v>
      </c>
      <c r="D1280" t="s">
        <v>1575</v>
      </c>
      <c r="E1280" t="s">
        <v>379</v>
      </c>
      <c r="F1280" t="s">
        <v>1583</v>
      </c>
      <c r="N1280" t="s">
        <v>209</v>
      </c>
      <c r="Q1280" s="2" t="str">
        <f>IF($C1280="","",IFERROR(VLOOKUP($C1280,sources!$A$2:$N$200,2,FALSE()),"?"))</f>
        <v>Web compilation</v>
      </c>
      <c r="R1280" s="2" t="str">
        <f t="shared" si="19"/>
        <v>Textual</v>
      </c>
      <c r="S1280" s="2" t="str">
        <f>IF($C1280="","",IFERROR(VLOOKUP($C1280,sources!$A$2:$N$200,9,FALSE()),"?"))</f>
        <v>Caribbean community</v>
      </c>
      <c r="T1280" t="s">
        <v>5692</v>
      </c>
      <c r="U1280">
        <f>IF(OR(B1280="",C1280="",T1280="Retracted",LEFT(D1280,8)="Negative"),0,IF(COUNTIFS($B$2:B1280,B1280,$C$2:C1280,C1280,$D$2:D1280,"&lt;&gt;Negative*",$T$2:T1280,"&lt;&gt;Retracted")=1,1,0))</f>
        <v>1</v>
      </c>
    </row>
    <row r="1281" spans="1:21" ht="26" x14ac:dyDescent="0.2">
      <c r="A1281" t="s">
        <v>3241</v>
      </c>
      <c r="B1281" t="s">
        <v>247</v>
      </c>
      <c r="C1281" t="s">
        <v>1393</v>
      </c>
      <c r="D1281" t="s">
        <v>1575</v>
      </c>
      <c r="E1281" t="s">
        <v>248</v>
      </c>
      <c r="F1281" t="s">
        <v>1583</v>
      </c>
      <c r="N1281" t="s">
        <v>203</v>
      </c>
      <c r="Q1281" s="2" t="str">
        <f>IF($C1281="","",IFERROR(VLOOKUP($C1281,sources!$A$2:$N$200,2,FALSE()),"?"))</f>
        <v>Web compilation</v>
      </c>
      <c r="R1281" s="2" t="str">
        <f t="shared" si="19"/>
        <v>Textual</v>
      </c>
      <c r="S1281" s="2" t="str">
        <f>IF($C1281="","",IFERROR(VLOOKUP($C1281,sources!$A$2:$N$200,9,FALSE()),"?"))</f>
        <v>Caribbean community</v>
      </c>
      <c r="T1281" t="s">
        <v>5692</v>
      </c>
      <c r="U1281">
        <f>IF(OR(B1281="",C1281="",T1281="Retracted",LEFT(D1281,8)="Negative"),0,IF(COUNTIFS($B$2:B1281,B1281,$C$2:C1281,C1281,$D$2:D1281,"&lt;&gt;Negative*",$T$2:T1281,"&lt;&gt;Retracted")=1,1,0))</f>
        <v>1</v>
      </c>
    </row>
    <row r="1282" spans="1:21" ht="26" x14ac:dyDescent="0.2">
      <c r="A1282" t="s">
        <v>3242</v>
      </c>
      <c r="B1282" t="s">
        <v>580</v>
      </c>
      <c r="C1282" t="s">
        <v>1393</v>
      </c>
      <c r="D1282" t="s">
        <v>1613</v>
      </c>
      <c r="E1282" t="s">
        <v>581</v>
      </c>
      <c r="F1282" t="s">
        <v>1583</v>
      </c>
      <c r="N1282" t="s">
        <v>209</v>
      </c>
      <c r="Q1282" s="2" t="str">
        <f>IF($C1282="","",IFERROR(VLOOKUP($C1282,sources!$A$2:$N$200,2,FALSE()),"?"))</f>
        <v>Web compilation</v>
      </c>
      <c r="R1282" s="2" t="str">
        <f t="shared" ref="R1282:R1345" si="20">IF($Q1282="","",IF($Q1282="Map","Map",IF(OR($Q1282="Photograph",$Q1282="Postcard"),"Image",IF(OR($Q1282="Census or roll",$Q1282="Report",$Q1282="Newspaper",$Q1282="Letter",$Q1282="Memoir",$Q1282="Administrative",$Q1282="Web compilation"),"Textual",IF($Q1282="Legal claim","Legal/admin",IF($Q1282="Secondary","Secondary","Other"))))))</f>
        <v>Textual</v>
      </c>
      <c r="S1282" s="2" t="str">
        <f>IF($C1282="","",IFERROR(VLOOKUP($C1282,sources!$A$2:$N$200,9,FALSE()),"?"))</f>
        <v>Caribbean community</v>
      </c>
      <c r="T1282" t="s">
        <v>5692</v>
      </c>
      <c r="U1282">
        <f>IF(OR(B1282="",C1282="",T1282="Retracted",LEFT(D1282,8)="Negative"),0,IF(COUNTIFS($B$2:B1282,B1282,$C$2:C1282,C1282,$D$2:D1282,"&lt;&gt;Negative*",$T$2:T1282,"&lt;&gt;Retracted")=1,1,0))</f>
        <v>0</v>
      </c>
    </row>
    <row r="1283" spans="1:21" ht="26" x14ac:dyDescent="0.2">
      <c r="A1283" t="s">
        <v>3243</v>
      </c>
      <c r="B1283" t="s">
        <v>452</v>
      </c>
      <c r="C1283" t="s">
        <v>1393</v>
      </c>
      <c r="D1283" t="s">
        <v>1575</v>
      </c>
      <c r="E1283" t="s">
        <v>453</v>
      </c>
      <c r="F1283" t="s">
        <v>1583</v>
      </c>
      <c r="N1283" t="s">
        <v>209</v>
      </c>
      <c r="Q1283" s="2" t="str">
        <f>IF($C1283="","",IFERROR(VLOOKUP($C1283,sources!$A$2:$N$200,2,FALSE()),"?"))</f>
        <v>Web compilation</v>
      </c>
      <c r="R1283" s="2" t="str">
        <f t="shared" si="20"/>
        <v>Textual</v>
      </c>
      <c r="S1283" s="2" t="str">
        <f>IF($C1283="","",IFERROR(VLOOKUP($C1283,sources!$A$2:$N$200,9,FALSE()),"?"))</f>
        <v>Caribbean community</v>
      </c>
      <c r="T1283" t="s">
        <v>5692</v>
      </c>
      <c r="U1283">
        <f>IF(OR(B1283="",C1283="",T1283="Retracted",LEFT(D1283,8)="Negative"),0,IF(COUNTIFS($B$2:B1283,B1283,$C$2:C1283,C1283,$D$2:D1283,"&lt;&gt;Negative*",$T$2:T1283,"&lt;&gt;Retracted")=1,1,0))</f>
        <v>1</v>
      </c>
    </row>
    <row r="1284" spans="1:21" ht="26" x14ac:dyDescent="0.2">
      <c r="A1284" t="s">
        <v>3244</v>
      </c>
      <c r="B1284" t="s">
        <v>475</v>
      </c>
      <c r="C1284" t="s">
        <v>1393</v>
      </c>
      <c r="D1284" t="s">
        <v>1575</v>
      </c>
      <c r="E1284" t="s">
        <v>476</v>
      </c>
      <c r="F1284" t="s">
        <v>1583</v>
      </c>
      <c r="N1284" t="s">
        <v>209</v>
      </c>
      <c r="Q1284" s="2" t="str">
        <f>IF($C1284="","",IFERROR(VLOOKUP($C1284,sources!$A$2:$N$200,2,FALSE()),"?"))</f>
        <v>Web compilation</v>
      </c>
      <c r="R1284" s="2" t="str">
        <f t="shared" si="20"/>
        <v>Textual</v>
      </c>
      <c r="S1284" s="2" t="str">
        <f>IF($C1284="","",IFERROR(VLOOKUP($C1284,sources!$A$2:$N$200,9,FALSE()),"?"))</f>
        <v>Caribbean community</v>
      </c>
      <c r="T1284" t="s">
        <v>5692</v>
      </c>
      <c r="U1284">
        <f>IF(OR(B1284="",C1284="",T1284="Retracted",LEFT(D1284,8)="Negative"),0,IF(COUNTIFS($B$2:B1284,B1284,$C$2:C1284,C1284,$D$2:D1284,"&lt;&gt;Negative*",$T$2:T1284,"&lt;&gt;Retracted")=1,1,0))</f>
        <v>1</v>
      </c>
    </row>
    <row r="1285" spans="1:21" ht="26" x14ac:dyDescent="0.2">
      <c r="A1285" t="s">
        <v>3245</v>
      </c>
      <c r="B1285" t="s">
        <v>646</v>
      </c>
      <c r="C1285" t="s">
        <v>1393</v>
      </c>
      <c r="D1285" t="s">
        <v>1613</v>
      </c>
      <c r="E1285" t="s">
        <v>647</v>
      </c>
      <c r="F1285" t="s">
        <v>1583</v>
      </c>
      <c r="N1285" t="s">
        <v>209</v>
      </c>
      <c r="Q1285" s="2" t="str">
        <f>IF($C1285="","",IFERROR(VLOOKUP($C1285,sources!$A$2:$N$200,2,FALSE()),"?"))</f>
        <v>Web compilation</v>
      </c>
      <c r="R1285" s="2" t="str">
        <f t="shared" si="20"/>
        <v>Textual</v>
      </c>
      <c r="S1285" s="2" t="str">
        <f>IF($C1285="","",IFERROR(VLOOKUP($C1285,sources!$A$2:$N$200,9,FALSE()),"?"))</f>
        <v>Caribbean community</v>
      </c>
      <c r="T1285" t="s">
        <v>5692</v>
      </c>
      <c r="U1285">
        <f>IF(OR(B1285="",C1285="",T1285="Retracted",LEFT(D1285,8)="Negative"),0,IF(COUNTIFS($B$2:B1285,B1285,$C$2:C1285,C1285,$D$2:D1285,"&lt;&gt;Negative*",$T$2:T1285,"&lt;&gt;Retracted")=1,1,0))</f>
        <v>0</v>
      </c>
    </row>
    <row r="1286" spans="1:21" ht="26" x14ac:dyDescent="0.2">
      <c r="A1286" t="s">
        <v>3246</v>
      </c>
      <c r="B1286" t="s">
        <v>472</v>
      </c>
      <c r="C1286" t="s">
        <v>1393</v>
      </c>
      <c r="D1286" t="s">
        <v>1613</v>
      </c>
      <c r="E1286" t="s">
        <v>473</v>
      </c>
      <c r="F1286" t="s">
        <v>1583</v>
      </c>
      <c r="N1286" t="s">
        <v>209</v>
      </c>
      <c r="Q1286" s="2" t="str">
        <f>IF($C1286="","",IFERROR(VLOOKUP($C1286,sources!$A$2:$N$200,2,FALSE()),"?"))</f>
        <v>Web compilation</v>
      </c>
      <c r="R1286" s="2" t="str">
        <f t="shared" si="20"/>
        <v>Textual</v>
      </c>
      <c r="S1286" s="2" t="str">
        <f>IF($C1286="","",IFERROR(VLOOKUP($C1286,sources!$A$2:$N$200,9,FALSE()),"?"))</f>
        <v>Caribbean community</v>
      </c>
      <c r="T1286" t="s">
        <v>5692</v>
      </c>
      <c r="U1286">
        <f>IF(OR(B1286="",C1286="",T1286="Retracted",LEFT(D1286,8)="Negative"),0,IF(COUNTIFS($B$2:B1286,B1286,$C$2:C1286,C1286,$D$2:D1286,"&lt;&gt;Negative*",$T$2:T1286,"&lt;&gt;Retracted")=1,1,0))</f>
        <v>0</v>
      </c>
    </row>
    <row r="1287" spans="1:21" ht="26" x14ac:dyDescent="0.2">
      <c r="A1287" t="s">
        <v>3247</v>
      </c>
      <c r="B1287" t="s">
        <v>233</v>
      </c>
      <c r="C1287" t="s">
        <v>1393</v>
      </c>
      <c r="D1287" t="s">
        <v>1575</v>
      </c>
      <c r="E1287" t="s">
        <v>234</v>
      </c>
      <c r="F1287" t="s">
        <v>1583</v>
      </c>
      <c r="N1287" t="s">
        <v>203</v>
      </c>
      <c r="Q1287" s="2" t="str">
        <f>IF($C1287="","",IFERROR(VLOOKUP($C1287,sources!$A$2:$N$200,2,FALSE()),"?"))</f>
        <v>Web compilation</v>
      </c>
      <c r="R1287" s="2" t="str">
        <f t="shared" si="20"/>
        <v>Textual</v>
      </c>
      <c r="S1287" s="2" t="str">
        <f>IF($C1287="","",IFERROR(VLOOKUP($C1287,sources!$A$2:$N$200,9,FALSE()),"?"))</f>
        <v>Caribbean community</v>
      </c>
      <c r="T1287" t="s">
        <v>5692</v>
      </c>
      <c r="U1287">
        <f>IF(OR(B1287="",C1287="",T1287="Retracted",LEFT(D1287,8)="Negative"),0,IF(COUNTIFS($B$2:B1287,B1287,$C$2:C1287,C1287,$D$2:D1287,"&lt;&gt;Negative*",$T$2:T1287,"&lt;&gt;Retracted")=1,1,0))</f>
        <v>1</v>
      </c>
    </row>
    <row r="1288" spans="1:21" ht="26" x14ac:dyDescent="0.2">
      <c r="A1288" t="s">
        <v>3248</v>
      </c>
      <c r="B1288" t="s">
        <v>294</v>
      </c>
      <c r="C1288" t="s">
        <v>1393</v>
      </c>
      <c r="D1288" t="s">
        <v>1613</v>
      </c>
      <c r="E1288" t="s">
        <v>295</v>
      </c>
      <c r="F1288" t="s">
        <v>1583</v>
      </c>
      <c r="N1288" t="s">
        <v>209</v>
      </c>
      <c r="Q1288" s="2" t="str">
        <f>IF($C1288="","",IFERROR(VLOOKUP($C1288,sources!$A$2:$N$200,2,FALSE()),"?"))</f>
        <v>Web compilation</v>
      </c>
      <c r="R1288" s="2" t="str">
        <f t="shared" si="20"/>
        <v>Textual</v>
      </c>
      <c r="S1288" s="2" t="str">
        <f>IF($C1288="","",IFERROR(VLOOKUP($C1288,sources!$A$2:$N$200,9,FALSE()),"?"))</f>
        <v>Caribbean community</v>
      </c>
      <c r="T1288" t="s">
        <v>5692</v>
      </c>
      <c r="U1288">
        <f>IF(OR(B1288="",C1288="",T1288="Retracted",LEFT(D1288,8)="Negative"),0,IF(COUNTIFS($B$2:B1288,B1288,$C$2:C1288,C1288,$D$2:D1288,"&lt;&gt;Negative*",$T$2:T1288,"&lt;&gt;Retracted")=1,1,0))</f>
        <v>0</v>
      </c>
    </row>
    <row r="1289" spans="1:21" ht="26" x14ac:dyDescent="0.2">
      <c r="A1289" t="s">
        <v>3249</v>
      </c>
      <c r="B1289" t="s">
        <v>287</v>
      </c>
      <c r="C1289" t="s">
        <v>1393</v>
      </c>
      <c r="D1289" t="s">
        <v>1613</v>
      </c>
      <c r="E1289" t="s">
        <v>288</v>
      </c>
      <c r="F1289" t="s">
        <v>1583</v>
      </c>
      <c r="N1289" t="s">
        <v>209</v>
      </c>
      <c r="Q1289" s="2" t="str">
        <f>IF($C1289="","",IFERROR(VLOOKUP($C1289,sources!$A$2:$N$200,2,FALSE()),"?"))</f>
        <v>Web compilation</v>
      </c>
      <c r="R1289" s="2" t="str">
        <f t="shared" si="20"/>
        <v>Textual</v>
      </c>
      <c r="S1289" s="2" t="str">
        <f>IF($C1289="","",IFERROR(VLOOKUP($C1289,sources!$A$2:$N$200,9,FALSE()),"?"))</f>
        <v>Caribbean community</v>
      </c>
      <c r="T1289" t="s">
        <v>5692</v>
      </c>
      <c r="U1289">
        <f>IF(OR(B1289="",C1289="",T1289="Retracted",LEFT(D1289,8)="Negative"),0,IF(COUNTIFS($B$2:B1289,B1289,$C$2:C1289,C1289,$D$2:D1289,"&lt;&gt;Negative*",$T$2:T1289,"&lt;&gt;Retracted")=1,1,0))</f>
        <v>0</v>
      </c>
    </row>
    <row r="1290" spans="1:21" ht="26" x14ac:dyDescent="0.2">
      <c r="A1290" t="s">
        <v>3250</v>
      </c>
      <c r="B1290" t="s">
        <v>487</v>
      </c>
      <c r="C1290" t="s">
        <v>1393</v>
      </c>
      <c r="D1290" t="s">
        <v>1575</v>
      </c>
      <c r="E1290" t="s">
        <v>488</v>
      </c>
      <c r="F1290" t="s">
        <v>1583</v>
      </c>
      <c r="N1290" t="s">
        <v>209</v>
      </c>
      <c r="Q1290" s="2" t="str">
        <f>IF($C1290="","",IFERROR(VLOOKUP($C1290,sources!$A$2:$N$200,2,FALSE()),"?"))</f>
        <v>Web compilation</v>
      </c>
      <c r="R1290" s="2" t="str">
        <f t="shared" si="20"/>
        <v>Textual</v>
      </c>
      <c r="S1290" s="2" t="str">
        <f>IF($C1290="","",IFERROR(VLOOKUP($C1290,sources!$A$2:$N$200,9,FALSE()),"?"))</f>
        <v>Caribbean community</v>
      </c>
      <c r="T1290" t="s">
        <v>5692</v>
      </c>
      <c r="U1290">
        <f>IF(OR(B1290="",C1290="",T1290="Retracted",LEFT(D1290,8)="Negative"),0,IF(COUNTIFS($B$2:B1290,B1290,$C$2:C1290,C1290,$D$2:D1290,"&lt;&gt;Negative*",$T$2:T1290,"&lt;&gt;Retracted")=1,1,0))</f>
        <v>1</v>
      </c>
    </row>
    <row r="1291" spans="1:21" ht="26" x14ac:dyDescent="0.2">
      <c r="A1291" t="s">
        <v>3251</v>
      </c>
      <c r="B1291" t="s">
        <v>538</v>
      </c>
      <c r="C1291" t="s">
        <v>1393</v>
      </c>
      <c r="D1291" t="s">
        <v>1575</v>
      </c>
      <c r="E1291" t="s">
        <v>539</v>
      </c>
      <c r="F1291" t="s">
        <v>1583</v>
      </c>
      <c r="N1291" t="s">
        <v>203</v>
      </c>
      <c r="Q1291" s="2" t="str">
        <f>IF($C1291="","",IFERROR(VLOOKUP($C1291,sources!$A$2:$N$200,2,FALSE()),"?"))</f>
        <v>Web compilation</v>
      </c>
      <c r="R1291" s="2" t="str">
        <f t="shared" si="20"/>
        <v>Textual</v>
      </c>
      <c r="S1291" s="2" t="str">
        <f>IF($C1291="","",IFERROR(VLOOKUP($C1291,sources!$A$2:$N$200,9,FALSE()),"?"))</f>
        <v>Caribbean community</v>
      </c>
      <c r="T1291" t="s">
        <v>5692</v>
      </c>
      <c r="U1291">
        <f>IF(OR(B1291="",C1291="",T1291="Retracted",LEFT(D1291,8)="Negative"),0,IF(COUNTIFS($B$2:B1291,B1291,$C$2:C1291,C1291,$D$2:D1291,"&lt;&gt;Negative*",$T$2:T1291,"&lt;&gt;Retracted")=1,1,0))</f>
        <v>1</v>
      </c>
    </row>
    <row r="1292" spans="1:21" ht="26" x14ac:dyDescent="0.2">
      <c r="A1292" t="s">
        <v>3252</v>
      </c>
      <c r="B1292" t="s">
        <v>534</v>
      </c>
      <c r="C1292" t="s">
        <v>1393</v>
      </c>
      <c r="D1292" t="s">
        <v>1575</v>
      </c>
      <c r="E1292" t="s">
        <v>535</v>
      </c>
      <c r="F1292" t="s">
        <v>1583</v>
      </c>
      <c r="N1292" t="s">
        <v>209</v>
      </c>
      <c r="Q1292" s="2" t="str">
        <f>IF($C1292="","",IFERROR(VLOOKUP($C1292,sources!$A$2:$N$200,2,FALSE()),"?"))</f>
        <v>Web compilation</v>
      </c>
      <c r="R1292" s="2" t="str">
        <f t="shared" si="20"/>
        <v>Textual</v>
      </c>
      <c r="S1292" s="2" t="str">
        <f>IF($C1292="","",IFERROR(VLOOKUP($C1292,sources!$A$2:$N$200,9,FALSE()),"?"))</f>
        <v>Caribbean community</v>
      </c>
      <c r="T1292" t="s">
        <v>5692</v>
      </c>
      <c r="U1292">
        <f>IF(OR(B1292="",C1292="",T1292="Retracted",LEFT(D1292,8)="Negative"),0,IF(COUNTIFS($B$2:B1292,B1292,$C$2:C1292,C1292,$D$2:D1292,"&lt;&gt;Negative*",$T$2:T1292,"&lt;&gt;Retracted")=1,1,0))</f>
        <v>1</v>
      </c>
    </row>
    <row r="1293" spans="1:21" ht="26" x14ac:dyDescent="0.2">
      <c r="A1293" t="s">
        <v>3253</v>
      </c>
      <c r="B1293" t="s">
        <v>354</v>
      </c>
      <c r="C1293" t="s">
        <v>1393</v>
      </c>
      <c r="D1293" t="s">
        <v>1575</v>
      </c>
      <c r="E1293" t="s">
        <v>355</v>
      </c>
      <c r="F1293" t="s">
        <v>1583</v>
      </c>
      <c r="N1293" t="s">
        <v>203</v>
      </c>
      <c r="Q1293" s="2" t="str">
        <f>IF($C1293="","",IFERROR(VLOOKUP($C1293,sources!$A$2:$N$200,2,FALSE()),"?"))</f>
        <v>Web compilation</v>
      </c>
      <c r="R1293" s="2" t="str">
        <f t="shared" si="20"/>
        <v>Textual</v>
      </c>
      <c r="S1293" s="2" t="str">
        <f>IF($C1293="","",IFERROR(VLOOKUP($C1293,sources!$A$2:$N$200,9,FALSE()),"?"))</f>
        <v>Caribbean community</v>
      </c>
      <c r="T1293" t="s">
        <v>5692</v>
      </c>
      <c r="U1293">
        <f>IF(OR(B1293="",C1293="",T1293="Retracted",LEFT(D1293,8)="Negative"),0,IF(COUNTIFS($B$2:B1293,B1293,$C$2:C1293,C1293,$D$2:D1293,"&lt;&gt;Negative*",$T$2:T1293,"&lt;&gt;Retracted")=1,1,0))</f>
        <v>1</v>
      </c>
    </row>
    <row r="1294" spans="1:21" ht="26" x14ac:dyDescent="0.2">
      <c r="A1294" t="s">
        <v>3254</v>
      </c>
      <c r="B1294" t="s">
        <v>369</v>
      </c>
      <c r="C1294" t="s">
        <v>1393</v>
      </c>
      <c r="D1294" t="s">
        <v>1575</v>
      </c>
      <c r="E1294" t="s">
        <v>370</v>
      </c>
      <c r="F1294" t="s">
        <v>1583</v>
      </c>
      <c r="N1294" t="s">
        <v>203</v>
      </c>
      <c r="Q1294" s="2" t="str">
        <f>IF($C1294="","",IFERROR(VLOOKUP($C1294,sources!$A$2:$N$200,2,FALSE()),"?"))</f>
        <v>Web compilation</v>
      </c>
      <c r="R1294" s="2" t="str">
        <f t="shared" si="20"/>
        <v>Textual</v>
      </c>
      <c r="S1294" s="2" t="str">
        <f>IF($C1294="","",IFERROR(VLOOKUP($C1294,sources!$A$2:$N$200,9,FALSE()),"?"))</f>
        <v>Caribbean community</v>
      </c>
      <c r="T1294" t="s">
        <v>5692</v>
      </c>
      <c r="U1294">
        <f>IF(OR(B1294="",C1294="",T1294="Retracted",LEFT(D1294,8)="Negative"),0,IF(COUNTIFS($B$2:B1294,B1294,$C$2:C1294,C1294,$D$2:D1294,"&lt;&gt;Negative*",$T$2:T1294,"&lt;&gt;Retracted")=1,1,0))</f>
        <v>1</v>
      </c>
    </row>
    <row r="1295" spans="1:21" ht="26" x14ac:dyDescent="0.2">
      <c r="A1295" t="s">
        <v>3255</v>
      </c>
      <c r="B1295" t="s">
        <v>436</v>
      </c>
      <c r="C1295" t="s">
        <v>1393</v>
      </c>
      <c r="D1295" t="s">
        <v>1613</v>
      </c>
      <c r="E1295" t="s">
        <v>437</v>
      </c>
      <c r="F1295" t="s">
        <v>1583</v>
      </c>
      <c r="N1295" t="s">
        <v>209</v>
      </c>
      <c r="Q1295" s="2" t="str">
        <f>IF($C1295="","",IFERROR(VLOOKUP($C1295,sources!$A$2:$N$200,2,FALSE()),"?"))</f>
        <v>Web compilation</v>
      </c>
      <c r="R1295" s="2" t="str">
        <f t="shared" si="20"/>
        <v>Textual</v>
      </c>
      <c r="S1295" s="2" t="str">
        <f>IF($C1295="","",IFERROR(VLOOKUP($C1295,sources!$A$2:$N$200,9,FALSE()),"?"))</f>
        <v>Caribbean community</v>
      </c>
      <c r="T1295" t="s">
        <v>5692</v>
      </c>
      <c r="U1295">
        <f>IF(OR(B1295="",C1295="",T1295="Retracted",LEFT(D1295,8)="Negative"),0,IF(COUNTIFS($B$2:B1295,B1295,$C$2:C1295,C1295,$D$2:D1295,"&lt;&gt;Negative*",$T$2:T1295,"&lt;&gt;Retracted")=1,1,0))</f>
        <v>0</v>
      </c>
    </row>
    <row r="1296" spans="1:21" ht="26" x14ac:dyDescent="0.2">
      <c r="A1296" t="s">
        <v>3256</v>
      </c>
      <c r="B1296" t="s">
        <v>625</v>
      </c>
      <c r="C1296" t="s">
        <v>1393</v>
      </c>
      <c r="D1296" t="s">
        <v>1575</v>
      </c>
      <c r="E1296" t="s">
        <v>626</v>
      </c>
      <c r="F1296" t="s">
        <v>1583</v>
      </c>
      <c r="N1296" t="s">
        <v>209</v>
      </c>
      <c r="Q1296" s="2" t="str">
        <f>IF($C1296="","",IFERROR(VLOOKUP($C1296,sources!$A$2:$N$200,2,FALSE()),"?"))</f>
        <v>Web compilation</v>
      </c>
      <c r="R1296" s="2" t="str">
        <f t="shared" si="20"/>
        <v>Textual</v>
      </c>
      <c r="S1296" s="2" t="str">
        <f>IF($C1296="","",IFERROR(VLOOKUP($C1296,sources!$A$2:$N$200,9,FALSE()),"?"))</f>
        <v>Caribbean community</v>
      </c>
      <c r="T1296" t="s">
        <v>5692</v>
      </c>
      <c r="U1296">
        <f>IF(OR(B1296="",C1296="",T1296="Retracted",LEFT(D1296,8)="Negative"),0,IF(COUNTIFS($B$2:B1296,B1296,$C$2:C1296,C1296,$D$2:D1296,"&lt;&gt;Negative*",$T$2:T1296,"&lt;&gt;Retracted")=1,1,0))</f>
        <v>1</v>
      </c>
    </row>
    <row r="1297" spans="1:21" ht="26" x14ac:dyDescent="0.2">
      <c r="A1297" t="s">
        <v>3257</v>
      </c>
      <c r="B1297" t="s">
        <v>242</v>
      </c>
      <c r="C1297" t="s">
        <v>1393</v>
      </c>
      <c r="D1297" t="s">
        <v>1575</v>
      </c>
      <c r="E1297" t="s">
        <v>243</v>
      </c>
      <c r="F1297" t="s">
        <v>1583</v>
      </c>
      <c r="N1297" t="s">
        <v>203</v>
      </c>
      <c r="Q1297" s="2" t="str">
        <f>IF($C1297="","",IFERROR(VLOOKUP($C1297,sources!$A$2:$N$200,2,FALSE()),"?"))</f>
        <v>Web compilation</v>
      </c>
      <c r="R1297" s="2" t="str">
        <f t="shared" si="20"/>
        <v>Textual</v>
      </c>
      <c r="S1297" s="2" t="str">
        <f>IF($C1297="","",IFERROR(VLOOKUP($C1297,sources!$A$2:$N$200,9,FALSE()),"?"))</f>
        <v>Caribbean community</v>
      </c>
      <c r="T1297" t="s">
        <v>5692</v>
      </c>
      <c r="U1297">
        <f>IF(OR(B1297="",C1297="",T1297="Retracted",LEFT(D1297,8)="Negative"),0,IF(COUNTIFS($B$2:B1297,B1297,$C$2:C1297,C1297,$D$2:D1297,"&lt;&gt;Negative*",$T$2:T1297,"&lt;&gt;Retracted")=1,1,0))</f>
        <v>1</v>
      </c>
    </row>
    <row r="1298" spans="1:21" ht="26" x14ac:dyDescent="0.2">
      <c r="A1298" t="s">
        <v>3258</v>
      </c>
      <c r="B1298" t="s">
        <v>565</v>
      </c>
      <c r="C1298" t="s">
        <v>1393</v>
      </c>
      <c r="D1298" t="s">
        <v>1575</v>
      </c>
      <c r="E1298" t="s">
        <v>566</v>
      </c>
      <c r="F1298" t="s">
        <v>1583</v>
      </c>
      <c r="N1298" t="s">
        <v>203</v>
      </c>
      <c r="Q1298" s="2" t="str">
        <f>IF($C1298="","",IFERROR(VLOOKUP($C1298,sources!$A$2:$N$200,2,FALSE()),"?"))</f>
        <v>Web compilation</v>
      </c>
      <c r="R1298" s="2" t="str">
        <f t="shared" si="20"/>
        <v>Textual</v>
      </c>
      <c r="S1298" s="2" t="str">
        <f>IF($C1298="","",IFERROR(VLOOKUP($C1298,sources!$A$2:$N$200,9,FALSE()),"?"))</f>
        <v>Caribbean community</v>
      </c>
      <c r="T1298" t="s">
        <v>5692</v>
      </c>
      <c r="U1298">
        <f>IF(OR(B1298="",C1298="",T1298="Retracted",LEFT(D1298,8)="Negative"),0,IF(COUNTIFS($B$2:B1298,B1298,$C$2:C1298,C1298,$D$2:D1298,"&lt;&gt;Negative*",$T$2:T1298,"&lt;&gt;Retracted")=1,1,0))</f>
        <v>1</v>
      </c>
    </row>
    <row r="1299" spans="1:21" ht="26" x14ac:dyDescent="0.2">
      <c r="A1299" t="s">
        <v>3259</v>
      </c>
      <c r="B1299" t="s">
        <v>433</v>
      </c>
      <c r="C1299" t="s">
        <v>1393</v>
      </c>
      <c r="D1299" t="s">
        <v>1613</v>
      </c>
      <c r="E1299" t="s">
        <v>434</v>
      </c>
      <c r="F1299" t="s">
        <v>1583</v>
      </c>
      <c r="N1299" t="s">
        <v>209</v>
      </c>
      <c r="Q1299" s="2" t="str">
        <f>IF($C1299="","",IFERROR(VLOOKUP($C1299,sources!$A$2:$N$200,2,FALSE()),"?"))</f>
        <v>Web compilation</v>
      </c>
      <c r="R1299" s="2" t="str">
        <f t="shared" si="20"/>
        <v>Textual</v>
      </c>
      <c r="S1299" s="2" t="str">
        <f>IF($C1299="","",IFERROR(VLOOKUP($C1299,sources!$A$2:$N$200,9,FALSE()),"?"))</f>
        <v>Caribbean community</v>
      </c>
      <c r="T1299" t="s">
        <v>5692</v>
      </c>
      <c r="U1299">
        <f>IF(OR(B1299="",C1299="",T1299="Retracted",LEFT(D1299,8)="Negative"),0,IF(COUNTIFS($B$2:B1299,B1299,$C$2:C1299,C1299,$D$2:D1299,"&lt;&gt;Negative*",$T$2:T1299,"&lt;&gt;Retracted")=1,1,0))</f>
        <v>0</v>
      </c>
    </row>
    <row r="1300" spans="1:21" ht="26" x14ac:dyDescent="0.2">
      <c r="A1300" t="s">
        <v>3260</v>
      </c>
      <c r="B1300" t="s">
        <v>484</v>
      </c>
      <c r="C1300" t="s">
        <v>1393</v>
      </c>
      <c r="D1300" t="s">
        <v>1613</v>
      </c>
      <c r="E1300" t="s">
        <v>485</v>
      </c>
      <c r="F1300" t="s">
        <v>1583</v>
      </c>
      <c r="N1300" t="s">
        <v>209</v>
      </c>
      <c r="Q1300" s="2" t="str">
        <f>IF($C1300="","",IFERROR(VLOOKUP($C1300,sources!$A$2:$N$200,2,FALSE()),"?"))</f>
        <v>Web compilation</v>
      </c>
      <c r="R1300" s="2" t="str">
        <f t="shared" si="20"/>
        <v>Textual</v>
      </c>
      <c r="S1300" s="2" t="str">
        <f>IF($C1300="","",IFERROR(VLOOKUP($C1300,sources!$A$2:$N$200,9,FALSE()),"?"))</f>
        <v>Caribbean community</v>
      </c>
      <c r="T1300" t="s">
        <v>5692</v>
      </c>
      <c r="U1300">
        <f>IF(OR(B1300="",C1300="",T1300="Retracted",LEFT(D1300,8)="Negative"),0,IF(COUNTIFS($B$2:B1300,B1300,$C$2:C1300,C1300,$D$2:D1300,"&lt;&gt;Negative*",$T$2:T1300,"&lt;&gt;Retracted")=1,1,0))</f>
        <v>0</v>
      </c>
    </row>
    <row r="1301" spans="1:21" ht="26" x14ac:dyDescent="0.2">
      <c r="A1301" t="s">
        <v>3261</v>
      </c>
      <c r="B1301" t="s">
        <v>348</v>
      </c>
      <c r="C1301" t="s">
        <v>1393</v>
      </c>
      <c r="D1301" t="s">
        <v>1575</v>
      </c>
      <c r="E1301" t="s">
        <v>349</v>
      </c>
      <c r="F1301" t="s">
        <v>1583</v>
      </c>
      <c r="N1301" t="s">
        <v>203</v>
      </c>
      <c r="Q1301" s="2" t="str">
        <f>IF($C1301="","",IFERROR(VLOOKUP($C1301,sources!$A$2:$N$200,2,FALSE()),"?"))</f>
        <v>Web compilation</v>
      </c>
      <c r="R1301" s="2" t="str">
        <f t="shared" si="20"/>
        <v>Textual</v>
      </c>
      <c r="S1301" s="2" t="str">
        <f>IF($C1301="","",IFERROR(VLOOKUP($C1301,sources!$A$2:$N$200,9,FALSE()),"?"))</f>
        <v>Caribbean community</v>
      </c>
      <c r="T1301" t="s">
        <v>5692</v>
      </c>
      <c r="U1301">
        <f>IF(OR(B1301="",C1301="",T1301="Retracted",LEFT(D1301,8)="Negative"),0,IF(COUNTIFS($B$2:B1301,B1301,$C$2:C1301,C1301,$D$2:D1301,"&lt;&gt;Negative*",$T$2:T1301,"&lt;&gt;Retracted")=1,1,0))</f>
        <v>1</v>
      </c>
    </row>
    <row r="1302" spans="1:21" ht="26" x14ac:dyDescent="0.2">
      <c r="A1302" t="s">
        <v>3262</v>
      </c>
      <c r="B1302" t="s">
        <v>261</v>
      </c>
      <c r="C1302" t="s">
        <v>1393</v>
      </c>
      <c r="D1302" t="s">
        <v>1575</v>
      </c>
      <c r="E1302" t="s">
        <v>262</v>
      </c>
      <c r="F1302" t="s">
        <v>1583</v>
      </c>
      <c r="N1302" t="s">
        <v>203</v>
      </c>
      <c r="Q1302" s="2" t="str">
        <f>IF($C1302="","",IFERROR(VLOOKUP($C1302,sources!$A$2:$N$200,2,FALSE()),"?"))</f>
        <v>Web compilation</v>
      </c>
      <c r="R1302" s="2" t="str">
        <f t="shared" si="20"/>
        <v>Textual</v>
      </c>
      <c r="S1302" s="2" t="str">
        <f>IF($C1302="","",IFERROR(VLOOKUP($C1302,sources!$A$2:$N$200,9,FALSE()),"?"))</f>
        <v>Caribbean community</v>
      </c>
      <c r="T1302" t="s">
        <v>5692</v>
      </c>
      <c r="U1302">
        <f>IF(OR(B1302="",C1302="",T1302="Retracted",LEFT(D1302,8)="Negative"),0,IF(COUNTIFS($B$2:B1302,B1302,$C$2:C1302,C1302,$D$2:D1302,"&lt;&gt;Negative*",$T$2:T1302,"&lt;&gt;Retracted")=1,1,0))</f>
        <v>1</v>
      </c>
    </row>
    <row r="1303" spans="1:21" ht="26" x14ac:dyDescent="0.2">
      <c r="A1303" t="s">
        <v>3263</v>
      </c>
      <c r="B1303" t="s">
        <v>603</v>
      </c>
      <c r="C1303" t="s">
        <v>1393</v>
      </c>
      <c r="D1303" t="s">
        <v>1613</v>
      </c>
      <c r="E1303" t="s">
        <v>604</v>
      </c>
      <c r="F1303" t="s">
        <v>1583</v>
      </c>
      <c r="N1303" t="s">
        <v>209</v>
      </c>
      <c r="Q1303" s="2" t="str">
        <f>IF($C1303="","",IFERROR(VLOOKUP($C1303,sources!$A$2:$N$200,2,FALSE()),"?"))</f>
        <v>Web compilation</v>
      </c>
      <c r="R1303" s="2" t="str">
        <f t="shared" si="20"/>
        <v>Textual</v>
      </c>
      <c r="S1303" s="2" t="str">
        <f>IF($C1303="","",IFERROR(VLOOKUP($C1303,sources!$A$2:$N$200,9,FALSE()),"?"))</f>
        <v>Caribbean community</v>
      </c>
      <c r="T1303" t="s">
        <v>5692</v>
      </c>
      <c r="U1303">
        <f>IF(OR(B1303="",C1303="",T1303="Retracted",LEFT(D1303,8)="Negative"),0,IF(COUNTIFS($B$2:B1303,B1303,$C$2:C1303,C1303,$D$2:D1303,"&lt;&gt;Negative*",$T$2:T1303,"&lt;&gt;Retracted")=1,1,0))</f>
        <v>0</v>
      </c>
    </row>
    <row r="1304" spans="1:21" ht="26" x14ac:dyDescent="0.2">
      <c r="A1304" t="s">
        <v>3264</v>
      </c>
      <c r="B1304" t="s">
        <v>389</v>
      </c>
      <c r="C1304" t="s">
        <v>1393</v>
      </c>
      <c r="D1304" t="s">
        <v>1575</v>
      </c>
      <c r="E1304" t="s">
        <v>390</v>
      </c>
      <c r="F1304" t="s">
        <v>1583</v>
      </c>
      <c r="N1304" t="s">
        <v>209</v>
      </c>
      <c r="Q1304" s="2" t="str">
        <f>IF($C1304="","",IFERROR(VLOOKUP($C1304,sources!$A$2:$N$200,2,FALSE()),"?"))</f>
        <v>Web compilation</v>
      </c>
      <c r="R1304" s="2" t="str">
        <f t="shared" si="20"/>
        <v>Textual</v>
      </c>
      <c r="S1304" s="2" t="str">
        <f>IF($C1304="","",IFERROR(VLOOKUP($C1304,sources!$A$2:$N$200,9,FALSE()),"?"))</f>
        <v>Caribbean community</v>
      </c>
      <c r="T1304" t="s">
        <v>5692</v>
      </c>
      <c r="U1304">
        <f>IF(OR(B1304="",C1304="",T1304="Retracted",LEFT(D1304,8)="Negative"),0,IF(COUNTIFS($B$2:B1304,B1304,$C$2:C1304,C1304,$D$2:D1304,"&lt;&gt;Negative*",$T$2:T1304,"&lt;&gt;Retracted")=1,1,0))</f>
        <v>1</v>
      </c>
    </row>
    <row r="1305" spans="1:21" ht="26" x14ac:dyDescent="0.2">
      <c r="A1305" t="s">
        <v>3265</v>
      </c>
      <c r="B1305" t="s">
        <v>588</v>
      </c>
      <c r="C1305" t="s">
        <v>1393</v>
      </c>
      <c r="D1305" t="s">
        <v>1575</v>
      </c>
      <c r="E1305" t="s">
        <v>589</v>
      </c>
      <c r="F1305" t="s">
        <v>1583</v>
      </c>
      <c r="N1305" t="s">
        <v>203</v>
      </c>
      <c r="Q1305" s="2" t="str">
        <f>IF($C1305="","",IFERROR(VLOOKUP($C1305,sources!$A$2:$N$200,2,FALSE()),"?"))</f>
        <v>Web compilation</v>
      </c>
      <c r="R1305" s="2" t="str">
        <f t="shared" si="20"/>
        <v>Textual</v>
      </c>
      <c r="S1305" s="2" t="str">
        <f>IF($C1305="","",IFERROR(VLOOKUP($C1305,sources!$A$2:$N$200,9,FALSE()),"?"))</f>
        <v>Caribbean community</v>
      </c>
      <c r="T1305" t="s">
        <v>5692</v>
      </c>
      <c r="U1305">
        <f>IF(OR(B1305="",C1305="",T1305="Retracted",LEFT(D1305,8)="Negative"),0,IF(COUNTIFS($B$2:B1305,B1305,$C$2:C1305,C1305,$D$2:D1305,"&lt;&gt;Negative*",$T$2:T1305,"&lt;&gt;Retracted")=1,1,0))</f>
        <v>1</v>
      </c>
    </row>
    <row r="1306" spans="1:21" ht="26" x14ac:dyDescent="0.2">
      <c r="A1306" t="s">
        <v>3266</v>
      </c>
      <c r="B1306" t="s">
        <v>395</v>
      </c>
      <c r="C1306" t="s">
        <v>1393</v>
      </c>
      <c r="D1306" t="s">
        <v>1613</v>
      </c>
      <c r="E1306" t="s">
        <v>396</v>
      </c>
      <c r="F1306" t="s">
        <v>1583</v>
      </c>
      <c r="N1306" t="s">
        <v>209</v>
      </c>
      <c r="Q1306" s="2" t="str">
        <f>IF($C1306="","",IFERROR(VLOOKUP($C1306,sources!$A$2:$N$200,2,FALSE()),"?"))</f>
        <v>Web compilation</v>
      </c>
      <c r="R1306" s="2" t="str">
        <f t="shared" si="20"/>
        <v>Textual</v>
      </c>
      <c r="S1306" s="2" t="str">
        <f>IF($C1306="","",IFERROR(VLOOKUP($C1306,sources!$A$2:$N$200,9,FALSE()),"?"))</f>
        <v>Caribbean community</v>
      </c>
      <c r="T1306" t="s">
        <v>5692</v>
      </c>
      <c r="U1306">
        <f>IF(OR(B1306="",C1306="",T1306="Retracted",LEFT(D1306,8)="Negative"),0,IF(COUNTIFS($B$2:B1306,B1306,$C$2:C1306,C1306,$D$2:D1306,"&lt;&gt;Negative*",$T$2:T1306,"&lt;&gt;Retracted")=1,1,0))</f>
        <v>0</v>
      </c>
    </row>
    <row r="1307" spans="1:21" ht="26" x14ac:dyDescent="0.2">
      <c r="A1307" t="s">
        <v>3267</v>
      </c>
      <c r="B1307" t="s">
        <v>179</v>
      </c>
      <c r="C1307" t="s">
        <v>1393</v>
      </c>
      <c r="D1307" t="s">
        <v>1575</v>
      </c>
      <c r="E1307" t="s">
        <v>180</v>
      </c>
      <c r="F1307" t="s">
        <v>1583</v>
      </c>
      <c r="N1307" t="s">
        <v>203</v>
      </c>
      <c r="Q1307" s="2" t="str">
        <f>IF($C1307="","",IFERROR(VLOOKUP($C1307,sources!$A$2:$N$200,2,FALSE()),"?"))</f>
        <v>Web compilation</v>
      </c>
      <c r="R1307" s="2" t="str">
        <f t="shared" si="20"/>
        <v>Textual</v>
      </c>
      <c r="S1307" s="2" t="str">
        <f>IF($C1307="","",IFERROR(VLOOKUP($C1307,sources!$A$2:$N$200,9,FALSE()),"?"))</f>
        <v>Caribbean community</v>
      </c>
      <c r="T1307" t="s">
        <v>5692</v>
      </c>
      <c r="U1307">
        <f>IF(OR(B1307="",C1307="",T1307="Retracted",LEFT(D1307,8)="Negative"),0,IF(COUNTIFS($B$2:B1307,B1307,$C$2:C1307,C1307,$D$2:D1307,"&lt;&gt;Negative*",$T$2:T1307,"&lt;&gt;Retracted")=1,1,0))</f>
        <v>1</v>
      </c>
    </row>
    <row r="1308" spans="1:21" ht="26" x14ac:dyDescent="0.2">
      <c r="A1308" t="s">
        <v>3268</v>
      </c>
      <c r="B1308" t="s">
        <v>383</v>
      </c>
      <c r="C1308" t="s">
        <v>1393</v>
      </c>
      <c r="D1308" t="s">
        <v>1575</v>
      </c>
      <c r="E1308" t="s">
        <v>384</v>
      </c>
      <c r="F1308" t="s">
        <v>1583</v>
      </c>
      <c r="N1308" t="s">
        <v>203</v>
      </c>
      <c r="Q1308" s="2" t="str">
        <f>IF($C1308="","",IFERROR(VLOOKUP($C1308,sources!$A$2:$N$200,2,FALSE()),"?"))</f>
        <v>Web compilation</v>
      </c>
      <c r="R1308" s="2" t="str">
        <f t="shared" si="20"/>
        <v>Textual</v>
      </c>
      <c r="S1308" s="2" t="str">
        <f>IF($C1308="","",IFERROR(VLOOKUP($C1308,sources!$A$2:$N$200,9,FALSE()),"?"))</f>
        <v>Caribbean community</v>
      </c>
      <c r="T1308" t="s">
        <v>5692</v>
      </c>
      <c r="U1308">
        <f>IF(OR(B1308="",C1308="",T1308="Retracted",LEFT(D1308,8)="Negative"),0,IF(COUNTIFS($B$2:B1308,B1308,$C$2:C1308,C1308,$D$2:D1308,"&lt;&gt;Negative*",$T$2:T1308,"&lt;&gt;Retracted")=1,1,0))</f>
        <v>1</v>
      </c>
    </row>
    <row r="1309" spans="1:21" ht="26" x14ac:dyDescent="0.2">
      <c r="A1309" t="s">
        <v>3269</v>
      </c>
      <c r="B1309" t="s">
        <v>374</v>
      </c>
      <c r="C1309" t="s">
        <v>1393</v>
      </c>
      <c r="D1309" t="s">
        <v>1575</v>
      </c>
      <c r="E1309" t="s">
        <v>375</v>
      </c>
      <c r="F1309" t="s">
        <v>1583</v>
      </c>
      <c r="N1309" t="s">
        <v>203</v>
      </c>
      <c r="Q1309" s="2" t="str">
        <f>IF($C1309="","",IFERROR(VLOOKUP($C1309,sources!$A$2:$N$200,2,FALSE()),"?"))</f>
        <v>Web compilation</v>
      </c>
      <c r="R1309" s="2" t="str">
        <f t="shared" si="20"/>
        <v>Textual</v>
      </c>
      <c r="S1309" s="2" t="str">
        <f>IF($C1309="","",IFERROR(VLOOKUP($C1309,sources!$A$2:$N$200,9,FALSE()),"?"))</f>
        <v>Caribbean community</v>
      </c>
      <c r="T1309" t="s">
        <v>5692</v>
      </c>
      <c r="U1309">
        <f>IF(OR(B1309="",C1309="",T1309="Retracted",LEFT(D1309,8)="Negative"),0,IF(COUNTIFS($B$2:B1309,B1309,$C$2:C1309,C1309,$D$2:D1309,"&lt;&gt;Negative*",$T$2:T1309,"&lt;&gt;Retracted")=1,1,0))</f>
        <v>1</v>
      </c>
    </row>
    <row r="1310" spans="1:21" ht="26" x14ac:dyDescent="0.2">
      <c r="A1310" t="s">
        <v>3270</v>
      </c>
      <c r="B1310" t="s">
        <v>403</v>
      </c>
      <c r="C1310" t="s">
        <v>1393</v>
      </c>
      <c r="D1310" t="s">
        <v>1575</v>
      </c>
      <c r="E1310" t="s">
        <v>404</v>
      </c>
      <c r="F1310" t="s">
        <v>1583</v>
      </c>
      <c r="N1310" t="s">
        <v>209</v>
      </c>
      <c r="Q1310" s="2" t="str">
        <f>IF($C1310="","",IFERROR(VLOOKUP($C1310,sources!$A$2:$N$200,2,FALSE()),"?"))</f>
        <v>Web compilation</v>
      </c>
      <c r="R1310" s="2" t="str">
        <f t="shared" si="20"/>
        <v>Textual</v>
      </c>
      <c r="S1310" s="2" t="str">
        <f>IF($C1310="","",IFERROR(VLOOKUP($C1310,sources!$A$2:$N$200,9,FALSE()),"?"))</f>
        <v>Caribbean community</v>
      </c>
      <c r="T1310" t="s">
        <v>5692</v>
      </c>
      <c r="U1310">
        <f>IF(OR(B1310="",C1310="",T1310="Retracted",LEFT(D1310,8)="Negative"),0,IF(COUNTIFS($B$2:B1310,B1310,$C$2:C1310,C1310,$D$2:D1310,"&lt;&gt;Negative*",$T$2:T1310,"&lt;&gt;Retracted")=1,1,0))</f>
        <v>1</v>
      </c>
    </row>
    <row r="1311" spans="1:21" ht="26" x14ac:dyDescent="0.2">
      <c r="A1311" t="s">
        <v>3271</v>
      </c>
      <c r="B1311" t="s">
        <v>415</v>
      </c>
      <c r="C1311" t="s">
        <v>1393</v>
      </c>
      <c r="D1311" t="s">
        <v>1575</v>
      </c>
      <c r="E1311" t="s">
        <v>416</v>
      </c>
      <c r="F1311" t="s">
        <v>1583</v>
      </c>
      <c r="N1311" t="s">
        <v>209</v>
      </c>
      <c r="Q1311" s="2" t="str">
        <f>IF($C1311="","",IFERROR(VLOOKUP($C1311,sources!$A$2:$N$200,2,FALSE()),"?"))</f>
        <v>Web compilation</v>
      </c>
      <c r="R1311" s="2" t="str">
        <f t="shared" si="20"/>
        <v>Textual</v>
      </c>
      <c r="S1311" s="2" t="str">
        <f>IF($C1311="","",IFERROR(VLOOKUP($C1311,sources!$A$2:$N$200,9,FALSE()),"?"))</f>
        <v>Caribbean community</v>
      </c>
      <c r="T1311" t="s">
        <v>5692</v>
      </c>
      <c r="U1311">
        <f>IF(OR(B1311="",C1311="",T1311="Retracted",LEFT(D1311,8)="Negative"),0,IF(COUNTIFS($B$2:B1311,B1311,$C$2:C1311,C1311,$D$2:D1311,"&lt;&gt;Negative*",$T$2:T1311,"&lt;&gt;Retracted")=1,1,0))</f>
        <v>1</v>
      </c>
    </row>
    <row r="1312" spans="1:21" ht="26" x14ac:dyDescent="0.2">
      <c r="A1312" t="s">
        <v>3272</v>
      </c>
      <c r="B1312" t="s">
        <v>599</v>
      </c>
      <c r="C1312" t="s">
        <v>1393</v>
      </c>
      <c r="D1312" t="s">
        <v>1613</v>
      </c>
      <c r="E1312" t="s">
        <v>600</v>
      </c>
      <c r="F1312" t="s">
        <v>1583</v>
      </c>
      <c r="N1312" t="s">
        <v>209</v>
      </c>
      <c r="Q1312" s="2" t="str">
        <f>IF($C1312="","",IFERROR(VLOOKUP($C1312,sources!$A$2:$N$200,2,FALSE()),"?"))</f>
        <v>Web compilation</v>
      </c>
      <c r="R1312" s="2" t="str">
        <f t="shared" si="20"/>
        <v>Textual</v>
      </c>
      <c r="S1312" s="2" t="str">
        <f>IF($C1312="","",IFERROR(VLOOKUP($C1312,sources!$A$2:$N$200,9,FALSE()),"?"))</f>
        <v>Caribbean community</v>
      </c>
      <c r="T1312" t="s">
        <v>5692</v>
      </c>
      <c r="U1312">
        <f>IF(OR(B1312="",C1312="",T1312="Retracted",LEFT(D1312,8)="Negative"),0,IF(COUNTIFS($B$2:B1312,B1312,$C$2:C1312,C1312,$D$2:D1312,"&lt;&gt;Negative*",$T$2:T1312,"&lt;&gt;Retracted")=1,1,0))</f>
        <v>0</v>
      </c>
    </row>
    <row r="1313" spans="1:21" ht="26" x14ac:dyDescent="0.2">
      <c r="A1313" t="s">
        <v>3273</v>
      </c>
      <c r="B1313" t="s">
        <v>468</v>
      </c>
      <c r="C1313" t="s">
        <v>1393</v>
      </c>
      <c r="D1313" t="s">
        <v>1575</v>
      </c>
      <c r="E1313" t="s">
        <v>469</v>
      </c>
      <c r="F1313" t="s">
        <v>1583</v>
      </c>
      <c r="N1313" t="s">
        <v>209</v>
      </c>
      <c r="Q1313" s="2" t="str">
        <f>IF($C1313="","",IFERROR(VLOOKUP($C1313,sources!$A$2:$N$200,2,FALSE()),"?"))</f>
        <v>Web compilation</v>
      </c>
      <c r="R1313" s="2" t="str">
        <f t="shared" si="20"/>
        <v>Textual</v>
      </c>
      <c r="S1313" s="2" t="str">
        <f>IF($C1313="","",IFERROR(VLOOKUP($C1313,sources!$A$2:$N$200,9,FALSE()),"?"))</f>
        <v>Caribbean community</v>
      </c>
      <c r="T1313" t="s">
        <v>5692</v>
      </c>
      <c r="U1313">
        <f>IF(OR(B1313="",C1313="",T1313="Retracted",LEFT(D1313,8)="Negative"),0,IF(COUNTIFS($B$2:B1313,B1313,$C$2:C1313,C1313,$D$2:D1313,"&lt;&gt;Negative*",$T$2:T1313,"&lt;&gt;Retracted")=1,1,0))</f>
        <v>1</v>
      </c>
    </row>
    <row r="1314" spans="1:21" ht="26" x14ac:dyDescent="0.2">
      <c r="A1314" t="s">
        <v>3274</v>
      </c>
      <c r="B1314" t="s">
        <v>226</v>
      </c>
      <c r="C1314" t="s">
        <v>1393</v>
      </c>
      <c r="D1314" t="s">
        <v>1575</v>
      </c>
      <c r="E1314" t="s">
        <v>227</v>
      </c>
      <c r="F1314" t="s">
        <v>1583</v>
      </c>
      <c r="N1314" t="s">
        <v>209</v>
      </c>
      <c r="Q1314" s="2" t="str">
        <f>IF($C1314="","",IFERROR(VLOOKUP($C1314,sources!$A$2:$N$200,2,FALSE()),"?"))</f>
        <v>Web compilation</v>
      </c>
      <c r="R1314" s="2" t="str">
        <f t="shared" si="20"/>
        <v>Textual</v>
      </c>
      <c r="S1314" s="2" t="str">
        <f>IF($C1314="","",IFERROR(VLOOKUP($C1314,sources!$A$2:$N$200,9,FALSE()),"?"))</f>
        <v>Caribbean community</v>
      </c>
      <c r="T1314" t="s">
        <v>5692</v>
      </c>
      <c r="U1314">
        <f>IF(OR(B1314="",C1314="",T1314="Retracted",LEFT(D1314,8)="Negative"),0,IF(COUNTIFS($B$2:B1314,B1314,$C$2:C1314,C1314,$D$2:D1314,"&lt;&gt;Negative*",$T$2:T1314,"&lt;&gt;Retracted")=1,1,0))</f>
        <v>1</v>
      </c>
    </row>
    <row r="1315" spans="1:21" ht="26" x14ac:dyDescent="0.2">
      <c r="A1315" t="s">
        <v>3275</v>
      </c>
      <c r="B1315" t="s">
        <v>507</v>
      </c>
      <c r="C1315" t="s">
        <v>1393</v>
      </c>
      <c r="D1315" t="s">
        <v>1613</v>
      </c>
      <c r="E1315" t="s">
        <v>508</v>
      </c>
      <c r="F1315" t="s">
        <v>1583</v>
      </c>
      <c r="N1315" t="s">
        <v>209</v>
      </c>
      <c r="Q1315" s="2" t="str">
        <f>IF($C1315="","",IFERROR(VLOOKUP($C1315,sources!$A$2:$N$200,2,FALSE()),"?"))</f>
        <v>Web compilation</v>
      </c>
      <c r="R1315" s="2" t="str">
        <f t="shared" si="20"/>
        <v>Textual</v>
      </c>
      <c r="S1315" s="2" t="str">
        <f>IF($C1315="","",IFERROR(VLOOKUP($C1315,sources!$A$2:$N$200,9,FALSE()),"?"))</f>
        <v>Caribbean community</v>
      </c>
      <c r="T1315" t="s">
        <v>5692</v>
      </c>
      <c r="U1315">
        <f>IF(OR(B1315="",C1315="",T1315="Retracted",LEFT(D1315,8)="Negative"),0,IF(COUNTIFS($B$2:B1315,B1315,$C$2:C1315,C1315,$D$2:D1315,"&lt;&gt;Negative*",$T$2:T1315,"&lt;&gt;Retracted")=1,1,0))</f>
        <v>0</v>
      </c>
    </row>
    <row r="1316" spans="1:21" ht="26" x14ac:dyDescent="0.2">
      <c r="A1316" t="s">
        <v>3276</v>
      </c>
      <c r="B1316" t="s">
        <v>607</v>
      </c>
      <c r="C1316" t="s">
        <v>1393</v>
      </c>
      <c r="D1316" t="s">
        <v>1613</v>
      </c>
      <c r="E1316" t="s">
        <v>608</v>
      </c>
      <c r="F1316" t="s">
        <v>1583</v>
      </c>
      <c r="N1316" t="s">
        <v>209</v>
      </c>
      <c r="Q1316" s="2" t="str">
        <f>IF($C1316="","",IFERROR(VLOOKUP($C1316,sources!$A$2:$N$200,2,FALSE()),"?"))</f>
        <v>Web compilation</v>
      </c>
      <c r="R1316" s="2" t="str">
        <f t="shared" si="20"/>
        <v>Textual</v>
      </c>
      <c r="S1316" s="2" t="str">
        <f>IF($C1316="","",IFERROR(VLOOKUP($C1316,sources!$A$2:$N$200,9,FALSE()),"?"))</f>
        <v>Caribbean community</v>
      </c>
      <c r="T1316" t="s">
        <v>5692</v>
      </c>
      <c r="U1316">
        <f>IF(OR(B1316="",C1316="",T1316="Retracted",LEFT(D1316,8)="Negative"),0,IF(COUNTIFS($B$2:B1316,B1316,$C$2:C1316,C1316,$D$2:D1316,"&lt;&gt;Negative*",$T$2:T1316,"&lt;&gt;Retracted")=1,1,0))</f>
        <v>0</v>
      </c>
    </row>
    <row r="1317" spans="1:21" ht="26" x14ac:dyDescent="0.2">
      <c r="A1317" t="s">
        <v>3277</v>
      </c>
      <c r="B1317" t="s">
        <v>447</v>
      </c>
      <c r="C1317" t="s">
        <v>1393</v>
      </c>
      <c r="D1317" t="s">
        <v>1575</v>
      </c>
      <c r="E1317" t="s">
        <v>448</v>
      </c>
      <c r="F1317" t="s">
        <v>1583</v>
      </c>
      <c r="N1317" t="s">
        <v>209</v>
      </c>
      <c r="Q1317" s="2" t="str">
        <f>IF($C1317="","",IFERROR(VLOOKUP($C1317,sources!$A$2:$N$200,2,FALSE()),"?"))</f>
        <v>Web compilation</v>
      </c>
      <c r="R1317" s="2" t="str">
        <f t="shared" si="20"/>
        <v>Textual</v>
      </c>
      <c r="S1317" s="2" t="str">
        <f>IF($C1317="","",IFERROR(VLOOKUP($C1317,sources!$A$2:$N$200,9,FALSE()),"?"))</f>
        <v>Caribbean community</v>
      </c>
      <c r="T1317" t="s">
        <v>5692</v>
      </c>
      <c r="U1317">
        <f>IF(OR(B1317="",C1317="",T1317="Retracted",LEFT(D1317,8)="Negative"),0,IF(COUNTIFS($B$2:B1317,B1317,$C$2:C1317,C1317,$D$2:D1317,"&lt;&gt;Negative*",$T$2:T1317,"&lt;&gt;Retracted")=1,1,0))</f>
        <v>1</v>
      </c>
    </row>
    <row r="1318" spans="1:21" ht="26" x14ac:dyDescent="0.2">
      <c r="A1318" t="s">
        <v>3278</v>
      </c>
      <c r="B1318" t="s">
        <v>357</v>
      </c>
      <c r="C1318" t="s">
        <v>1393</v>
      </c>
      <c r="D1318" t="s">
        <v>1575</v>
      </c>
      <c r="E1318" t="s">
        <v>358</v>
      </c>
      <c r="F1318" t="s">
        <v>1583</v>
      </c>
      <c r="N1318" t="s">
        <v>203</v>
      </c>
      <c r="Q1318" s="2" t="str">
        <f>IF($C1318="","",IFERROR(VLOOKUP($C1318,sources!$A$2:$N$200,2,FALSE()),"?"))</f>
        <v>Web compilation</v>
      </c>
      <c r="R1318" s="2" t="str">
        <f t="shared" si="20"/>
        <v>Textual</v>
      </c>
      <c r="S1318" s="2" t="str">
        <f>IF($C1318="","",IFERROR(VLOOKUP($C1318,sources!$A$2:$N$200,9,FALSE()),"?"))</f>
        <v>Caribbean community</v>
      </c>
      <c r="T1318" t="s">
        <v>5692</v>
      </c>
      <c r="U1318">
        <f>IF(OR(B1318="",C1318="",T1318="Retracted",LEFT(D1318,8)="Negative"),0,IF(COUNTIFS($B$2:B1318,B1318,$C$2:C1318,C1318,$D$2:D1318,"&lt;&gt;Negative*",$T$2:T1318,"&lt;&gt;Retracted")=1,1,0))</f>
        <v>1</v>
      </c>
    </row>
    <row r="1319" spans="1:21" ht="26" x14ac:dyDescent="0.2">
      <c r="A1319" t="s">
        <v>3279</v>
      </c>
      <c r="B1319" t="s">
        <v>344</v>
      </c>
      <c r="C1319" t="s">
        <v>1393</v>
      </c>
      <c r="D1319" t="s">
        <v>1575</v>
      </c>
      <c r="E1319" t="s">
        <v>345</v>
      </c>
      <c r="F1319" t="s">
        <v>1583</v>
      </c>
      <c r="N1319" t="s">
        <v>203</v>
      </c>
      <c r="Q1319" s="2" t="str">
        <f>IF($C1319="","",IFERROR(VLOOKUP($C1319,sources!$A$2:$N$200,2,FALSE()),"?"))</f>
        <v>Web compilation</v>
      </c>
      <c r="R1319" s="2" t="str">
        <f t="shared" si="20"/>
        <v>Textual</v>
      </c>
      <c r="S1319" s="2" t="str">
        <f>IF($C1319="","",IFERROR(VLOOKUP($C1319,sources!$A$2:$N$200,9,FALSE()),"?"))</f>
        <v>Caribbean community</v>
      </c>
      <c r="T1319" t="s">
        <v>5692</v>
      </c>
      <c r="U1319">
        <f>IF(OR(B1319="",C1319="",T1319="Retracted",LEFT(D1319,8)="Negative"),0,IF(COUNTIFS($B$2:B1319,B1319,$C$2:C1319,C1319,$D$2:D1319,"&lt;&gt;Negative*",$T$2:T1319,"&lt;&gt;Retracted")=1,1,0))</f>
        <v>1</v>
      </c>
    </row>
    <row r="1320" spans="1:21" ht="26" x14ac:dyDescent="0.2">
      <c r="A1320" t="s">
        <v>3280</v>
      </c>
      <c r="B1320" t="s">
        <v>764</v>
      </c>
      <c r="C1320" t="s">
        <v>1393</v>
      </c>
      <c r="D1320" t="s">
        <v>1613</v>
      </c>
      <c r="E1320" t="s">
        <v>765</v>
      </c>
      <c r="F1320" t="s">
        <v>1583</v>
      </c>
      <c r="N1320" t="s">
        <v>209</v>
      </c>
      <c r="Q1320" s="2" t="str">
        <f>IF($C1320="","",IFERROR(VLOOKUP($C1320,sources!$A$2:$N$200,2,FALSE()),"?"))</f>
        <v>Web compilation</v>
      </c>
      <c r="R1320" s="2" t="str">
        <f t="shared" si="20"/>
        <v>Textual</v>
      </c>
      <c r="S1320" s="2" t="str">
        <f>IF($C1320="","",IFERROR(VLOOKUP($C1320,sources!$A$2:$N$200,9,FALSE()),"?"))</f>
        <v>Caribbean community</v>
      </c>
      <c r="T1320" t="s">
        <v>5693</v>
      </c>
      <c r="U1320">
        <f>IF(OR(B1320="",C1320="",T1320="Retracted",LEFT(D1320,8)="Negative"),0,IF(COUNTIFS($B$2:B1320,B1320,$C$2:C1320,C1320,$D$2:D1320,"&lt;&gt;Negative*",$T$2:T1320,"&lt;&gt;Retracted")=1,1,0))</f>
        <v>0</v>
      </c>
    </row>
    <row r="1321" spans="1:21" ht="26" x14ac:dyDescent="0.2">
      <c r="A1321" t="s">
        <v>3281</v>
      </c>
      <c r="B1321" t="s">
        <v>498</v>
      </c>
      <c r="C1321" t="s">
        <v>1393</v>
      </c>
      <c r="D1321" t="s">
        <v>1613</v>
      </c>
      <c r="E1321" t="s">
        <v>499</v>
      </c>
      <c r="F1321" t="s">
        <v>1583</v>
      </c>
      <c r="N1321" t="s">
        <v>209</v>
      </c>
      <c r="Q1321" s="2" t="str">
        <f>IF($C1321="","",IFERROR(VLOOKUP($C1321,sources!$A$2:$N$200,2,FALSE()),"?"))</f>
        <v>Web compilation</v>
      </c>
      <c r="R1321" s="2" t="str">
        <f t="shared" si="20"/>
        <v>Textual</v>
      </c>
      <c r="S1321" s="2" t="str">
        <f>IF($C1321="","",IFERROR(VLOOKUP($C1321,sources!$A$2:$N$200,9,FALSE()),"?"))</f>
        <v>Caribbean community</v>
      </c>
      <c r="T1321" t="s">
        <v>5692</v>
      </c>
      <c r="U1321">
        <f>IF(OR(B1321="",C1321="",T1321="Retracted",LEFT(D1321,8)="Negative"),0,IF(COUNTIFS($B$2:B1321,B1321,$C$2:C1321,C1321,$D$2:D1321,"&lt;&gt;Negative*",$T$2:T1321,"&lt;&gt;Retracted")=1,1,0))</f>
        <v>0</v>
      </c>
    </row>
    <row r="1322" spans="1:21" ht="26" x14ac:dyDescent="0.2">
      <c r="A1322" t="s">
        <v>3282</v>
      </c>
      <c r="B1322" t="s">
        <v>424</v>
      </c>
      <c r="C1322" t="s">
        <v>1393</v>
      </c>
      <c r="D1322" t="s">
        <v>1575</v>
      </c>
      <c r="E1322" t="s">
        <v>425</v>
      </c>
      <c r="F1322" t="s">
        <v>1583</v>
      </c>
      <c r="N1322" t="s">
        <v>209</v>
      </c>
      <c r="Q1322" s="2" t="str">
        <f>IF($C1322="","",IFERROR(VLOOKUP($C1322,sources!$A$2:$N$200,2,FALSE()),"?"))</f>
        <v>Web compilation</v>
      </c>
      <c r="R1322" s="2" t="str">
        <f t="shared" si="20"/>
        <v>Textual</v>
      </c>
      <c r="S1322" s="2" t="str">
        <f>IF($C1322="","",IFERROR(VLOOKUP($C1322,sources!$A$2:$N$200,9,FALSE()),"?"))</f>
        <v>Caribbean community</v>
      </c>
      <c r="T1322" t="s">
        <v>5692</v>
      </c>
      <c r="U1322">
        <f>IF(OR(B1322="",C1322="",T1322="Retracted",LEFT(D1322,8)="Negative"),0,IF(COUNTIFS($B$2:B1322,B1322,$C$2:C1322,C1322,$D$2:D1322,"&lt;&gt;Negative*",$T$2:T1322,"&lt;&gt;Retracted")=1,1,0))</f>
        <v>1</v>
      </c>
    </row>
    <row r="1323" spans="1:21" ht="26" x14ac:dyDescent="0.2">
      <c r="A1323" t="s">
        <v>3283</v>
      </c>
      <c r="B1323" t="s">
        <v>340</v>
      </c>
      <c r="C1323" t="s">
        <v>1393</v>
      </c>
      <c r="D1323" t="s">
        <v>1575</v>
      </c>
      <c r="E1323" t="s">
        <v>341</v>
      </c>
      <c r="F1323" t="s">
        <v>1583</v>
      </c>
      <c r="N1323" t="s">
        <v>203</v>
      </c>
      <c r="Q1323" s="2" t="str">
        <f>IF($C1323="","",IFERROR(VLOOKUP($C1323,sources!$A$2:$N$200,2,FALSE()),"?"))</f>
        <v>Web compilation</v>
      </c>
      <c r="R1323" s="2" t="str">
        <f t="shared" si="20"/>
        <v>Textual</v>
      </c>
      <c r="S1323" s="2" t="str">
        <f>IF($C1323="","",IFERROR(VLOOKUP($C1323,sources!$A$2:$N$200,9,FALSE()),"?"))</f>
        <v>Caribbean community</v>
      </c>
      <c r="T1323" t="s">
        <v>5692</v>
      </c>
      <c r="U1323">
        <f>IF(OR(B1323="",C1323="",T1323="Retracted",LEFT(D1323,8)="Negative"),0,IF(COUNTIFS($B$2:B1323,B1323,$C$2:C1323,C1323,$D$2:D1323,"&lt;&gt;Negative*",$T$2:T1323,"&lt;&gt;Retracted")=1,1,0))</f>
        <v>1</v>
      </c>
    </row>
    <row r="1324" spans="1:21" ht="26" x14ac:dyDescent="0.2">
      <c r="A1324" t="s">
        <v>3284</v>
      </c>
      <c r="B1324" t="s">
        <v>360</v>
      </c>
      <c r="C1324" t="s">
        <v>1393</v>
      </c>
      <c r="D1324" t="s">
        <v>1575</v>
      </c>
      <c r="E1324" t="s">
        <v>361</v>
      </c>
      <c r="F1324" t="s">
        <v>1583</v>
      </c>
      <c r="N1324" t="s">
        <v>203</v>
      </c>
      <c r="Q1324" s="2" t="str">
        <f>IF($C1324="","",IFERROR(VLOOKUP($C1324,sources!$A$2:$N$200,2,FALSE()),"?"))</f>
        <v>Web compilation</v>
      </c>
      <c r="R1324" s="2" t="str">
        <f t="shared" si="20"/>
        <v>Textual</v>
      </c>
      <c r="S1324" s="2" t="str">
        <f>IF($C1324="","",IFERROR(VLOOKUP($C1324,sources!$A$2:$N$200,9,FALSE()),"?"))</f>
        <v>Caribbean community</v>
      </c>
      <c r="T1324" t="s">
        <v>5692</v>
      </c>
      <c r="U1324">
        <f>IF(OR(B1324="",C1324="",T1324="Retracted",LEFT(D1324,8)="Negative"),0,IF(COUNTIFS($B$2:B1324,B1324,$C$2:C1324,C1324,$D$2:D1324,"&lt;&gt;Negative*",$T$2:T1324,"&lt;&gt;Retracted")=1,1,0))</f>
        <v>1</v>
      </c>
    </row>
    <row r="1325" spans="1:21" ht="26" x14ac:dyDescent="0.2">
      <c r="A1325" t="s">
        <v>3285</v>
      </c>
      <c r="B1325" t="s">
        <v>213</v>
      </c>
      <c r="C1325" t="s">
        <v>1393</v>
      </c>
      <c r="D1325" t="s">
        <v>1575</v>
      </c>
      <c r="E1325" t="s">
        <v>214</v>
      </c>
      <c r="F1325" t="s">
        <v>1583</v>
      </c>
      <c r="N1325" t="s">
        <v>209</v>
      </c>
      <c r="Q1325" s="2" t="str">
        <f>IF($C1325="","",IFERROR(VLOOKUP($C1325,sources!$A$2:$N$200,2,FALSE()),"?"))</f>
        <v>Web compilation</v>
      </c>
      <c r="R1325" s="2" t="str">
        <f t="shared" si="20"/>
        <v>Textual</v>
      </c>
      <c r="S1325" s="2" t="str">
        <f>IF($C1325="","",IFERROR(VLOOKUP($C1325,sources!$A$2:$N$200,9,FALSE()),"?"))</f>
        <v>Caribbean community</v>
      </c>
      <c r="T1325" t="s">
        <v>5692</v>
      </c>
      <c r="U1325">
        <f>IF(OR(B1325="",C1325="",T1325="Retracted",LEFT(D1325,8)="Negative"),0,IF(COUNTIFS($B$2:B1325,B1325,$C$2:C1325,C1325,$D$2:D1325,"&lt;&gt;Negative*",$T$2:T1325,"&lt;&gt;Retracted")=1,1,0))</f>
        <v>1</v>
      </c>
    </row>
    <row r="1326" spans="1:21" ht="26" x14ac:dyDescent="0.2">
      <c r="A1326" t="s">
        <v>3286</v>
      </c>
      <c r="B1326" t="s">
        <v>619</v>
      </c>
      <c r="C1326" t="s">
        <v>1393</v>
      </c>
      <c r="D1326" t="s">
        <v>1575</v>
      </c>
      <c r="E1326" t="s">
        <v>620</v>
      </c>
      <c r="F1326" t="s">
        <v>1583</v>
      </c>
      <c r="N1326" t="s">
        <v>209</v>
      </c>
      <c r="Q1326" s="2" t="str">
        <f>IF($C1326="","",IFERROR(VLOOKUP($C1326,sources!$A$2:$N$200,2,FALSE()),"?"))</f>
        <v>Web compilation</v>
      </c>
      <c r="R1326" s="2" t="str">
        <f t="shared" si="20"/>
        <v>Textual</v>
      </c>
      <c r="S1326" s="2" t="str">
        <f>IF($C1326="","",IFERROR(VLOOKUP($C1326,sources!$A$2:$N$200,9,FALSE()),"?"))</f>
        <v>Caribbean community</v>
      </c>
      <c r="T1326" t="s">
        <v>5692</v>
      </c>
      <c r="U1326">
        <f>IF(OR(B1326="",C1326="",T1326="Retracted",LEFT(D1326,8)="Negative"),0,IF(COUNTIFS($B$2:B1326,B1326,$C$2:C1326,C1326,$D$2:D1326,"&lt;&gt;Negative*",$T$2:T1326,"&lt;&gt;Retracted")=1,1,0))</f>
        <v>1</v>
      </c>
    </row>
    <row r="1327" spans="1:21" ht="26" x14ac:dyDescent="0.2">
      <c r="A1327" t="s">
        <v>3287</v>
      </c>
      <c r="B1327" t="s">
        <v>456</v>
      </c>
      <c r="C1327" t="s">
        <v>1393</v>
      </c>
      <c r="D1327" t="s">
        <v>1575</v>
      </c>
      <c r="E1327" t="s">
        <v>457</v>
      </c>
      <c r="F1327" t="s">
        <v>1583</v>
      </c>
      <c r="N1327" t="s">
        <v>209</v>
      </c>
      <c r="Q1327" s="2" t="str">
        <f>IF($C1327="","",IFERROR(VLOOKUP($C1327,sources!$A$2:$N$200,2,FALSE()),"?"))</f>
        <v>Web compilation</v>
      </c>
      <c r="R1327" s="2" t="str">
        <f t="shared" si="20"/>
        <v>Textual</v>
      </c>
      <c r="S1327" s="2" t="str">
        <f>IF($C1327="","",IFERROR(VLOOKUP($C1327,sources!$A$2:$N$200,9,FALSE()),"?"))</f>
        <v>Caribbean community</v>
      </c>
      <c r="T1327" t="s">
        <v>5692</v>
      </c>
      <c r="U1327">
        <f>IF(OR(B1327="",C1327="",T1327="Retracted",LEFT(D1327,8)="Negative"),0,IF(COUNTIFS($B$2:B1327,B1327,$C$2:C1327,C1327,$D$2:D1327,"&lt;&gt;Negative*",$T$2:T1327,"&lt;&gt;Retracted")=1,1,0))</f>
        <v>1</v>
      </c>
    </row>
    <row r="1328" spans="1:21" ht="26" x14ac:dyDescent="0.2">
      <c r="A1328" t="s">
        <v>3288</v>
      </c>
      <c r="B1328" t="s">
        <v>363</v>
      </c>
      <c r="C1328" t="s">
        <v>1393</v>
      </c>
      <c r="D1328" t="s">
        <v>1575</v>
      </c>
      <c r="E1328" t="s">
        <v>364</v>
      </c>
      <c r="F1328" t="s">
        <v>1583</v>
      </c>
      <c r="N1328" t="s">
        <v>203</v>
      </c>
      <c r="Q1328" s="2" t="str">
        <f>IF($C1328="","",IFERROR(VLOOKUP($C1328,sources!$A$2:$N$200,2,FALSE()),"?"))</f>
        <v>Web compilation</v>
      </c>
      <c r="R1328" s="2" t="str">
        <f t="shared" si="20"/>
        <v>Textual</v>
      </c>
      <c r="S1328" s="2" t="str">
        <f>IF($C1328="","",IFERROR(VLOOKUP($C1328,sources!$A$2:$N$200,9,FALSE()),"?"))</f>
        <v>Caribbean community</v>
      </c>
      <c r="T1328" t="s">
        <v>5692</v>
      </c>
      <c r="U1328">
        <f>IF(OR(B1328="",C1328="",T1328="Retracted",LEFT(D1328,8)="Negative"),0,IF(COUNTIFS($B$2:B1328,B1328,$C$2:C1328,C1328,$D$2:D1328,"&lt;&gt;Negative*",$T$2:T1328,"&lt;&gt;Retracted")=1,1,0))</f>
        <v>1</v>
      </c>
    </row>
    <row r="1329" spans="1:21" ht="26" x14ac:dyDescent="0.2">
      <c r="A1329" t="s">
        <v>3289</v>
      </c>
      <c r="B1329" t="s">
        <v>420</v>
      </c>
      <c r="C1329" t="s">
        <v>1393</v>
      </c>
      <c r="D1329" t="s">
        <v>1575</v>
      </c>
      <c r="E1329" t="s">
        <v>421</v>
      </c>
      <c r="F1329" t="s">
        <v>1583</v>
      </c>
      <c r="N1329" t="s">
        <v>209</v>
      </c>
      <c r="Q1329" s="2" t="str">
        <f>IF($C1329="","",IFERROR(VLOOKUP($C1329,sources!$A$2:$N$200,2,FALSE()),"?"))</f>
        <v>Web compilation</v>
      </c>
      <c r="R1329" s="2" t="str">
        <f t="shared" si="20"/>
        <v>Textual</v>
      </c>
      <c r="S1329" s="2" t="str">
        <f>IF($C1329="","",IFERROR(VLOOKUP($C1329,sources!$A$2:$N$200,9,FALSE()),"?"))</f>
        <v>Caribbean community</v>
      </c>
      <c r="T1329" t="s">
        <v>5692</v>
      </c>
      <c r="U1329">
        <f>IF(OR(B1329="",C1329="",T1329="Retracted",LEFT(D1329,8)="Negative"),0,IF(COUNTIFS($B$2:B1329,B1329,$C$2:C1329,C1329,$D$2:D1329,"&lt;&gt;Negative*",$T$2:T1329,"&lt;&gt;Retracted")=1,1,0))</f>
        <v>1</v>
      </c>
    </row>
    <row r="1330" spans="1:21" ht="26" x14ac:dyDescent="0.2">
      <c r="A1330" t="s">
        <v>3290</v>
      </c>
      <c r="B1330" t="s">
        <v>392</v>
      </c>
      <c r="C1330" t="s">
        <v>1393</v>
      </c>
      <c r="D1330" t="s">
        <v>1613</v>
      </c>
      <c r="E1330" t="s">
        <v>393</v>
      </c>
      <c r="F1330" t="s">
        <v>1583</v>
      </c>
      <c r="N1330" t="s">
        <v>209</v>
      </c>
      <c r="Q1330" s="2" t="str">
        <f>IF($C1330="","",IFERROR(VLOOKUP($C1330,sources!$A$2:$N$200,2,FALSE()),"?"))</f>
        <v>Web compilation</v>
      </c>
      <c r="R1330" s="2" t="str">
        <f t="shared" si="20"/>
        <v>Textual</v>
      </c>
      <c r="S1330" s="2" t="str">
        <f>IF($C1330="","",IFERROR(VLOOKUP($C1330,sources!$A$2:$N$200,9,FALSE()),"?"))</f>
        <v>Caribbean community</v>
      </c>
      <c r="T1330" t="s">
        <v>5692</v>
      </c>
      <c r="U1330">
        <f>IF(OR(B1330="",C1330="",T1330="Retracted",LEFT(D1330,8)="Negative"),0,IF(COUNTIFS($B$2:B1330,B1330,$C$2:C1330,C1330,$D$2:D1330,"&lt;&gt;Negative*",$T$2:T1330,"&lt;&gt;Retracted")=1,1,0))</f>
        <v>0</v>
      </c>
    </row>
    <row r="1331" spans="1:21" ht="26" x14ac:dyDescent="0.2">
      <c r="A1331" t="s">
        <v>3291</v>
      </c>
      <c r="B1331" t="s">
        <v>407</v>
      </c>
      <c r="C1331" t="s">
        <v>1393</v>
      </c>
      <c r="D1331" t="s">
        <v>1575</v>
      </c>
      <c r="E1331" t="s">
        <v>408</v>
      </c>
      <c r="F1331" t="s">
        <v>1583</v>
      </c>
      <c r="N1331" t="s">
        <v>203</v>
      </c>
      <c r="Q1331" s="2" t="str">
        <f>IF($C1331="","",IFERROR(VLOOKUP($C1331,sources!$A$2:$N$200,2,FALSE()),"?"))</f>
        <v>Web compilation</v>
      </c>
      <c r="R1331" s="2" t="str">
        <f t="shared" si="20"/>
        <v>Textual</v>
      </c>
      <c r="S1331" s="2" t="str">
        <f>IF($C1331="","",IFERROR(VLOOKUP($C1331,sources!$A$2:$N$200,9,FALSE()),"?"))</f>
        <v>Caribbean community</v>
      </c>
      <c r="T1331" t="s">
        <v>5692</v>
      </c>
      <c r="U1331">
        <f>IF(OR(B1331="",C1331="",T1331="Retracted",LEFT(D1331,8)="Negative"),0,IF(COUNTIFS($B$2:B1331,B1331,$C$2:C1331,C1331,$D$2:D1331,"&lt;&gt;Negative*",$T$2:T1331,"&lt;&gt;Retracted")=1,1,0))</f>
        <v>1</v>
      </c>
    </row>
    <row r="1332" spans="1:21" ht="26" x14ac:dyDescent="0.2">
      <c r="A1332" t="s">
        <v>3292</v>
      </c>
      <c r="B1332" t="s">
        <v>643</v>
      </c>
      <c r="C1332" t="s">
        <v>1393</v>
      </c>
      <c r="D1332" t="s">
        <v>1613</v>
      </c>
      <c r="E1332" t="s">
        <v>644</v>
      </c>
      <c r="F1332" t="s">
        <v>1583</v>
      </c>
      <c r="N1332" t="s">
        <v>209</v>
      </c>
      <c r="Q1332" s="2" t="str">
        <f>IF($C1332="","",IFERROR(VLOOKUP($C1332,sources!$A$2:$N$200,2,FALSE()),"?"))</f>
        <v>Web compilation</v>
      </c>
      <c r="R1332" s="2" t="str">
        <f t="shared" si="20"/>
        <v>Textual</v>
      </c>
      <c r="S1332" s="2" t="str">
        <f>IF($C1332="","",IFERROR(VLOOKUP($C1332,sources!$A$2:$N$200,9,FALSE()),"?"))</f>
        <v>Caribbean community</v>
      </c>
      <c r="T1332" t="s">
        <v>5692</v>
      </c>
      <c r="U1332">
        <f>IF(OR(B1332="",C1332="",T1332="Retracted",LEFT(D1332,8)="Negative"),0,IF(COUNTIFS($B$2:B1332,B1332,$C$2:C1332,C1332,$D$2:D1332,"&lt;&gt;Negative*",$T$2:T1332,"&lt;&gt;Retracted")=1,1,0))</f>
        <v>0</v>
      </c>
    </row>
    <row r="1333" spans="1:21" ht="26" x14ac:dyDescent="0.2">
      <c r="A1333" t="s">
        <v>3293</v>
      </c>
      <c r="B1333" t="s">
        <v>495</v>
      </c>
      <c r="C1333" t="s">
        <v>1393</v>
      </c>
      <c r="D1333" t="s">
        <v>1613</v>
      </c>
      <c r="E1333" t="s">
        <v>496</v>
      </c>
      <c r="F1333" t="s">
        <v>1583</v>
      </c>
      <c r="N1333" t="s">
        <v>209</v>
      </c>
      <c r="Q1333" s="2" t="str">
        <f>IF($C1333="","",IFERROR(VLOOKUP($C1333,sources!$A$2:$N$200,2,FALSE()),"?"))</f>
        <v>Web compilation</v>
      </c>
      <c r="R1333" s="2" t="str">
        <f t="shared" si="20"/>
        <v>Textual</v>
      </c>
      <c r="S1333" s="2" t="str">
        <f>IF($C1333="","",IFERROR(VLOOKUP($C1333,sources!$A$2:$N$200,9,FALSE()),"?"))</f>
        <v>Caribbean community</v>
      </c>
      <c r="T1333" t="s">
        <v>5692</v>
      </c>
      <c r="U1333">
        <f>IF(OR(B1333="",C1333="",T1333="Retracted",LEFT(D1333,8)="Negative"),0,IF(COUNTIFS($B$2:B1333,B1333,$C$2:C1333,C1333,$D$2:D1333,"&lt;&gt;Negative*",$T$2:T1333,"&lt;&gt;Retracted")=1,1,0))</f>
        <v>0</v>
      </c>
    </row>
    <row r="1334" spans="1:21" ht="26" x14ac:dyDescent="0.2">
      <c r="A1334" t="s">
        <v>3294</v>
      </c>
      <c r="B1334" t="s">
        <v>490</v>
      </c>
      <c r="C1334" t="s">
        <v>1393</v>
      </c>
      <c r="D1334" t="s">
        <v>1613</v>
      </c>
      <c r="E1334" t="s">
        <v>491</v>
      </c>
      <c r="F1334" t="s">
        <v>1583</v>
      </c>
      <c r="N1334" t="s">
        <v>209</v>
      </c>
      <c r="Q1334" s="2" t="str">
        <f>IF($C1334="","",IFERROR(VLOOKUP($C1334,sources!$A$2:$N$200,2,FALSE()),"?"))</f>
        <v>Web compilation</v>
      </c>
      <c r="R1334" s="2" t="str">
        <f t="shared" si="20"/>
        <v>Textual</v>
      </c>
      <c r="S1334" s="2" t="str">
        <f>IF($C1334="","",IFERROR(VLOOKUP($C1334,sources!$A$2:$N$200,9,FALSE()),"?"))</f>
        <v>Caribbean community</v>
      </c>
      <c r="T1334" t="s">
        <v>5692</v>
      </c>
      <c r="U1334">
        <f>IF(OR(B1334="",C1334="",T1334="Retracted",LEFT(D1334,8)="Negative"),0,IF(COUNTIFS($B$2:B1334,B1334,$C$2:C1334,C1334,$D$2:D1334,"&lt;&gt;Negative*",$T$2:T1334,"&lt;&gt;Retracted")=1,1,0))</f>
        <v>0</v>
      </c>
    </row>
    <row r="1335" spans="1:21" ht="26" x14ac:dyDescent="0.2">
      <c r="A1335" t="s">
        <v>3295</v>
      </c>
      <c r="B1335" t="s">
        <v>547</v>
      </c>
      <c r="C1335" t="s">
        <v>1393</v>
      </c>
      <c r="D1335" t="s">
        <v>1575</v>
      </c>
      <c r="E1335" t="s">
        <v>548</v>
      </c>
      <c r="F1335" t="s">
        <v>1583</v>
      </c>
      <c r="N1335" t="s">
        <v>203</v>
      </c>
      <c r="Q1335" s="2" t="str">
        <f>IF($C1335="","",IFERROR(VLOOKUP($C1335,sources!$A$2:$N$200,2,FALSE()),"?"))</f>
        <v>Web compilation</v>
      </c>
      <c r="R1335" s="2" t="str">
        <f t="shared" si="20"/>
        <v>Textual</v>
      </c>
      <c r="S1335" s="2" t="str">
        <f>IF($C1335="","",IFERROR(VLOOKUP($C1335,sources!$A$2:$N$200,9,FALSE()),"?"))</f>
        <v>Caribbean community</v>
      </c>
      <c r="T1335" t="s">
        <v>5692</v>
      </c>
      <c r="U1335">
        <f>IF(OR(B1335="",C1335="",T1335="Retracted",LEFT(D1335,8)="Negative"),0,IF(COUNTIFS($B$2:B1335,B1335,$C$2:C1335,C1335,$D$2:D1335,"&lt;&gt;Negative*",$T$2:T1335,"&lt;&gt;Retracted")=1,1,0))</f>
        <v>1</v>
      </c>
    </row>
    <row r="1336" spans="1:21" x14ac:dyDescent="0.2">
      <c r="A1336" t="s">
        <v>3296</v>
      </c>
      <c r="B1336" t="s">
        <v>269</v>
      </c>
      <c r="C1336" t="s">
        <v>1304</v>
      </c>
      <c r="D1336" t="s">
        <v>1613</v>
      </c>
      <c r="E1336" t="s">
        <v>270</v>
      </c>
      <c r="F1336" t="s">
        <v>1583</v>
      </c>
      <c r="I1336" t="s">
        <v>1058</v>
      </c>
      <c r="K1336">
        <v>1908</v>
      </c>
      <c r="L1336">
        <v>1908</v>
      </c>
      <c r="M1336" t="s">
        <v>209</v>
      </c>
      <c r="N1336" t="s">
        <v>203</v>
      </c>
      <c r="Q1336" s="2" t="str">
        <f>IF($C1336="","",IFERROR(VLOOKUP($C1336,sources!$A$2:$N$200,2,FALSE()),"?"))</f>
        <v>Map</v>
      </c>
      <c r="R1336" s="2" t="str">
        <f t="shared" si="20"/>
        <v>Map</v>
      </c>
      <c r="S1336" s="2" t="str">
        <f>IF($C1336="","",IFERROR(VLOOKUP($C1336,sources!$A$2:$N$200,9,FALSE()),"?"))</f>
        <v>US official</v>
      </c>
      <c r="T1336" t="s">
        <v>5692</v>
      </c>
      <c r="U1336">
        <f>IF(OR(B1336="",C1336="",T1336="Retracted",LEFT(D1336,8)="Negative"),0,IF(COUNTIFS($B$2:B1336,B1336,$C$2:C1336,C1336,$D$2:D1336,"&lt;&gt;Negative*",$T$2:T1336,"&lt;&gt;Retracted")=1,1,0))</f>
        <v>0</v>
      </c>
    </row>
    <row r="1337" spans="1:21" x14ac:dyDescent="0.2">
      <c r="A1337" t="s">
        <v>3297</v>
      </c>
      <c r="B1337" t="s">
        <v>280</v>
      </c>
      <c r="C1337" t="s">
        <v>1304</v>
      </c>
      <c r="D1337" t="s">
        <v>1613</v>
      </c>
      <c r="E1337" t="s">
        <v>281</v>
      </c>
      <c r="F1337" t="s">
        <v>1583</v>
      </c>
      <c r="I1337" t="s">
        <v>1058</v>
      </c>
      <c r="K1337">
        <v>1908</v>
      </c>
      <c r="L1337">
        <v>1908</v>
      </c>
      <c r="M1337" t="s">
        <v>209</v>
      </c>
      <c r="N1337" t="s">
        <v>190</v>
      </c>
      <c r="Q1337" s="2" t="str">
        <f>IF($C1337="","",IFERROR(VLOOKUP($C1337,sources!$A$2:$N$200,2,FALSE()),"?"))</f>
        <v>Map</v>
      </c>
      <c r="R1337" s="2" t="str">
        <f t="shared" si="20"/>
        <v>Map</v>
      </c>
      <c r="S1337" s="2" t="str">
        <f>IF($C1337="","",IFERROR(VLOOKUP($C1337,sources!$A$2:$N$200,9,FALSE()),"?"))</f>
        <v>US official</v>
      </c>
      <c r="T1337" t="s">
        <v>5693</v>
      </c>
      <c r="U1337">
        <f>IF(OR(B1337="",C1337="",T1337="Retracted",LEFT(D1337,8)="Negative"),0,IF(COUNTIFS($B$2:B1337,B1337,$C$2:C1337,C1337,$D$2:D1337,"&lt;&gt;Negative*",$T$2:T1337,"&lt;&gt;Retracted")=1,1,0))</f>
        <v>0</v>
      </c>
    </row>
    <row r="1338" spans="1:21" x14ac:dyDescent="0.2">
      <c r="A1338" t="s">
        <v>3298</v>
      </c>
      <c r="B1338" t="s">
        <v>287</v>
      </c>
      <c r="C1338" t="s">
        <v>1304</v>
      </c>
      <c r="D1338" t="s">
        <v>1613</v>
      </c>
      <c r="E1338" t="s">
        <v>288</v>
      </c>
      <c r="F1338" t="s">
        <v>1583</v>
      </c>
      <c r="I1338" t="s">
        <v>1058</v>
      </c>
      <c r="K1338">
        <v>1908</v>
      </c>
      <c r="L1338">
        <v>1908</v>
      </c>
      <c r="M1338" t="s">
        <v>209</v>
      </c>
      <c r="N1338" t="s">
        <v>203</v>
      </c>
      <c r="Q1338" s="2" t="str">
        <f>IF($C1338="","",IFERROR(VLOOKUP($C1338,sources!$A$2:$N$200,2,FALSE()),"?"))</f>
        <v>Map</v>
      </c>
      <c r="R1338" s="2" t="str">
        <f t="shared" si="20"/>
        <v>Map</v>
      </c>
      <c r="S1338" s="2" t="str">
        <f>IF($C1338="","",IFERROR(VLOOKUP($C1338,sources!$A$2:$N$200,9,FALSE()),"?"))</f>
        <v>US official</v>
      </c>
      <c r="T1338" t="s">
        <v>5692</v>
      </c>
      <c r="U1338">
        <f>IF(OR(B1338="",C1338="",T1338="Retracted",LEFT(D1338,8)="Negative"),0,IF(COUNTIFS($B$2:B1338,B1338,$C$2:C1338,C1338,$D$2:D1338,"&lt;&gt;Negative*",$T$2:T1338,"&lt;&gt;Retracted")=1,1,0))</f>
        <v>0</v>
      </c>
    </row>
    <row r="1339" spans="1:21" x14ac:dyDescent="0.2">
      <c r="A1339" t="s">
        <v>3299</v>
      </c>
      <c r="B1339" t="s">
        <v>294</v>
      </c>
      <c r="C1339" t="s">
        <v>1304</v>
      </c>
      <c r="D1339" t="s">
        <v>1613</v>
      </c>
      <c r="E1339" t="s">
        <v>295</v>
      </c>
      <c r="F1339" t="s">
        <v>1583</v>
      </c>
      <c r="I1339" t="s">
        <v>1058</v>
      </c>
      <c r="K1339">
        <v>1908</v>
      </c>
      <c r="L1339">
        <v>1908</v>
      </c>
      <c r="M1339" t="s">
        <v>209</v>
      </c>
      <c r="N1339" t="s">
        <v>203</v>
      </c>
      <c r="Q1339" s="2" t="str">
        <f>IF($C1339="","",IFERROR(VLOOKUP($C1339,sources!$A$2:$N$200,2,FALSE()),"?"))</f>
        <v>Map</v>
      </c>
      <c r="R1339" s="2" t="str">
        <f t="shared" si="20"/>
        <v>Map</v>
      </c>
      <c r="S1339" s="2" t="str">
        <f>IF($C1339="","",IFERROR(VLOOKUP($C1339,sources!$A$2:$N$200,9,FALSE()),"?"))</f>
        <v>US official</v>
      </c>
      <c r="T1339" t="s">
        <v>5692</v>
      </c>
      <c r="U1339">
        <f>IF(OR(B1339="",C1339="",T1339="Retracted",LEFT(D1339,8)="Negative"),0,IF(COUNTIFS($B$2:B1339,B1339,$C$2:C1339,C1339,$D$2:D1339,"&lt;&gt;Negative*",$T$2:T1339,"&lt;&gt;Retracted")=1,1,0))</f>
        <v>0</v>
      </c>
    </row>
    <row r="1340" spans="1:21" x14ac:dyDescent="0.2">
      <c r="A1340" t="s">
        <v>3300</v>
      </c>
      <c r="B1340" t="s">
        <v>322</v>
      </c>
      <c r="C1340" t="s">
        <v>1304</v>
      </c>
      <c r="D1340" t="s">
        <v>1613</v>
      </c>
      <c r="E1340" t="s">
        <v>323</v>
      </c>
      <c r="F1340" t="s">
        <v>1583</v>
      </c>
      <c r="I1340" t="s">
        <v>1058</v>
      </c>
      <c r="K1340">
        <v>1908</v>
      </c>
      <c r="L1340">
        <v>1908</v>
      </c>
      <c r="M1340" t="s">
        <v>209</v>
      </c>
      <c r="N1340" t="s">
        <v>203</v>
      </c>
      <c r="Q1340" s="2" t="str">
        <f>IF($C1340="","",IFERROR(VLOOKUP($C1340,sources!$A$2:$N$200,2,FALSE()),"?"))</f>
        <v>Map</v>
      </c>
      <c r="R1340" s="2" t="str">
        <f t="shared" si="20"/>
        <v>Map</v>
      </c>
      <c r="S1340" s="2" t="str">
        <f>IF($C1340="","",IFERROR(VLOOKUP($C1340,sources!$A$2:$N$200,9,FALSE()),"?"))</f>
        <v>US official</v>
      </c>
      <c r="T1340" t="s">
        <v>5692</v>
      </c>
      <c r="U1340">
        <f>IF(OR(B1340="",C1340="",T1340="Retracted",LEFT(D1340,8)="Negative"),0,IF(COUNTIFS($B$2:B1340,B1340,$C$2:C1340,C1340,$D$2:D1340,"&lt;&gt;Negative*",$T$2:T1340,"&lt;&gt;Retracted")=1,1,0))</f>
        <v>0</v>
      </c>
    </row>
    <row r="1341" spans="1:21" x14ac:dyDescent="0.2">
      <c r="A1341" t="s">
        <v>3301</v>
      </c>
      <c r="B1341" t="s">
        <v>673</v>
      </c>
      <c r="C1341" t="s">
        <v>1304</v>
      </c>
      <c r="D1341" t="s">
        <v>1572</v>
      </c>
      <c r="E1341" t="s">
        <v>3302</v>
      </c>
      <c r="F1341" t="s">
        <v>1583</v>
      </c>
      <c r="G1341">
        <v>9.0669500000000003</v>
      </c>
      <c r="H1341">
        <v>-79.670590000000004</v>
      </c>
      <c r="I1341" t="s">
        <v>1573</v>
      </c>
      <c r="J1341">
        <v>400</v>
      </c>
      <c r="K1341">
        <v>1908</v>
      </c>
      <c r="L1341">
        <v>1908</v>
      </c>
      <c r="M1341" t="s">
        <v>203</v>
      </c>
      <c r="N1341" t="s">
        <v>203</v>
      </c>
      <c r="Q1341" s="2" t="str">
        <f>IF($C1341="","",IFERROR(VLOOKUP($C1341,sources!$A$2:$N$200,2,FALSE()),"?"))</f>
        <v>Map</v>
      </c>
      <c r="R1341" s="2" t="str">
        <f t="shared" si="20"/>
        <v>Map</v>
      </c>
      <c r="S1341" s="2" t="str">
        <f>IF($C1341="","",IFERROR(VLOOKUP($C1341,sources!$A$2:$N$200,9,FALSE()),"?"))</f>
        <v>US official</v>
      </c>
      <c r="T1341" t="s">
        <v>5692</v>
      </c>
      <c r="U1341">
        <f>IF(OR(B1341="",C1341="",T1341="Retracted",LEFT(D1341,8)="Negative"),0,IF(COUNTIFS($B$2:B1341,B1341,$C$2:C1341,C1341,$D$2:D1341,"&lt;&gt;Negative*",$T$2:T1341,"&lt;&gt;Retracted")=1,1,0))</f>
        <v>0</v>
      </c>
    </row>
    <row r="1342" spans="1:21" x14ac:dyDescent="0.2">
      <c r="A1342" t="s">
        <v>3303</v>
      </c>
      <c r="B1342" t="s">
        <v>673</v>
      </c>
      <c r="C1342" t="s">
        <v>1304</v>
      </c>
      <c r="D1342" t="s">
        <v>1572</v>
      </c>
      <c r="E1342" t="s">
        <v>3304</v>
      </c>
      <c r="F1342" t="s">
        <v>1583</v>
      </c>
      <c r="G1342">
        <v>9.0667200000000001</v>
      </c>
      <c r="H1342">
        <v>-79.670490000000001</v>
      </c>
      <c r="I1342" t="s">
        <v>1573</v>
      </c>
      <c r="J1342">
        <v>400</v>
      </c>
      <c r="K1342">
        <v>1908</v>
      </c>
      <c r="L1342">
        <v>1908</v>
      </c>
      <c r="M1342" t="s">
        <v>203</v>
      </c>
      <c r="N1342" t="s">
        <v>203</v>
      </c>
      <c r="Q1342" s="2" t="str">
        <f>IF($C1342="","",IFERROR(VLOOKUP($C1342,sources!$A$2:$N$200,2,FALSE()),"?"))</f>
        <v>Map</v>
      </c>
      <c r="R1342" s="2" t="str">
        <f t="shared" si="20"/>
        <v>Map</v>
      </c>
      <c r="S1342" s="2" t="str">
        <f>IF($C1342="","",IFERROR(VLOOKUP($C1342,sources!$A$2:$N$200,9,FALSE()),"?"))</f>
        <v>US official</v>
      </c>
      <c r="T1342" t="s">
        <v>5692</v>
      </c>
      <c r="U1342">
        <f>IF(OR(B1342="",C1342="",T1342="Retracted",LEFT(D1342,8)="Negative"),0,IF(COUNTIFS($B$2:B1342,B1342,$C$2:C1342,C1342,$D$2:D1342,"&lt;&gt;Negative*",$T$2:T1342,"&lt;&gt;Retracted")=1,1,0))</f>
        <v>0</v>
      </c>
    </row>
    <row r="1343" spans="1:21" x14ac:dyDescent="0.2">
      <c r="A1343" t="s">
        <v>3305</v>
      </c>
      <c r="B1343" t="s">
        <v>673</v>
      </c>
      <c r="C1343" t="s">
        <v>1304</v>
      </c>
      <c r="D1343" t="s">
        <v>1572</v>
      </c>
      <c r="E1343" t="s">
        <v>3306</v>
      </c>
      <c r="F1343" t="s">
        <v>1583</v>
      </c>
      <c r="G1343">
        <v>9.0670099999999998</v>
      </c>
      <c r="H1343">
        <v>-79.670450000000002</v>
      </c>
      <c r="I1343" t="s">
        <v>1573</v>
      </c>
      <c r="J1343">
        <v>400</v>
      </c>
      <c r="K1343">
        <v>1908</v>
      </c>
      <c r="L1343">
        <v>1908</v>
      </c>
      <c r="M1343" t="s">
        <v>203</v>
      </c>
      <c r="N1343" t="s">
        <v>203</v>
      </c>
      <c r="Q1343" s="2" t="str">
        <f>IF($C1343="","",IFERROR(VLOOKUP($C1343,sources!$A$2:$N$200,2,FALSE()),"?"))</f>
        <v>Map</v>
      </c>
      <c r="R1343" s="2" t="str">
        <f t="shared" si="20"/>
        <v>Map</v>
      </c>
      <c r="S1343" s="2" t="str">
        <f>IF($C1343="","",IFERROR(VLOOKUP($C1343,sources!$A$2:$N$200,9,FALSE()),"?"))</f>
        <v>US official</v>
      </c>
      <c r="T1343" t="s">
        <v>5692</v>
      </c>
      <c r="U1343">
        <f>IF(OR(B1343="",C1343="",T1343="Retracted",LEFT(D1343,8)="Negative"),0,IF(COUNTIFS($B$2:B1343,B1343,$C$2:C1343,C1343,$D$2:D1343,"&lt;&gt;Negative*",$T$2:T1343,"&lt;&gt;Retracted")=1,1,0))</f>
        <v>0</v>
      </c>
    </row>
    <row r="1344" spans="1:21" x14ac:dyDescent="0.2">
      <c r="A1344" t="s">
        <v>3307</v>
      </c>
      <c r="B1344" t="s">
        <v>673</v>
      </c>
      <c r="C1344" t="s">
        <v>1304</v>
      </c>
      <c r="D1344" t="s">
        <v>1572</v>
      </c>
      <c r="E1344" t="s">
        <v>3308</v>
      </c>
      <c r="F1344" t="s">
        <v>1583</v>
      </c>
      <c r="G1344">
        <v>9.0666200000000003</v>
      </c>
      <c r="H1344">
        <v>-79.67116</v>
      </c>
      <c r="I1344" t="s">
        <v>1573</v>
      </c>
      <c r="J1344">
        <v>400</v>
      </c>
      <c r="K1344">
        <v>1908</v>
      </c>
      <c r="L1344">
        <v>1908</v>
      </c>
      <c r="M1344" t="s">
        <v>203</v>
      </c>
      <c r="N1344" t="s">
        <v>209</v>
      </c>
      <c r="Q1344" s="2" t="str">
        <f>IF($C1344="","",IFERROR(VLOOKUP($C1344,sources!$A$2:$N$200,2,FALSE()),"?"))</f>
        <v>Map</v>
      </c>
      <c r="R1344" s="2" t="str">
        <f t="shared" si="20"/>
        <v>Map</v>
      </c>
      <c r="S1344" s="2" t="str">
        <f>IF($C1344="","",IFERROR(VLOOKUP($C1344,sources!$A$2:$N$200,9,FALSE()),"?"))</f>
        <v>US official</v>
      </c>
      <c r="T1344" t="s">
        <v>5692</v>
      </c>
      <c r="U1344">
        <f>IF(OR(B1344="",C1344="",T1344="Retracted",LEFT(D1344,8)="Negative"),0,IF(COUNTIFS($B$2:B1344,B1344,$C$2:C1344,C1344,$D$2:D1344,"&lt;&gt;Negative*",$T$2:T1344,"&lt;&gt;Retracted")=1,1,0))</f>
        <v>0</v>
      </c>
    </row>
    <row r="1345" spans="1:21" x14ac:dyDescent="0.2">
      <c r="A1345" t="s">
        <v>3309</v>
      </c>
      <c r="B1345" t="s">
        <v>233</v>
      </c>
      <c r="C1345" t="s">
        <v>1304</v>
      </c>
      <c r="D1345" t="s">
        <v>1572</v>
      </c>
      <c r="E1345" t="s">
        <v>3310</v>
      </c>
      <c r="F1345" t="s">
        <v>1583</v>
      </c>
      <c r="G1345">
        <v>9.0663800000000005</v>
      </c>
      <c r="H1345">
        <v>-79.668520000000001</v>
      </c>
      <c r="I1345" t="s">
        <v>1573</v>
      </c>
      <c r="J1345">
        <v>400</v>
      </c>
      <c r="K1345">
        <v>1908</v>
      </c>
      <c r="L1345">
        <v>1908</v>
      </c>
      <c r="M1345" t="s">
        <v>203</v>
      </c>
      <c r="N1345" t="s">
        <v>203</v>
      </c>
      <c r="Q1345" s="2" t="str">
        <f>IF($C1345="","",IFERROR(VLOOKUP($C1345,sources!$A$2:$N$200,2,FALSE()),"?"))</f>
        <v>Map</v>
      </c>
      <c r="R1345" s="2" t="str">
        <f t="shared" si="20"/>
        <v>Map</v>
      </c>
      <c r="S1345" s="2" t="str">
        <f>IF($C1345="","",IFERROR(VLOOKUP($C1345,sources!$A$2:$N$200,9,FALSE()),"?"))</f>
        <v>US official</v>
      </c>
      <c r="T1345" t="s">
        <v>5692</v>
      </c>
      <c r="U1345">
        <f>IF(OR(B1345="",C1345="",T1345="Retracted",LEFT(D1345,8)="Negative"),0,IF(COUNTIFS($B$2:B1345,B1345,$C$2:C1345,C1345,$D$2:D1345,"&lt;&gt;Negative*",$T$2:T1345,"&lt;&gt;Retracted")=1,1,0))</f>
        <v>0</v>
      </c>
    </row>
    <row r="1346" spans="1:21" x14ac:dyDescent="0.2">
      <c r="A1346" t="s">
        <v>3311</v>
      </c>
      <c r="B1346" t="s">
        <v>801</v>
      </c>
      <c r="C1346" t="s">
        <v>1335</v>
      </c>
      <c r="D1346" t="s">
        <v>1572</v>
      </c>
      <c r="E1346" t="s">
        <v>802</v>
      </c>
      <c r="F1346" t="s">
        <v>1583</v>
      </c>
      <c r="G1346">
        <v>8.9613359999999993</v>
      </c>
      <c r="H1346">
        <v>-79.549452000000002</v>
      </c>
      <c r="I1346" t="s">
        <v>3312</v>
      </c>
      <c r="J1346">
        <v>150</v>
      </c>
      <c r="K1346">
        <v>1905</v>
      </c>
      <c r="L1346">
        <v>1906</v>
      </c>
      <c r="M1346" t="s">
        <v>203</v>
      </c>
      <c r="N1346" t="s">
        <v>203</v>
      </c>
      <c r="Q1346" s="2" t="str">
        <f>IF($C1346="","",IFERROR(VLOOKUP($C1346,sources!$A$2:$N$200,2,FALSE()),"?"))</f>
        <v>Map</v>
      </c>
      <c r="R1346" s="2" t="str">
        <f t="shared" ref="R1346:R1409" si="21">IF($Q1346="","",IF($Q1346="Map","Map",IF(OR($Q1346="Photograph",$Q1346="Postcard"),"Image",IF(OR($Q1346="Census or roll",$Q1346="Report",$Q1346="Newspaper",$Q1346="Letter",$Q1346="Memoir",$Q1346="Administrative",$Q1346="Web compilation"),"Textual",IF($Q1346="Legal claim","Legal/admin",IF($Q1346="Secondary","Secondary","Other"))))))</f>
        <v>Map</v>
      </c>
      <c r="S1346" s="2" t="str">
        <f>IF($C1346="","",IFERROR(VLOOKUP($C1346,sources!$A$2:$N$200,9,FALSE()),"?"))</f>
        <v>US official</v>
      </c>
      <c r="T1346" t="s">
        <v>5692</v>
      </c>
      <c r="U1346">
        <f>IF(OR(B1346="",C1346="",T1346="Retracted",LEFT(D1346,8)="Negative"),0,IF(COUNTIFS($B$2:B1346,B1346,$C$2:C1346,C1346,$D$2:D1346,"&lt;&gt;Negative*",$T$2:T1346,"&lt;&gt;Retracted")=1,1,0))</f>
        <v>0</v>
      </c>
    </row>
    <row r="1347" spans="1:21" x14ac:dyDescent="0.2">
      <c r="A1347" t="s">
        <v>3313</v>
      </c>
      <c r="B1347" t="s">
        <v>805</v>
      </c>
      <c r="C1347" t="s">
        <v>1335</v>
      </c>
      <c r="D1347" t="s">
        <v>1572</v>
      </c>
      <c r="E1347" t="s">
        <v>3067</v>
      </c>
      <c r="F1347" t="s">
        <v>1583</v>
      </c>
      <c r="G1347">
        <v>8.9587599999999998</v>
      </c>
      <c r="H1347">
        <v>-79.553927999999999</v>
      </c>
      <c r="I1347" t="s">
        <v>3312</v>
      </c>
      <c r="J1347">
        <v>200</v>
      </c>
      <c r="K1347">
        <v>1905</v>
      </c>
      <c r="L1347">
        <v>1906</v>
      </c>
      <c r="M1347" t="s">
        <v>203</v>
      </c>
      <c r="N1347" t="s">
        <v>209</v>
      </c>
      <c r="Q1347" s="2" t="str">
        <f>IF($C1347="","",IFERROR(VLOOKUP($C1347,sources!$A$2:$N$200,2,FALSE()),"?"))</f>
        <v>Map</v>
      </c>
      <c r="R1347" s="2" t="str">
        <f t="shared" si="21"/>
        <v>Map</v>
      </c>
      <c r="S1347" s="2" t="str">
        <f>IF($C1347="","",IFERROR(VLOOKUP($C1347,sources!$A$2:$N$200,9,FALSE()),"?"))</f>
        <v>US official</v>
      </c>
      <c r="T1347" t="s">
        <v>5692</v>
      </c>
      <c r="U1347">
        <f>IF(OR(B1347="",C1347="",T1347="Retracted",LEFT(D1347,8)="Negative"),0,IF(COUNTIFS($B$2:B1347,B1347,$C$2:C1347,C1347,$D$2:D1347,"&lt;&gt;Negative*",$T$2:T1347,"&lt;&gt;Retracted")=1,1,0))</f>
        <v>0</v>
      </c>
    </row>
    <row r="1348" spans="1:21" x14ac:dyDescent="0.2">
      <c r="A1348" t="s">
        <v>3314</v>
      </c>
      <c r="B1348" t="s">
        <v>808</v>
      </c>
      <c r="C1348" t="s">
        <v>1335</v>
      </c>
      <c r="D1348" t="s">
        <v>1572</v>
      </c>
      <c r="E1348" t="s">
        <v>3069</v>
      </c>
      <c r="F1348" t="s">
        <v>1583</v>
      </c>
      <c r="G1348">
        <v>8.9539039999999996</v>
      </c>
      <c r="H1348">
        <v>-79.548524999999998</v>
      </c>
      <c r="I1348" t="s">
        <v>3312</v>
      </c>
      <c r="J1348">
        <v>150</v>
      </c>
      <c r="K1348">
        <v>1905</v>
      </c>
      <c r="L1348">
        <v>1906</v>
      </c>
      <c r="M1348" t="s">
        <v>203</v>
      </c>
      <c r="N1348" t="s">
        <v>203</v>
      </c>
      <c r="Q1348" s="2" t="str">
        <f>IF($C1348="","",IFERROR(VLOOKUP($C1348,sources!$A$2:$N$200,2,FALSE()),"?"))</f>
        <v>Map</v>
      </c>
      <c r="R1348" s="2" t="str">
        <f t="shared" si="21"/>
        <v>Map</v>
      </c>
      <c r="S1348" s="2" t="str">
        <f>IF($C1348="","",IFERROR(VLOOKUP($C1348,sources!$A$2:$N$200,9,FALSE()),"?"))</f>
        <v>US official</v>
      </c>
      <c r="T1348" t="s">
        <v>5692</v>
      </c>
      <c r="U1348">
        <f>IF(OR(B1348="",C1348="",T1348="Retracted",LEFT(D1348,8)="Negative"),0,IF(COUNTIFS($B$2:B1348,B1348,$C$2:C1348,C1348,$D$2:D1348,"&lt;&gt;Negative*",$T$2:T1348,"&lt;&gt;Retracted")=1,1,0))</f>
        <v>0</v>
      </c>
    </row>
    <row r="1349" spans="1:21" x14ac:dyDescent="0.2">
      <c r="A1349" t="s">
        <v>3315</v>
      </c>
      <c r="B1349" t="s">
        <v>348</v>
      </c>
      <c r="C1349" t="s">
        <v>1335</v>
      </c>
      <c r="D1349" t="s">
        <v>1575</v>
      </c>
      <c r="E1349" t="s">
        <v>3316</v>
      </c>
      <c r="F1349" t="s">
        <v>1583</v>
      </c>
      <c r="G1349">
        <v>8.9472520000000006</v>
      </c>
      <c r="H1349">
        <v>-79.569858999999994</v>
      </c>
      <c r="I1349" t="s">
        <v>3312</v>
      </c>
      <c r="J1349">
        <v>300</v>
      </c>
      <c r="K1349">
        <v>1905</v>
      </c>
      <c r="L1349">
        <v>1906</v>
      </c>
      <c r="M1349" t="s">
        <v>203</v>
      </c>
      <c r="N1349" t="s">
        <v>203</v>
      </c>
      <c r="Q1349" s="2" t="str">
        <f>IF($C1349="","",IFERROR(VLOOKUP($C1349,sources!$A$2:$N$200,2,FALSE()),"?"))</f>
        <v>Map</v>
      </c>
      <c r="R1349" s="2" t="str">
        <f t="shared" si="21"/>
        <v>Map</v>
      </c>
      <c r="S1349" s="2" t="str">
        <f>IF($C1349="","",IFERROR(VLOOKUP($C1349,sources!$A$2:$N$200,9,FALSE()),"?"))</f>
        <v>US official</v>
      </c>
      <c r="T1349" t="s">
        <v>5692</v>
      </c>
      <c r="U1349">
        <f>IF(OR(B1349="",C1349="",T1349="Retracted",LEFT(D1349,8)="Negative"),0,IF(COUNTIFS($B$2:B1349,B1349,$C$2:C1349,C1349,$D$2:D1349,"&lt;&gt;Negative*",$T$2:T1349,"&lt;&gt;Retracted")=1,1,0))</f>
        <v>0</v>
      </c>
    </row>
    <row r="1350" spans="1:21" x14ac:dyDescent="0.2">
      <c r="A1350" t="s">
        <v>3317</v>
      </c>
      <c r="B1350" t="s">
        <v>411</v>
      </c>
      <c r="C1350" t="s">
        <v>1335</v>
      </c>
      <c r="D1350" t="s">
        <v>1564</v>
      </c>
      <c r="E1350" t="s">
        <v>2549</v>
      </c>
      <c r="F1350" t="s">
        <v>1583</v>
      </c>
      <c r="G1350">
        <v>8.9564260000000004</v>
      </c>
      <c r="H1350">
        <v>-79.570643000000004</v>
      </c>
      <c r="I1350" t="s">
        <v>3312</v>
      </c>
      <c r="J1350">
        <v>400</v>
      </c>
      <c r="M1350" t="s">
        <v>190</v>
      </c>
      <c r="N1350" t="s">
        <v>209</v>
      </c>
      <c r="Q1350" s="2" t="str">
        <f>IF($C1350="","",IFERROR(VLOOKUP($C1350,sources!$A$2:$N$200,2,FALSE()),"?"))</f>
        <v>Map</v>
      </c>
      <c r="R1350" s="2" t="str">
        <f t="shared" si="21"/>
        <v>Map</v>
      </c>
      <c r="S1350" s="2" t="str">
        <f>IF($C1350="","",IFERROR(VLOOKUP($C1350,sources!$A$2:$N$200,9,FALSE()),"?"))</f>
        <v>US official</v>
      </c>
      <c r="T1350" t="s">
        <v>5692</v>
      </c>
      <c r="U1350">
        <f>IF(OR(B1350="",C1350="",T1350="Retracted",LEFT(D1350,8)="Negative"),0,IF(COUNTIFS($B$2:B1350,B1350,$C$2:C1350,C1350,$D$2:D1350,"&lt;&gt;Negative*",$T$2:T1350,"&lt;&gt;Retracted")=1,1,0))</f>
        <v>1</v>
      </c>
    </row>
    <row r="1351" spans="1:21" ht="26" x14ac:dyDescent="0.2">
      <c r="A1351" t="s">
        <v>3318</v>
      </c>
      <c r="B1351" t="s">
        <v>852</v>
      </c>
      <c r="C1351" t="s">
        <v>1393</v>
      </c>
      <c r="D1351" t="s">
        <v>1575</v>
      </c>
      <c r="E1351" t="s">
        <v>854</v>
      </c>
      <c r="F1351" t="s">
        <v>1583</v>
      </c>
      <c r="N1351" t="s">
        <v>203</v>
      </c>
      <c r="Q1351" s="2" t="str">
        <f>IF($C1351="","",IFERROR(VLOOKUP($C1351,sources!$A$2:$N$200,2,FALSE()),"?"))</f>
        <v>Web compilation</v>
      </c>
      <c r="R1351" s="2" t="str">
        <f t="shared" si="21"/>
        <v>Textual</v>
      </c>
      <c r="S1351" s="2" t="str">
        <f>IF($C1351="","",IFERROR(VLOOKUP($C1351,sources!$A$2:$N$200,9,FALSE()),"?"))</f>
        <v>Caribbean community</v>
      </c>
      <c r="T1351" t="s">
        <v>5692</v>
      </c>
      <c r="U1351">
        <f>IF(OR(B1351="",C1351="",T1351="Retracted",LEFT(D1351,8)="Negative"),0,IF(COUNTIFS($B$2:B1351,B1351,$C$2:C1351,C1351,$D$2:D1351,"&lt;&gt;Negative*",$T$2:T1351,"&lt;&gt;Retracted")=1,1,0))</f>
        <v>1</v>
      </c>
    </row>
    <row r="1352" spans="1:21" ht="26" x14ac:dyDescent="0.2">
      <c r="A1352" t="s">
        <v>3319</v>
      </c>
      <c r="B1352" t="s">
        <v>856</v>
      </c>
      <c r="C1352" t="s">
        <v>1393</v>
      </c>
      <c r="D1352" t="s">
        <v>1575</v>
      </c>
      <c r="E1352" t="s">
        <v>3320</v>
      </c>
      <c r="F1352" t="s">
        <v>1583</v>
      </c>
      <c r="N1352" t="s">
        <v>203</v>
      </c>
      <c r="Q1352" s="2" t="str">
        <f>IF($C1352="","",IFERROR(VLOOKUP($C1352,sources!$A$2:$N$200,2,FALSE()),"?"))</f>
        <v>Web compilation</v>
      </c>
      <c r="R1352" s="2" t="str">
        <f t="shared" si="21"/>
        <v>Textual</v>
      </c>
      <c r="S1352" s="2" t="str">
        <f>IF($C1352="","",IFERROR(VLOOKUP($C1352,sources!$A$2:$N$200,9,FALSE()),"?"))</f>
        <v>Caribbean community</v>
      </c>
      <c r="T1352" t="s">
        <v>5692</v>
      </c>
      <c r="U1352">
        <f>IF(OR(B1352="",C1352="",T1352="Retracted",LEFT(D1352,8)="Negative"),0,IF(COUNTIFS($B$2:B1352,B1352,$C$2:C1352,C1352,$D$2:D1352,"&lt;&gt;Negative*",$T$2:T1352,"&lt;&gt;Retracted")=1,1,0))</f>
        <v>1</v>
      </c>
    </row>
    <row r="1353" spans="1:21" ht="26" x14ac:dyDescent="0.2">
      <c r="A1353" t="s">
        <v>3321</v>
      </c>
      <c r="B1353" t="s">
        <v>860</v>
      </c>
      <c r="C1353" t="s">
        <v>1393</v>
      </c>
      <c r="D1353" t="s">
        <v>1575</v>
      </c>
      <c r="E1353" t="s">
        <v>3322</v>
      </c>
      <c r="F1353" t="s">
        <v>1583</v>
      </c>
      <c r="N1353" t="s">
        <v>203</v>
      </c>
      <c r="Q1353" s="2" t="str">
        <f>IF($C1353="","",IFERROR(VLOOKUP($C1353,sources!$A$2:$N$200,2,FALSE()),"?"))</f>
        <v>Web compilation</v>
      </c>
      <c r="R1353" s="2" t="str">
        <f t="shared" si="21"/>
        <v>Textual</v>
      </c>
      <c r="S1353" s="2" t="str">
        <f>IF($C1353="","",IFERROR(VLOOKUP($C1353,sources!$A$2:$N$200,9,FALSE()),"?"))</f>
        <v>Caribbean community</v>
      </c>
      <c r="T1353" t="s">
        <v>5692</v>
      </c>
      <c r="U1353">
        <f>IF(OR(B1353="",C1353="",T1353="Retracted",LEFT(D1353,8)="Negative"),0,IF(COUNTIFS($B$2:B1353,B1353,$C$2:C1353,C1353,$D$2:D1353,"&lt;&gt;Negative*",$T$2:T1353,"&lt;&gt;Retracted")=1,1,0))</f>
        <v>1</v>
      </c>
    </row>
    <row r="1354" spans="1:21" ht="26" x14ac:dyDescent="0.2">
      <c r="A1354" t="s">
        <v>3323</v>
      </c>
      <c r="B1354" t="s">
        <v>865</v>
      </c>
      <c r="C1354" t="s">
        <v>1393</v>
      </c>
      <c r="D1354" t="s">
        <v>1575</v>
      </c>
      <c r="E1354" t="s">
        <v>3324</v>
      </c>
      <c r="F1354" t="s">
        <v>1583</v>
      </c>
      <c r="N1354" t="s">
        <v>203</v>
      </c>
      <c r="Q1354" s="2" t="str">
        <f>IF($C1354="","",IFERROR(VLOOKUP($C1354,sources!$A$2:$N$200,2,FALSE()),"?"))</f>
        <v>Web compilation</v>
      </c>
      <c r="R1354" s="2" t="str">
        <f t="shared" si="21"/>
        <v>Textual</v>
      </c>
      <c r="S1354" s="2" t="str">
        <f>IF($C1354="","",IFERROR(VLOOKUP($C1354,sources!$A$2:$N$200,9,FALSE()),"?"))</f>
        <v>Caribbean community</v>
      </c>
      <c r="T1354" t="s">
        <v>5692</v>
      </c>
      <c r="U1354">
        <f>IF(OR(B1354="",C1354="",T1354="Retracted",LEFT(D1354,8)="Negative"),0,IF(COUNTIFS($B$2:B1354,B1354,$C$2:C1354,C1354,$D$2:D1354,"&lt;&gt;Negative*",$T$2:T1354,"&lt;&gt;Retracted")=1,1,0))</f>
        <v>1</v>
      </c>
    </row>
    <row r="1355" spans="1:21" ht="26" x14ac:dyDescent="0.2">
      <c r="A1355" t="s">
        <v>3325</v>
      </c>
      <c r="B1355" t="s">
        <v>869</v>
      </c>
      <c r="C1355" t="s">
        <v>1393</v>
      </c>
      <c r="D1355" t="s">
        <v>1575</v>
      </c>
      <c r="E1355" t="s">
        <v>3326</v>
      </c>
      <c r="F1355" t="s">
        <v>1583</v>
      </c>
      <c r="N1355" t="s">
        <v>203</v>
      </c>
      <c r="Q1355" s="2" t="str">
        <f>IF($C1355="","",IFERROR(VLOOKUP($C1355,sources!$A$2:$N$200,2,FALSE()),"?"))</f>
        <v>Web compilation</v>
      </c>
      <c r="R1355" s="2" t="str">
        <f t="shared" si="21"/>
        <v>Textual</v>
      </c>
      <c r="S1355" s="2" t="str">
        <f>IF($C1355="","",IFERROR(VLOOKUP($C1355,sources!$A$2:$N$200,9,FALSE()),"?"))</f>
        <v>Caribbean community</v>
      </c>
      <c r="T1355" t="s">
        <v>5692</v>
      </c>
      <c r="U1355">
        <f>IF(OR(B1355="",C1355="",T1355="Retracted",LEFT(D1355,8)="Negative"),0,IF(COUNTIFS($B$2:B1355,B1355,$C$2:C1355,C1355,$D$2:D1355,"&lt;&gt;Negative*",$T$2:T1355,"&lt;&gt;Retracted")=1,1,0))</f>
        <v>1</v>
      </c>
    </row>
    <row r="1356" spans="1:21" x14ac:dyDescent="0.2">
      <c r="A1356" t="s">
        <v>3327</v>
      </c>
      <c r="B1356" t="s">
        <v>873</v>
      </c>
      <c r="C1356" t="s">
        <v>1311</v>
      </c>
      <c r="D1356" t="s">
        <v>1572</v>
      </c>
      <c r="E1356" t="s">
        <v>3328</v>
      </c>
      <c r="F1356" t="s">
        <v>1583</v>
      </c>
      <c r="G1356">
        <v>9.0370000000000008</v>
      </c>
      <c r="H1356">
        <v>-79.646299999999997</v>
      </c>
      <c r="I1356" t="s">
        <v>1573</v>
      </c>
      <c r="J1356">
        <v>150</v>
      </c>
      <c r="K1356">
        <v>1910</v>
      </c>
      <c r="L1356">
        <v>1910</v>
      </c>
      <c r="M1356" t="s">
        <v>203</v>
      </c>
      <c r="N1356" t="s">
        <v>209</v>
      </c>
      <c r="Q1356" s="2" t="str">
        <f>IF($C1356="","",IFERROR(VLOOKUP($C1356,sources!$A$2:$N$200,2,FALSE()),"?"))</f>
        <v>Map</v>
      </c>
      <c r="R1356" s="2" t="str">
        <f t="shared" si="21"/>
        <v>Map</v>
      </c>
      <c r="S1356" s="2" t="str">
        <f>IF($C1356="","",IFERROR(VLOOKUP($C1356,sources!$A$2:$N$200,9,FALSE()),"?"))</f>
        <v>US official</v>
      </c>
      <c r="T1356" t="s">
        <v>5692</v>
      </c>
      <c r="U1356">
        <f>IF(OR(B1356="",C1356="",T1356="Retracted",LEFT(D1356,8)="Negative"),0,IF(COUNTIFS($B$2:B1356,B1356,$C$2:C1356,C1356,$D$2:D1356,"&lt;&gt;Negative*",$T$2:T1356,"&lt;&gt;Retracted")=1,1,0))</f>
        <v>1</v>
      </c>
    </row>
    <row r="1357" spans="1:21" x14ac:dyDescent="0.2">
      <c r="A1357" t="s">
        <v>3329</v>
      </c>
      <c r="B1357" t="s">
        <v>876</v>
      </c>
      <c r="C1357" t="s">
        <v>1311</v>
      </c>
      <c r="D1357" t="s">
        <v>1572</v>
      </c>
      <c r="E1357" t="s">
        <v>3330</v>
      </c>
      <c r="F1357" t="s">
        <v>1583</v>
      </c>
      <c r="G1357">
        <v>9.0366999999999997</v>
      </c>
      <c r="H1357">
        <v>-79.646600000000007</v>
      </c>
      <c r="I1357" t="s">
        <v>1573</v>
      </c>
      <c r="J1357">
        <v>150</v>
      </c>
      <c r="K1357">
        <v>1910</v>
      </c>
      <c r="L1357">
        <v>1910</v>
      </c>
      <c r="M1357" t="s">
        <v>203</v>
      </c>
      <c r="N1357" t="s">
        <v>209</v>
      </c>
      <c r="Q1357" s="2" t="str">
        <f>IF($C1357="","",IFERROR(VLOOKUP($C1357,sources!$A$2:$N$200,2,FALSE()),"?"))</f>
        <v>Map</v>
      </c>
      <c r="R1357" s="2" t="str">
        <f t="shared" si="21"/>
        <v>Map</v>
      </c>
      <c r="S1357" s="2" t="str">
        <f>IF($C1357="","",IFERROR(VLOOKUP($C1357,sources!$A$2:$N$200,9,FALSE()),"?"))</f>
        <v>US official</v>
      </c>
      <c r="T1357" t="s">
        <v>5692</v>
      </c>
      <c r="U1357">
        <f>IF(OR(B1357="",C1357="",T1357="Retracted",LEFT(D1357,8)="Negative"),0,IF(COUNTIFS($B$2:B1357,B1357,$C$2:C1357,C1357,$D$2:D1357,"&lt;&gt;Negative*",$T$2:T1357,"&lt;&gt;Retracted")=1,1,0))</f>
        <v>1</v>
      </c>
    </row>
    <row r="1358" spans="1:21" x14ac:dyDescent="0.2">
      <c r="A1358" t="s">
        <v>3331</v>
      </c>
      <c r="B1358" t="s">
        <v>879</v>
      </c>
      <c r="C1358" t="s">
        <v>1311</v>
      </c>
      <c r="D1358" t="s">
        <v>1572</v>
      </c>
      <c r="E1358" t="s">
        <v>3332</v>
      </c>
      <c r="F1358" t="s">
        <v>1583</v>
      </c>
      <c r="G1358">
        <v>9.0360999999999994</v>
      </c>
      <c r="H1358">
        <v>-79.647099999999995</v>
      </c>
      <c r="I1358" t="s">
        <v>1573</v>
      </c>
      <c r="J1358">
        <v>150</v>
      </c>
      <c r="K1358">
        <v>1910</v>
      </c>
      <c r="L1358">
        <v>1910</v>
      </c>
      <c r="M1358" t="s">
        <v>203</v>
      </c>
      <c r="N1358" t="s">
        <v>209</v>
      </c>
      <c r="Q1358" s="2" t="str">
        <f>IF($C1358="","",IFERROR(VLOOKUP($C1358,sources!$A$2:$N$200,2,FALSE()),"?"))</f>
        <v>Map</v>
      </c>
      <c r="R1358" s="2" t="str">
        <f t="shared" si="21"/>
        <v>Map</v>
      </c>
      <c r="S1358" s="2" t="str">
        <f>IF($C1358="","",IFERROR(VLOOKUP($C1358,sources!$A$2:$N$200,9,FALSE()),"?"))</f>
        <v>US official</v>
      </c>
      <c r="T1358" t="s">
        <v>5692</v>
      </c>
      <c r="U1358">
        <f>IF(OR(B1358="",C1358="",T1358="Retracted",LEFT(D1358,8)="Negative"),0,IF(COUNTIFS($B$2:B1358,B1358,$C$2:C1358,C1358,$D$2:D1358,"&lt;&gt;Negative*",$T$2:T1358,"&lt;&gt;Retracted")=1,1,0))</f>
        <v>1</v>
      </c>
    </row>
    <row r="1359" spans="1:21" ht="26" x14ac:dyDescent="0.2">
      <c r="A1359" t="s">
        <v>3333</v>
      </c>
      <c r="B1359" t="s">
        <v>835</v>
      </c>
      <c r="C1359" t="s">
        <v>1393</v>
      </c>
      <c r="D1359" t="s">
        <v>1575</v>
      </c>
      <c r="E1359" t="s">
        <v>837</v>
      </c>
      <c r="F1359" t="s">
        <v>1583</v>
      </c>
      <c r="N1359" t="s">
        <v>203</v>
      </c>
      <c r="Q1359" s="2" t="str">
        <f>IF($C1359="","",IFERROR(VLOOKUP($C1359,sources!$A$2:$N$200,2,FALSE()),"?"))</f>
        <v>Web compilation</v>
      </c>
      <c r="R1359" s="2" t="str">
        <f t="shared" si="21"/>
        <v>Textual</v>
      </c>
      <c r="S1359" s="2" t="str">
        <f>IF($C1359="","",IFERROR(VLOOKUP($C1359,sources!$A$2:$N$200,9,FALSE()),"?"))</f>
        <v>Caribbean community</v>
      </c>
      <c r="T1359" t="s">
        <v>5692</v>
      </c>
      <c r="U1359">
        <f>IF(OR(B1359="",C1359="",T1359="Retracted",LEFT(D1359,8)="Negative"),0,IF(COUNTIFS($B$2:B1359,B1359,$C$2:C1359,C1359,$D$2:D1359,"&lt;&gt;Negative*",$T$2:T1359,"&lt;&gt;Retracted")=1,1,0))</f>
        <v>1</v>
      </c>
    </row>
    <row r="1360" spans="1:21" ht="26" x14ac:dyDescent="0.2">
      <c r="A1360" t="s">
        <v>3334</v>
      </c>
      <c r="B1360" t="s">
        <v>805</v>
      </c>
      <c r="C1360" t="s">
        <v>1393</v>
      </c>
      <c r="D1360" t="s">
        <v>1572</v>
      </c>
      <c r="E1360" t="s">
        <v>3335</v>
      </c>
      <c r="F1360" t="s">
        <v>1583</v>
      </c>
      <c r="G1360">
        <v>8.9596800000000005</v>
      </c>
      <c r="H1360">
        <v>-79.554832599999997</v>
      </c>
      <c r="I1360" t="s">
        <v>3336</v>
      </c>
      <c r="J1360">
        <v>150</v>
      </c>
      <c r="N1360" t="s">
        <v>209</v>
      </c>
      <c r="Q1360" s="2" t="str">
        <f>IF($C1360="","",IFERROR(VLOOKUP($C1360,sources!$A$2:$N$200,2,FALSE()),"?"))</f>
        <v>Web compilation</v>
      </c>
      <c r="R1360" s="2" t="str">
        <f t="shared" si="21"/>
        <v>Textual</v>
      </c>
      <c r="S1360" s="2" t="str">
        <f>IF($C1360="","",IFERROR(VLOOKUP($C1360,sources!$A$2:$N$200,9,FALSE()),"?"))</f>
        <v>Caribbean community</v>
      </c>
      <c r="T1360" t="s">
        <v>5692</v>
      </c>
      <c r="U1360">
        <f>IF(OR(B1360="",C1360="",T1360="Retracted",LEFT(D1360,8)="Negative"),0,IF(COUNTIFS($B$2:B1360,B1360,$C$2:C1360,C1360,$D$2:D1360,"&lt;&gt;Negative*",$T$2:T1360,"&lt;&gt;Retracted")=1,1,0))</f>
        <v>1</v>
      </c>
    </row>
    <row r="1361" spans="1:21" x14ac:dyDescent="0.2">
      <c r="A1361" t="s">
        <v>3337</v>
      </c>
      <c r="B1361" t="s">
        <v>852</v>
      </c>
      <c r="C1361" t="s">
        <v>1323</v>
      </c>
      <c r="D1361" t="s">
        <v>1572</v>
      </c>
      <c r="E1361" t="s">
        <v>3338</v>
      </c>
      <c r="F1361" t="s">
        <v>1583</v>
      </c>
      <c r="G1361">
        <v>9.113073</v>
      </c>
      <c r="H1361">
        <v>-79.725834000000006</v>
      </c>
      <c r="I1361" t="s">
        <v>3339</v>
      </c>
      <c r="J1361">
        <v>200</v>
      </c>
      <c r="K1361">
        <v>1908</v>
      </c>
      <c r="L1361">
        <v>1908</v>
      </c>
      <c r="M1361" t="s">
        <v>203</v>
      </c>
      <c r="N1361" t="s">
        <v>190</v>
      </c>
      <c r="Q1361" s="2" t="str">
        <f>IF($C1361="","",IFERROR(VLOOKUP($C1361,sources!$A$2:$N$200,2,FALSE()),"?"))</f>
        <v>Map</v>
      </c>
      <c r="R1361" s="2" t="str">
        <f t="shared" si="21"/>
        <v>Map</v>
      </c>
      <c r="S1361" s="2" t="str">
        <f>IF($C1361="","",IFERROR(VLOOKUP($C1361,sources!$A$2:$N$200,9,FALSE()),"?"))</f>
        <v>US official</v>
      </c>
      <c r="T1361" t="s">
        <v>5692</v>
      </c>
      <c r="U1361">
        <f>IF(OR(B1361="",C1361="",T1361="Retracted",LEFT(D1361,8)="Negative"),0,IF(COUNTIFS($B$2:B1361,B1361,$C$2:C1361,C1361,$D$2:D1361,"&lt;&gt;Negative*",$T$2:T1361,"&lt;&gt;Retracted")=1,1,0))</f>
        <v>1</v>
      </c>
    </row>
    <row r="1362" spans="1:21" x14ac:dyDescent="0.2">
      <c r="A1362" t="s">
        <v>3340</v>
      </c>
      <c r="B1362" t="s">
        <v>439</v>
      </c>
      <c r="C1362" t="s">
        <v>1401</v>
      </c>
      <c r="D1362" t="s">
        <v>1572</v>
      </c>
      <c r="E1362" t="s">
        <v>3341</v>
      </c>
      <c r="F1362" t="s">
        <v>1583</v>
      </c>
      <c r="G1362">
        <v>8.9610859999999999</v>
      </c>
      <c r="H1362">
        <v>-79.557709000000003</v>
      </c>
      <c r="I1362" t="s">
        <v>3312</v>
      </c>
      <c r="J1362">
        <v>150</v>
      </c>
      <c r="K1362">
        <v>1947</v>
      </c>
      <c r="L1362">
        <v>1947</v>
      </c>
      <c r="M1362" t="s">
        <v>203</v>
      </c>
      <c r="N1362" t="s">
        <v>203</v>
      </c>
      <c r="Q1362" s="2" t="str">
        <f>IF($C1362="","",IFERROR(VLOOKUP($C1362,sources!$A$2:$N$200,2,FALSE()),"?"))</f>
        <v>Map</v>
      </c>
      <c r="R1362" s="2" t="str">
        <f t="shared" si="21"/>
        <v>Map</v>
      </c>
      <c r="S1362" s="2" t="str">
        <f>IF($C1362="","",IFERROR(VLOOKUP($C1362,sources!$A$2:$N$200,9,FALSE()),"?"))</f>
        <v>US military</v>
      </c>
      <c r="T1362" t="s">
        <v>5692</v>
      </c>
      <c r="U1362">
        <f>IF(OR(B1362="",C1362="",T1362="Retracted",LEFT(D1362,8)="Negative"),0,IF(COUNTIFS($B$2:B1362,B1362,$C$2:C1362,C1362,$D$2:D1362,"&lt;&gt;Negative*",$T$2:T1362,"&lt;&gt;Retracted")=1,1,0))</f>
        <v>1</v>
      </c>
    </row>
    <row r="1363" spans="1:21" x14ac:dyDescent="0.2">
      <c r="A1363" t="s">
        <v>3342</v>
      </c>
      <c r="B1363" t="s">
        <v>547</v>
      </c>
      <c r="C1363" t="s">
        <v>1401</v>
      </c>
      <c r="D1363" t="s">
        <v>1572</v>
      </c>
      <c r="E1363" t="s">
        <v>3343</v>
      </c>
      <c r="F1363" t="s">
        <v>1583</v>
      </c>
      <c r="G1363">
        <v>8.9567700000000006</v>
      </c>
      <c r="H1363">
        <v>-79.552678</v>
      </c>
      <c r="I1363" t="s">
        <v>3312</v>
      </c>
      <c r="J1363">
        <v>250</v>
      </c>
      <c r="K1363">
        <v>1947</v>
      </c>
      <c r="L1363">
        <v>1947</v>
      </c>
      <c r="M1363" t="s">
        <v>203</v>
      </c>
      <c r="N1363" t="s">
        <v>203</v>
      </c>
      <c r="Q1363" s="2" t="str">
        <f>IF($C1363="","",IFERROR(VLOOKUP($C1363,sources!$A$2:$N$200,2,FALSE()),"?"))</f>
        <v>Map</v>
      </c>
      <c r="R1363" s="2" t="str">
        <f t="shared" si="21"/>
        <v>Map</v>
      </c>
      <c r="S1363" s="2" t="str">
        <f>IF($C1363="","",IFERROR(VLOOKUP($C1363,sources!$A$2:$N$200,9,FALSE()),"?"))</f>
        <v>US military</v>
      </c>
      <c r="T1363" t="s">
        <v>5692</v>
      </c>
      <c r="U1363">
        <f>IF(OR(B1363="",C1363="",T1363="Retracted",LEFT(D1363,8)="Negative"),0,IF(COUNTIFS($B$2:B1363,B1363,$C$2:C1363,C1363,$D$2:D1363,"&lt;&gt;Negative*",$T$2:T1363,"&lt;&gt;Retracted")=1,1,0))</f>
        <v>1</v>
      </c>
    </row>
    <row r="1364" spans="1:21" x14ac:dyDescent="0.2">
      <c r="A1364" t="s">
        <v>3344</v>
      </c>
      <c r="B1364" t="s">
        <v>335</v>
      </c>
      <c r="C1364" t="s">
        <v>1401</v>
      </c>
      <c r="D1364" t="s">
        <v>1572</v>
      </c>
      <c r="E1364" t="s">
        <v>2541</v>
      </c>
      <c r="F1364" t="s">
        <v>1583</v>
      </c>
      <c r="G1364">
        <v>8.9630299999999998</v>
      </c>
      <c r="H1364">
        <v>-79.549002999999999</v>
      </c>
      <c r="I1364" t="s">
        <v>3312</v>
      </c>
      <c r="J1364">
        <v>300</v>
      </c>
      <c r="K1364">
        <v>1947</v>
      </c>
      <c r="L1364">
        <v>1947</v>
      </c>
      <c r="M1364" t="s">
        <v>203</v>
      </c>
      <c r="N1364" t="s">
        <v>209</v>
      </c>
      <c r="Q1364" s="2" t="str">
        <f>IF($C1364="","",IFERROR(VLOOKUP($C1364,sources!$A$2:$N$200,2,FALSE()),"?"))</f>
        <v>Map</v>
      </c>
      <c r="R1364" s="2" t="str">
        <f t="shared" si="21"/>
        <v>Map</v>
      </c>
      <c r="S1364" s="2" t="str">
        <f>IF($C1364="","",IFERROR(VLOOKUP($C1364,sources!$A$2:$N$200,9,FALSE()),"?"))</f>
        <v>US military</v>
      </c>
      <c r="T1364" t="s">
        <v>5692</v>
      </c>
      <c r="U1364">
        <f>IF(OR(B1364="",C1364="",T1364="Retracted",LEFT(D1364,8)="Negative"),0,IF(COUNTIFS($B$2:B1364,B1364,$C$2:C1364,C1364,$D$2:D1364,"&lt;&gt;Negative*",$T$2:T1364,"&lt;&gt;Retracted")=1,1,0))</f>
        <v>1</v>
      </c>
    </row>
    <row r="1365" spans="1:21" x14ac:dyDescent="0.2">
      <c r="A1365" t="s">
        <v>3345</v>
      </c>
      <c r="B1365" t="s">
        <v>801</v>
      </c>
      <c r="C1365" t="s">
        <v>1401</v>
      </c>
      <c r="D1365" t="s">
        <v>1572</v>
      </c>
      <c r="E1365" t="s">
        <v>3346</v>
      </c>
      <c r="F1365" t="s">
        <v>1583</v>
      </c>
      <c r="G1365">
        <v>8.9613359999999993</v>
      </c>
      <c r="H1365">
        <v>-79.549452000000002</v>
      </c>
      <c r="I1365" t="s">
        <v>3312</v>
      </c>
      <c r="J1365">
        <v>150</v>
      </c>
      <c r="K1365">
        <v>1947</v>
      </c>
      <c r="L1365">
        <v>1947</v>
      </c>
      <c r="M1365" t="s">
        <v>203</v>
      </c>
      <c r="N1365" t="s">
        <v>203</v>
      </c>
      <c r="Q1365" s="2" t="str">
        <f>IF($C1365="","",IFERROR(VLOOKUP($C1365,sources!$A$2:$N$200,2,FALSE()),"?"))</f>
        <v>Map</v>
      </c>
      <c r="R1365" s="2" t="str">
        <f t="shared" si="21"/>
        <v>Map</v>
      </c>
      <c r="S1365" s="2" t="str">
        <f>IF($C1365="","",IFERROR(VLOOKUP($C1365,sources!$A$2:$N$200,9,FALSE()),"?"))</f>
        <v>US military</v>
      </c>
      <c r="T1365" t="s">
        <v>5692</v>
      </c>
      <c r="U1365">
        <f>IF(OR(B1365="",C1365="",T1365="Retracted",LEFT(D1365,8)="Negative"),0,IF(COUNTIFS($B$2:B1365,B1365,$C$2:C1365,C1365,$D$2:D1365,"&lt;&gt;Negative*",$T$2:T1365,"&lt;&gt;Retracted")=1,1,0))</f>
        <v>1</v>
      </c>
    </row>
    <row r="1366" spans="1:21" x14ac:dyDescent="0.2">
      <c r="A1366" t="s">
        <v>3347</v>
      </c>
      <c r="B1366" t="s">
        <v>801</v>
      </c>
      <c r="C1366" t="s">
        <v>1401</v>
      </c>
      <c r="D1366" t="s">
        <v>1564</v>
      </c>
      <c r="E1366" t="s">
        <v>3346</v>
      </c>
      <c r="F1366" t="s">
        <v>1583</v>
      </c>
      <c r="I1366" t="s">
        <v>1058</v>
      </c>
      <c r="K1366">
        <v>1947</v>
      </c>
      <c r="L1366">
        <v>1947</v>
      </c>
      <c r="M1366" t="s">
        <v>203</v>
      </c>
      <c r="N1366" t="s">
        <v>203</v>
      </c>
      <c r="Q1366" s="2" t="str">
        <f>IF($C1366="","",IFERROR(VLOOKUP($C1366,sources!$A$2:$N$200,2,FALSE()),"?"))</f>
        <v>Map</v>
      </c>
      <c r="R1366" s="2" t="str">
        <f t="shared" si="21"/>
        <v>Map</v>
      </c>
      <c r="S1366" s="2" t="str">
        <f>IF($C1366="","",IFERROR(VLOOKUP($C1366,sources!$A$2:$N$200,9,FALSE()),"?"))</f>
        <v>US military</v>
      </c>
      <c r="T1366" t="s">
        <v>5692</v>
      </c>
      <c r="U1366">
        <f>IF(OR(B1366="",C1366="",T1366="Retracted",LEFT(D1366,8)="Negative"),0,IF(COUNTIFS($B$2:B1366,B1366,$C$2:C1366,C1366,$D$2:D1366,"&lt;&gt;Negative*",$T$2:T1366,"&lt;&gt;Retracted")=1,1,0))</f>
        <v>0</v>
      </c>
    </row>
    <row r="1367" spans="1:21" x14ac:dyDescent="0.2">
      <c r="A1367" t="s">
        <v>3348</v>
      </c>
      <c r="B1367" t="s">
        <v>348</v>
      </c>
      <c r="C1367" t="s">
        <v>1401</v>
      </c>
      <c r="D1367" t="s">
        <v>1572</v>
      </c>
      <c r="E1367" t="s">
        <v>3349</v>
      </c>
      <c r="F1367" t="s">
        <v>1583</v>
      </c>
      <c r="G1367">
        <v>8.9489129999999992</v>
      </c>
      <c r="H1367">
        <v>-79.564927999999995</v>
      </c>
      <c r="I1367" t="s">
        <v>3312</v>
      </c>
      <c r="J1367">
        <v>200</v>
      </c>
      <c r="K1367">
        <v>1947</v>
      </c>
      <c r="L1367">
        <v>1947</v>
      </c>
      <c r="M1367" t="s">
        <v>203</v>
      </c>
      <c r="N1367" t="s">
        <v>203</v>
      </c>
      <c r="Q1367" s="2" t="str">
        <f>IF($C1367="","",IFERROR(VLOOKUP($C1367,sources!$A$2:$N$200,2,FALSE()),"?"))</f>
        <v>Map</v>
      </c>
      <c r="R1367" s="2" t="str">
        <f t="shared" si="21"/>
        <v>Map</v>
      </c>
      <c r="S1367" s="2" t="str">
        <f>IF($C1367="","",IFERROR(VLOOKUP($C1367,sources!$A$2:$N$200,9,FALSE()),"?"))</f>
        <v>US military</v>
      </c>
      <c r="T1367" t="s">
        <v>5692</v>
      </c>
      <c r="U1367">
        <f>IF(OR(B1367="",C1367="",T1367="Retracted",LEFT(D1367,8)="Negative"),0,IF(COUNTIFS($B$2:B1367,B1367,$C$2:C1367,C1367,$D$2:D1367,"&lt;&gt;Negative*",$T$2:T1367,"&lt;&gt;Retracted")=1,1,0))</f>
        <v>1</v>
      </c>
    </row>
    <row r="1368" spans="1:21" x14ac:dyDescent="0.2">
      <c r="A1368" t="s">
        <v>3350</v>
      </c>
      <c r="B1368" t="s">
        <v>411</v>
      </c>
      <c r="C1368" t="s">
        <v>1401</v>
      </c>
      <c r="D1368" t="s">
        <v>1572</v>
      </c>
      <c r="E1368" t="s">
        <v>2549</v>
      </c>
      <c r="F1368" t="s">
        <v>1583</v>
      </c>
      <c r="G1368">
        <v>8.9556170000000002</v>
      </c>
      <c r="H1368">
        <v>-79.557953999999995</v>
      </c>
      <c r="I1368" t="s">
        <v>3312</v>
      </c>
      <c r="J1368">
        <v>300</v>
      </c>
      <c r="K1368">
        <v>1947</v>
      </c>
      <c r="L1368">
        <v>1947</v>
      </c>
      <c r="M1368" t="s">
        <v>203</v>
      </c>
      <c r="N1368" t="s">
        <v>203</v>
      </c>
      <c r="Q1368" s="2" t="str">
        <f>IF($C1368="","",IFERROR(VLOOKUP($C1368,sources!$A$2:$N$200,2,FALSE()),"?"))</f>
        <v>Map</v>
      </c>
      <c r="R1368" s="2" t="str">
        <f t="shared" si="21"/>
        <v>Map</v>
      </c>
      <c r="S1368" s="2" t="str">
        <f>IF($C1368="","",IFERROR(VLOOKUP($C1368,sources!$A$2:$N$200,9,FALSE()),"?"))</f>
        <v>US military</v>
      </c>
      <c r="T1368" t="s">
        <v>5692</v>
      </c>
      <c r="U1368">
        <f>IF(OR(B1368="",C1368="",T1368="Retracted",LEFT(D1368,8)="Negative"),0,IF(COUNTIFS($B$2:B1368,B1368,$C$2:C1368,C1368,$D$2:D1368,"&lt;&gt;Negative*",$T$2:T1368,"&lt;&gt;Retracted")=1,1,0))</f>
        <v>1</v>
      </c>
    </row>
    <row r="1369" spans="1:21" x14ac:dyDescent="0.2">
      <c r="A1369" t="s">
        <v>3351</v>
      </c>
      <c r="B1369" t="s">
        <v>351</v>
      </c>
      <c r="C1369" t="s">
        <v>1401</v>
      </c>
      <c r="D1369" t="s">
        <v>1572</v>
      </c>
      <c r="E1369" t="s">
        <v>2544</v>
      </c>
      <c r="F1369" t="s">
        <v>1583</v>
      </c>
      <c r="G1369">
        <v>8.9818820000000006</v>
      </c>
      <c r="H1369">
        <v>-79.572896999999998</v>
      </c>
      <c r="I1369" t="s">
        <v>3312</v>
      </c>
      <c r="J1369">
        <v>300</v>
      </c>
      <c r="K1369">
        <v>1947</v>
      </c>
      <c r="L1369">
        <v>1947</v>
      </c>
      <c r="M1369" t="s">
        <v>203</v>
      </c>
      <c r="N1369" t="s">
        <v>209</v>
      </c>
      <c r="Q1369" s="2" t="str">
        <f>IF($C1369="","",IFERROR(VLOOKUP($C1369,sources!$A$2:$N$200,2,FALSE()),"?"))</f>
        <v>Map</v>
      </c>
      <c r="R1369" s="2" t="str">
        <f t="shared" si="21"/>
        <v>Map</v>
      </c>
      <c r="S1369" s="2" t="str">
        <f>IF($C1369="","",IFERROR(VLOOKUP($C1369,sources!$A$2:$N$200,9,FALSE()),"?"))</f>
        <v>US military</v>
      </c>
      <c r="T1369" t="s">
        <v>5692</v>
      </c>
      <c r="U1369">
        <f>IF(OR(B1369="",C1369="",T1369="Retracted",LEFT(D1369,8)="Negative"),0,IF(COUNTIFS($B$2:B1369,B1369,$C$2:C1369,C1369,$D$2:D1369,"&lt;&gt;Negative*",$T$2:T1369,"&lt;&gt;Retracted")=1,1,0))</f>
        <v>1</v>
      </c>
    </row>
    <row r="1370" spans="1:21" x14ac:dyDescent="0.2">
      <c r="A1370" t="s">
        <v>3352</v>
      </c>
      <c r="B1370" t="s">
        <v>542</v>
      </c>
      <c r="C1370" t="s">
        <v>1401</v>
      </c>
      <c r="D1370" t="s">
        <v>1572</v>
      </c>
      <c r="E1370" t="s">
        <v>3353</v>
      </c>
      <c r="F1370" t="s">
        <v>1583</v>
      </c>
      <c r="G1370">
        <v>8.9742230000000003</v>
      </c>
      <c r="H1370">
        <v>-79.564537999999999</v>
      </c>
      <c r="I1370" t="s">
        <v>3312</v>
      </c>
      <c r="J1370">
        <v>300</v>
      </c>
      <c r="K1370">
        <v>1947</v>
      </c>
      <c r="L1370">
        <v>1947</v>
      </c>
      <c r="M1370" t="s">
        <v>203</v>
      </c>
      <c r="N1370" t="s">
        <v>203</v>
      </c>
      <c r="Q1370" s="2" t="str">
        <f>IF($C1370="","",IFERROR(VLOOKUP($C1370,sources!$A$2:$N$200,2,FALSE()),"?"))</f>
        <v>Map</v>
      </c>
      <c r="R1370" s="2" t="str">
        <f t="shared" si="21"/>
        <v>Map</v>
      </c>
      <c r="S1370" s="2" t="str">
        <f>IF($C1370="","",IFERROR(VLOOKUP($C1370,sources!$A$2:$N$200,9,FALSE()),"?"))</f>
        <v>US military</v>
      </c>
      <c r="T1370" t="s">
        <v>5692</v>
      </c>
      <c r="U1370">
        <f>IF(OR(B1370="",C1370="",T1370="Retracted",LEFT(D1370,8)="Negative"),0,IF(COUNTIFS($B$2:B1370,B1370,$C$2:C1370,C1370,$D$2:D1370,"&lt;&gt;Negative*",$T$2:T1370,"&lt;&gt;Retracted")=1,1,0))</f>
        <v>1</v>
      </c>
    </row>
    <row r="1371" spans="1:21" x14ac:dyDescent="0.2">
      <c r="A1371" t="s">
        <v>3354</v>
      </c>
      <c r="B1371" t="s">
        <v>805</v>
      </c>
      <c r="C1371" t="s">
        <v>1401</v>
      </c>
      <c r="D1371" t="s">
        <v>1613</v>
      </c>
      <c r="E1371" t="s">
        <v>806</v>
      </c>
      <c r="F1371" t="s">
        <v>1583</v>
      </c>
      <c r="I1371" t="s">
        <v>1058</v>
      </c>
      <c r="K1371">
        <v>1947</v>
      </c>
      <c r="L1371">
        <v>1947</v>
      </c>
      <c r="M1371" t="s">
        <v>203</v>
      </c>
      <c r="N1371" t="s">
        <v>209</v>
      </c>
      <c r="Q1371" s="2" t="str">
        <f>IF($C1371="","",IFERROR(VLOOKUP($C1371,sources!$A$2:$N$200,2,FALSE()),"?"))</f>
        <v>Map</v>
      </c>
      <c r="R1371" s="2" t="str">
        <f t="shared" si="21"/>
        <v>Map</v>
      </c>
      <c r="S1371" s="2" t="str">
        <f>IF($C1371="","",IFERROR(VLOOKUP($C1371,sources!$A$2:$N$200,9,FALSE()),"?"))</f>
        <v>US military</v>
      </c>
      <c r="T1371" t="s">
        <v>5692</v>
      </c>
      <c r="U1371">
        <f>IF(OR(B1371="",C1371="",T1371="Retracted",LEFT(D1371,8)="Negative"),0,IF(COUNTIFS($B$2:B1371,B1371,$C$2:C1371,C1371,$D$2:D1371,"&lt;&gt;Negative*",$T$2:T1371,"&lt;&gt;Retracted")=1,1,0))</f>
        <v>0</v>
      </c>
    </row>
    <row r="1372" spans="1:21" x14ac:dyDescent="0.2">
      <c r="A1372" t="s">
        <v>3355</v>
      </c>
      <c r="B1372" t="s">
        <v>808</v>
      </c>
      <c r="C1372" t="s">
        <v>1401</v>
      </c>
      <c r="D1372" t="s">
        <v>1613</v>
      </c>
      <c r="E1372" t="s">
        <v>3356</v>
      </c>
      <c r="F1372" t="s">
        <v>1583</v>
      </c>
      <c r="I1372" t="s">
        <v>1058</v>
      </c>
      <c r="K1372">
        <v>1947</v>
      </c>
      <c r="L1372">
        <v>1947</v>
      </c>
      <c r="M1372" t="s">
        <v>203</v>
      </c>
      <c r="N1372" t="s">
        <v>209</v>
      </c>
      <c r="Q1372" s="2" t="str">
        <f>IF($C1372="","",IFERROR(VLOOKUP($C1372,sources!$A$2:$N$200,2,FALSE()),"?"))</f>
        <v>Map</v>
      </c>
      <c r="R1372" s="2" t="str">
        <f t="shared" si="21"/>
        <v>Map</v>
      </c>
      <c r="S1372" s="2" t="str">
        <f>IF($C1372="","",IFERROR(VLOOKUP($C1372,sources!$A$2:$N$200,9,FALSE()),"?"))</f>
        <v>US military</v>
      </c>
      <c r="T1372" t="s">
        <v>5692</v>
      </c>
      <c r="U1372">
        <f>IF(OR(B1372="",C1372="",T1372="Retracted",LEFT(D1372,8)="Negative"),0,IF(COUNTIFS($B$2:B1372,B1372,$C$2:C1372,C1372,$D$2:D1372,"&lt;&gt;Negative*",$T$2:T1372,"&lt;&gt;Retracted")=1,1,0))</f>
        <v>0</v>
      </c>
    </row>
    <row r="1373" spans="1:21" x14ac:dyDescent="0.2">
      <c r="A1373" t="s">
        <v>3357</v>
      </c>
      <c r="B1373" t="s">
        <v>179</v>
      </c>
      <c r="C1373" t="s">
        <v>1148</v>
      </c>
      <c r="D1373" t="s">
        <v>1564</v>
      </c>
      <c r="E1373" t="s">
        <v>3358</v>
      </c>
      <c r="F1373" t="s">
        <v>2423</v>
      </c>
      <c r="I1373" t="s">
        <v>1058</v>
      </c>
      <c r="K1373">
        <v>1905</v>
      </c>
      <c r="L1373">
        <v>1908</v>
      </c>
      <c r="M1373" t="s">
        <v>203</v>
      </c>
      <c r="N1373" t="s">
        <v>203</v>
      </c>
      <c r="Q1373" s="2" t="str">
        <f>IF($C1373="","",IFERROR(VLOOKUP($C1373,sources!$A$2:$N$200,2,FALSE()),"?"))</f>
        <v>Report</v>
      </c>
      <c r="R1373" s="2" t="str">
        <f t="shared" si="21"/>
        <v>Textual</v>
      </c>
      <c r="S1373" s="2" t="str">
        <f>IF($C1373="","",IFERROR(VLOOKUP($C1373,sources!$A$2:$N$200,9,FALSE()),"?"))</f>
        <v>US official</v>
      </c>
      <c r="T1373" t="s">
        <v>5692</v>
      </c>
      <c r="U1373">
        <f>IF(OR(B1373="",C1373="",T1373="Retracted",LEFT(D1373,8)="Negative"),0,IF(COUNTIFS($B$2:B1373,B1373,$C$2:C1373,C1373,$D$2:D1373,"&lt;&gt;Negative*",$T$2:T1373,"&lt;&gt;Retracted")=1,1,0))</f>
        <v>0</v>
      </c>
    </row>
    <row r="1374" spans="1:21" x14ac:dyDescent="0.2">
      <c r="A1374" t="s">
        <v>3359</v>
      </c>
      <c r="B1374" t="s">
        <v>415</v>
      </c>
      <c r="C1374" t="s">
        <v>1148</v>
      </c>
      <c r="D1374" t="s">
        <v>1564</v>
      </c>
      <c r="E1374" t="s">
        <v>2075</v>
      </c>
      <c r="F1374" t="s">
        <v>1583</v>
      </c>
      <c r="I1374" t="s">
        <v>1058</v>
      </c>
      <c r="K1374">
        <v>1883</v>
      </c>
      <c r="L1374">
        <v>1910</v>
      </c>
      <c r="M1374" t="s">
        <v>209</v>
      </c>
      <c r="N1374" t="s">
        <v>203</v>
      </c>
      <c r="Q1374" s="2" t="str">
        <f>IF($C1374="","",IFERROR(VLOOKUP($C1374,sources!$A$2:$N$200,2,FALSE()),"?"))</f>
        <v>Report</v>
      </c>
      <c r="R1374" s="2" t="str">
        <f t="shared" si="21"/>
        <v>Textual</v>
      </c>
      <c r="S1374" s="2" t="str">
        <f>IF($C1374="","",IFERROR(VLOOKUP($C1374,sources!$A$2:$N$200,9,FALSE()),"?"))</f>
        <v>US official</v>
      </c>
      <c r="T1374" t="s">
        <v>5692</v>
      </c>
      <c r="U1374">
        <f>IF(OR(B1374="",C1374="",T1374="Retracted",LEFT(D1374,8)="Negative"),0,IF(COUNTIFS($B$2:B1374,B1374,$C$2:C1374,C1374,$D$2:D1374,"&lt;&gt;Negative*",$T$2:T1374,"&lt;&gt;Retracted")=1,1,0))</f>
        <v>0</v>
      </c>
    </row>
    <row r="1375" spans="1:21" x14ac:dyDescent="0.2">
      <c r="A1375" t="s">
        <v>3360</v>
      </c>
      <c r="B1375" t="s">
        <v>835</v>
      </c>
      <c r="C1375" t="s">
        <v>1148</v>
      </c>
      <c r="D1375" t="s">
        <v>1564</v>
      </c>
      <c r="E1375" t="s">
        <v>504</v>
      </c>
      <c r="F1375" t="s">
        <v>1566</v>
      </c>
      <c r="I1375" t="s">
        <v>1058</v>
      </c>
      <c r="K1375">
        <v>1910</v>
      </c>
      <c r="L1375">
        <v>1911</v>
      </c>
      <c r="M1375" t="s">
        <v>203</v>
      </c>
      <c r="N1375" t="s">
        <v>203</v>
      </c>
      <c r="Q1375" s="2" t="str">
        <f>IF($C1375="","",IFERROR(VLOOKUP($C1375,sources!$A$2:$N$200,2,FALSE()),"?"))</f>
        <v>Report</v>
      </c>
      <c r="R1375" s="2" t="str">
        <f t="shared" si="21"/>
        <v>Textual</v>
      </c>
      <c r="S1375" s="2" t="str">
        <f>IF($C1375="","",IFERROR(VLOOKUP($C1375,sources!$A$2:$N$200,9,FALSE()),"?"))</f>
        <v>US official</v>
      </c>
      <c r="T1375" t="s">
        <v>5692</v>
      </c>
      <c r="U1375">
        <f>IF(OR(B1375="",C1375="",T1375="Retracted",LEFT(D1375,8)="Negative"),0,IF(COUNTIFS($B$2:B1375,B1375,$C$2:C1375,C1375,$D$2:D1375,"&lt;&gt;Negative*",$T$2:T1375,"&lt;&gt;Retracted")=1,1,0))</f>
        <v>1</v>
      </c>
    </row>
    <row r="1376" spans="1:21" x14ac:dyDescent="0.2">
      <c r="A1376" t="s">
        <v>3361</v>
      </c>
      <c r="B1376" t="s">
        <v>503</v>
      </c>
      <c r="C1376" t="s">
        <v>1148</v>
      </c>
      <c r="D1376" t="s">
        <v>1575</v>
      </c>
      <c r="E1376" t="s">
        <v>504</v>
      </c>
      <c r="F1376" t="s">
        <v>1566</v>
      </c>
      <c r="I1376" t="s">
        <v>1058</v>
      </c>
      <c r="K1376">
        <v>1907</v>
      </c>
      <c r="L1376">
        <v>1914</v>
      </c>
      <c r="M1376" t="s">
        <v>203</v>
      </c>
      <c r="N1376" t="s">
        <v>209</v>
      </c>
      <c r="Q1376" s="2" t="str">
        <f>IF($C1376="","",IFERROR(VLOOKUP($C1376,sources!$A$2:$N$200,2,FALSE()),"?"))</f>
        <v>Report</v>
      </c>
      <c r="R1376" s="2" t="str">
        <f t="shared" si="21"/>
        <v>Textual</v>
      </c>
      <c r="S1376" s="2" t="str">
        <f>IF($C1376="","",IFERROR(VLOOKUP($C1376,sources!$A$2:$N$200,9,FALSE()),"?"))</f>
        <v>US official</v>
      </c>
      <c r="T1376" t="s">
        <v>5692</v>
      </c>
      <c r="U1376">
        <f>IF(OR(B1376="",C1376="",T1376="Retracted",LEFT(D1376,8)="Negative"),0,IF(COUNTIFS($B$2:B1376,B1376,$C$2:C1376,C1376,$D$2:D1376,"&lt;&gt;Negative*",$T$2:T1376,"&lt;&gt;Retracted")=1,1,0))</f>
        <v>0</v>
      </c>
    </row>
    <row r="1377" spans="1:21" x14ac:dyDescent="0.2">
      <c r="A1377" t="s">
        <v>3362</v>
      </c>
      <c r="B1377" t="s">
        <v>503</v>
      </c>
      <c r="C1377" t="s">
        <v>1148</v>
      </c>
      <c r="D1377" t="s">
        <v>1577</v>
      </c>
      <c r="E1377" t="s">
        <v>504</v>
      </c>
      <c r="F1377" t="s">
        <v>1566</v>
      </c>
      <c r="I1377" t="s">
        <v>1058</v>
      </c>
      <c r="K1377">
        <v>1913</v>
      </c>
      <c r="L1377">
        <v>1914</v>
      </c>
      <c r="M1377" t="s">
        <v>203</v>
      </c>
      <c r="N1377" t="s">
        <v>203</v>
      </c>
      <c r="Q1377" s="2" t="str">
        <f>IF($C1377="","",IFERROR(VLOOKUP($C1377,sources!$A$2:$N$200,2,FALSE()),"?"))</f>
        <v>Report</v>
      </c>
      <c r="R1377" s="2" t="str">
        <f t="shared" si="21"/>
        <v>Textual</v>
      </c>
      <c r="S1377" s="2" t="str">
        <f>IF($C1377="","",IFERROR(VLOOKUP($C1377,sources!$A$2:$N$200,9,FALSE()),"?"))</f>
        <v>US official</v>
      </c>
      <c r="T1377" t="s">
        <v>5692</v>
      </c>
      <c r="U1377">
        <f>IF(OR(B1377="",C1377="",T1377="Retracted",LEFT(D1377,8)="Negative"),0,IF(COUNTIFS($B$2:B1377,B1377,$C$2:C1377,C1377,$D$2:D1377,"&lt;&gt;Negative*",$T$2:T1377,"&lt;&gt;Retracted")=1,1,0))</f>
        <v>0</v>
      </c>
    </row>
    <row r="1378" spans="1:21" x14ac:dyDescent="0.2">
      <c r="A1378" t="s">
        <v>3363</v>
      </c>
      <c r="B1378" t="s">
        <v>619</v>
      </c>
      <c r="C1378" t="s">
        <v>1148</v>
      </c>
      <c r="D1378" t="s">
        <v>1577</v>
      </c>
      <c r="E1378" t="s">
        <v>3364</v>
      </c>
      <c r="F1378" t="s">
        <v>1583</v>
      </c>
      <c r="I1378" t="s">
        <v>1058</v>
      </c>
      <c r="K1378">
        <v>1913</v>
      </c>
      <c r="L1378">
        <v>1914</v>
      </c>
      <c r="M1378" t="s">
        <v>203</v>
      </c>
      <c r="N1378" t="s">
        <v>203</v>
      </c>
      <c r="Q1378" s="2" t="str">
        <f>IF($C1378="","",IFERROR(VLOOKUP($C1378,sources!$A$2:$N$200,2,FALSE()),"?"))</f>
        <v>Report</v>
      </c>
      <c r="R1378" s="2" t="str">
        <f t="shared" si="21"/>
        <v>Textual</v>
      </c>
      <c r="S1378" s="2" t="str">
        <f>IF($C1378="","",IFERROR(VLOOKUP($C1378,sources!$A$2:$N$200,9,FALSE()),"?"))</f>
        <v>US official</v>
      </c>
      <c r="T1378" t="s">
        <v>5692</v>
      </c>
      <c r="U1378">
        <f>IF(OR(B1378="",C1378="",T1378="Retracted",LEFT(D1378,8)="Negative"),0,IF(COUNTIFS($B$2:B1378,B1378,$C$2:C1378,C1378,$D$2:D1378,"&lt;&gt;Negative*",$T$2:T1378,"&lt;&gt;Retracted")=1,1,0))</f>
        <v>0</v>
      </c>
    </row>
    <row r="1379" spans="1:21" x14ac:dyDescent="0.2">
      <c r="A1379" t="s">
        <v>3365</v>
      </c>
      <c r="B1379" t="s">
        <v>619</v>
      </c>
      <c r="C1379" t="s">
        <v>1148</v>
      </c>
      <c r="D1379" t="s">
        <v>1575</v>
      </c>
      <c r="E1379" t="s">
        <v>620</v>
      </c>
      <c r="F1379" t="s">
        <v>1583</v>
      </c>
      <c r="I1379" t="s">
        <v>1058</v>
      </c>
      <c r="K1379">
        <v>1915</v>
      </c>
      <c r="L1379">
        <v>1916</v>
      </c>
      <c r="M1379" t="s">
        <v>203</v>
      </c>
      <c r="N1379" t="s">
        <v>209</v>
      </c>
      <c r="Q1379" s="2" t="str">
        <f>IF($C1379="","",IFERROR(VLOOKUP($C1379,sources!$A$2:$N$200,2,FALSE()),"?"))</f>
        <v>Report</v>
      </c>
      <c r="R1379" s="2" t="str">
        <f t="shared" si="21"/>
        <v>Textual</v>
      </c>
      <c r="S1379" s="2" t="str">
        <f>IF($C1379="","",IFERROR(VLOOKUP($C1379,sources!$A$2:$N$200,9,FALSE()),"?"))</f>
        <v>US official</v>
      </c>
      <c r="T1379" t="s">
        <v>5692</v>
      </c>
      <c r="U1379">
        <f>IF(OR(B1379="",C1379="",T1379="Retracted",LEFT(D1379,8)="Negative"),0,IF(COUNTIFS($B$2:B1379,B1379,$C$2:C1379,C1379,$D$2:D1379,"&lt;&gt;Negative*",$T$2:T1379,"&lt;&gt;Retracted")=1,1,0))</f>
        <v>0</v>
      </c>
    </row>
    <row r="1380" spans="1:21" x14ac:dyDescent="0.2">
      <c r="A1380" t="s">
        <v>3366</v>
      </c>
      <c r="B1380" t="s">
        <v>625</v>
      </c>
      <c r="C1380" t="s">
        <v>1148</v>
      </c>
      <c r="D1380" t="s">
        <v>1575</v>
      </c>
      <c r="E1380" t="s">
        <v>626</v>
      </c>
      <c r="F1380" t="s">
        <v>1583</v>
      </c>
      <c r="I1380" t="s">
        <v>1058</v>
      </c>
      <c r="K1380">
        <v>1912</v>
      </c>
      <c r="L1380">
        <v>1916</v>
      </c>
      <c r="M1380" t="s">
        <v>203</v>
      </c>
      <c r="N1380" t="s">
        <v>203</v>
      </c>
      <c r="Q1380" s="2" t="str">
        <f>IF($C1380="","",IFERROR(VLOOKUP($C1380,sources!$A$2:$N$200,2,FALSE()),"?"))</f>
        <v>Report</v>
      </c>
      <c r="R1380" s="2" t="str">
        <f t="shared" si="21"/>
        <v>Textual</v>
      </c>
      <c r="S1380" s="2" t="str">
        <f>IF($C1380="","",IFERROR(VLOOKUP($C1380,sources!$A$2:$N$200,9,FALSE()),"?"))</f>
        <v>US official</v>
      </c>
      <c r="T1380" t="s">
        <v>5692</v>
      </c>
      <c r="U1380">
        <f>IF(OR(B1380="",C1380="",T1380="Retracted",LEFT(D1380,8)="Negative"),0,IF(COUNTIFS($B$2:B1380,B1380,$C$2:C1380,C1380,$D$2:D1380,"&lt;&gt;Negative*",$T$2:T1380,"&lt;&gt;Retracted")=1,1,0))</f>
        <v>0</v>
      </c>
    </row>
    <row r="1381" spans="1:21" x14ac:dyDescent="0.2">
      <c r="A1381" t="s">
        <v>3367</v>
      </c>
      <c r="B1381" t="s">
        <v>584</v>
      </c>
      <c r="C1381" t="s">
        <v>1148</v>
      </c>
      <c r="D1381" t="s">
        <v>1575</v>
      </c>
      <c r="E1381" t="s">
        <v>3368</v>
      </c>
      <c r="F1381" t="s">
        <v>1583</v>
      </c>
      <c r="I1381" t="s">
        <v>1058</v>
      </c>
      <c r="K1381">
        <v>1913</v>
      </c>
      <c r="L1381">
        <v>1916</v>
      </c>
      <c r="M1381" t="s">
        <v>203</v>
      </c>
      <c r="N1381" t="s">
        <v>203</v>
      </c>
      <c r="Q1381" s="2" t="str">
        <f>IF($C1381="","",IFERROR(VLOOKUP($C1381,sources!$A$2:$N$200,2,FALSE()),"?"))</f>
        <v>Report</v>
      </c>
      <c r="R1381" s="2" t="str">
        <f t="shared" si="21"/>
        <v>Textual</v>
      </c>
      <c r="S1381" s="2" t="str">
        <f>IF($C1381="","",IFERROR(VLOOKUP($C1381,sources!$A$2:$N$200,9,FALSE()),"?"))</f>
        <v>US official</v>
      </c>
      <c r="T1381" t="s">
        <v>5692</v>
      </c>
      <c r="U1381">
        <f>IF(OR(B1381="",C1381="",T1381="Retracted",LEFT(D1381,8)="Negative"),0,IF(COUNTIFS($B$2:B1381,B1381,$C$2:C1381,C1381,$D$2:D1381,"&lt;&gt;Negative*",$T$2:T1381,"&lt;&gt;Retracted")=1,1,0))</f>
        <v>0</v>
      </c>
    </row>
    <row r="1382" spans="1:21" x14ac:dyDescent="0.2">
      <c r="A1382" t="s">
        <v>3369</v>
      </c>
      <c r="B1382" t="s">
        <v>588</v>
      </c>
      <c r="C1382" t="s">
        <v>1148</v>
      </c>
      <c r="D1382" t="s">
        <v>1575</v>
      </c>
      <c r="E1382" t="s">
        <v>3370</v>
      </c>
      <c r="F1382" t="s">
        <v>1583</v>
      </c>
      <c r="I1382" t="s">
        <v>1058</v>
      </c>
      <c r="K1382">
        <v>1913</v>
      </c>
      <c r="L1382">
        <v>1916</v>
      </c>
      <c r="M1382" t="s">
        <v>203</v>
      </c>
      <c r="N1382" t="s">
        <v>203</v>
      </c>
      <c r="Q1382" s="2" t="str">
        <f>IF($C1382="","",IFERROR(VLOOKUP($C1382,sources!$A$2:$N$200,2,FALSE()),"?"))</f>
        <v>Report</v>
      </c>
      <c r="R1382" s="2" t="str">
        <f t="shared" si="21"/>
        <v>Textual</v>
      </c>
      <c r="S1382" s="2" t="str">
        <f>IF($C1382="","",IFERROR(VLOOKUP($C1382,sources!$A$2:$N$200,9,FALSE()),"?"))</f>
        <v>US official</v>
      </c>
      <c r="T1382" t="s">
        <v>5692</v>
      </c>
      <c r="U1382">
        <f>IF(OR(B1382="",C1382="",T1382="Retracted",LEFT(D1382,8)="Negative"),0,IF(COUNTIFS($B$2:B1382,B1382,$C$2:C1382,C1382,$D$2:D1382,"&lt;&gt;Negative*",$T$2:T1382,"&lt;&gt;Retracted")=1,1,0))</f>
        <v>1</v>
      </c>
    </row>
    <row r="1383" spans="1:21" x14ac:dyDescent="0.2">
      <c r="A1383" t="s">
        <v>3371</v>
      </c>
      <c r="B1383" t="s">
        <v>856</v>
      </c>
      <c r="C1383" t="s">
        <v>1148</v>
      </c>
      <c r="D1383" t="s">
        <v>1575</v>
      </c>
      <c r="E1383" t="s">
        <v>466</v>
      </c>
      <c r="F1383" t="s">
        <v>1566</v>
      </c>
      <c r="I1383" t="s">
        <v>1058</v>
      </c>
      <c r="K1383">
        <v>1913</v>
      </c>
      <c r="L1383">
        <v>1915</v>
      </c>
      <c r="M1383" t="s">
        <v>203</v>
      </c>
      <c r="N1383" t="s">
        <v>203</v>
      </c>
      <c r="Q1383" s="2" t="str">
        <f>IF($C1383="","",IFERROR(VLOOKUP($C1383,sources!$A$2:$N$200,2,FALSE()),"?"))</f>
        <v>Report</v>
      </c>
      <c r="R1383" s="2" t="str">
        <f t="shared" si="21"/>
        <v>Textual</v>
      </c>
      <c r="S1383" s="2" t="str">
        <f>IF($C1383="","",IFERROR(VLOOKUP($C1383,sources!$A$2:$N$200,9,FALSE()),"?"))</f>
        <v>US official</v>
      </c>
      <c r="T1383" t="s">
        <v>5692</v>
      </c>
      <c r="U1383">
        <f>IF(OR(B1383="",C1383="",T1383="Retracted",LEFT(D1383,8)="Negative"),0,IF(COUNTIFS($B$2:B1383,B1383,$C$2:C1383,C1383,$D$2:D1383,"&lt;&gt;Negative*",$T$2:T1383,"&lt;&gt;Retracted")=1,1,0))</f>
        <v>1</v>
      </c>
    </row>
    <row r="1384" spans="1:21" x14ac:dyDescent="0.2">
      <c r="A1384" t="s">
        <v>3372</v>
      </c>
      <c r="B1384" t="s">
        <v>883</v>
      </c>
      <c r="C1384" t="s">
        <v>1148</v>
      </c>
      <c r="D1384" t="s">
        <v>1564</v>
      </c>
      <c r="E1384" t="s">
        <v>884</v>
      </c>
      <c r="F1384" t="s">
        <v>1583</v>
      </c>
      <c r="I1384" t="s">
        <v>1058</v>
      </c>
      <c r="K1384">
        <v>1939</v>
      </c>
      <c r="L1384">
        <v>1940</v>
      </c>
      <c r="M1384" t="s">
        <v>203</v>
      </c>
      <c r="N1384" t="s">
        <v>203</v>
      </c>
      <c r="Q1384" s="2" t="str">
        <f>IF($C1384="","",IFERROR(VLOOKUP($C1384,sources!$A$2:$N$200,2,FALSE()),"?"))</f>
        <v>Report</v>
      </c>
      <c r="R1384" s="2" t="str">
        <f t="shared" si="21"/>
        <v>Textual</v>
      </c>
      <c r="S1384" s="2" t="str">
        <f>IF($C1384="","",IFERROR(VLOOKUP($C1384,sources!$A$2:$N$200,9,FALSE()),"?"))</f>
        <v>US official</v>
      </c>
      <c r="T1384" t="s">
        <v>5692</v>
      </c>
      <c r="U1384">
        <f>IF(OR(B1384="",C1384="",T1384="Retracted",LEFT(D1384,8)="Negative"),0,IF(COUNTIFS($B$2:B1384,B1384,$C$2:C1384,C1384,$D$2:D1384,"&lt;&gt;Negative*",$T$2:T1384,"&lt;&gt;Retracted")=1,1,0))</f>
        <v>1</v>
      </c>
    </row>
    <row r="1385" spans="1:21" x14ac:dyDescent="0.2">
      <c r="A1385" t="s">
        <v>3373</v>
      </c>
      <c r="B1385" t="s">
        <v>786</v>
      </c>
      <c r="C1385" t="s">
        <v>1148</v>
      </c>
      <c r="D1385" t="s">
        <v>1575</v>
      </c>
      <c r="E1385" t="s">
        <v>787</v>
      </c>
      <c r="F1385" t="s">
        <v>1583</v>
      </c>
      <c r="I1385" t="s">
        <v>1058</v>
      </c>
      <c r="K1385">
        <v>1920</v>
      </c>
      <c r="L1385">
        <v>1931</v>
      </c>
      <c r="M1385" t="s">
        <v>203</v>
      </c>
      <c r="N1385" t="s">
        <v>203</v>
      </c>
      <c r="Q1385" s="2" t="str">
        <f>IF($C1385="","",IFERROR(VLOOKUP($C1385,sources!$A$2:$N$200,2,FALSE()),"?"))</f>
        <v>Report</v>
      </c>
      <c r="R1385" s="2" t="str">
        <f t="shared" si="21"/>
        <v>Textual</v>
      </c>
      <c r="S1385" s="2" t="str">
        <f>IF($C1385="","",IFERROR(VLOOKUP($C1385,sources!$A$2:$N$200,9,FALSE()),"?"))</f>
        <v>US official</v>
      </c>
      <c r="T1385" t="s">
        <v>5692</v>
      </c>
      <c r="U1385">
        <f>IF(OR(B1385="",C1385="",T1385="Retracted",LEFT(D1385,8)="Negative"),0,IF(COUNTIFS($B$2:B1385,B1385,$C$2:C1385,C1385,$D$2:D1385,"&lt;&gt;Negative*",$T$2:T1385,"&lt;&gt;Retracted")=1,1,0))</f>
        <v>1</v>
      </c>
    </row>
    <row r="1386" spans="1:21" x14ac:dyDescent="0.2">
      <c r="A1386" t="s">
        <v>3374</v>
      </c>
      <c r="B1386" t="s">
        <v>199</v>
      </c>
      <c r="C1386" t="s">
        <v>1148</v>
      </c>
      <c r="D1386" t="s">
        <v>1613</v>
      </c>
      <c r="E1386" t="s">
        <v>1568</v>
      </c>
      <c r="F1386" t="s">
        <v>1566</v>
      </c>
      <c r="I1386" t="s">
        <v>1058</v>
      </c>
      <c r="M1386" t="s">
        <v>190</v>
      </c>
      <c r="N1386" t="s">
        <v>209</v>
      </c>
      <c r="Q1386" s="2" t="str">
        <f>IF($C1386="","",IFERROR(VLOOKUP($C1386,sources!$A$2:$N$200,2,FALSE()),"?"))</f>
        <v>Report</v>
      </c>
      <c r="R1386" s="2" t="str">
        <f t="shared" si="21"/>
        <v>Textual</v>
      </c>
      <c r="S1386" s="2" t="str">
        <f>IF($C1386="","",IFERROR(VLOOKUP($C1386,sources!$A$2:$N$200,9,FALSE()),"?"))</f>
        <v>US official</v>
      </c>
      <c r="T1386" t="s">
        <v>5692</v>
      </c>
      <c r="U1386">
        <f>IF(OR(B1386="",C1386="",T1386="Retracted",LEFT(D1386,8)="Negative"),0,IF(COUNTIFS($B$2:B1386,B1386,$C$2:C1386,C1386,$D$2:D1386,"&lt;&gt;Negative*",$T$2:T1386,"&lt;&gt;Retracted")=1,1,0))</f>
        <v>0</v>
      </c>
    </row>
    <row r="1387" spans="1:21" x14ac:dyDescent="0.2">
      <c r="A1387" t="s">
        <v>3375</v>
      </c>
      <c r="B1387" t="s">
        <v>490</v>
      </c>
      <c r="C1387" t="s">
        <v>1148</v>
      </c>
      <c r="D1387" t="s">
        <v>1613</v>
      </c>
      <c r="E1387" t="s">
        <v>3376</v>
      </c>
      <c r="F1387" t="s">
        <v>1566</v>
      </c>
      <c r="I1387" t="s">
        <v>1058</v>
      </c>
      <c r="M1387" t="s">
        <v>190</v>
      </c>
      <c r="N1387" t="s">
        <v>209</v>
      </c>
      <c r="Q1387" s="2" t="str">
        <f>IF($C1387="","",IFERROR(VLOOKUP($C1387,sources!$A$2:$N$200,2,FALSE()),"?"))</f>
        <v>Report</v>
      </c>
      <c r="R1387" s="2" t="str">
        <f t="shared" si="21"/>
        <v>Textual</v>
      </c>
      <c r="S1387" s="2" t="str">
        <f>IF($C1387="","",IFERROR(VLOOKUP($C1387,sources!$A$2:$N$200,9,FALSE()),"?"))</f>
        <v>US official</v>
      </c>
      <c r="T1387" t="s">
        <v>5692</v>
      </c>
      <c r="U1387">
        <f>IF(OR(B1387="",C1387="",T1387="Retracted",LEFT(D1387,8)="Negative"),0,IF(COUNTIFS($B$2:B1387,B1387,$C$2:C1387,C1387,$D$2:D1387,"&lt;&gt;Negative*",$T$2:T1387,"&lt;&gt;Retracted")=1,1,0))</f>
        <v>0</v>
      </c>
    </row>
    <row r="1388" spans="1:21" x14ac:dyDescent="0.2">
      <c r="A1388" t="s">
        <v>3377</v>
      </c>
      <c r="B1388" t="s">
        <v>490</v>
      </c>
      <c r="C1388" t="s">
        <v>1148</v>
      </c>
      <c r="D1388" t="s">
        <v>1613</v>
      </c>
      <c r="E1388" t="s">
        <v>612</v>
      </c>
      <c r="F1388" t="s">
        <v>1583</v>
      </c>
      <c r="I1388" t="s">
        <v>1058</v>
      </c>
      <c r="M1388" t="s">
        <v>190</v>
      </c>
      <c r="N1388" t="s">
        <v>209</v>
      </c>
      <c r="Q1388" s="2" t="str">
        <f>IF($C1388="","",IFERROR(VLOOKUP($C1388,sources!$A$2:$N$200,2,FALSE()),"?"))</f>
        <v>Report</v>
      </c>
      <c r="R1388" s="2" t="str">
        <f t="shared" si="21"/>
        <v>Textual</v>
      </c>
      <c r="S1388" s="2" t="str">
        <f>IF($C1388="","",IFERROR(VLOOKUP($C1388,sources!$A$2:$N$200,9,FALSE()),"?"))</f>
        <v>US official</v>
      </c>
      <c r="T1388" t="s">
        <v>5692</v>
      </c>
      <c r="U1388">
        <f>IF(OR(B1388="",C1388="",T1388="Retracted",LEFT(D1388,8)="Negative"),0,IF(COUNTIFS($B$2:B1388,B1388,$C$2:C1388,C1388,$D$2:D1388,"&lt;&gt;Negative*",$T$2:T1388,"&lt;&gt;Retracted")=1,1,0))</f>
        <v>0</v>
      </c>
    </row>
    <row r="1389" spans="1:21" x14ac:dyDescent="0.2">
      <c r="A1389" t="s">
        <v>3378</v>
      </c>
      <c r="B1389" t="s">
        <v>503</v>
      </c>
      <c r="C1389" t="s">
        <v>1148</v>
      </c>
      <c r="D1389" t="s">
        <v>1613</v>
      </c>
      <c r="E1389" t="s">
        <v>505</v>
      </c>
      <c r="F1389" t="s">
        <v>1566</v>
      </c>
      <c r="I1389" t="s">
        <v>1058</v>
      </c>
      <c r="M1389" t="s">
        <v>190</v>
      </c>
      <c r="N1389" t="s">
        <v>209</v>
      </c>
      <c r="Q1389" s="2" t="str">
        <f>IF($C1389="","",IFERROR(VLOOKUP($C1389,sources!$A$2:$N$200,2,FALSE()),"?"))</f>
        <v>Report</v>
      </c>
      <c r="R1389" s="2" t="str">
        <f t="shared" si="21"/>
        <v>Textual</v>
      </c>
      <c r="S1389" s="2" t="str">
        <f>IF($C1389="","",IFERROR(VLOOKUP($C1389,sources!$A$2:$N$200,9,FALSE()),"?"))</f>
        <v>US official</v>
      </c>
      <c r="T1389" t="s">
        <v>5692</v>
      </c>
      <c r="U1389">
        <f>IF(OR(B1389="",C1389="",T1389="Retracted",LEFT(D1389,8)="Negative"),0,IF(COUNTIFS($B$2:B1389,B1389,$C$2:C1389,C1389,$D$2:D1389,"&lt;&gt;Negative*",$T$2:T1389,"&lt;&gt;Retracted")=1,1,0))</f>
        <v>0</v>
      </c>
    </row>
    <row r="1390" spans="1:21" x14ac:dyDescent="0.2">
      <c r="A1390" t="s">
        <v>3379</v>
      </c>
      <c r="B1390" t="s">
        <v>219</v>
      </c>
      <c r="C1390" t="s">
        <v>1148</v>
      </c>
      <c r="D1390" t="s">
        <v>1613</v>
      </c>
      <c r="E1390" t="s">
        <v>3380</v>
      </c>
      <c r="F1390" t="s">
        <v>2423</v>
      </c>
      <c r="I1390" t="s">
        <v>1058</v>
      </c>
      <c r="M1390" t="s">
        <v>190</v>
      </c>
      <c r="N1390" t="s">
        <v>209</v>
      </c>
      <c r="Q1390" s="2" t="str">
        <f>IF($C1390="","",IFERROR(VLOOKUP($C1390,sources!$A$2:$N$200,2,FALSE()),"?"))</f>
        <v>Report</v>
      </c>
      <c r="R1390" s="2" t="str">
        <f t="shared" si="21"/>
        <v>Textual</v>
      </c>
      <c r="S1390" s="2" t="str">
        <f>IF($C1390="","",IFERROR(VLOOKUP($C1390,sources!$A$2:$N$200,9,FALSE()),"?"))</f>
        <v>US official</v>
      </c>
      <c r="T1390" t="s">
        <v>5692</v>
      </c>
      <c r="U1390">
        <f>IF(OR(B1390="",C1390="",T1390="Retracted",LEFT(D1390,8)="Negative"),0,IF(COUNTIFS($B$2:B1390,B1390,$C$2:C1390,C1390,$D$2:D1390,"&lt;&gt;Negative*",$T$2:T1390,"&lt;&gt;Retracted")=1,1,0))</f>
        <v>0</v>
      </c>
    </row>
    <row r="1391" spans="1:21" x14ac:dyDescent="0.2">
      <c r="A1391" t="s">
        <v>3381</v>
      </c>
      <c r="B1391" t="s">
        <v>226</v>
      </c>
      <c r="C1391" t="s">
        <v>1148</v>
      </c>
      <c r="D1391" t="s">
        <v>1613</v>
      </c>
      <c r="E1391" t="s">
        <v>3382</v>
      </c>
      <c r="F1391" t="s">
        <v>1566</v>
      </c>
      <c r="I1391" t="s">
        <v>1058</v>
      </c>
      <c r="M1391" t="s">
        <v>190</v>
      </c>
      <c r="N1391" t="s">
        <v>209</v>
      </c>
      <c r="Q1391" s="2" t="str">
        <f>IF($C1391="","",IFERROR(VLOOKUP($C1391,sources!$A$2:$N$200,2,FALSE()),"?"))</f>
        <v>Report</v>
      </c>
      <c r="R1391" s="2" t="str">
        <f t="shared" si="21"/>
        <v>Textual</v>
      </c>
      <c r="S1391" s="2" t="str">
        <f>IF($C1391="","",IFERROR(VLOOKUP($C1391,sources!$A$2:$N$200,9,FALSE()),"?"))</f>
        <v>US official</v>
      </c>
      <c r="T1391" t="s">
        <v>5692</v>
      </c>
      <c r="U1391">
        <f>IF(OR(B1391="",C1391="",T1391="Retracted",LEFT(D1391,8)="Negative"),0,IF(COUNTIFS($B$2:B1391,B1391,$C$2:C1391,C1391,$D$2:D1391,"&lt;&gt;Negative*",$T$2:T1391,"&lt;&gt;Retracted")=1,1,0))</f>
        <v>0</v>
      </c>
    </row>
    <row r="1392" spans="1:21" x14ac:dyDescent="0.2">
      <c r="A1392" t="s">
        <v>3383</v>
      </c>
      <c r="B1392" t="s">
        <v>424</v>
      </c>
      <c r="C1392" t="s">
        <v>1148</v>
      </c>
      <c r="D1392" t="s">
        <v>1613</v>
      </c>
      <c r="E1392" t="s">
        <v>3384</v>
      </c>
      <c r="F1392" t="s">
        <v>1566</v>
      </c>
      <c r="I1392" t="s">
        <v>1058</v>
      </c>
      <c r="M1392" t="s">
        <v>190</v>
      </c>
      <c r="N1392" t="s">
        <v>209</v>
      </c>
      <c r="Q1392" s="2" t="str">
        <f>IF($C1392="","",IFERROR(VLOOKUP($C1392,sources!$A$2:$N$200,2,FALSE()),"?"))</f>
        <v>Report</v>
      </c>
      <c r="R1392" s="2" t="str">
        <f t="shared" si="21"/>
        <v>Textual</v>
      </c>
      <c r="S1392" s="2" t="str">
        <f>IF($C1392="","",IFERROR(VLOOKUP($C1392,sources!$A$2:$N$200,9,FALSE()),"?"))</f>
        <v>US official</v>
      </c>
      <c r="T1392" t="s">
        <v>5692</v>
      </c>
      <c r="U1392">
        <f>IF(OR(B1392="",C1392="",T1392="Retracted",LEFT(D1392,8)="Negative"),0,IF(COUNTIFS($B$2:B1392,B1392,$C$2:C1392,C1392,$D$2:D1392,"&lt;&gt;Negative*",$T$2:T1392,"&lt;&gt;Retracted")=1,1,0))</f>
        <v>0</v>
      </c>
    </row>
    <row r="1393" spans="1:21" x14ac:dyDescent="0.2">
      <c r="A1393" t="s">
        <v>3385</v>
      </c>
      <c r="B1393" t="s">
        <v>565</v>
      </c>
      <c r="C1393" t="s">
        <v>1148</v>
      </c>
      <c r="D1393" t="s">
        <v>1613</v>
      </c>
      <c r="E1393" t="s">
        <v>3386</v>
      </c>
      <c r="F1393" t="s">
        <v>1566</v>
      </c>
      <c r="I1393" t="s">
        <v>1058</v>
      </c>
      <c r="M1393" t="s">
        <v>190</v>
      </c>
      <c r="N1393" t="s">
        <v>209</v>
      </c>
      <c r="Q1393" s="2" t="str">
        <f>IF($C1393="","",IFERROR(VLOOKUP($C1393,sources!$A$2:$N$200,2,FALSE()),"?"))</f>
        <v>Report</v>
      </c>
      <c r="R1393" s="2" t="str">
        <f t="shared" si="21"/>
        <v>Textual</v>
      </c>
      <c r="S1393" s="2" t="str">
        <f>IF($C1393="","",IFERROR(VLOOKUP($C1393,sources!$A$2:$N$200,9,FALSE()),"?"))</f>
        <v>US official</v>
      </c>
      <c r="T1393" t="s">
        <v>5692</v>
      </c>
      <c r="U1393">
        <f>IF(OR(B1393="",C1393="",T1393="Retracted",LEFT(D1393,8)="Negative"),0,IF(COUNTIFS($B$2:B1393,B1393,$C$2:C1393,C1393,$D$2:D1393,"&lt;&gt;Negative*",$T$2:T1393,"&lt;&gt;Retracted")=1,1,0))</f>
        <v>0</v>
      </c>
    </row>
    <row r="1394" spans="1:21" x14ac:dyDescent="0.2">
      <c r="A1394" t="s">
        <v>3387</v>
      </c>
      <c r="B1394" t="s">
        <v>575</v>
      </c>
      <c r="C1394" t="s">
        <v>1148</v>
      </c>
      <c r="D1394" t="s">
        <v>1613</v>
      </c>
      <c r="E1394" t="s">
        <v>577</v>
      </c>
      <c r="F1394" t="s">
        <v>1583</v>
      </c>
      <c r="I1394" t="s">
        <v>1058</v>
      </c>
      <c r="M1394" t="s">
        <v>190</v>
      </c>
      <c r="N1394" t="s">
        <v>209</v>
      </c>
      <c r="Q1394" s="2" t="str">
        <f>IF($C1394="","",IFERROR(VLOOKUP($C1394,sources!$A$2:$N$200,2,FALSE()),"?"))</f>
        <v>Report</v>
      </c>
      <c r="R1394" s="2" t="str">
        <f t="shared" si="21"/>
        <v>Textual</v>
      </c>
      <c r="S1394" s="2" t="str">
        <f>IF($C1394="","",IFERROR(VLOOKUP($C1394,sources!$A$2:$N$200,9,FALSE()),"?"))</f>
        <v>US official</v>
      </c>
      <c r="T1394" t="s">
        <v>5692</v>
      </c>
      <c r="U1394">
        <f>IF(OR(B1394="",C1394="",T1394="Retracted",LEFT(D1394,8)="Negative"),0,IF(COUNTIFS($B$2:B1394,B1394,$C$2:C1394,C1394,$D$2:D1394,"&lt;&gt;Negative*",$T$2:T1394,"&lt;&gt;Retracted")=1,1,0))</f>
        <v>0</v>
      </c>
    </row>
    <row r="1395" spans="1:21" x14ac:dyDescent="0.2">
      <c r="A1395" t="s">
        <v>3388</v>
      </c>
      <c r="B1395" t="s">
        <v>580</v>
      </c>
      <c r="C1395" t="s">
        <v>1148</v>
      </c>
      <c r="D1395" t="s">
        <v>1613</v>
      </c>
      <c r="E1395" t="s">
        <v>582</v>
      </c>
      <c r="F1395" t="s">
        <v>1583</v>
      </c>
      <c r="I1395" t="s">
        <v>1058</v>
      </c>
      <c r="M1395" t="s">
        <v>190</v>
      </c>
      <c r="N1395" t="s">
        <v>209</v>
      </c>
      <c r="Q1395" s="2" t="str">
        <f>IF($C1395="","",IFERROR(VLOOKUP($C1395,sources!$A$2:$N$200,2,FALSE()),"?"))</f>
        <v>Report</v>
      </c>
      <c r="R1395" s="2" t="str">
        <f t="shared" si="21"/>
        <v>Textual</v>
      </c>
      <c r="S1395" s="2" t="str">
        <f>IF($C1395="","",IFERROR(VLOOKUP($C1395,sources!$A$2:$N$200,9,FALSE()),"?"))</f>
        <v>US official</v>
      </c>
      <c r="T1395" t="s">
        <v>5692</v>
      </c>
      <c r="U1395">
        <f>IF(OR(B1395="",C1395="",T1395="Retracted",LEFT(D1395,8)="Negative"),0,IF(COUNTIFS($B$2:B1395,B1395,$C$2:C1395,C1395,$D$2:D1395,"&lt;&gt;Negative*",$T$2:T1395,"&lt;&gt;Retracted")=1,1,0))</f>
        <v>0</v>
      </c>
    </row>
    <row r="1396" spans="1:21" x14ac:dyDescent="0.2">
      <c r="A1396" t="s">
        <v>3389</v>
      </c>
      <c r="B1396" t="s">
        <v>630</v>
      </c>
      <c r="C1396" t="s">
        <v>1148</v>
      </c>
      <c r="D1396" t="s">
        <v>1613</v>
      </c>
      <c r="E1396" t="s">
        <v>632</v>
      </c>
      <c r="F1396" t="s">
        <v>1583</v>
      </c>
      <c r="I1396" t="s">
        <v>1058</v>
      </c>
      <c r="M1396" t="s">
        <v>190</v>
      </c>
      <c r="N1396" t="s">
        <v>209</v>
      </c>
      <c r="Q1396" s="2" t="str">
        <f>IF($C1396="","",IFERROR(VLOOKUP($C1396,sources!$A$2:$N$200,2,FALSE()),"?"))</f>
        <v>Report</v>
      </c>
      <c r="R1396" s="2" t="str">
        <f t="shared" si="21"/>
        <v>Textual</v>
      </c>
      <c r="S1396" s="2" t="str">
        <f>IF($C1396="","",IFERROR(VLOOKUP($C1396,sources!$A$2:$N$200,9,FALSE()),"?"))</f>
        <v>US official</v>
      </c>
      <c r="T1396" t="s">
        <v>5692</v>
      </c>
      <c r="U1396">
        <f>IF(OR(B1396="",C1396="",T1396="Retracted",LEFT(D1396,8)="Negative"),0,IF(COUNTIFS($B$2:B1396,B1396,$C$2:C1396,C1396,$D$2:D1396,"&lt;&gt;Negative*",$T$2:T1396,"&lt;&gt;Retracted")=1,1,0))</f>
        <v>0</v>
      </c>
    </row>
    <row r="1397" spans="1:21" x14ac:dyDescent="0.2">
      <c r="A1397" t="s">
        <v>3390</v>
      </c>
      <c r="B1397" t="s">
        <v>786</v>
      </c>
      <c r="C1397" t="s">
        <v>1148</v>
      </c>
      <c r="D1397" t="s">
        <v>1613</v>
      </c>
      <c r="E1397" t="s">
        <v>3391</v>
      </c>
      <c r="F1397" t="s">
        <v>1583</v>
      </c>
      <c r="I1397" t="s">
        <v>1058</v>
      </c>
      <c r="M1397" t="s">
        <v>203</v>
      </c>
      <c r="N1397" t="s">
        <v>203</v>
      </c>
      <c r="Q1397" s="2" t="str">
        <f>IF($C1397="","",IFERROR(VLOOKUP($C1397,sources!$A$2:$N$200,2,FALSE()),"?"))</f>
        <v>Report</v>
      </c>
      <c r="R1397" s="2" t="str">
        <f t="shared" si="21"/>
        <v>Textual</v>
      </c>
      <c r="S1397" s="2" t="str">
        <f>IF($C1397="","",IFERROR(VLOOKUP($C1397,sources!$A$2:$N$200,9,FALSE()),"?"))</f>
        <v>US official</v>
      </c>
      <c r="T1397" t="s">
        <v>5692</v>
      </c>
      <c r="U1397">
        <f>IF(OR(B1397="",C1397="",T1397="Retracted",LEFT(D1397,8)="Negative"),0,IF(COUNTIFS($B$2:B1397,B1397,$C$2:C1397,C1397,$D$2:D1397,"&lt;&gt;Negative*",$T$2:T1397,"&lt;&gt;Retracted")=1,1,0))</f>
        <v>0</v>
      </c>
    </row>
    <row r="1398" spans="1:21" x14ac:dyDescent="0.2">
      <c r="A1398" t="s">
        <v>3392</v>
      </c>
      <c r="B1398" t="s">
        <v>835</v>
      </c>
      <c r="C1398" t="s">
        <v>1148</v>
      </c>
      <c r="D1398" t="s">
        <v>1613</v>
      </c>
      <c r="E1398" t="s">
        <v>837</v>
      </c>
      <c r="F1398" t="s">
        <v>1566</v>
      </c>
      <c r="I1398" t="s">
        <v>1058</v>
      </c>
      <c r="M1398" t="s">
        <v>190</v>
      </c>
      <c r="N1398" t="s">
        <v>209</v>
      </c>
      <c r="Q1398" s="2" t="str">
        <f>IF($C1398="","",IFERROR(VLOOKUP($C1398,sources!$A$2:$N$200,2,FALSE()),"?"))</f>
        <v>Report</v>
      </c>
      <c r="R1398" s="2" t="str">
        <f t="shared" si="21"/>
        <v>Textual</v>
      </c>
      <c r="S1398" s="2" t="str">
        <f>IF($C1398="","",IFERROR(VLOOKUP($C1398,sources!$A$2:$N$200,9,FALSE()),"?"))</f>
        <v>US official</v>
      </c>
      <c r="T1398" t="s">
        <v>5692</v>
      </c>
      <c r="U1398">
        <f>IF(OR(B1398="",C1398="",T1398="Retracted",LEFT(D1398,8)="Negative"),0,IF(COUNTIFS($B$2:B1398,B1398,$C$2:C1398,C1398,$D$2:D1398,"&lt;&gt;Negative*",$T$2:T1398,"&lt;&gt;Retracted")=1,1,0))</f>
        <v>0</v>
      </c>
    </row>
    <row r="1399" spans="1:21" x14ac:dyDescent="0.2">
      <c r="A1399" t="s">
        <v>3393</v>
      </c>
      <c r="B1399" t="s">
        <v>856</v>
      </c>
      <c r="C1399" t="s">
        <v>1148</v>
      </c>
      <c r="D1399" t="s">
        <v>1613</v>
      </c>
      <c r="E1399" t="s">
        <v>3394</v>
      </c>
      <c r="F1399" t="s">
        <v>1566</v>
      </c>
      <c r="I1399" t="s">
        <v>1058</v>
      </c>
      <c r="M1399" t="s">
        <v>190</v>
      </c>
      <c r="N1399" t="s">
        <v>209</v>
      </c>
      <c r="Q1399" s="2" t="str">
        <f>IF($C1399="","",IFERROR(VLOOKUP($C1399,sources!$A$2:$N$200,2,FALSE()),"?"))</f>
        <v>Report</v>
      </c>
      <c r="R1399" s="2" t="str">
        <f t="shared" si="21"/>
        <v>Textual</v>
      </c>
      <c r="S1399" s="2" t="str">
        <f>IF($C1399="","",IFERROR(VLOOKUP($C1399,sources!$A$2:$N$200,9,FALSE()),"?"))</f>
        <v>US official</v>
      </c>
      <c r="T1399" t="s">
        <v>5692</v>
      </c>
      <c r="U1399">
        <f>IF(OR(B1399="",C1399="",T1399="Retracted",LEFT(D1399,8)="Negative"),0,IF(COUNTIFS($B$2:B1399,B1399,$C$2:C1399,C1399,$D$2:D1399,"&lt;&gt;Negative*",$T$2:T1399,"&lt;&gt;Retracted")=1,1,0))</f>
        <v>0</v>
      </c>
    </row>
    <row r="1400" spans="1:21" x14ac:dyDescent="0.2">
      <c r="A1400" t="s">
        <v>3395</v>
      </c>
      <c r="B1400" t="s">
        <v>869</v>
      </c>
      <c r="C1400" t="s">
        <v>1148</v>
      </c>
      <c r="D1400" t="s">
        <v>1613</v>
      </c>
      <c r="E1400" t="s">
        <v>3396</v>
      </c>
      <c r="F1400" t="s">
        <v>1583</v>
      </c>
      <c r="I1400" t="s">
        <v>1058</v>
      </c>
      <c r="M1400" t="s">
        <v>190</v>
      </c>
      <c r="N1400" t="s">
        <v>209</v>
      </c>
      <c r="Q1400" s="2" t="str">
        <f>IF($C1400="","",IFERROR(VLOOKUP($C1400,sources!$A$2:$N$200,2,FALSE()),"?"))</f>
        <v>Report</v>
      </c>
      <c r="R1400" s="2" t="str">
        <f t="shared" si="21"/>
        <v>Textual</v>
      </c>
      <c r="S1400" s="2" t="str">
        <f>IF($C1400="","",IFERROR(VLOOKUP($C1400,sources!$A$2:$N$200,9,FALSE()),"?"))</f>
        <v>US official</v>
      </c>
      <c r="T1400" t="s">
        <v>5692</v>
      </c>
      <c r="U1400">
        <f>IF(OR(B1400="",C1400="",T1400="Retracted",LEFT(D1400,8)="Negative"),0,IF(COUNTIFS($B$2:B1400,B1400,$C$2:C1400,C1400,$D$2:D1400,"&lt;&gt;Negative*",$T$2:T1400,"&lt;&gt;Retracted")=1,1,0))</f>
        <v>0</v>
      </c>
    </row>
    <row r="1401" spans="1:21" x14ac:dyDescent="0.2">
      <c r="A1401" t="s">
        <v>3397</v>
      </c>
      <c r="B1401" t="s">
        <v>801</v>
      </c>
      <c r="C1401" t="s">
        <v>1408</v>
      </c>
      <c r="D1401" t="s">
        <v>1572</v>
      </c>
      <c r="E1401" t="s">
        <v>3398</v>
      </c>
      <c r="F1401" t="s">
        <v>1566</v>
      </c>
      <c r="G1401">
        <v>8.9615240000000007</v>
      </c>
      <c r="H1401">
        <v>-79.5501</v>
      </c>
      <c r="I1401" t="s">
        <v>3312</v>
      </c>
      <c r="J1401">
        <v>150</v>
      </c>
      <c r="K1401">
        <v>1904</v>
      </c>
      <c r="L1401">
        <v>1904</v>
      </c>
      <c r="M1401" t="s">
        <v>203</v>
      </c>
      <c r="N1401" t="s">
        <v>203</v>
      </c>
      <c r="Q1401" s="2" t="str">
        <f>IF($C1401="","",IFERROR(VLOOKUP($C1401,sources!$A$2:$N$200,2,FALSE()),"?"))</f>
        <v>Map</v>
      </c>
      <c r="R1401" s="2" t="str">
        <f t="shared" si="21"/>
        <v>Map</v>
      </c>
      <c r="S1401" s="2" t="str">
        <f>IF($C1401="","",IFERROR(VLOOKUP($C1401,sources!$A$2:$N$200,9,FALSE()),"?"))</f>
        <v>Panamanian</v>
      </c>
      <c r="T1401" t="s">
        <v>5692</v>
      </c>
      <c r="U1401">
        <f>IF(OR(B1401="",C1401="",T1401="Retracted",LEFT(D1401,8)="Negative"),0,IF(COUNTIFS($B$2:B1401,B1401,$C$2:C1401,C1401,$D$2:D1401,"&lt;&gt;Negative*",$T$2:T1401,"&lt;&gt;Retracted")=1,1,0))</f>
        <v>1</v>
      </c>
    </row>
    <row r="1402" spans="1:21" x14ac:dyDescent="0.2">
      <c r="A1402" t="s">
        <v>3399</v>
      </c>
      <c r="B1402" t="s">
        <v>808</v>
      </c>
      <c r="C1402" t="s">
        <v>1408</v>
      </c>
      <c r="D1402" t="s">
        <v>1572</v>
      </c>
      <c r="E1402" t="s">
        <v>3400</v>
      </c>
      <c r="F1402" t="s">
        <v>1566</v>
      </c>
      <c r="G1402">
        <v>8.9539170000000006</v>
      </c>
      <c r="H1402">
        <v>-79.548590000000004</v>
      </c>
      <c r="I1402" t="s">
        <v>3312</v>
      </c>
      <c r="J1402">
        <v>120</v>
      </c>
      <c r="K1402">
        <v>1904</v>
      </c>
      <c r="L1402">
        <v>1904</v>
      </c>
      <c r="M1402" t="s">
        <v>203</v>
      </c>
      <c r="N1402" t="s">
        <v>203</v>
      </c>
      <c r="Q1402" s="2" t="str">
        <f>IF($C1402="","",IFERROR(VLOOKUP($C1402,sources!$A$2:$N$200,2,FALSE()),"?"))</f>
        <v>Map</v>
      </c>
      <c r="R1402" s="2" t="str">
        <f t="shared" si="21"/>
        <v>Map</v>
      </c>
      <c r="S1402" s="2" t="str">
        <f>IF($C1402="","",IFERROR(VLOOKUP($C1402,sources!$A$2:$N$200,9,FALSE()),"?"))</f>
        <v>Panamanian</v>
      </c>
      <c r="T1402" t="s">
        <v>5692</v>
      </c>
      <c r="U1402">
        <f>IF(OR(B1402="",C1402="",T1402="Retracted",LEFT(D1402,8)="Negative"),0,IF(COUNTIFS($B$2:B1402,B1402,$C$2:C1402,C1402,$D$2:D1402,"&lt;&gt;Negative*",$T$2:T1402,"&lt;&gt;Retracted")=1,1,0))</f>
        <v>1</v>
      </c>
    </row>
    <row r="1403" spans="1:21" x14ac:dyDescent="0.2">
      <c r="A1403" t="s">
        <v>3401</v>
      </c>
      <c r="B1403" t="s">
        <v>335</v>
      </c>
      <c r="C1403" t="s">
        <v>1408</v>
      </c>
      <c r="D1403" t="s">
        <v>1564</v>
      </c>
      <c r="E1403" t="s">
        <v>3402</v>
      </c>
      <c r="F1403" t="s">
        <v>1566</v>
      </c>
      <c r="I1403" t="s">
        <v>1058</v>
      </c>
      <c r="K1403">
        <v>1904</v>
      </c>
      <c r="L1403">
        <v>1904</v>
      </c>
      <c r="M1403" t="s">
        <v>203</v>
      </c>
      <c r="N1403" t="s">
        <v>203</v>
      </c>
      <c r="Q1403" s="2" t="str">
        <f>IF($C1403="","",IFERROR(VLOOKUP($C1403,sources!$A$2:$N$200,2,FALSE()),"?"))</f>
        <v>Map</v>
      </c>
      <c r="R1403" s="2" t="str">
        <f t="shared" si="21"/>
        <v>Map</v>
      </c>
      <c r="S1403" s="2" t="str">
        <f>IF($C1403="","",IFERROR(VLOOKUP($C1403,sources!$A$2:$N$200,9,FALSE()),"?"))</f>
        <v>Panamanian</v>
      </c>
      <c r="T1403" t="s">
        <v>5692</v>
      </c>
      <c r="U1403">
        <f>IF(OR(B1403="",C1403="",T1403="Retracted",LEFT(D1403,8)="Negative"),0,IF(COUNTIFS($B$2:B1403,B1403,$C$2:C1403,C1403,$D$2:D1403,"&lt;&gt;Negative*",$T$2:T1403,"&lt;&gt;Retracted")=1,1,0))</f>
        <v>1</v>
      </c>
    </row>
    <row r="1404" spans="1:21" x14ac:dyDescent="0.2">
      <c r="A1404" t="s">
        <v>3403</v>
      </c>
      <c r="B1404" t="s">
        <v>348</v>
      </c>
      <c r="C1404" t="s">
        <v>1408</v>
      </c>
      <c r="D1404" t="s">
        <v>1564</v>
      </c>
      <c r="E1404" t="s">
        <v>3404</v>
      </c>
      <c r="F1404" t="s">
        <v>1566</v>
      </c>
      <c r="I1404" t="s">
        <v>1058</v>
      </c>
      <c r="K1404">
        <v>1904</v>
      </c>
      <c r="L1404">
        <v>1904</v>
      </c>
      <c r="M1404" t="s">
        <v>203</v>
      </c>
      <c r="N1404" t="s">
        <v>209</v>
      </c>
      <c r="Q1404" s="2" t="str">
        <f>IF($C1404="","",IFERROR(VLOOKUP($C1404,sources!$A$2:$N$200,2,FALSE()),"?"))</f>
        <v>Map</v>
      </c>
      <c r="R1404" s="2" t="str">
        <f t="shared" si="21"/>
        <v>Map</v>
      </c>
      <c r="S1404" s="2" t="str">
        <f>IF($C1404="","",IFERROR(VLOOKUP($C1404,sources!$A$2:$N$200,9,FALSE()),"?"))</f>
        <v>Panamanian</v>
      </c>
      <c r="T1404" t="s">
        <v>5692</v>
      </c>
      <c r="U1404">
        <f>IF(OR(B1404="",C1404="",T1404="Retracted",LEFT(D1404,8)="Negative"),0,IF(COUNTIFS($B$2:B1404,B1404,$C$2:C1404,C1404,$D$2:D1404,"&lt;&gt;Negative*",$T$2:T1404,"&lt;&gt;Retracted")=1,1,0))</f>
        <v>1</v>
      </c>
    </row>
    <row r="1405" spans="1:21" x14ac:dyDescent="0.2">
      <c r="A1405" t="s">
        <v>3405</v>
      </c>
      <c r="B1405" t="s">
        <v>179</v>
      </c>
      <c r="C1405" t="s">
        <v>1413</v>
      </c>
      <c r="D1405" t="s">
        <v>1575</v>
      </c>
      <c r="E1405" t="s">
        <v>180</v>
      </c>
      <c r="F1405" t="s">
        <v>2423</v>
      </c>
      <c r="K1405" t="s">
        <v>1416</v>
      </c>
      <c r="L1405" t="s">
        <v>1416</v>
      </c>
      <c r="M1405" t="s">
        <v>203</v>
      </c>
      <c r="N1405" t="s">
        <v>203</v>
      </c>
      <c r="Q1405" s="2" t="str">
        <f>IF($C1405="","",IFERROR(VLOOKUP($C1405,sources!$A$2:$N$200,2,FALSE()),"?"))</f>
        <v>Report</v>
      </c>
      <c r="R1405" s="2" t="str">
        <f t="shared" si="21"/>
        <v>Textual</v>
      </c>
      <c r="S1405" s="2" t="str">
        <f>IF($C1405="","",IFERROR(VLOOKUP($C1405,sources!$A$2:$N$200,9,FALSE()),"?"))</f>
        <v>French company</v>
      </c>
      <c r="T1405" t="s">
        <v>5692</v>
      </c>
      <c r="U1405">
        <f>IF(OR(B1405="",C1405="",T1405="Retracted",LEFT(D1405,8)="Negative"),0,IF(COUNTIFS($B$2:B1405,B1405,$C$2:C1405,C1405,$D$2:D1405,"&lt;&gt;Negative*",$T$2:T1405,"&lt;&gt;Retracted")=1,1,0))</f>
        <v>1</v>
      </c>
    </row>
    <row r="1406" spans="1:21" x14ac:dyDescent="0.2">
      <c r="A1406" t="s">
        <v>3406</v>
      </c>
      <c r="B1406" t="s">
        <v>253</v>
      </c>
      <c r="C1406" t="s">
        <v>1413</v>
      </c>
      <c r="D1406" t="s">
        <v>1575</v>
      </c>
      <c r="E1406" t="s">
        <v>3407</v>
      </c>
      <c r="F1406" t="s">
        <v>2423</v>
      </c>
      <c r="K1406" t="s">
        <v>1416</v>
      </c>
      <c r="L1406" t="s">
        <v>1416</v>
      </c>
      <c r="M1406" t="s">
        <v>203</v>
      </c>
      <c r="N1406" t="s">
        <v>203</v>
      </c>
      <c r="Q1406" s="2" t="str">
        <f>IF($C1406="","",IFERROR(VLOOKUP($C1406,sources!$A$2:$N$200,2,FALSE()),"?"))</f>
        <v>Report</v>
      </c>
      <c r="R1406" s="2" t="str">
        <f t="shared" si="21"/>
        <v>Textual</v>
      </c>
      <c r="S1406" s="2" t="str">
        <f>IF($C1406="","",IFERROR(VLOOKUP($C1406,sources!$A$2:$N$200,9,FALSE()),"?"))</f>
        <v>French company</v>
      </c>
      <c r="T1406" t="s">
        <v>5692</v>
      </c>
      <c r="U1406">
        <f>IF(OR(B1406="",C1406="",T1406="Retracted",LEFT(D1406,8)="Negative"),0,IF(COUNTIFS($B$2:B1406,B1406,$C$2:C1406,C1406,$D$2:D1406,"&lt;&gt;Negative*",$T$2:T1406,"&lt;&gt;Retracted")=1,1,0))</f>
        <v>1</v>
      </c>
    </row>
    <row r="1407" spans="1:21" x14ac:dyDescent="0.2">
      <c r="A1407" t="s">
        <v>3408</v>
      </c>
      <c r="B1407" t="s">
        <v>233</v>
      </c>
      <c r="C1407" t="s">
        <v>1413</v>
      </c>
      <c r="D1407" t="s">
        <v>1575</v>
      </c>
      <c r="E1407" t="s">
        <v>3409</v>
      </c>
      <c r="F1407" t="s">
        <v>2423</v>
      </c>
      <c r="K1407" t="s">
        <v>1416</v>
      </c>
      <c r="L1407" t="s">
        <v>1416</v>
      </c>
      <c r="M1407" t="s">
        <v>203</v>
      </c>
      <c r="N1407" t="s">
        <v>203</v>
      </c>
      <c r="Q1407" s="2" t="str">
        <f>IF($C1407="","",IFERROR(VLOOKUP($C1407,sources!$A$2:$N$200,2,FALSE()),"?"))</f>
        <v>Report</v>
      </c>
      <c r="R1407" s="2" t="str">
        <f t="shared" si="21"/>
        <v>Textual</v>
      </c>
      <c r="S1407" s="2" t="str">
        <f>IF($C1407="","",IFERROR(VLOOKUP($C1407,sources!$A$2:$N$200,9,FALSE()),"?"))</f>
        <v>French company</v>
      </c>
      <c r="T1407" t="s">
        <v>5692</v>
      </c>
      <c r="U1407">
        <f>IF(OR(B1407="",C1407="",T1407="Retracted",LEFT(D1407,8)="Negative"),0,IF(COUNTIFS($B$2:B1407,B1407,$C$2:C1407,C1407,$D$2:D1407,"&lt;&gt;Negative*",$T$2:T1407,"&lt;&gt;Retracted")=1,1,0))</f>
        <v>1</v>
      </c>
    </row>
    <row r="1408" spans="1:21" x14ac:dyDescent="0.2">
      <c r="A1408" t="s">
        <v>3410</v>
      </c>
      <c r="B1408" t="s">
        <v>242</v>
      </c>
      <c r="C1408" t="s">
        <v>1413</v>
      </c>
      <c r="D1408" t="s">
        <v>1575</v>
      </c>
      <c r="E1408" t="s">
        <v>3411</v>
      </c>
      <c r="F1408" t="s">
        <v>2423</v>
      </c>
      <c r="K1408" t="s">
        <v>1416</v>
      </c>
      <c r="L1408" t="s">
        <v>1416</v>
      </c>
      <c r="M1408" t="s">
        <v>203</v>
      </c>
      <c r="N1408" t="s">
        <v>203</v>
      </c>
      <c r="Q1408" s="2" t="str">
        <f>IF($C1408="","",IFERROR(VLOOKUP($C1408,sources!$A$2:$N$200,2,FALSE()),"?"))</f>
        <v>Report</v>
      </c>
      <c r="R1408" s="2" t="str">
        <f t="shared" si="21"/>
        <v>Textual</v>
      </c>
      <c r="S1408" s="2" t="str">
        <f>IF($C1408="","",IFERROR(VLOOKUP($C1408,sources!$A$2:$N$200,9,FALSE()),"?"))</f>
        <v>French company</v>
      </c>
      <c r="T1408" t="s">
        <v>5692</v>
      </c>
      <c r="U1408">
        <f>IF(OR(B1408="",C1408="",T1408="Retracted",LEFT(D1408,8)="Negative"),0,IF(COUNTIFS($B$2:B1408,B1408,$C$2:C1408,C1408,$D$2:D1408,"&lt;&gt;Negative*",$T$2:T1408,"&lt;&gt;Retracted")=1,1,0))</f>
        <v>1</v>
      </c>
    </row>
    <row r="1409" spans="1:21" x14ac:dyDescent="0.2">
      <c r="A1409" t="s">
        <v>3412</v>
      </c>
      <c r="B1409" t="s">
        <v>194</v>
      </c>
      <c r="C1409" t="s">
        <v>1413</v>
      </c>
      <c r="D1409" t="s">
        <v>1575</v>
      </c>
      <c r="E1409" t="s">
        <v>195</v>
      </c>
      <c r="F1409" t="s">
        <v>2423</v>
      </c>
      <c r="K1409" t="s">
        <v>1416</v>
      </c>
      <c r="L1409" t="s">
        <v>1416</v>
      </c>
      <c r="M1409" t="s">
        <v>203</v>
      </c>
      <c r="N1409" t="s">
        <v>203</v>
      </c>
      <c r="Q1409" s="2" t="str">
        <f>IF($C1409="","",IFERROR(VLOOKUP($C1409,sources!$A$2:$N$200,2,FALSE()),"?"))</f>
        <v>Report</v>
      </c>
      <c r="R1409" s="2" t="str">
        <f t="shared" si="21"/>
        <v>Textual</v>
      </c>
      <c r="S1409" s="2" t="str">
        <f>IF($C1409="","",IFERROR(VLOOKUP($C1409,sources!$A$2:$N$200,9,FALSE()),"?"))</f>
        <v>French company</v>
      </c>
      <c r="T1409" t="s">
        <v>5692</v>
      </c>
      <c r="U1409">
        <f>IF(OR(B1409="",C1409="",T1409="Retracted",LEFT(D1409,8)="Negative"),0,IF(COUNTIFS($B$2:B1409,B1409,$C$2:C1409,C1409,$D$2:D1409,"&lt;&gt;Negative*",$T$2:T1409,"&lt;&gt;Retracted")=1,1,0))</f>
        <v>1</v>
      </c>
    </row>
    <row r="1410" spans="1:21" x14ac:dyDescent="0.2">
      <c r="A1410" t="s">
        <v>3413</v>
      </c>
      <c r="B1410" t="s">
        <v>363</v>
      </c>
      <c r="C1410" t="s">
        <v>1413</v>
      </c>
      <c r="D1410" t="s">
        <v>1575</v>
      </c>
      <c r="E1410" t="s">
        <v>364</v>
      </c>
      <c r="F1410" t="s">
        <v>2423</v>
      </c>
      <c r="K1410" t="s">
        <v>1416</v>
      </c>
      <c r="L1410" t="s">
        <v>1416</v>
      </c>
      <c r="M1410" t="s">
        <v>203</v>
      </c>
      <c r="N1410" t="s">
        <v>203</v>
      </c>
      <c r="Q1410" s="2" t="str">
        <f>IF($C1410="","",IFERROR(VLOOKUP($C1410,sources!$A$2:$N$200,2,FALSE()),"?"))</f>
        <v>Report</v>
      </c>
      <c r="R1410" s="2" t="str">
        <f t="shared" ref="R1410:R1473" si="22">IF($Q1410="","",IF($Q1410="Map","Map",IF(OR($Q1410="Photograph",$Q1410="Postcard"),"Image",IF(OR($Q1410="Census or roll",$Q1410="Report",$Q1410="Newspaper",$Q1410="Letter",$Q1410="Memoir",$Q1410="Administrative",$Q1410="Web compilation"),"Textual",IF($Q1410="Legal claim","Legal/admin",IF($Q1410="Secondary","Secondary","Other"))))))</f>
        <v>Textual</v>
      </c>
      <c r="S1410" s="2" t="str">
        <f>IF($C1410="","",IFERROR(VLOOKUP($C1410,sources!$A$2:$N$200,9,FALSE()),"?"))</f>
        <v>French company</v>
      </c>
      <c r="T1410" t="s">
        <v>5692</v>
      </c>
      <c r="U1410">
        <f>IF(OR(B1410="",C1410="",T1410="Retracted",LEFT(D1410,8)="Negative"),0,IF(COUNTIFS($B$2:B1410,B1410,$C$2:C1410,C1410,$D$2:D1410,"&lt;&gt;Negative*",$T$2:T1410,"&lt;&gt;Retracted")=1,1,0))</f>
        <v>1</v>
      </c>
    </row>
    <row r="1411" spans="1:21" x14ac:dyDescent="0.2">
      <c r="A1411" t="s">
        <v>3414</v>
      </c>
      <c r="B1411" t="s">
        <v>357</v>
      </c>
      <c r="C1411" t="s">
        <v>1413</v>
      </c>
      <c r="D1411" t="s">
        <v>1575</v>
      </c>
      <c r="E1411" t="s">
        <v>3415</v>
      </c>
      <c r="F1411" t="s">
        <v>2423</v>
      </c>
      <c r="K1411" t="s">
        <v>1416</v>
      </c>
      <c r="L1411" t="s">
        <v>1416</v>
      </c>
      <c r="M1411" t="s">
        <v>203</v>
      </c>
      <c r="N1411" t="s">
        <v>203</v>
      </c>
      <c r="Q1411" s="2" t="str">
        <f>IF($C1411="","",IFERROR(VLOOKUP($C1411,sources!$A$2:$N$200,2,FALSE()),"?"))</f>
        <v>Report</v>
      </c>
      <c r="R1411" s="2" t="str">
        <f t="shared" si="22"/>
        <v>Textual</v>
      </c>
      <c r="S1411" s="2" t="str">
        <f>IF($C1411="","",IFERROR(VLOOKUP($C1411,sources!$A$2:$N$200,9,FALSE()),"?"))</f>
        <v>French company</v>
      </c>
      <c r="T1411" t="s">
        <v>5692</v>
      </c>
      <c r="U1411">
        <f>IF(OR(B1411="",C1411="",T1411="Retracted",LEFT(D1411,8)="Negative"),0,IF(COUNTIFS($B$2:B1411,B1411,$C$2:C1411,C1411,$D$2:D1411,"&lt;&gt;Negative*",$T$2:T1411,"&lt;&gt;Retracted")=1,1,0))</f>
        <v>1</v>
      </c>
    </row>
    <row r="1412" spans="1:21" x14ac:dyDescent="0.2">
      <c r="A1412" t="s">
        <v>3416</v>
      </c>
      <c r="B1412" t="s">
        <v>344</v>
      </c>
      <c r="C1412" t="s">
        <v>1413</v>
      </c>
      <c r="D1412" t="s">
        <v>1575</v>
      </c>
      <c r="E1412" t="s">
        <v>3417</v>
      </c>
      <c r="F1412" t="s">
        <v>2423</v>
      </c>
      <c r="K1412" t="s">
        <v>1416</v>
      </c>
      <c r="L1412" t="s">
        <v>1416</v>
      </c>
      <c r="M1412" t="s">
        <v>203</v>
      </c>
      <c r="N1412" t="s">
        <v>203</v>
      </c>
      <c r="Q1412" s="2" t="str">
        <f>IF($C1412="","",IFERROR(VLOOKUP($C1412,sources!$A$2:$N$200,2,FALSE()),"?"))</f>
        <v>Report</v>
      </c>
      <c r="R1412" s="2" t="str">
        <f t="shared" si="22"/>
        <v>Textual</v>
      </c>
      <c r="S1412" s="2" t="str">
        <f>IF($C1412="","",IFERROR(VLOOKUP($C1412,sources!$A$2:$N$200,9,FALSE()),"?"))</f>
        <v>French company</v>
      </c>
      <c r="T1412" t="s">
        <v>5692</v>
      </c>
      <c r="U1412">
        <f>IF(OR(B1412="",C1412="",T1412="Retracted",LEFT(D1412,8)="Negative"),0,IF(COUNTIFS($B$2:B1412,B1412,$C$2:C1412,C1412,$D$2:D1412,"&lt;&gt;Negative*",$T$2:T1412,"&lt;&gt;Retracted")=1,1,0))</f>
        <v>1</v>
      </c>
    </row>
    <row r="1413" spans="1:21" x14ac:dyDescent="0.2">
      <c r="A1413" t="s">
        <v>3418</v>
      </c>
      <c r="B1413" t="s">
        <v>205</v>
      </c>
      <c r="C1413" t="s">
        <v>1413</v>
      </c>
      <c r="D1413" t="s">
        <v>1575</v>
      </c>
      <c r="E1413" t="s">
        <v>3419</v>
      </c>
      <c r="F1413" t="s">
        <v>2423</v>
      </c>
      <c r="K1413" t="s">
        <v>1416</v>
      </c>
      <c r="L1413" t="s">
        <v>1416</v>
      </c>
      <c r="M1413" t="s">
        <v>203</v>
      </c>
      <c r="N1413" t="s">
        <v>203</v>
      </c>
      <c r="Q1413" s="2" t="str">
        <f>IF($C1413="","",IFERROR(VLOOKUP($C1413,sources!$A$2:$N$200,2,FALSE()),"?"))</f>
        <v>Report</v>
      </c>
      <c r="R1413" s="2" t="str">
        <f t="shared" si="22"/>
        <v>Textual</v>
      </c>
      <c r="S1413" s="2" t="str">
        <f>IF($C1413="","",IFERROR(VLOOKUP($C1413,sources!$A$2:$N$200,9,FALSE()),"?"))</f>
        <v>French company</v>
      </c>
      <c r="T1413" t="s">
        <v>5692</v>
      </c>
      <c r="U1413">
        <f>IF(OR(B1413="",C1413="",T1413="Retracted",LEFT(D1413,8)="Negative"),0,IF(COUNTIFS($B$2:B1413,B1413,$C$2:C1413,C1413,$D$2:D1413,"&lt;&gt;Negative*",$T$2:T1413,"&lt;&gt;Retracted")=1,1,0))</f>
        <v>1</v>
      </c>
    </row>
    <row r="1414" spans="1:21" x14ac:dyDescent="0.2">
      <c r="A1414" t="s">
        <v>3420</v>
      </c>
      <c r="B1414" t="s">
        <v>495</v>
      </c>
      <c r="C1414" t="s">
        <v>1413</v>
      </c>
      <c r="D1414" t="s">
        <v>1575</v>
      </c>
      <c r="E1414" t="s">
        <v>3421</v>
      </c>
      <c r="F1414" t="s">
        <v>2423</v>
      </c>
      <c r="K1414" t="s">
        <v>1416</v>
      </c>
      <c r="L1414" t="s">
        <v>1416</v>
      </c>
      <c r="M1414" t="s">
        <v>203</v>
      </c>
      <c r="N1414" t="s">
        <v>203</v>
      </c>
      <c r="Q1414" s="2" t="str">
        <f>IF($C1414="","",IFERROR(VLOOKUP($C1414,sources!$A$2:$N$200,2,FALSE()),"?"))</f>
        <v>Report</v>
      </c>
      <c r="R1414" s="2" t="str">
        <f t="shared" si="22"/>
        <v>Textual</v>
      </c>
      <c r="S1414" s="2" t="str">
        <f>IF($C1414="","",IFERROR(VLOOKUP($C1414,sources!$A$2:$N$200,9,FALSE()),"?"))</f>
        <v>French company</v>
      </c>
      <c r="T1414" t="s">
        <v>5692</v>
      </c>
      <c r="U1414">
        <f>IF(OR(B1414="",C1414="",T1414="Retracted",LEFT(D1414,8)="Negative"),0,IF(COUNTIFS($B$2:B1414,B1414,$C$2:C1414,C1414,$D$2:D1414,"&lt;&gt;Negative*",$T$2:T1414,"&lt;&gt;Retracted")=1,1,0))</f>
        <v>1</v>
      </c>
    </row>
    <row r="1415" spans="1:21" x14ac:dyDescent="0.2">
      <c r="A1415" t="s">
        <v>3422</v>
      </c>
      <c r="B1415" t="s">
        <v>360</v>
      </c>
      <c r="C1415" t="s">
        <v>1413</v>
      </c>
      <c r="D1415" t="s">
        <v>1575</v>
      </c>
      <c r="E1415" t="s">
        <v>3423</v>
      </c>
      <c r="F1415" t="s">
        <v>2423</v>
      </c>
      <c r="K1415" t="s">
        <v>1416</v>
      </c>
      <c r="L1415" t="s">
        <v>1416</v>
      </c>
      <c r="M1415" t="s">
        <v>203</v>
      </c>
      <c r="N1415" t="s">
        <v>203</v>
      </c>
      <c r="Q1415" s="2" t="str">
        <f>IF($C1415="","",IFERROR(VLOOKUP($C1415,sources!$A$2:$N$200,2,FALSE()),"?"))</f>
        <v>Report</v>
      </c>
      <c r="R1415" s="2" t="str">
        <f t="shared" si="22"/>
        <v>Textual</v>
      </c>
      <c r="S1415" s="2" t="str">
        <f>IF($C1415="","",IFERROR(VLOOKUP($C1415,sources!$A$2:$N$200,9,FALSE()),"?"))</f>
        <v>French company</v>
      </c>
      <c r="T1415" t="s">
        <v>5692</v>
      </c>
      <c r="U1415">
        <f>IF(OR(B1415="",C1415="",T1415="Retracted",LEFT(D1415,8)="Negative"),0,IF(COUNTIFS($B$2:B1415,B1415,$C$2:C1415,C1415,$D$2:D1415,"&lt;&gt;Negative*",$T$2:T1415,"&lt;&gt;Retracted")=1,1,0))</f>
        <v>1</v>
      </c>
    </row>
    <row r="1416" spans="1:21" x14ac:dyDescent="0.2">
      <c r="A1416" t="s">
        <v>3424</v>
      </c>
      <c r="B1416" t="s">
        <v>392</v>
      </c>
      <c r="C1416" t="s">
        <v>1413</v>
      </c>
      <c r="D1416" t="s">
        <v>1575</v>
      </c>
      <c r="E1416" t="s">
        <v>3425</v>
      </c>
      <c r="F1416" t="s">
        <v>2423</v>
      </c>
      <c r="K1416" t="s">
        <v>1416</v>
      </c>
      <c r="L1416" t="s">
        <v>1416</v>
      </c>
      <c r="M1416" t="s">
        <v>203</v>
      </c>
      <c r="N1416" t="s">
        <v>203</v>
      </c>
      <c r="Q1416" s="2" t="str">
        <f>IF($C1416="","",IFERROR(VLOOKUP($C1416,sources!$A$2:$N$200,2,FALSE()),"?"))</f>
        <v>Report</v>
      </c>
      <c r="R1416" s="2" t="str">
        <f t="shared" si="22"/>
        <v>Textual</v>
      </c>
      <c r="S1416" s="2" t="str">
        <f>IF($C1416="","",IFERROR(VLOOKUP($C1416,sources!$A$2:$N$200,9,FALSE()),"?"))</f>
        <v>French company</v>
      </c>
      <c r="T1416" t="s">
        <v>5692</v>
      </c>
      <c r="U1416">
        <f>IF(OR(B1416="",C1416="",T1416="Retracted",LEFT(D1416,8)="Negative"),0,IF(COUNTIFS($B$2:B1416,B1416,$C$2:C1416,C1416,$D$2:D1416,"&lt;&gt;Negative*",$T$2:T1416,"&lt;&gt;Retracted")=1,1,0))</f>
        <v>1</v>
      </c>
    </row>
    <row r="1417" spans="1:21" x14ac:dyDescent="0.2">
      <c r="A1417" t="s">
        <v>3426</v>
      </c>
      <c r="B1417" t="s">
        <v>219</v>
      </c>
      <c r="C1417" t="s">
        <v>1413</v>
      </c>
      <c r="D1417" t="s">
        <v>1575</v>
      </c>
      <c r="E1417" t="s">
        <v>1580</v>
      </c>
      <c r="F1417" t="s">
        <v>2423</v>
      </c>
      <c r="K1417" t="s">
        <v>1416</v>
      </c>
      <c r="L1417" t="s">
        <v>1416</v>
      </c>
      <c r="M1417" t="s">
        <v>203</v>
      </c>
      <c r="N1417" t="s">
        <v>203</v>
      </c>
      <c r="Q1417" s="2" t="str">
        <f>IF($C1417="","",IFERROR(VLOOKUP($C1417,sources!$A$2:$N$200,2,FALSE()),"?"))</f>
        <v>Report</v>
      </c>
      <c r="R1417" s="2" t="str">
        <f t="shared" si="22"/>
        <v>Textual</v>
      </c>
      <c r="S1417" s="2" t="str">
        <f>IF($C1417="","",IFERROR(VLOOKUP($C1417,sources!$A$2:$N$200,9,FALSE()),"?"))</f>
        <v>French company</v>
      </c>
      <c r="T1417" t="s">
        <v>5692</v>
      </c>
      <c r="U1417">
        <f>IF(OR(B1417="",C1417="",T1417="Retracted",LEFT(D1417,8)="Negative"),0,IF(COUNTIFS($B$2:B1417,B1417,$C$2:C1417,C1417,$D$2:D1417,"&lt;&gt;Negative*",$T$2:T1417,"&lt;&gt;Retracted")=1,1,0))</f>
        <v>1</v>
      </c>
    </row>
    <row r="1418" spans="1:21" x14ac:dyDescent="0.2">
      <c r="A1418" t="s">
        <v>3427</v>
      </c>
      <c r="B1418" t="s">
        <v>415</v>
      </c>
      <c r="C1418" t="s">
        <v>1413</v>
      </c>
      <c r="D1418" t="s">
        <v>1575</v>
      </c>
      <c r="E1418" t="s">
        <v>3428</v>
      </c>
      <c r="F1418" t="s">
        <v>2423</v>
      </c>
      <c r="K1418" t="s">
        <v>1416</v>
      </c>
      <c r="L1418" t="s">
        <v>1416</v>
      </c>
      <c r="M1418" t="s">
        <v>203</v>
      </c>
      <c r="N1418" t="s">
        <v>203</v>
      </c>
      <c r="Q1418" s="2" t="str">
        <f>IF($C1418="","",IFERROR(VLOOKUP($C1418,sources!$A$2:$N$200,2,FALSE()),"?"))</f>
        <v>Report</v>
      </c>
      <c r="R1418" s="2" t="str">
        <f t="shared" si="22"/>
        <v>Textual</v>
      </c>
      <c r="S1418" s="2" t="str">
        <f>IF($C1418="","",IFERROR(VLOOKUP($C1418,sources!$A$2:$N$200,9,FALSE()),"?"))</f>
        <v>French company</v>
      </c>
      <c r="T1418" t="s">
        <v>5692</v>
      </c>
      <c r="U1418">
        <f>IF(OR(B1418="",C1418="",T1418="Retracted",LEFT(D1418,8)="Negative"),0,IF(COUNTIFS($B$2:B1418,B1418,$C$2:C1418,C1418,$D$2:D1418,"&lt;&gt;Negative*",$T$2:T1418,"&lt;&gt;Retracted")=1,1,0))</f>
        <v>1</v>
      </c>
    </row>
    <row r="1419" spans="1:21" x14ac:dyDescent="0.2">
      <c r="A1419" t="s">
        <v>3429</v>
      </c>
      <c r="B1419" t="s">
        <v>383</v>
      </c>
      <c r="C1419" t="s">
        <v>1413</v>
      </c>
      <c r="D1419" t="s">
        <v>1575</v>
      </c>
      <c r="E1419" t="s">
        <v>3430</v>
      </c>
      <c r="F1419" t="s">
        <v>2423</v>
      </c>
      <c r="K1419" t="s">
        <v>1416</v>
      </c>
      <c r="L1419" t="s">
        <v>1416</v>
      </c>
      <c r="M1419" t="s">
        <v>203</v>
      </c>
      <c r="N1419" t="s">
        <v>203</v>
      </c>
      <c r="Q1419" s="2" t="str">
        <f>IF($C1419="","",IFERROR(VLOOKUP($C1419,sources!$A$2:$N$200,2,FALSE()),"?"))</f>
        <v>Report</v>
      </c>
      <c r="R1419" s="2" t="str">
        <f t="shared" si="22"/>
        <v>Textual</v>
      </c>
      <c r="S1419" s="2" t="str">
        <f>IF($C1419="","",IFERROR(VLOOKUP($C1419,sources!$A$2:$N$200,9,FALSE()),"?"))</f>
        <v>French company</v>
      </c>
      <c r="T1419" t="s">
        <v>5692</v>
      </c>
      <c r="U1419">
        <f>IF(OR(B1419="",C1419="",T1419="Retracted",LEFT(D1419,8)="Negative"),0,IF(COUNTIFS($B$2:B1419,B1419,$C$2:C1419,C1419,$D$2:D1419,"&lt;&gt;Negative*",$T$2:T1419,"&lt;&gt;Retracted")=1,1,0))</f>
        <v>1</v>
      </c>
    </row>
    <row r="1420" spans="1:21" x14ac:dyDescent="0.2">
      <c r="A1420" t="s">
        <v>3431</v>
      </c>
      <c r="B1420" t="s">
        <v>265</v>
      </c>
      <c r="C1420" t="s">
        <v>1413</v>
      </c>
      <c r="D1420" t="s">
        <v>1575</v>
      </c>
      <c r="E1420" t="s">
        <v>3432</v>
      </c>
      <c r="F1420" t="s">
        <v>2423</v>
      </c>
      <c r="K1420" t="s">
        <v>1416</v>
      </c>
      <c r="L1420" t="s">
        <v>1416</v>
      </c>
      <c r="M1420" t="s">
        <v>203</v>
      </c>
      <c r="N1420" t="s">
        <v>203</v>
      </c>
      <c r="Q1420" s="2" t="str">
        <f>IF($C1420="","",IFERROR(VLOOKUP($C1420,sources!$A$2:$N$200,2,FALSE()),"?"))</f>
        <v>Report</v>
      </c>
      <c r="R1420" s="2" t="str">
        <f t="shared" si="22"/>
        <v>Textual</v>
      </c>
      <c r="S1420" s="2" t="str">
        <f>IF($C1420="","",IFERROR(VLOOKUP($C1420,sources!$A$2:$N$200,9,FALSE()),"?"))</f>
        <v>French company</v>
      </c>
      <c r="T1420" t="s">
        <v>5692</v>
      </c>
      <c r="U1420">
        <f>IF(OR(B1420="",C1420="",T1420="Retracted",LEFT(D1420,8)="Negative"),0,IF(COUNTIFS($B$2:B1420,B1420,$C$2:C1420,C1420,$D$2:D1420,"&lt;&gt;Negative*",$T$2:T1420,"&lt;&gt;Retracted")=1,1,0))</f>
        <v>1</v>
      </c>
    </row>
    <row r="1421" spans="1:21" x14ac:dyDescent="0.2">
      <c r="A1421" t="s">
        <v>3433</v>
      </c>
      <c r="B1421" t="s">
        <v>247</v>
      </c>
      <c r="C1421" t="s">
        <v>1422</v>
      </c>
      <c r="D1421" t="s">
        <v>1564</v>
      </c>
      <c r="E1421" t="s">
        <v>3434</v>
      </c>
      <c r="F1421" t="s">
        <v>2423</v>
      </c>
      <c r="K1421" t="s">
        <v>1425</v>
      </c>
      <c r="L1421" t="s">
        <v>1425</v>
      </c>
      <c r="M1421" t="s">
        <v>203</v>
      </c>
      <c r="N1421" t="s">
        <v>203</v>
      </c>
      <c r="Q1421" s="2" t="str">
        <f>IF($C1421="","",IFERROR(VLOOKUP($C1421,sources!$A$2:$N$200,2,FALSE()),"?"))</f>
        <v>Secondary</v>
      </c>
      <c r="R1421" s="2" t="str">
        <f t="shared" si="22"/>
        <v>Secondary</v>
      </c>
      <c r="S1421" s="2" t="str">
        <f>IF($C1421="","",IFERROR(VLOOKUP($C1421,sources!$A$2:$N$200,9,FALSE()),"?"))</f>
        <v>French company</v>
      </c>
      <c r="T1421" t="s">
        <v>5692</v>
      </c>
      <c r="U1421">
        <f>IF(OR(B1421="",C1421="",T1421="Retracted",LEFT(D1421,8)="Negative"),0,IF(COUNTIFS($B$2:B1421,B1421,$C$2:C1421,C1421,$D$2:D1421,"&lt;&gt;Negative*",$T$2:T1421,"&lt;&gt;Retracted")=1,1,0))</f>
        <v>1</v>
      </c>
    </row>
    <row r="1422" spans="1:21" x14ac:dyDescent="0.2">
      <c r="A1422" t="s">
        <v>3435</v>
      </c>
      <c r="B1422" t="s">
        <v>199</v>
      </c>
      <c r="C1422" t="s">
        <v>1422</v>
      </c>
      <c r="D1422" t="s">
        <v>1575</v>
      </c>
      <c r="E1422" t="s">
        <v>200</v>
      </c>
      <c r="F1422" t="s">
        <v>2423</v>
      </c>
      <c r="K1422" t="s">
        <v>1425</v>
      </c>
      <c r="L1422" t="s">
        <v>1425</v>
      </c>
      <c r="M1422" t="s">
        <v>203</v>
      </c>
      <c r="N1422" t="s">
        <v>203</v>
      </c>
      <c r="Q1422" s="2" t="str">
        <f>IF($C1422="","",IFERROR(VLOOKUP($C1422,sources!$A$2:$N$200,2,FALSE()),"?"))</f>
        <v>Secondary</v>
      </c>
      <c r="R1422" s="2" t="str">
        <f t="shared" si="22"/>
        <v>Secondary</v>
      </c>
      <c r="S1422" s="2" t="str">
        <f>IF($C1422="","",IFERROR(VLOOKUP($C1422,sources!$A$2:$N$200,9,FALSE()),"?"))</f>
        <v>French company</v>
      </c>
      <c r="T1422" t="s">
        <v>5692</v>
      </c>
      <c r="U1422">
        <f>IF(OR(B1422="",C1422="",T1422="Retracted",LEFT(D1422,8)="Negative"),0,IF(COUNTIFS($B$2:B1422,B1422,$C$2:C1422,C1422,$D$2:D1422,"&lt;&gt;Negative*",$T$2:T1422,"&lt;&gt;Retracted")=1,1,0))</f>
        <v>1</v>
      </c>
    </row>
    <row r="1423" spans="1:21" x14ac:dyDescent="0.2">
      <c r="A1423" t="s">
        <v>3436</v>
      </c>
      <c r="B1423" t="s">
        <v>357</v>
      </c>
      <c r="C1423" t="s">
        <v>1422</v>
      </c>
      <c r="D1423" t="s">
        <v>1575</v>
      </c>
      <c r="E1423" t="s">
        <v>358</v>
      </c>
      <c r="F1423" t="s">
        <v>2423</v>
      </c>
      <c r="K1423" t="s">
        <v>1425</v>
      </c>
      <c r="L1423" t="s">
        <v>1425</v>
      </c>
      <c r="M1423" t="s">
        <v>203</v>
      </c>
      <c r="N1423" t="s">
        <v>203</v>
      </c>
      <c r="Q1423" s="2" t="str">
        <f>IF($C1423="","",IFERROR(VLOOKUP($C1423,sources!$A$2:$N$200,2,FALSE()),"?"))</f>
        <v>Secondary</v>
      </c>
      <c r="R1423" s="2" t="str">
        <f t="shared" si="22"/>
        <v>Secondary</v>
      </c>
      <c r="S1423" s="2" t="str">
        <f>IF($C1423="","",IFERROR(VLOOKUP($C1423,sources!$A$2:$N$200,9,FALSE()),"?"))</f>
        <v>French company</v>
      </c>
      <c r="T1423" t="s">
        <v>5692</v>
      </c>
      <c r="U1423">
        <f>IF(OR(B1423="",C1423="",T1423="Retracted",LEFT(D1423,8)="Negative"),0,IF(COUNTIFS($B$2:B1423,B1423,$C$2:C1423,C1423,$D$2:D1423,"&lt;&gt;Negative*",$T$2:T1423,"&lt;&gt;Retracted")=1,1,0))</f>
        <v>1</v>
      </c>
    </row>
    <row r="1424" spans="1:21" x14ac:dyDescent="0.2">
      <c r="A1424" t="s">
        <v>3437</v>
      </c>
      <c r="B1424" t="s">
        <v>344</v>
      </c>
      <c r="C1424" t="s">
        <v>1422</v>
      </c>
      <c r="D1424" t="s">
        <v>1575</v>
      </c>
      <c r="E1424" t="s">
        <v>3417</v>
      </c>
      <c r="F1424" t="s">
        <v>2423</v>
      </c>
      <c r="K1424" t="s">
        <v>1425</v>
      </c>
      <c r="L1424" t="s">
        <v>1425</v>
      </c>
      <c r="M1424" t="s">
        <v>203</v>
      </c>
      <c r="N1424" t="s">
        <v>203</v>
      </c>
      <c r="Q1424" s="2" t="str">
        <f>IF($C1424="","",IFERROR(VLOOKUP($C1424,sources!$A$2:$N$200,2,FALSE()),"?"))</f>
        <v>Secondary</v>
      </c>
      <c r="R1424" s="2" t="str">
        <f t="shared" si="22"/>
        <v>Secondary</v>
      </c>
      <c r="S1424" s="2" t="str">
        <f>IF($C1424="","",IFERROR(VLOOKUP($C1424,sources!$A$2:$N$200,9,FALSE()),"?"))</f>
        <v>French company</v>
      </c>
      <c r="T1424" t="s">
        <v>5692</v>
      </c>
      <c r="U1424">
        <f>IF(OR(B1424="",C1424="",T1424="Retracted",LEFT(D1424,8)="Negative"),0,IF(COUNTIFS($B$2:B1424,B1424,$C$2:C1424,C1424,$D$2:D1424,"&lt;&gt;Negative*",$T$2:T1424,"&lt;&gt;Retracted")=1,1,0))</f>
        <v>1</v>
      </c>
    </row>
    <row r="1425" spans="1:21" x14ac:dyDescent="0.2">
      <c r="A1425" t="s">
        <v>3438</v>
      </c>
      <c r="B1425" t="s">
        <v>383</v>
      </c>
      <c r="C1425" t="s">
        <v>1422</v>
      </c>
      <c r="D1425" t="s">
        <v>1575</v>
      </c>
      <c r="E1425" t="s">
        <v>384</v>
      </c>
      <c r="F1425" t="s">
        <v>2423</v>
      </c>
      <c r="K1425" t="s">
        <v>1425</v>
      </c>
      <c r="L1425" t="s">
        <v>1425</v>
      </c>
      <c r="M1425" t="s">
        <v>203</v>
      </c>
      <c r="N1425" t="s">
        <v>203</v>
      </c>
      <c r="Q1425" s="2" t="str">
        <f>IF($C1425="","",IFERROR(VLOOKUP($C1425,sources!$A$2:$N$200,2,FALSE()),"?"))</f>
        <v>Secondary</v>
      </c>
      <c r="R1425" s="2" t="str">
        <f t="shared" si="22"/>
        <v>Secondary</v>
      </c>
      <c r="S1425" s="2" t="str">
        <f>IF($C1425="","",IFERROR(VLOOKUP($C1425,sources!$A$2:$N$200,9,FALSE()),"?"))</f>
        <v>French company</v>
      </c>
      <c r="T1425" t="s">
        <v>5692</v>
      </c>
      <c r="U1425">
        <f>IF(OR(B1425="",C1425="",T1425="Retracted",LEFT(D1425,8)="Negative"),0,IF(COUNTIFS($B$2:B1425,B1425,$C$2:C1425,C1425,$D$2:D1425,"&lt;&gt;Negative*",$T$2:T1425,"&lt;&gt;Retracted")=1,1,0))</f>
        <v>1</v>
      </c>
    </row>
    <row r="1426" spans="1:21" x14ac:dyDescent="0.2">
      <c r="A1426" t="s">
        <v>3439</v>
      </c>
      <c r="B1426" t="s">
        <v>242</v>
      </c>
      <c r="C1426" t="s">
        <v>1422</v>
      </c>
      <c r="D1426" t="s">
        <v>1575</v>
      </c>
      <c r="E1426" t="s">
        <v>243</v>
      </c>
      <c r="F1426" t="s">
        <v>2423</v>
      </c>
      <c r="K1426" t="s">
        <v>1425</v>
      </c>
      <c r="L1426" t="s">
        <v>1425</v>
      </c>
      <c r="M1426" t="s">
        <v>203</v>
      </c>
      <c r="N1426" t="s">
        <v>203</v>
      </c>
      <c r="Q1426" s="2" t="str">
        <f>IF($C1426="","",IFERROR(VLOOKUP($C1426,sources!$A$2:$N$200,2,FALSE()),"?"))</f>
        <v>Secondary</v>
      </c>
      <c r="R1426" s="2" t="str">
        <f t="shared" si="22"/>
        <v>Secondary</v>
      </c>
      <c r="S1426" s="2" t="str">
        <f>IF($C1426="","",IFERROR(VLOOKUP($C1426,sources!$A$2:$N$200,9,FALSE()),"?"))</f>
        <v>French company</v>
      </c>
      <c r="T1426" t="s">
        <v>5692</v>
      </c>
      <c r="U1426">
        <f>IF(OR(B1426="",C1426="",T1426="Retracted",LEFT(D1426,8)="Negative"),0,IF(COUNTIFS($B$2:B1426,B1426,$C$2:C1426,C1426,$D$2:D1426,"&lt;&gt;Negative*",$T$2:T1426,"&lt;&gt;Retracted")=1,1,0))</f>
        <v>1</v>
      </c>
    </row>
    <row r="1427" spans="1:21" x14ac:dyDescent="0.2">
      <c r="A1427" t="s">
        <v>3440</v>
      </c>
      <c r="B1427" t="s">
        <v>179</v>
      </c>
      <c r="C1427" t="s">
        <v>1422</v>
      </c>
      <c r="D1427" t="s">
        <v>1575</v>
      </c>
      <c r="E1427" t="s">
        <v>180</v>
      </c>
      <c r="F1427" t="s">
        <v>2423</v>
      </c>
      <c r="K1427" t="s">
        <v>1425</v>
      </c>
      <c r="L1427" t="s">
        <v>1425</v>
      </c>
      <c r="M1427" t="s">
        <v>203</v>
      </c>
      <c r="N1427" t="s">
        <v>203</v>
      </c>
      <c r="Q1427" s="2" t="str">
        <f>IF($C1427="","",IFERROR(VLOOKUP($C1427,sources!$A$2:$N$200,2,FALSE()),"?"))</f>
        <v>Secondary</v>
      </c>
      <c r="R1427" s="2" t="str">
        <f t="shared" si="22"/>
        <v>Secondary</v>
      </c>
      <c r="S1427" s="2" t="str">
        <f>IF($C1427="","",IFERROR(VLOOKUP($C1427,sources!$A$2:$N$200,9,FALSE()),"?"))</f>
        <v>French company</v>
      </c>
      <c r="T1427" t="s">
        <v>5692</v>
      </c>
      <c r="U1427">
        <f>IF(OR(B1427="",C1427="",T1427="Retracted",LEFT(D1427,8)="Negative"),0,IF(COUNTIFS($B$2:B1427,B1427,$C$2:C1427,C1427,$D$2:D1427,"&lt;&gt;Negative*",$T$2:T1427,"&lt;&gt;Retracted")=1,1,0))</f>
        <v>1</v>
      </c>
    </row>
    <row r="1428" spans="1:21" x14ac:dyDescent="0.2">
      <c r="A1428" t="s">
        <v>3441</v>
      </c>
      <c r="B1428" t="s">
        <v>265</v>
      </c>
      <c r="C1428" t="s">
        <v>1428</v>
      </c>
      <c r="D1428" t="s">
        <v>1575</v>
      </c>
      <c r="E1428" t="s">
        <v>3432</v>
      </c>
      <c r="F1428" t="s">
        <v>2423</v>
      </c>
      <c r="K1428" t="s">
        <v>1431</v>
      </c>
      <c r="L1428" t="s">
        <v>1431</v>
      </c>
      <c r="M1428" t="s">
        <v>203</v>
      </c>
      <c r="N1428" t="s">
        <v>203</v>
      </c>
      <c r="Q1428" s="2" t="str">
        <f>IF($C1428="","",IFERROR(VLOOKUP($C1428,sources!$A$2:$N$200,2,FALSE()),"?"))</f>
        <v>Report</v>
      </c>
      <c r="R1428" s="2" t="str">
        <f t="shared" si="22"/>
        <v>Textual</v>
      </c>
      <c r="S1428" s="2" t="str">
        <f>IF($C1428="","",IFERROR(VLOOKUP($C1428,sources!$A$2:$N$200,9,FALSE()),"?"))</f>
        <v>French company</v>
      </c>
      <c r="T1428" t="s">
        <v>5692</v>
      </c>
      <c r="U1428">
        <f>IF(OR(B1428="",C1428="",T1428="Retracted",LEFT(D1428,8)="Negative"),0,IF(COUNTIFS($B$2:B1428,B1428,$C$2:C1428,C1428,$D$2:D1428,"&lt;&gt;Negative*",$T$2:T1428,"&lt;&gt;Retracted")=1,1,0))</f>
        <v>1</v>
      </c>
    </row>
    <row r="1429" spans="1:21" x14ac:dyDescent="0.2">
      <c r="A1429" t="s">
        <v>3442</v>
      </c>
      <c r="B1429" t="s">
        <v>233</v>
      </c>
      <c r="C1429" t="s">
        <v>1428</v>
      </c>
      <c r="D1429" t="s">
        <v>1575</v>
      </c>
      <c r="E1429" t="s">
        <v>305</v>
      </c>
      <c r="F1429" t="s">
        <v>2423</v>
      </c>
      <c r="K1429" t="s">
        <v>1431</v>
      </c>
      <c r="L1429" t="s">
        <v>1431</v>
      </c>
      <c r="M1429" t="s">
        <v>203</v>
      </c>
      <c r="N1429" t="s">
        <v>203</v>
      </c>
      <c r="Q1429" s="2" t="str">
        <f>IF($C1429="","",IFERROR(VLOOKUP($C1429,sources!$A$2:$N$200,2,FALSE()),"?"))</f>
        <v>Report</v>
      </c>
      <c r="R1429" s="2" t="str">
        <f t="shared" si="22"/>
        <v>Textual</v>
      </c>
      <c r="S1429" s="2" t="str">
        <f>IF($C1429="","",IFERROR(VLOOKUP($C1429,sources!$A$2:$N$200,9,FALSE()),"?"))</f>
        <v>French company</v>
      </c>
      <c r="T1429" t="s">
        <v>5692</v>
      </c>
      <c r="U1429">
        <f>IF(OR(B1429="",C1429="",T1429="Retracted",LEFT(D1429,8)="Negative"),0,IF(COUNTIFS($B$2:B1429,B1429,$C$2:C1429,C1429,$D$2:D1429,"&lt;&gt;Negative*",$T$2:T1429,"&lt;&gt;Retracted")=1,1,0))</f>
        <v>1</v>
      </c>
    </row>
    <row r="1430" spans="1:21" x14ac:dyDescent="0.2">
      <c r="A1430" t="s">
        <v>3443</v>
      </c>
      <c r="B1430" t="s">
        <v>242</v>
      </c>
      <c r="C1430" t="s">
        <v>1428</v>
      </c>
      <c r="D1430" t="s">
        <v>1575</v>
      </c>
      <c r="E1430" t="s">
        <v>243</v>
      </c>
      <c r="F1430" t="s">
        <v>2423</v>
      </c>
      <c r="K1430" t="s">
        <v>1431</v>
      </c>
      <c r="L1430" t="s">
        <v>1431</v>
      </c>
      <c r="M1430" t="s">
        <v>203</v>
      </c>
      <c r="N1430" t="s">
        <v>203</v>
      </c>
      <c r="Q1430" s="2" t="str">
        <f>IF($C1430="","",IFERROR(VLOOKUP($C1430,sources!$A$2:$N$200,2,FALSE()),"?"))</f>
        <v>Report</v>
      </c>
      <c r="R1430" s="2" t="str">
        <f t="shared" si="22"/>
        <v>Textual</v>
      </c>
      <c r="S1430" s="2" t="str">
        <f>IF($C1430="","",IFERROR(VLOOKUP($C1430,sources!$A$2:$N$200,9,FALSE()),"?"))</f>
        <v>French company</v>
      </c>
      <c r="T1430" t="s">
        <v>5692</v>
      </c>
      <c r="U1430">
        <f>IF(OR(B1430="",C1430="",T1430="Retracted",LEFT(D1430,8)="Negative"),0,IF(COUNTIFS($B$2:B1430,B1430,$C$2:C1430,C1430,$D$2:D1430,"&lt;&gt;Negative*",$T$2:T1430,"&lt;&gt;Retracted")=1,1,0))</f>
        <v>1</v>
      </c>
    </row>
    <row r="1431" spans="1:21" x14ac:dyDescent="0.2">
      <c r="A1431" t="s">
        <v>3444</v>
      </c>
      <c r="B1431" t="s">
        <v>179</v>
      </c>
      <c r="C1431" t="s">
        <v>1428</v>
      </c>
      <c r="D1431" t="s">
        <v>1575</v>
      </c>
      <c r="E1431" t="s">
        <v>180</v>
      </c>
      <c r="F1431" t="s">
        <v>2423</v>
      </c>
      <c r="K1431" t="s">
        <v>1431</v>
      </c>
      <c r="L1431" t="s">
        <v>1431</v>
      </c>
      <c r="M1431" t="s">
        <v>203</v>
      </c>
      <c r="N1431" t="s">
        <v>203</v>
      </c>
      <c r="Q1431" s="2" t="str">
        <f>IF($C1431="","",IFERROR(VLOOKUP($C1431,sources!$A$2:$N$200,2,FALSE()),"?"))</f>
        <v>Report</v>
      </c>
      <c r="R1431" s="2" t="str">
        <f t="shared" si="22"/>
        <v>Textual</v>
      </c>
      <c r="S1431" s="2" t="str">
        <f>IF($C1431="","",IFERROR(VLOOKUP($C1431,sources!$A$2:$N$200,9,FALSE()),"?"))</f>
        <v>French company</v>
      </c>
      <c r="T1431" t="s">
        <v>5692</v>
      </c>
      <c r="U1431">
        <f>IF(OR(B1431="",C1431="",T1431="Retracted",LEFT(D1431,8)="Negative"),0,IF(COUNTIFS($B$2:B1431,B1431,$C$2:C1431,C1431,$D$2:D1431,"&lt;&gt;Negative*",$T$2:T1431,"&lt;&gt;Retracted")=1,1,0))</f>
        <v>1</v>
      </c>
    </row>
    <row r="1432" spans="1:21" x14ac:dyDescent="0.2">
      <c r="A1432" t="s">
        <v>3445</v>
      </c>
      <c r="B1432" t="s">
        <v>395</v>
      </c>
      <c r="C1432" t="s">
        <v>1428</v>
      </c>
      <c r="D1432" t="s">
        <v>1575</v>
      </c>
      <c r="E1432" t="s">
        <v>396</v>
      </c>
      <c r="F1432" t="s">
        <v>2423</v>
      </c>
      <c r="K1432" t="s">
        <v>1431</v>
      </c>
      <c r="L1432" t="s">
        <v>1431</v>
      </c>
      <c r="M1432" t="s">
        <v>203</v>
      </c>
      <c r="N1432" t="s">
        <v>203</v>
      </c>
      <c r="Q1432" s="2" t="str">
        <f>IF($C1432="","",IFERROR(VLOOKUP($C1432,sources!$A$2:$N$200,2,FALSE()),"?"))</f>
        <v>Report</v>
      </c>
      <c r="R1432" s="2" t="str">
        <f t="shared" si="22"/>
        <v>Textual</v>
      </c>
      <c r="S1432" s="2" t="str">
        <f>IF($C1432="","",IFERROR(VLOOKUP($C1432,sources!$A$2:$N$200,9,FALSE()),"?"))</f>
        <v>French company</v>
      </c>
      <c r="T1432" t="s">
        <v>5692</v>
      </c>
      <c r="U1432">
        <f>IF(OR(B1432="",C1432="",T1432="Retracted",LEFT(D1432,8)="Negative"),0,IF(COUNTIFS($B$2:B1432,B1432,$C$2:C1432,C1432,$D$2:D1432,"&lt;&gt;Negative*",$T$2:T1432,"&lt;&gt;Retracted")=1,1,0))</f>
        <v>1</v>
      </c>
    </row>
    <row r="1433" spans="1:21" x14ac:dyDescent="0.2">
      <c r="A1433" t="s">
        <v>3446</v>
      </c>
      <c r="B1433" t="s">
        <v>357</v>
      </c>
      <c r="C1433" t="s">
        <v>1428</v>
      </c>
      <c r="D1433" t="s">
        <v>1575</v>
      </c>
      <c r="E1433" t="s">
        <v>358</v>
      </c>
      <c r="F1433" t="s">
        <v>2423</v>
      </c>
      <c r="K1433" t="s">
        <v>1431</v>
      </c>
      <c r="L1433" t="s">
        <v>1431</v>
      </c>
      <c r="M1433" t="s">
        <v>203</v>
      </c>
      <c r="N1433" t="s">
        <v>203</v>
      </c>
      <c r="Q1433" s="2" t="str">
        <f>IF($C1433="","",IFERROR(VLOOKUP($C1433,sources!$A$2:$N$200,2,FALSE()),"?"))</f>
        <v>Report</v>
      </c>
      <c r="R1433" s="2" t="str">
        <f t="shared" si="22"/>
        <v>Textual</v>
      </c>
      <c r="S1433" s="2" t="str">
        <f>IF($C1433="","",IFERROR(VLOOKUP($C1433,sources!$A$2:$N$200,9,FALSE()),"?"))</f>
        <v>French company</v>
      </c>
      <c r="T1433" t="s">
        <v>5692</v>
      </c>
      <c r="U1433">
        <f>IF(OR(B1433="",C1433="",T1433="Retracted",LEFT(D1433,8)="Negative"),0,IF(COUNTIFS($B$2:B1433,B1433,$C$2:C1433,C1433,$D$2:D1433,"&lt;&gt;Negative*",$T$2:T1433,"&lt;&gt;Retracted")=1,1,0))</f>
        <v>1</v>
      </c>
    </row>
    <row r="1434" spans="1:21" x14ac:dyDescent="0.2">
      <c r="A1434" t="s">
        <v>3447</v>
      </c>
      <c r="B1434" t="s">
        <v>247</v>
      </c>
      <c r="C1434" t="s">
        <v>1428</v>
      </c>
      <c r="D1434" t="s">
        <v>1575</v>
      </c>
      <c r="E1434" t="s">
        <v>248</v>
      </c>
      <c r="F1434" t="s">
        <v>2423</v>
      </c>
      <c r="K1434" t="s">
        <v>1431</v>
      </c>
      <c r="L1434" t="s">
        <v>1431</v>
      </c>
      <c r="M1434" t="s">
        <v>203</v>
      </c>
      <c r="N1434" t="s">
        <v>203</v>
      </c>
      <c r="Q1434" s="2" t="str">
        <f>IF($C1434="","",IFERROR(VLOOKUP($C1434,sources!$A$2:$N$200,2,FALSE()),"?"))</f>
        <v>Report</v>
      </c>
      <c r="R1434" s="2" t="str">
        <f t="shared" si="22"/>
        <v>Textual</v>
      </c>
      <c r="S1434" s="2" t="str">
        <f>IF($C1434="","",IFERROR(VLOOKUP($C1434,sources!$A$2:$N$200,9,FALSE()),"?"))</f>
        <v>French company</v>
      </c>
      <c r="T1434" t="s">
        <v>5692</v>
      </c>
      <c r="U1434">
        <f>IF(OR(B1434="",C1434="",T1434="Retracted",LEFT(D1434,8)="Negative"),0,IF(COUNTIFS($B$2:B1434,B1434,$C$2:C1434,C1434,$D$2:D1434,"&lt;&gt;Negative*",$T$2:T1434,"&lt;&gt;Retracted")=1,1,0))</f>
        <v>1</v>
      </c>
    </row>
    <row r="1435" spans="1:21" x14ac:dyDescent="0.2">
      <c r="A1435" t="s">
        <v>3448</v>
      </c>
      <c r="B1435" t="s">
        <v>354</v>
      </c>
      <c r="C1435" t="s">
        <v>1428</v>
      </c>
      <c r="D1435" t="s">
        <v>1575</v>
      </c>
      <c r="E1435" t="s">
        <v>3449</v>
      </c>
      <c r="F1435" t="s">
        <v>2423</v>
      </c>
      <c r="K1435" t="s">
        <v>1431</v>
      </c>
      <c r="L1435" t="s">
        <v>1431</v>
      </c>
      <c r="M1435" t="s">
        <v>203</v>
      </c>
      <c r="N1435" t="s">
        <v>203</v>
      </c>
      <c r="Q1435" s="2" t="str">
        <f>IF($C1435="","",IFERROR(VLOOKUP($C1435,sources!$A$2:$N$200,2,FALSE()),"?"))</f>
        <v>Report</v>
      </c>
      <c r="R1435" s="2" t="str">
        <f t="shared" si="22"/>
        <v>Textual</v>
      </c>
      <c r="S1435" s="2" t="str">
        <f>IF($C1435="","",IFERROR(VLOOKUP($C1435,sources!$A$2:$N$200,9,FALSE()),"?"))</f>
        <v>French company</v>
      </c>
      <c r="T1435" t="s">
        <v>5692</v>
      </c>
      <c r="U1435">
        <f>IF(OR(B1435="",C1435="",T1435="Retracted",LEFT(D1435,8)="Negative"),0,IF(COUNTIFS($B$2:B1435,B1435,$C$2:C1435,C1435,$D$2:D1435,"&lt;&gt;Negative*",$T$2:T1435,"&lt;&gt;Retracted")=1,1,0))</f>
        <v>1</v>
      </c>
    </row>
    <row r="1436" spans="1:21" x14ac:dyDescent="0.2">
      <c r="A1436" t="s">
        <v>3450</v>
      </c>
      <c r="B1436" t="s">
        <v>179</v>
      </c>
      <c r="C1436" t="s">
        <v>1203</v>
      </c>
      <c r="D1436" t="s">
        <v>1564</v>
      </c>
      <c r="E1436" t="s">
        <v>3358</v>
      </c>
      <c r="F1436" t="s">
        <v>2423</v>
      </c>
      <c r="I1436" t="s">
        <v>1058</v>
      </c>
      <c r="K1436">
        <v>1895</v>
      </c>
      <c r="L1436">
        <v>1895</v>
      </c>
      <c r="M1436" t="s">
        <v>203</v>
      </c>
      <c r="N1436" t="s">
        <v>203</v>
      </c>
      <c r="Q1436" s="2" t="str">
        <f>IF($C1436="","",IFERROR(VLOOKUP($C1436,sources!$A$2:$N$200,2,FALSE()),"?"))</f>
        <v>Newspaper</v>
      </c>
      <c r="R1436" s="2" t="str">
        <f t="shared" si="22"/>
        <v>Textual</v>
      </c>
      <c r="S1436" s="2" t="str">
        <f>IF($C1436="","",IFERROR(VLOOKUP($C1436,sources!$A$2:$N$200,9,FALSE()),"?"))</f>
        <v>US press</v>
      </c>
      <c r="T1436" t="s">
        <v>5692</v>
      </c>
      <c r="U1436">
        <f>IF(OR(B1436="",C1436="",T1436="Retracted",LEFT(D1436,8)="Negative"),0,IF(COUNTIFS($B$2:B1436,B1436,$C$2:C1436,C1436,$D$2:D1436,"&lt;&gt;Negative*",$T$2:T1436,"&lt;&gt;Retracted")=1,1,0))</f>
        <v>1</v>
      </c>
    </row>
    <row r="1437" spans="1:21" x14ac:dyDescent="0.2">
      <c r="A1437" t="s">
        <v>3451</v>
      </c>
      <c r="B1437" t="s">
        <v>199</v>
      </c>
      <c r="C1437" t="s">
        <v>1203</v>
      </c>
      <c r="D1437" t="s">
        <v>1575</v>
      </c>
      <c r="E1437" t="s">
        <v>3452</v>
      </c>
      <c r="F1437" t="s">
        <v>1566</v>
      </c>
      <c r="I1437" t="s">
        <v>1058</v>
      </c>
      <c r="K1437">
        <v>1881</v>
      </c>
      <c r="L1437">
        <v>1881</v>
      </c>
      <c r="M1437" t="s">
        <v>203</v>
      </c>
      <c r="N1437" t="s">
        <v>203</v>
      </c>
      <c r="Q1437" s="2" t="str">
        <f>IF($C1437="","",IFERROR(VLOOKUP($C1437,sources!$A$2:$N$200,2,FALSE()),"?"))</f>
        <v>Newspaper</v>
      </c>
      <c r="R1437" s="2" t="str">
        <f t="shared" si="22"/>
        <v>Textual</v>
      </c>
      <c r="S1437" s="2" t="str">
        <f>IF($C1437="","",IFERROR(VLOOKUP($C1437,sources!$A$2:$N$200,9,FALSE()),"?"))</f>
        <v>US press</v>
      </c>
      <c r="T1437" t="s">
        <v>5692</v>
      </c>
      <c r="U1437">
        <f>IF(OR(B1437="",C1437="",T1437="Retracted",LEFT(D1437,8)="Negative"),0,IF(COUNTIFS($B$2:B1437,B1437,$C$2:C1437,C1437,$D$2:D1437,"&lt;&gt;Negative*",$T$2:T1437,"&lt;&gt;Retracted")=1,1,0))</f>
        <v>1</v>
      </c>
    </row>
    <row r="1438" spans="1:21" x14ac:dyDescent="0.2">
      <c r="A1438" t="s">
        <v>3453</v>
      </c>
      <c r="B1438" t="s">
        <v>179</v>
      </c>
      <c r="C1438" t="s">
        <v>1203</v>
      </c>
      <c r="D1438" t="s">
        <v>1575</v>
      </c>
      <c r="E1438" t="s">
        <v>180</v>
      </c>
      <c r="F1438" t="s">
        <v>1566</v>
      </c>
      <c r="I1438" t="s">
        <v>1058</v>
      </c>
      <c r="K1438">
        <v>1881</v>
      </c>
      <c r="L1438">
        <v>1881</v>
      </c>
      <c r="M1438" t="s">
        <v>203</v>
      </c>
      <c r="N1438" t="s">
        <v>203</v>
      </c>
      <c r="Q1438" s="2" t="str">
        <f>IF($C1438="","",IFERROR(VLOOKUP($C1438,sources!$A$2:$N$200,2,FALSE()),"?"))</f>
        <v>Newspaper</v>
      </c>
      <c r="R1438" s="2" t="str">
        <f t="shared" si="22"/>
        <v>Textual</v>
      </c>
      <c r="S1438" s="2" t="str">
        <f>IF($C1438="","",IFERROR(VLOOKUP($C1438,sources!$A$2:$N$200,9,FALSE()),"?"))</f>
        <v>US press</v>
      </c>
      <c r="T1438" t="s">
        <v>5692</v>
      </c>
      <c r="U1438">
        <f>IF(OR(B1438="",C1438="",T1438="Retracted",LEFT(D1438,8)="Negative"),0,IF(COUNTIFS($B$2:B1438,B1438,$C$2:C1438,C1438,$D$2:D1438,"&lt;&gt;Negative*",$T$2:T1438,"&lt;&gt;Retracted")=1,1,0))</f>
        <v>0</v>
      </c>
    </row>
    <row r="1439" spans="1:21" x14ac:dyDescent="0.2">
      <c r="A1439" t="s">
        <v>3454</v>
      </c>
      <c r="B1439" t="s">
        <v>415</v>
      </c>
      <c r="C1439" t="s">
        <v>1203</v>
      </c>
      <c r="D1439" t="s">
        <v>1575</v>
      </c>
      <c r="E1439" t="s">
        <v>2075</v>
      </c>
      <c r="F1439" t="s">
        <v>1583</v>
      </c>
      <c r="I1439" t="s">
        <v>1058</v>
      </c>
      <c r="K1439">
        <v>1881</v>
      </c>
      <c r="L1439">
        <v>1881</v>
      </c>
      <c r="M1439" t="s">
        <v>203</v>
      </c>
      <c r="N1439" t="s">
        <v>203</v>
      </c>
      <c r="Q1439" s="2" t="str">
        <f>IF($C1439="","",IFERROR(VLOOKUP($C1439,sources!$A$2:$N$200,2,FALSE()),"?"))</f>
        <v>Newspaper</v>
      </c>
      <c r="R1439" s="2" t="str">
        <f t="shared" si="22"/>
        <v>Textual</v>
      </c>
      <c r="S1439" s="2" t="str">
        <f>IF($C1439="","",IFERROR(VLOOKUP($C1439,sources!$A$2:$N$200,9,FALSE()),"?"))</f>
        <v>US press</v>
      </c>
      <c r="T1439" t="s">
        <v>5692</v>
      </c>
      <c r="U1439">
        <f>IF(OR(B1439="",C1439="",T1439="Retracted",LEFT(D1439,8)="Negative"),0,IF(COUNTIFS($B$2:B1439,B1439,$C$2:C1439,C1439,$D$2:D1439,"&lt;&gt;Negative*",$T$2:T1439,"&lt;&gt;Retracted")=1,1,0))</f>
        <v>0</v>
      </c>
    </row>
    <row r="1440" spans="1:21" x14ac:dyDescent="0.2">
      <c r="A1440" t="s">
        <v>3455</v>
      </c>
      <c r="B1440" t="s">
        <v>565</v>
      </c>
      <c r="C1440" t="s">
        <v>1203</v>
      </c>
      <c r="D1440" t="s">
        <v>1575</v>
      </c>
      <c r="E1440" t="s">
        <v>3386</v>
      </c>
      <c r="F1440" t="s">
        <v>1566</v>
      </c>
      <c r="I1440" t="s">
        <v>1058</v>
      </c>
      <c r="K1440">
        <v>1886</v>
      </c>
      <c r="L1440">
        <v>1886</v>
      </c>
      <c r="M1440" t="s">
        <v>203</v>
      </c>
      <c r="N1440" t="s">
        <v>203</v>
      </c>
      <c r="Q1440" s="2" t="str">
        <f>IF($C1440="","",IFERROR(VLOOKUP($C1440,sources!$A$2:$N$200,2,FALSE()),"?"))</f>
        <v>Newspaper</v>
      </c>
      <c r="R1440" s="2" t="str">
        <f t="shared" si="22"/>
        <v>Textual</v>
      </c>
      <c r="S1440" s="2" t="str">
        <f>IF($C1440="","",IFERROR(VLOOKUP($C1440,sources!$A$2:$N$200,9,FALSE()),"?"))</f>
        <v>US press</v>
      </c>
      <c r="T1440" t="s">
        <v>5692</v>
      </c>
      <c r="U1440">
        <f>IF(OR(B1440="",C1440="",T1440="Retracted",LEFT(D1440,8)="Negative"),0,IF(COUNTIFS($B$2:B1440,B1440,$C$2:C1440,C1440,$D$2:D1440,"&lt;&gt;Negative*",$T$2:T1440,"&lt;&gt;Retracted")=1,1,0))</f>
        <v>0</v>
      </c>
    </row>
    <row r="1441" spans="1:21" x14ac:dyDescent="0.2">
      <c r="A1441" t="s">
        <v>3456</v>
      </c>
      <c r="B1441" t="s">
        <v>363</v>
      </c>
      <c r="C1441" t="s">
        <v>1203</v>
      </c>
      <c r="D1441" t="s">
        <v>1564</v>
      </c>
      <c r="E1441" t="s">
        <v>1654</v>
      </c>
      <c r="F1441" t="s">
        <v>2423</v>
      </c>
      <c r="I1441" t="s">
        <v>1058</v>
      </c>
      <c r="K1441">
        <v>1884</v>
      </c>
      <c r="L1441">
        <v>1884</v>
      </c>
      <c r="M1441" t="s">
        <v>203</v>
      </c>
      <c r="N1441" t="s">
        <v>203</v>
      </c>
      <c r="Q1441" s="2" t="str">
        <f>IF($C1441="","",IFERROR(VLOOKUP($C1441,sources!$A$2:$N$200,2,FALSE()),"?"))</f>
        <v>Newspaper</v>
      </c>
      <c r="R1441" s="2" t="str">
        <f t="shared" si="22"/>
        <v>Textual</v>
      </c>
      <c r="S1441" s="2" t="str">
        <f>IF($C1441="","",IFERROR(VLOOKUP($C1441,sources!$A$2:$N$200,9,FALSE()),"?"))</f>
        <v>US press</v>
      </c>
      <c r="T1441" t="s">
        <v>5692</v>
      </c>
      <c r="U1441">
        <f>IF(OR(B1441="",C1441="",T1441="Retracted",LEFT(D1441,8)="Negative"),0,IF(COUNTIFS($B$2:B1441,B1441,$C$2:C1441,C1441,$D$2:D1441,"&lt;&gt;Negative*",$T$2:T1441,"&lt;&gt;Retracted")=1,1,0))</f>
        <v>1</v>
      </c>
    </row>
    <row r="1442" spans="1:21" x14ac:dyDescent="0.2">
      <c r="A1442" t="s">
        <v>3457</v>
      </c>
      <c r="B1442" t="s">
        <v>456</v>
      </c>
      <c r="C1442" t="s">
        <v>1203</v>
      </c>
      <c r="D1442" t="s">
        <v>1575</v>
      </c>
      <c r="E1442" t="s">
        <v>3458</v>
      </c>
      <c r="F1442" t="s">
        <v>1583</v>
      </c>
      <c r="I1442" t="s">
        <v>1058</v>
      </c>
      <c r="K1442">
        <v>1908</v>
      </c>
      <c r="L1442">
        <v>1908</v>
      </c>
      <c r="M1442" t="s">
        <v>203</v>
      </c>
      <c r="N1442" t="s">
        <v>203</v>
      </c>
      <c r="Q1442" s="2" t="str">
        <f>IF($C1442="","",IFERROR(VLOOKUP($C1442,sources!$A$2:$N$200,2,FALSE()),"?"))</f>
        <v>Newspaper</v>
      </c>
      <c r="R1442" s="2" t="str">
        <f t="shared" si="22"/>
        <v>Textual</v>
      </c>
      <c r="S1442" s="2" t="str">
        <f>IF($C1442="","",IFERROR(VLOOKUP($C1442,sources!$A$2:$N$200,9,FALSE()),"?"))</f>
        <v>US press</v>
      </c>
      <c r="T1442" t="s">
        <v>5692</v>
      </c>
      <c r="U1442">
        <f>IF(OR(B1442="",C1442="",T1442="Retracted",LEFT(D1442,8)="Negative"),0,IF(COUNTIFS($B$2:B1442,B1442,$C$2:C1442,C1442,$D$2:D1442,"&lt;&gt;Negative*",$T$2:T1442,"&lt;&gt;Retracted")=1,1,0))</f>
        <v>1</v>
      </c>
    </row>
    <row r="1443" spans="1:21" x14ac:dyDescent="0.2">
      <c r="A1443" t="s">
        <v>3459</v>
      </c>
      <c r="B1443" t="s">
        <v>242</v>
      </c>
      <c r="C1443" t="s">
        <v>1203</v>
      </c>
      <c r="D1443" t="s">
        <v>1575</v>
      </c>
      <c r="E1443" t="s">
        <v>1821</v>
      </c>
      <c r="F1443" t="s">
        <v>1583</v>
      </c>
      <c r="I1443" t="s">
        <v>1058</v>
      </c>
      <c r="K1443">
        <v>1914</v>
      </c>
      <c r="L1443">
        <v>1914</v>
      </c>
      <c r="M1443" t="s">
        <v>203</v>
      </c>
      <c r="N1443" t="s">
        <v>203</v>
      </c>
      <c r="Q1443" s="2" t="str">
        <f>IF($C1443="","",IFERROR(VLOOKUP($C1443,sources!$A$2:$N$200,2,FALSE()),"?"))</f>
        <v>Newspaper</v>
      </c>
      <c r="R1443" s="2" t="str">
        <f t="shared" si="22"/>
        <v>Textual</v>
      </c>
      <c r="S1443" s="2" t="str">
        <f>IF($C1443="","",IFERROR(VLOOKUP($C1443,sources!$A$2:$N$200,9,FALSE()),"?"))</f>
        <v>US press</v>
      </c>
      <c r="T1443" t="s">
        <v>5692</v>
      </c>
      <c r="U1443">
        <f>IF(OR(B1443="",C1443="",T1443="Retracted",LEFT(D1443,8)="Negative"),0,IF(COUNTIFS($B$2:B1443,B1443,$C$2:C1443,C1443,$D$2:D1443,"&lt;&gt;Negative*",$T$2:T1443,"&lt;&gt;Retracted")=1,1,0))</f>
        <v>1</v>
      </c>
    </row>
    <row r="1444" spans="1:21" x14ac:dyDescent="0.2">
      <c r="A1444" t="s">
        <v>3460</v>
      </c>
      <c r="B1444" t="s">
        <v>226</v>
      </c>
      <c r="C1444" t="s">
        <v>1203</v>
      </c>
      <c r="D1444" t="s">
        <v>1613</v>
      </c>
      <c r="E1444" t="s">
        <v>3382</v>
      </c>
      <c r="F1444" t="s">
        <v>1566</v>
      </c>
      <c r="I1444" t="s">
        <v>1058</v>
      </c>
      <c r="M1444" t="s">
        <v>190</v>
      </c>
      <c r="N1444" t="s">
        <v>209</v>
      </c>
      <c r="Q1444" s="2" t="str">
        <f>IF($C1444="","",IFERROR(VLOOKUP($C1444,sources!$A$2:$N$200,2,FALSE()),"?"))</f>
        <v>Newspaper</v>
      </c>
      <c r="R1444" s="2" t="str">
        <f t="shared" si="22"/>
        <v>Textual</v>
      </c>
      <c r="S1444" s="2" t="str">
        <f>IF($C1444="","",IFERROR(VLOOKUP($C1444,sources!$A$2:$N$200,9,FALSE()),"?"))</f>
        <v>US press</v>
      </c>
      <c r="T1444" t="s">
        <v>5692</v>
      </c>
      <c r="U1444">
        <f>IF(OR(B1444="",C1444="",T1444="Retracted",LEFT(D1444,8)="Negative"),0,IF(COUNTIFS($B$2:B1444,B1444,$C$2:C1444,C1444,$D$2:D1444,"&lt;&gt;Negative*",$T$2:T1444,"&lt;&gt;Retracted")=1,1,0))</f>
        <v>0</v>
      </c>
    </row>
    <row r="1445" spans="1:21" x14ac:dyDescent="0.2">
      <c r="A1445" t="s">
        <v>3461</v>
      </c>
      <c r="B1445" t="s">
        <v>219</v>
      </c>
      <c r="C1445" t="s">
        <v>1203</v>
      </c>
      <c r="D1445" t="s">
        <v>1613</v>
      </c>
      <c r="E1445" t="s">
        <v>3380</v>
      </c>
      <c r="F1445" t="s">
        <v>2423</v>
      </c>
      <c r="I1445" t="s">
        <v>1058</v>
      </c>
      <c r="M1445" t="s">
        <v>190</v>
      </c>
      <c r="N1445" t="s">
        <v>209</v>
      </c>
      <c r="Q1445" s="2" t="str">
        <f>IF($C1445="","",IFERROR(VLOOKUP($C1445,sources!$A$2:$N$200,2,FALSE()),"?"))</f>
        <v>Newspaper</v>
      </c>
      <c r="R1445" s="2" t="str">
        <f t="shared" si="22"/>
        <v>Textual</v>
      </c>
      <c r="S1445" s="2" t="str">
        <f>IF($C1445="","",IFERROR(VLOOKUP($C1445,sources!$A$2:$N$200,9,FALSE()),"?"))</f>
        <v>US press</v>
      </c>
      <c r="T1445" t="s">
        <v>5692</v>
      </c>
      <c r="U1445">
        <f>IF(OR(B1445="",C1445="",T1445="Retracted",LEFT(D1445,8)="Negative"),0,IF(COUNTIFS($B$2:B1445,B1445,$C$2:C1445,C1445,$D$2:D1445,"&lt;&gt;Negative*",$T$2:T1445,"&lt;&gt;Retracted")=1,1,0))</f>
        <v>0</v>
      </c>
    </row>
    <row r="1446" spans="1:21" x14ac:dyDescent="0.2">
      <c r="A1446" t="s">
        <v>3462</v>
      </c>
      <c r="B1446" t="s">
        <v>424</v>
      </c>
      <c r="C1446" t="s">
        <v>1203</v>
      </c>
      <c r="D1446" t="s">
        <v>1613</v>
      </c>
      <c r="E1446" t="s">
        <v>3384</v>
      </c>
      <c r="F1446" t="s">
        <v>1566</v>
      </c>
      <c r="I1446" t="s">
        <v>1058</v>
      </c>
      <c r="M1446" t="s">
        <v>190</v>
      </c>
      <c r="N1446" t="s">
        <v>209</v>
      </c>
      <c r="Q1446" s="2" t="str">
        <f>IF($C1446="","",IFERROR(VLOOKUP($C1446,sources!$A$2:$N$200,2,FALSE()),"?"))</f>
        <v>Newspaper</v>
      </c>
      <c r="R1446" s="2" t="str">
        <f t="shared" si="22"/>
        <v>Textual</v>
      </c>
      <c r="S1446" s="2" t="str">
        <f>IF($C1446="","",IFERROR(VLOOKUP($C1446,sources!$A$2:$N$200,9,FALSE()),"?"))</f>
        <v>US press</v>
      </c>
      <c r="T1446" t="s">
        <v>5692</v>
      </c>
      <c r="U1446">
        <f>IF(OR(B1446="",C1446="",T1446="Retracted",LEFT(D1446,8)="Negative"),0,IF(COUNTIFS($B$2:B1446,B1446,$C$2:C1446,C1446,$D$2:D1446,"&lt;&gt;Negative*",$T$2:T1446,"&lt;&gt;Retracted")=1,1,0))</f>
        <v>0</v>
      </c>
    </row>
    <row r="1447" spans="1:21" x14ac:dyDescent="0.2">
      <c r="A1447" t="s">
        <v>3463</v>
      </c>
      <c r="B1447" t="s">
        <v>490</v>
      </c>
      <c r="C1447" t="s">
        <v>1203</v>
      </c>
      <c r="D1447" t="s">
        <v>1613</v>
      </c>
      <c r="E1447" t="s">
        <v>3376</v>
      </c>
      <c r="F1447" t="s">
        <v>1566</v>
      </c>
      <c r="I1447" t="s">
        <v>1058</v>
      </c>
      <c r="M1447" t="s">
        <v>190</v>
      </c>
      <c r="N1447" t="s">
        <v>209</v>
      </c>
      <c r="Q1447" s="2" t="str">
        <f>IF($C1447="","",IFERROR(VLOOKUP($C1447,sources!$A$2:$N$200,2,FALSE()),"?"))</f>
        <v>Newspaper</v>
      </c>
      <c r="R1447" s="2" t="str">
        <f t="shared" si="22"/>
        <v>Textual</v>
      </c>
      <c r="S1447" s="2" t="str">
        <f>IF($C1447="","",IFERROR(VLOOKUP($C1447,sources!$A$2:$N$200,9,FALSE()),"?"))</f>
        <v>US press</v>
      </c>
      <c r="T1447" t="s">
        <v>5692</v>
      </c>
      <c r="U1447">
        <f>IF(OR(B1447="",C1447="",T1447="Retracted",LEFT(D1447,8)="Negative"),0,IF(COUNTIFS($B$2:B1447,B1447,$C$2:C1447,C1447,$D$2:D1447,"&lt;&gt;Negative*",$T$2:T1447,"&lt;&gt;Retracted")=1,1,0))</f>
        <v>0</v>
      </c>
    </row>
    <row r="1448" spans="1:21" x14ac:dyDescent="0.2">
      <c r="A1448" t="s">
        <v>3464</v>
      </c>
      <c r="B1448" t="s">
        <v>852</v>
      </c>
      <c r="C1448" t="s">
        <v>1203</v>
      </c>
      <c r="D1448" t="s">
        <v>1613</v>
      </c>
      <c r="E1448" t="s">
        <v>854</v>
      </c>
      <c r="F1448" t="s">
        <v>1583</v>
      </c>
      <c r="I1448" t="s">
        <v>1058</v>
      </c>
      <c r="M1448" t="s">
        <v>190</v>
      </c>
      <c r="N1448" t="s">
        <v>209</v>
      </c>
      <c r="Q1448" s="2" t="str">
        <f>IF($C1448="","",IFERROR(VLOOKUP($C1448,sources!$A$2:$N$200,2,FALSE()),"?"))</f>
        <v>Newspaper</v>
      </c>
      <c r="R1448" s="2" t="str">
        <f t="shared" si="22"/>
        <v>Textual</v>
      </c>
      <c r="S1448" s="2" t="str">
        <f>IF($C1448="","",IFERROR(VLOOKUP($C1448,sources!$A$2:$N$200,9,FALSE()),"?"))</f>
        <v>US press</v>
      </c>
      <c r="T1448" t="s">
        <v>5692</v>
      </c>
      <c r="U1448">
        <f>IF(OR(B1448="",C1448="",T1448="Retracted",LEFT(D1448,8)="Negative"),0,IF(COUNTIFS($B$2:B1448,B1448,$C$2:C1448,C1448,$D$2:D1448,"&lt;&gt;Negative*",$T$2:T1448,"&lt;&gt;Retracted")=1,1,0))</f>
        <v>0</v>
      </c>
    </row>
    <row r="1449" spans="1:21" x14ac:dyDescent="0.2">
      <c r="A1449" t="s">
        <v>3465</v>
      </c>
      <c r="B1449" t="s">
        <v>776</v>
      </c>
      <c r="C1449" t="s">
        <v>1148</v>
      </c>
      <c r="D1449" t="s">
        <v>1575</v>
      </c>
      <c r="E1449" t="s">
        <v>777</v>
      </c>
      <c r="F1449" t="s">
        <v>1566</v>
      </c>
      <c r="I1449" t="s">
        <v>1058</v>
      </c>
      <c r="K1449">
        <v>1907</v>
      </c>
      <c r="L1449">
        <v>1916</v>
      </c>
      <c r="M1449" t="s">
        <v>203</v>
      </c>
      <c r="N1449" t="s">
        <v>203</v>
      </c>
      <c r="Q1449" s="2" t="str">
        <f>IF($C1449="","",IFERROR(VLOOKUP($C1449,sources!$A$2:$N$200,2,FALSE()),"?"))</f>
        <v>Report</v>
      </c>
      <c r="R1449" s="2" t="str">
        <f t="shared" si="22"/>
        <v>Textual</v>
      </c>
      <c r="S1449" s="2" t="str">
        <f>IF($C1449="","",IFERROR(VLOOKUP($C1449,sources!$A$2:$N$200,9,FALSE()),"?"))</f>
        <v>US official</v>
      </c>
      <c r="T1449" t="s">
        <v>5692</v>
      </c>
      <c r="U1449">
        <f>IF(OR(B1449="",C1449="",T1449="Retracted",LEFT(D1449,8)="Negative"),0,IF(COUNTIFS($B$2:B1449,B1449,$C$2:C1449,C1449,$D$2:D1449,"&lt;&gt;Negative*",$T$2:T1449,"&lt;&gt;Retracted")=1,1,0))</f>
        <v>1</v>
      </c>
    </row>
    <row r="1450" spans="1:21" x14ac:dyDescent="0.2">
      <c r="A1450" t="s">
        <v>3466</v>
      </c>
      <c r="B1450" t="s">
        <v>776</v>
      </c>
      <c r="C1450" t="s">
        <v>1148</v>
      </c>
      <c r="D1450" t="s">
        <v>1577</v>
      </c>
      <c r="E1450" t="s">
        <v>3467</v>
      </c>
      <c r="F1450" t="s">
        <v>1566</v>
      </c>
      <c r="I1450" t="s">
        <v>1058</v>
      </c>
      <c r="K1450">
        <v>1909</v>
      </c>
      <c r="L1450">
        <v>1911</v>
      </c>
      <c r="M1450" t="s">
        <v>203</v>
      </c>
      <c r="N1450" t="s">
        <v>203</v>
      </c>
      <c r="Q1450" s="2" t="str">
        <f>IF($C1450="","",IFERROR(VLOOKUP($C1450,sources!$A$2:$N$200,2,FALSE()),"?"))</f>
        <v>Report</v>
      </c>
      <c r="R1450" s="2" t="str">
        <f t="shared" si="22"/>
        <v>Textual</v>
      </c>
      <c r="S1450" s="2" t="str">
        <f>IF($C1450="","",IFERROR(VLOOKUP($C1450,sources!$A$2:$N$200,9,FALSE()),"?"))</f>
        <v>US official</v>
      </c>
      <c r="T1450" t="s">
        <v>5692</v>
      </c>
      <c r="U1450">
        <f>IF(OR(B1450="",C1450="",T1450="Retracted",LEFT(D1450,8)="Negative"),0,IF(COUNTIFS($B$2:B1450,B1450,$C$2:C1450,C1450,$D$2:D1450,"&lt;&gt;Negative*",$T$2:T1450,"&lt;&gt;Retracted")=1,1,0))</f>
        <v>0</v>
      </c>
    </row>
    <row r="1451" spans="1:21" x14ac:dyDescent="0.2">
      <c r="A1451" t="s">
        <v>3468</v>
      </c>
      <c r="B1451" t="s">
        <v>776</v>
      </c>
      <c r="C1451" t="s">
        <v>1148</v>
      </c>
      <c r="D1451" t="s">
        <v>1575</v>
      </c>
      <c r="E1451" t="s">
        <v>3469</v>
      </c>
      <c r="F1451" t="s">
        <v>1583</v>
      </c>
      <c r="I1451" t="s">
        <v>1058</v>
      </c>
      <c r="K1451">
        <v>1908</v>
      </c>
      <c r="L1451">
        <v>1915</v>
      </c>
      <c r="M1451" t="s">
        <v>203</v>
      </c>
      <c r="N1451" t="s">
        <v>203</v>
      </c>
      <c r="Q1451" s="2" t="str">
        <f>IF($C1451="","",IFERROR(VLOOKUP($C1451,sources!$A$2:$N$200,2,FALSE()),"?"))</f>
        <v>Report</v>
      </c>
      <c r="R1451" s="2" t="str">
        <f t="shared" si="22"/>
        <v>Textual</v>
      </c>
      <c r="S1451" s="2" t="str">
        <f>IF($C1451="","",IFERROR(VLOOKUP($C1451,sources!$A$2:$N$200,9,FALSE()),"?"))</f>
        <v>US official</v>
      </c>
      <c r="T1451" t="s">
        <v>5692</v>
      </c>
      <c r="U1451">
        <f>IF(OR(B1451="",C1451="",T1451="Retracted",LEFT(D1451,8)="Negative"),0,IF(COUNTIFS($B$2:B1451,B1451,$C$2:C1451,C1451,$D$2:D1451,"&lt;&gt;Negative*",$T$2:T1451,"&lt;&gt;Retracted")=1,1,0))</f>
        <v>0</v>
      </c>
    </row>
    <row r="1452" spans="1:21" x14ac:dyDescent="0.2">
      <c r="A1452" t="s">
        <v>3470</v>
      </c>
      <c r="B1452" t="s">
        <v>776</v>
      </c>
      <c r="C1452" t="s">
        <v>1203</v>
      </c>
      <c r="D1452" t="s">
        <v>1577</v>
      </c>
      <c r="E1452" t="s">
        <v>777</v>
      </c>
      <c r="F1452" t="s">
        <v>1566</v>
      </c>
      <c r="I1452" t="s">
        <v>1058</v>
      </c>
      <c r="K1452">
        <v>1910</v>
      </c>
      <c r="L1452">
        <v>1910</v>
      </c>
      <c r="M1452" t="s">
        <v>203</v>
      </c>
      <c r="N1452" t="s">
        <v>203</v>
      </c>
      <c r="Q1452" s="2" t="str">
        <f>IF($C1452="","",IFERROR(VLOOKUP($C1452,sources!$A$2:$N$200,2,FALSE()),"?"))</f>
        <v>Newspaper</v>
      </c>
      <c r="R1452" s="2" t="str">
        <f t="shared" si="22"/>
        <v>Textual</v>
      </c>
      <c r="S1452" s="2" t="str">
        <f>IF($C1452="","",IFERROR(VLOOKUP($C1452,sources!$A$2:$N$200,9,FALSE()),"?"))</f>
        <v>US press</v>
      </c>
      <c r="T1452" t="s">
        <v>5692</v>
      </c>
      <c r="U1452">
        <f>IF(OR(B1452="",C1452="",T1452="Retracted",LEFT(D1452,8)="Negative"),0,IF(COUNTIFS($B$2:B1452,B1452,$C$2:C1452,C1452,$D$2:D1452,"&lt;&gt;Negative*",$T$2:T1452,"&lt;&gt;Retracted")=1,1,0))</f>
        <v>1</v>
      </c>
    </row>
    <row r="1453" spans="1:21" ht="26" x14ac:dyDescent="0.2">
      <c r="A1453" t="s">
        <v>3471</v>
      </c>
      <c r="B1453" t="s">
        <v>330</v>
      </c>
      <c r="C1453" t="s">
        <v>1434</v>
      </c>
      <c r="D1453" t="s">
        <v>1572</v>
      </c>
      <c r="E1453" t="s">
        <v>3472</v>
      </c>
      <c r="F1453" t="s">
        <v>1583</v>
      </c>
      <c r="G1453">
        <v>9.3558900000000005</v>
      </c>
      <c r="H1453">
        <v>-79.900599999999997</v>
      </c>
      <c r="I1453" t="s">
        <v>3312</v>
      </c>
      <c r="J1453">
        <v>300</v>
      </c>
      <c r="K1453">
        <v>1857</v>
      </c>
      <c r="L1453">
        <v>1857</v>
      </c>
      <c r="M1453" t="s">
        <v>203</v>
      </c>
      <c r="N1453" t="s">
        <v>203</v>
      </c>
      <c r="Q1453" s="2" t="str">
        <f>IF($C1453="","",IFERROR(VLOOKUP($C1453,sources!$A$2:$N$200,2,FALSE()),"?"))</f>
        <v>Map</v>
      </c>
      <c r="R1453" s="2" t="str">
        <f t="shared" si="22"/>
        <v>Map</v>
      </c>
      <c r="S1453" s="2" t="str">
        <f>IF($C1453="","",IFERROR(VLOOKUP($C1453,sources!$A$2:$N$200,9,FALSE()),"?"))</f>
        <v>US corporate (PRR)</v>
      </c>
      <c r="T1453" t="s">
        <v>5692</v>
      </c>
      <c r="U1453">
        <f>IF(OR(B1453="",C1453="",T1453="Retracted",LEFT(D1453,8)="Negative"),0,IF(COUNTIFS($B$2:B1453,B1453,$C$2:C1453,C1453,$D$2:D1453,"&lt;&gt;Negative*",$T$2:T1453,"&lt;&gt;Retracted")=1,1,0))</f>
        <v>1</v>
      </c>
    </row>
    <row r="1454" spans="1:21" ht="26" x14ac:dyDescent="0.2">
      <c r="A1454" t="s">
        <v>3473</v>
      </c>
      <c r="B1454" t="s">
        <v>415</v>
      </c>
      <c r="C1454" t="s">
        <v>1434</v>
      </c>
      <c r="D1454" t="s">
        <v>1564</v>
      </c>
      <c r="E1454" t="s">
        <v>2075</v>
      </c>
      <c r="F1454" t="s">
        <v>1583</v>
      </c>
      <c r="I1454" t="s">
        <v>1058</v>
      </c>
      <c r="K1454">
        <v>1857</v>
      </c>
      <c r="L1454">
        <v>1857</v>
      </c>
      <c r="M1454" t="s">
        <v>203</v>
      </c>
      <c r="N1454" t="s">
        <v>203</v>
      </c>
      <c r="Q1454" s="2" t="str">
        <f>IF($C1454="","",IFERROR(VLOOKUP($C1454,sources!$A$2:$N$200,2,FALSE()),"?"))</f>
        <v>Map</v>
      </c>
      <c r="R1454" s="2" t="str">
        <f t="shared" si="22"/>
        <v>Map</v>
      </c>
      <c r="S1454" s="2" t="str">
        <f>IF($C1454="","",IFERROR(VLOOKUP($C1454,sources!$A$2:$N$200,9,FALSE()),"?"))</f>
        <v>US corporate (PRR)</v>
      </c>
      <c r="T1454" t="s">
        <v>5692</v>
      </c>
      <c r="U1454">
        <f>IF(OR(B1454="",C1454="",T1454="Retracted",LEFT(D1454,8)="Negative"),0,IF(COUNTIFS($B$2:B1454,B1454,$C$2:C1454,C1454,$D$2:D1454,"&lt;&gt;Negative*",$T$2:T1454,"&lt;&gt;Retracted")=1,1,0))</f>
        <v>1</v>
      </c>
    </row>
    <row r="1455" spans="1:21" ht="26" x14ac:dyDescent="0.2">
      <c r="A1455" t="s">
        <v>3474</v>
      </c>
      <c r="B1455" t="s">
        <v>383</v>
      </c>
      <c r="C1455" t="s">
        <v>1434</v>
      </c>
      <c r="D1455" t="s">
        <v>1564</v>
      </c>
      <c r="E1455" t="s">
        <v>3475</v>
      </c>
      <c r="F1455" t="s">
        <v>1566</v>
      </c>
      <c r="I1455" t="s">
        <v>1058</v>
      </c>
      <c r="K1455">
        <v>1857</v>
      </c>
      <c r="L1455">
        <v>1857</v>
      </c>
      <c r="M1455" t="s">
        <v>203</v>
      </c>
      <c r="N1455" t="s">
        <v>203</v>
      </c>
      <c r="Q1455" s="2" t="str">
        <f>IF($C1455="","",IFERROR(VLOOKUP($C1455,sources!$A$2:$N$200,2,FALSE()),"?"))</f>
        <v>Map</v>
      </c>
      <c r="R1455" s="2" t="str">
        <f t="shared" si="22"/>
        <v>Map</v>
      </c>
      <c r="S1455" s="2" t="str">
        <f>IF($C1455="","",IFERROR(VLOOKUP($C1455,sources!$A$2:$N$200,9,FALSE()),"?"))</f>
        <v>US corporate (PRR)</v>
      </c>
      <c r="T1455" t="s">
        <v>5692</v>
      </c>
      <c r="U1455">
        <f>IF(OR(B1455="",C1455="",T1455="Retracted",LEFT(D1455,8)="Negative"),0,IF(COUNTIFS($B$2:B1455,B1455,$C$2:C1455,C1455,$D$2:D1455,"&lt;&gt;Negative*",$T$2:T1455,"&lt;&gt;Retracted")=1,1,0))</f>
        <v>1</v>
      </c>
    </row>
    <row r="1456" spans="1:21" ht="26" x14ac:dyDescent="0.2">
      <c r="A1456" t="s">
        <v>3476</v>
      </c>
      <c r="B1456" t="s">
        <v>219</v>
      </c>
      <c r="C1456" t="s">
        <v>1434</v>
      </c>
      <c r="D1456" t="s">
        <v>1572</v>
      </c>
      <c r="E1456" t="s">
        <v>3477</v>
      </c>
      <c r="F1456" t="s">
        <v>1583</v>
      </c>
      <c r="G1456">
        <v>9.256945</v>
      </c>
      <c r="H1456">
        <v>-79.924008999999998</v>
      </c>
      <c r="I1456" t="s">
        <v>3312</v>
      </c>
      <c r="J1456">
        <v>600</v>
      </c>
      <c r="K1456">
        <v>1857</v>
      </c>
      <c r="L1456">
        <v>1857</v>
      </c>
      <c r="M1456" t="s">
        <v>203</v>
      </c>
      <c r="N1456" t="s">
        <v>209</v>
      </c>
      <c r="Q1456" s="2" t="str">
        <f>IF($C1456="","",IFERROR(VLOOKUP($C1456,sources!$A$2:$N$200,2,FALSE()),"?"))</f>
        <v>Map</v>
      </c>
      <c r="R1456" s="2" t="str">
        <f t="shared" si="22"/>
        <v>Map</v>
      </c>
      <c r="S1456" s="2" t="str">
        <f>IF($C1456="","",IFERROR(VLOOKUP($C1456,sources!$A$2:$N$200,9,FALSE()),"?"))</f>
        <v>US corporate (PRR)</v>
      </c>
      <c r="T1456" t="s">
        <v>5692</v>
      </c>
      <c r="U1456">
        <f>IF(OR(B1456="",C1456="",T1456="Retracted",LEFT(D1456,8)="Negative"),0,IF(COUNTIFS($B$2:B1456,B1456,$C$2:C1456,C1456,$D$2:D1456,"&lt;&gt;Negative*",$T$2:T1456,"&lt;&gt;Retracted")=1,1,0))</f>
        <v>1</v>
      </c>
    </row>
    <row r="1457" spans="1:21" ht="26" x14ac:dyDescent="0.2">
      <c r="A1457" t="s">
        <v>3478</v>
      </c>
      <c r="B1457" t="s">
        <v>392</v>
      </c>
      <c r="C1457" t="s">
        <v>1434</v>
      </c>
      <c r="D1457" t="s">
        <v>1572</v>
      </c>
      <c r="E1457" t="s">
        <v>393</v>
      </c>
      <c r="F1457" t="s">
        <v>1583</v>
      </c>
      <c r="G1457">
        <v>9.2322790000000001</v>
      </c>
      <c r="H1457">
        <v>-79.906205</v>
      </c>
      <c r="I1457" t="s">
        <v>3312</v>
      </c>
      <c r="J1457">
        <v>800</v>
      </c>
      <c r="K1457">
        <v>1857</v>
      </c>
      <c r="L1457">
        <v>1857</v>
      </c>
      <c r="M1457" t="s">
        <v>203</v>
      </c>
      <c r="N1457" t="s">
        <v>209</v>
      </c>
      <c r="Q1457" s="2" t="str">
        <f>IF($C1457="","",IFERROR(VLOOKUP($C1457,sources!$A$2:$N$200,2,FALSE()),"?"))</f>
        <v>Map</v>
      </c>
      <c r="R1457" s="2" t="str">
        <f t="shared" si="22"/>
        <v>Map</v>
      </c>
      <c r="S1457" s="2" t="str">
        <f>IF($C1457="","",IFERROR(VLOOKUP($C1457,sources!$A$2:$N$200,9,FALSE()),"?"))</f>
        <v>US corporate (PRR)</v>
      </c>
      <c r="T1457" t="s">
        <v>5692</v>
      </c>
      <c r="U1457">
        <f>IF(OR(B1457="",C1457="",T1457="Retracted",LEFT(D1457,8)="Negative"),0,IF(COUNTIFS($B$2:B1457,B1457,$C$2:C1457,C1457,$D$2:D1457,"&lt;&gt;Negative*",$T$2:T1457,"&lt;&gt;Retracted")=1,1,0))</f>
        <v>1</v>
      </c>
    </row>
    <row r="1458" spans="1:21" ht="26" x14ac:dyDescent="0.2">
      <c r="A1458" t="s">
        <v>3479</v>
      </c>
      <c r="B1458" t="s">
        <v>389</v>
      </c>
      <c r="C1458" t="s">
        <v>1434</v>
      </c>
      <c r="D1458" t="s">
        <v>1572</v>
      </c>
      <c r="E1458" t="s">
        <v>390</v>
      </c>
      <c r="F1458" t="s">
        <v>1583</v>
      </c>
      <c r="G1458">
        <v>9.2235709999999997</v>
      </c>
      <c r="H1458">
        <v>-79.894113000000004</v>
      </c>
      <c r="I1458" t="s">
        <v>3312</v>
      </c>
      <c r="J1458">
        <v>800</v>
      </c>
      <c r="K1458">
        <v>1857</v>
      </c>
      <c r="L1458">
        <v>1857</v>
      </c>
      <c r="M1458" t="s">
        <v>203</v>
      </c>
      <c r="N1458" t="s">
        <v>209</v>
      </c>
      <c r="Q1458" s="2" t="str">
        <f>IF($C1458="","",IFERROR(VLOOKUP($C1458,sources!$A$2:$N$200,2,FALSE()),"?"))</f>
        <v>Map</v>
      </c>
      <c r="R1458" s="2" t="str">
        <f t="shared" si="22"/>
        <v>Map</v>
      </c>
      <c r="S1458" s="2" t="str">
        <f>IF($C1458="","",IFERROR(VLOOKUP($C1458,sources!$A$2:$N$200,9,FALSE()),"?"))</f>
        <v>US corporate (PRR)</v>
      </c>
      <c r="T1458" t="s">
        <v>5692</v>
      </c>
      <c r="U1458">
        <f>IF(OR(B1458="",C1458="",T1458="Retracted",LEFT(D1458,8)="Negative"),0,IF(COUNTIFS($B$2:B1458,B1458,$C$2:C1458,C1458,$D$2:D1458,"&lt;&gt;Negative*",$T$2:T1458,"&lt;&gt;Retracted")=1,1,0))</f>
        <v>1</v>
      </c>
    </row>
    <row r="1459" spans="1:21" ht="26" x14ac:dyDescent="0.2">
      <c r="A1459" t="s">
        <v>3480</v>
      </c>
      <c r="B1459" t="s">
        <v>205</v>
      </c>
      <c r="C1459" t="s">
        <v>1434</v>
      </c>
      <c r="D1459" t="s">
        <v>1572</v>
      </c>
      <c r="E1459" t="s">
        <v>206</v>
      </c>
      <c r="F1459" t="s">
        <v>1566</v>
      </c>
      <c r="G1459">
        <v>9.2050210000000003</v>
      </c>
      <c r="H1459">
        <v>-79.870019999999997</v>
      </c>
      <c r="I1459" t="s">
        <v>3312</v>
      </c>
      <c r="J1459">
        <v>800</v>
      </c>
      <c r="K1459">
        <v>1857</v>
      </c>
      <c r="L1459">
        <v>1857</v>
      </c>
      <c r="M1459" t="s">
        <v>203</v>
      </c>
      <c r="N1459" t="s">
        <v>209</v>
      </c>
      <c r="Q1459" s="2" t="str">
        <f>IF($C1459="","",IFERROR(VLOOKUP($C1459,sources!$A$2:$N$200,2,FALSE()),"?"))</f>
        <v>Map</v>
      </c>
      <c r="R1459" s="2" t="str">
        <f t="shared" si="22"/>
        <v>Map</v>
      </c>
      <c r="S1459" s="2" t="str">
        <f>IF($C1459="","",IFERROR(VLOOKUP($C1459,sources!$A$2:$N$200,9,FALSE()),"?"))</f>
        <v>US corporate (PRR)</v>
      </c>
      <c r="T1459" t="s">
        <v>5692</v>
      </c>
      <c r="U1459">
        <f>IF(OR(B1459="",C1459="",T1459="Retracted",LEFT(D1459,8)="Negative"),0,IF(COUNTIFS($B$2:B1459,B1459,$C$2:C1459,C1459,$D$2:D1459,"&lt;&gt;Negative*",$T$2:T1459,"&lt;&gt;Retracted")=1,1,0))</f>
        <v>1</v>
      </c>
    </row>
    <row r="1460" spans="1:21" ht="26" x14ac:dyDescent="0.2">
      <c r="A1460" t="s">
        <v>3481</v>
      </c>
      <c r="B1460" t="s">
        <v>607</v>
      </c>
      <c r="C1460" t="s">
        <v>1434</v>
      </c>
      <c r="D1460" t="s">
        <v>1572</v>
      </c>
      <c r="E1460" t="s">
        <v>608</v>
      </c>
      <c r="F1460" t="s">
        <v>1566</v>
      </c>
      <c r="G1460">
        <v>9.2056769999999997</v>
      </c>
      <c r="H1460">
        <v>-79.885947999999999</v>
      </c>
      <c r="I1460" t="s">
        <v>3312</v>
      </c>
      <c r="J1460">
        <v>600</v>
      </c>
      <c r="K1460">
        <v>1857</v>
      </c>
      <c r="L1460">
        <v>1857</v>
      </c>
      <c r="M1460" t="s">
        <v>203</v>
      </c>
      <c r="N1460" t="s">
        <v>203</v>
      </c>
      <c r="Q1460" s="2" t="str">
        <f>IF($C1460="","",IFERROR(VLOOKUP($C1460,sources!$A$2:$N$200,2,FALSE()),"?"))</f>
        <v>Map</v>
      </c>
      <c r="R1460" s="2" t="str">
        <f t="shared" si="22"/>
        <v>Map</v>
      </c>
      <c r="S1460" s="2" t="str">
        <f>IF($C1460="","",IFERROR(VLOOKUP($C1460,sources!$A$2:$N$200,9,FALSE()),"?"))</f>
        <v>US corporate (PRR)</v>
      </c>
      <c r="T1460" t="s">
        <v>5692</v>
      </c>
      <c r="U1460">
        <f>IF(OR(B1460="",C1460="",T1460="Retracted",LEFT(D1460,8)="Negative"),0,IF(COUNTIFS($B$2:B1460,B1460,$C$2:C1460,C1460,$D$2:D1460,"&lt;&gt;Negative*",$T$2:T1460,"&lt;&gt;Retracted")=1,1,0))</f>
        <v>1</v>
      </c>
    </row>
    <row r="1461" spans="1:21" ht="26" x14ac:dyDescent="0.2">
      <c r="A1461" t="s">
        <v>3482</v>
      </c>
      <c r="B1461" t="s">
        <v>495</v>
      </c>
      <c r="C1461" t="s">
        <v>1434</v>
      </c>
      <c r="D1461" t="s">
        <v>1572</v>
      </c>
      <c r="E1461" t="s">
        <v>496</v>
      </c>
      <c r="F1461" t="s">
        <v>1566</v>
      </c>
      <c r="G1461">
        <v>9.1836680000000008</v>
      </c>
      <c r="H1461">
        <v>-79.873703000000006</v>
      </c>
      <c r="I1461" t="s">
        <v>3312</v>
      </c>
      <c r="J1461">
        <v>600</v>
      </c>
      <c r="K1461">
        <v>1857</v>
      </c>
      <c r="L1461">
        <v>1857</v>
      </c>
      <c r="M1461" t="s">
        <v>203</v>
      </c>
      <c r="N1461" t="s">
        <v>203</v>
      </c>
      <c r="Q1461" s="2" t="str">
        <f>IF($C1461="","",IFERROR(VLOOKUP($C1461,sources!$A$2:$N$200,2,FALSE()),"?"))</f>
        <v>Map</v>
      </c>
      <c r="R1461" s="2" t="str">
        <f t="shared" si="22"/>
        <v>Map</v>
      </c>
      <c r="S1461" s="2" t="str">
        <f>IF($C1461="","",IFERROR(VLOOKUP($C1461,sources!$A$2:$N$200,9,FALSE()),"?"))</f>
        <v>US corporate (PRR)</v>
      </c>
      <c r="T1461" t="s">
        <v>5692</v>
      </c>
      <c r="U1461">
        <f>IF(OR(B1461="",C1461="",T1461="Retracted",LEFT(D1461,8)="Negative"),0,IF(COUNTIFS($B$2:B1461,B1461,$C$2:C1461,C1461,$D$2:D1461,"&lt;&gt;Negative*",$T$2:T1461,"&lt;&gt;Retracted")=1,1,0))</f>
        <v>1</v>
      </c>
    </row>
    <row r="1462" spans="1:21" ht="26" x14ac:dyDescent="0.2">
      <c r="A1462" t="s">
        <v>3483</v>
      </c>
      <c r="B1462" t="s">
        <v>498</v>
      </c>
      <c r="C1462" t="s">
        <v>1434</v>
      </c>
      <c r="D1462" t="s">
        <v>1564</v>
      </c>
      <c r="E1462" t="s">
        <v>3484</v>
      </c>
      <c r="F1462" t="s">
        <v>1566</v>
      </c>
      <c r="I1462" t="s">
        <v>1058</v>
      </c>
      <c r="K1462">
        <v>1857</v>
      </c>
      <c r="L1462">
        <v>1857</v>
      </c>
      <c r="M1462" t="s">
        <v>203</v>
      </c>
      <c r="N1462" t="s">
        <v>209</v>
      </c>
      <c r="Q1462" s="2" t="str">
        <f>IF($C1462="","",IFERROR(VLOOKUP($C1462,sources!$A$2:$N$200,2,FALSE()),"?"))</f>
        <v>Map</v>
      </c>
      <c r="R1462" s="2" t="str">
        <f t="shared" si="22"/>
        <v>Map</v>
      </c>
      <c r="S1462" s="2" t="str">
        <f>IF($C1462="","",IFERROR(VLOOKUP($C1462,sources!$A$2:$N$200,9,FALSE()),"?"))</f>
        <v>US corporate (PRR)</v>
      </c>
      <c r="T1462" t="s">
        <v>5692</v>
      </c>
      <c r="U1462">
        <f>IF(OR(B1462="",C1462="",T1462="Retracted",LEFT(D1462,8)="Negative"),0,IF(COUNTIFS($B$2:B1462,B1462,$C$2:C1462,C1462,$D$2:D1462,"&lt;&gt;Negative*",$T$2:T1462,"&lt;&gt;Retracted")=1,1,0))</f>
        <v>1</v>
      </c>
    </row>
    <row r="1463" spans="1:21" ht="26" x14ac:dyDescent="0.2">
      <c r="A1463" t="s">
        <v>3485</v>
      </c>
      <c r="B1463" t="s">
        <v>265</v>
      </c>
      <c r="C1463" t="s">
        <v>1434</v>
      </c>
      <c r="D1463" t="s">
        <v>1572</v>
      </c>
      <c r="E1463" t="s">
        <v>2763</v>
      </c>
      <c r="F1463" t="s">
        <v>1566</v>
      </c>
      <c r="G1463">
        <v>9.1856899999999992</v>
      </c>
      <c r="H1463">
        <v>-79.846754000000004</v>
      </c>
      <c r="I1463" t="s">
        <v>3312</v>
      </c>
      <c r="J1463">
        <v>600</v>
      </c>
      <c r="K1463">
        <v>1857</v>
      </c>
      <c r="L1463">
        <v>1857</v>
      </c>
      <c r="M1463" t="s">
        <v>203</v>
      </c>
      <c r="N1463" t="s">
        <v>203</v>
      </c>
      <c r="Q1463" s="2" t="str">
        <f>IF($C1463="","",IFERROR(VLOOKUP($C1463,sources!$A$2:$N$200,2,FALSE()),"?"))</f>
        <v>Map</v>
      </c>
      <c r="R1463" s="2" t="str">
        <f t="shared" si="22"/>
        <v>Map</v>
      </c>
      <c r="S1463" s="2" t="str">
        <f>IF($C1463="","",IFERROR(VLOOKUP($C1463,sources!$A$2:$N$200,9,FALSE()),"?"))</f>
        <v>US corporate (PRR)</v>
      </c>
      <c r="T1463" t="s">
        <v>5692</v>
      </c>
      <c r="U1463">
        <f>IF(OR(B1463="",C1463="",T1463="Retracted",LEFT(D1463,8)="Negative"),0,IF(COUNTIFS($B$2:B1463,B1463,$C$2:C1463,C1463,$D$2:D1463,"&lt;&gt;Negative*",$T$2:T1463,"&lt;&gt;Retracted")=1,1,0))</f>
        <v>1</v>
      </c>
    </row>
    <row r="1464" spans="1:21" ht="26" x14ac:dyDescent="0.2">
      <c r="A1464" t="s">
        <v>3486</v>
      </c>
      <c r="B1464" t="s">
        <v>386</v>
      </c>
      <c r="C1464" t="s">
        <v>1434</v>
      </c>
      <c r="D1464" t="s">
        <v>1572</v>
      </c>
      <c r="E1464" t="s">
        <v>387</v>
      </c>
      <c r="F1464" t="s">
        <v>1566</v>
      </c>
      <c r="G1464">
        <v>9.1764139999999994</v>
      </c>
      <c r="H1464">
        <v>-79.832058000000004</v>
      </c>
      <c r="I1464" t="s">
        <v>3312</v>
      </c>
      <c r="J1464">
        <v>700</v>
      </c>
      <c r="K1464">
        <v>1857</v>
      </c>
      <c r="L1464">
        <v>1857</v>
      </c>
      <c r="M1464" t="s">
        <v>203</v>
      </c>
      <c r="N1464" t="s">
        <v>209</v>
      </c>
      <c r="Q1464" s="2" t="str">
        <f>IF($C1464="","",IFERROR(VLOOKUP($C1464,sources!$A$2:$N$200,2,FALSE()),"?"))</f>
        <v>Map</v>
      </c>
      <c r="R1464" s="2" t="str">
        <f t="shared" si="22"/>
        <v>Map</v>
      </c>
      <c r="S1464" s="2" t="str">
        <f>IF($C1464="","",IFERROR(VLOOKUP($C1464,sources!$A$2:$N$200,9,FALSE()),"?"))</f>
        <v>US corporate (PRR)</v>
      </c>
      <c r="T1464" t="s">
        <v>5692</v>
      </c>
      <c r="U1464">
        <f>IF(OR(B1464="",C1464="",T1464="Retracted",LEFT(D1464,8)="Negative"),0,IF(COUNTIFS($B$2:B1464,B1464,$C$2:C1464,C1464,$D$2:D1464,"&lt;&gt;Negative*",$T$2:T1464,"&lt;&gt;Retracted")=1,1,0))</f>
        <v>1</v>
      </c>
    </row>
    <row r="1465" spans="1:21" ht="26" x14ac:dyDescent="0.2">
      <c r="A1465" t="s">
        <v>3487</v>
      </c>
      <c r="B1465" t="s">
        <v>888</v>
      </c>
      <c r="C1465" t="s">
        <v>1434</v>
      </c>
      <c r="D1465" t="s">
        <v>1572</v>
      </c>
      <c r="E1465" t="s">
        <v>3488</v>
      </c>
      <c r="F1465" t="s">
        <v>1566</v>
      </c>
      <c r="G1465">
        <v>9.1988000000000003</v>
      </c>
      <c r="H1465">
        <v>-79.803600000000003</v>
      </c>
      <c r="I1465" t="s">
        <v>1573</v>
      </c>
      <c r="J1465">
        <v>800</v>
      </c>
      <c r="K1465">
        <v>1857</v>
      </c>
      <c r="L1465">
        <v>1857</v>
      </c>
      <c r="M1465" t="s">
        <v>203</v>
      </c>
      <c r="N1465" t="s">
        <v>203</v>
      </c>
      <c r="Q1465" s="2" t="str">
        <f>IF($C1465="","",IFERROR(VLOOKUP($C1465,sources!$A$2:$N$200,2,FALSE()),"?"))</f>
        <v>Map</v>
      </c>
      <c r="R1465" s="2" t="str">
        <f t="shared" si="22"/>
        <v>Map</v>
      </c>
      <c r="S1465" s="2" t="str">
        <f>IF($C1465="","",IFERROR(VLOOKUP($C1465,sources!$A$2:$N$200,9,FALSE()),"?"))</f>
        <v>US corporate (PRR)</v>
      </c>
      <c r="T1465" t="s">
        <v>5692</v>
      </c>
      <c r="U1465">
        <f>IF(OR(B1465="",C1465="",T1465="Retracted",LEFT(D1465,8)="Negative"),0,IF(COUNTIFS($B$2:B1465,B1465,$C$2:C1465,C1465,$D$2:D1465,"&lt;&gt;Negative*",$T$2:T1465,"&lt;&gt;Retracted")=1,1,0))</f>
        <v>1</v>
      </c>
    </row>
    <row r="1466" spans="1:21" ht="26" x14ac:dyDescent="0.2">
      <c r="A1466" t="s">
        <v>3489</v>
      </c>
      <c r="B1466" t="s">
        <v>354</v>
      </c>
      <c r="C1466" t="s">
        <v>1434</v>
      </c>
      <c r="D1466" t="s">
        <v>1572</v>
      </c>
      <c r="E1466" t="s">
        <v>3490</v>
      </c>
      <c r="F1466" t="s">
        <v>1583</v>
      </c>
      <c r="G1466">
        <v>9.1648849999999999</v>
      </c>
      <c r="H1466">
        <v>-79.810246000000006</v>
      </c>
      <c r="I1466" t="s">
        <v>3312</v>
      </c>
      <c r="J1466">
        <v>600</v>
      </c>
      <c r="K1466">
        <v>1857</v>
      </c>
      <c r="L1466">
        <v>1857</v>
      </c>
      <c r="M1466" t="s">
        <v>203</v>
      </c>
      <c r="N1466" t="s">
        <v>203</v>
      </c>
      <c r="Q1466" s="2" t="str">
        <f>IF($C1466="","",IFERROR(VLOOKUP($C1466,sources!$A$2:$N$200,2,FALSE()),"?"))</f>
        <v>Map</v>
      </c>
      <c r="R1466" s="2" t="str">
        <f t="shared" si="22"/>
        <v>Map</v>
      </c>
      <c r="S1466" s="2" t="str">
        <f>IF($C1466="","",IFERROR(VLOOKUP($C1466,sources!$A$2:$N$200,9,FALSE()),"?"))</f>
        <v>US corporate (PRR)</v>
      </c>
      <c r="T1466" t="s">
        <v>5692</v>
      </c>
      <c r="U1466">
        <f>IF(OR(B1466="",C1466="",T1466="Retracted",LEFT(D1466,8)="Negative"),0,IF(COUNTIFS($B$2:B1466,B1466,$C$2:C1466,C1466,$D$2:D1466,"&lt;&gt;Negative*",$T$2:T1466,"&lt;&gt;Retracted")=1,1,0))</f>
        <v>1</v>
      </c>
    </row>
    <row r="1467" spans="1:21" ht="26" x14ac:dyDescent="0.2">
      <c r="A1467" t="s">
        <v>3491</v>
      </c>
      <c r="B1467" t="s">
        <v>363</v>
      </c>
      <c r="C1467" t="s">
        <v>1434</v>
      </c>
      <c r="D1467" t="s">
        <v>1572</v>
      </c>
      <c r="E1467" t="s">
        <v>364</v>
      </c>
      <c r="F1467" t="s">
        <v>1566</v>
      </c>
      <c r="G1467">
        <v>9.1261810000000008</v>
      </c>
      <c r="H1467">
        <v>-79.807147000000001</v>
      </c>
      <c r="I1467" t="s">
        <v>3312</v>
      </c>
      <c r="J1467">
        <v>800</v>
      </c>
      <c r="K1467">
        <v>1857</v>
      </c>
      <c r="L1467">
        <v>1857</v>
      </c>
      <c r="M1467" t="s">
        <v>203</v>
      </c>
      <c r="N1467" t="s">
        <v>209</v>
      </c>
      <c r="Q1467" s="2" t="str">
        <f>IF($C1467="","",IFERROR(VLOOKUP($C1467,sources!$A$2:$N$200,2,FALSE()),"?"))</f>
        <v>Map</v>
      </c>
      <c r="R1467" s="2" t="str">
        <f t="shared" si="22"/>
        <v>Map</v>
      </c>
      <c r="S1467" s="2" t="str">
        <f>IF($C1467="","",IFERROR(VLOOKUP($C1467,sources!$A$2:$N$200,9,FALSE()),"?"))</f>
        <v>US corporate (PRR)</v>
      </c>
      <c r="T1467" t="s">
        <v>5692</v>
      </c>
      <c r="U1467">
        <f>IF(OR(B1467="",C1467="",T1467="Retracted",LEFT(D1467,8)="Negative"),0,IF(COUNTIFS($B$2:B1467,B1467,$C$2:C1467,C1467,$D$2:D1467,"&lt;&gt;Negative*",$T$2:T1467,"&lt;&gt;Retracted")=1,1,0))</f>
        <v>1</v>
      </c>
    </row>
    <row r="1468" spans="1:21" ht="26" x14ac:dyDescent="0.2">
      <c r="A1468" t="s">
        <v>3492</v>
      </c>
      <c r="B1468" t="s">
        <v>194</v>
      </c>
      <c r="C1468" t="s">
        <v>1434</v>
      </c>
      <c r="D1468" t="s">
        <v>1572</v>
      </c>
      <c r="E1468" t="s">
        <v>195</v>
      </c>
      <c r="F1468" t="s">
        <v>1566</v>
      </c>
      <c r="G1468">
        <v>9.115945</v>
      </c>
      <c r="H1468">
        <v>-79.794077000000001</v>
      </c>
      <c r="I1468" t="s">
        <v>3312</v>
      </c>
      <c r="J1468">
        <v>1000</v>
      </c>
      <c r="K1468">
        <v>1857</v>
      </c>
      <c r="L1468">
        <v>1857</v>
      </c>
      <c r="M1468" t="s">
        <v>203</v>
      </c>
      <c r="N1468" t="s">
        <v>209</v>
      </c>
      <c r="Q1468" s="2" t="str">
        <f>IF($C1468="","",IFERROR(VLOOKUP($C1468,sources!$A$2:$N$200,2,FALSE()),"?"))</f>
        <v>Map</v>
      </c>
      <c r="R1468" s="2" t="str">
        <f t="shared" si="22"/>
        <v>Map</v>
      </c>
      <c r="S1468" s="2" t="str">
        <f>IF($C1468="","",IFERROR(VLOOKUP($C1468,sources!$A$2:$N$200,9,FALSE()),"?"))</f>
        <v>US corporate (PRR)</v>
      </c>
      <c r="T1468" t="s">
        <v>5692</v>
      </c>
      <c r="U1468">
        <f>IF(OR(B1468="",C1468="",T1468="Retracted",LEFT(D1468,8)="Negative"),0,IF(COUNTIFS($B$2:B1468,B1468,$C$2:C1468,C1468,$D$2:D1468,"&lt;&gt;Negative*",$T$2:T1468,"&lt;&gt;Retracted")=1,1,0))</f>
        <v>1</v>
      </c>
    </row>
    <row r="1469" spans="1:21" ht="26" x14ac:dyDescent="0.2">
      <c r="A1469" t="s">
        <v>3493</v>
      </c>
      <c r="B1469" t="s">
        <v>360</v>
      </c>
      <c r="C1469" t="s">
        <v>1434</v>
      </c>
      <c r="D1469" t="s">
        <v>1572</v>
      </c>
      <c r="E1469" t="s">
        <v>3494</v>
      </c>
      <c r="F1469" t="s">
        <v>1583</v>
      </c>
      <c r="G1469">
        <v>9.1229610000000001</v>
      </c>
      <c r="H1469">
        <v>-79.773415999999997</v>
      </c>
      <c r="I1469" t="s">
        <v>3312</v>
      </c>
      <c r="J1469">
        <v>700</v>
      </c>
      <c r="K1469">
        <v>1857</v>
      </c>
      <c r="L1469">
        <v>1857</v>
      </c>
      <c r="M1469" t="s">
        <v>203</v>
      </c>
      <c r="N1469" t="s">
        <v>209</v>
      </c>
      <c r="Q1469" s="2" t="str">
        <f>IF($C1469="","",IFERROR(VLOOKUP($C1469,sources!$A$2:$N$200,2,FALSE()),"?"))</f>
        <v>Map</v>
      </c>
      <c r="R1469" s="2" t="str">
        <f t="shared" si="22"/>
        <v>Map</v>
      </c>
      <c r="S1469" s="2" t="str">
        <f>IF($C1469="","",IFERROR(VLOOKUP($C1469,sources!$A$2:$N$200,9,FALSE()),"?"))</f>
        <v>US corporate (PRR)</v>
      </c>
      <c r="T1469" t="s">
        <v>5692</v>
      </c>
      <c r="U1469">
        <f>IF(OR(B1469="",C1469="",T1469="Retracted",LEFT(D1469,8)="Negative"),0,IF(COUNTIFS($B$2:B1469,B1469,$C$2:C1469,C1469,$D$2:D1469,"&lt;&gt;Negative*",$T$2:T1469,"&lt;&gt;Retracted")=1,1,0))</f>
        <v>1</v>
      </c>
    </row>
    <row r="1470" spans="1:21" ht="26" x14ac:dyDescent="0.2">
      <c r="A1470" t="s">
        <v>3495</v>
      </c>
      <c r="B1470" t="s">
        <v>215</v>
      </c>
      <c r="C1470" t="s">
        <v>1434</v>
      </c>
      <c r="D1470" t="s">
        <v>1572</v>
      </c>
      <c r="E1470" t="s">
        <v>2094</v>
      </c>
      <c r="F1470" t="s">
        <v>1566</v>
      </c>
      <c r="G1470">
        <v>9.1074739999999998</v>
      </c>
      <c r="H1470">
        <v>-79.771789999999996</v>
      </c>
      <c r="I1470" t="s">
        <v>3312</v>
      </c>
      <c r="J1470">
        <v>500</v>
      </c>
      <c r="K1470">
        <v>1857</v>
      </c>
      <c r="L1470">
        <v>1857</v>
      </c>
      <c r="M1470" t="s">
        <v>203</v>
      </c>
      <c r="N1470" t="s">
        <v>203</v>
      </c>
      <c r="Q1470" s="2" t="str">
        <f>IF($C1470="","",IFERROR(VLOOKUP($C1470,sources!$A$2:$N$200,2,FALSE()),"?"))</f>
        <v>Map</v>
      </c>
      <c r="R1470" s="2" t="str">
        <f t="shared" si="22"/>
        <v>Map</v>
      </c>
      <c r="S1470" s="2" t="str">
        <f>IF($C1470="","",IFERROR(VLOOKUP($C1470,sources!$A$2:$N$200,9,FALSE()),"?"))</f>
        <v>US corporate (PRR)</v>
      </c>
      <c r="T1470" t="s">
        <v>5692</v>
      </c>
      <c r="U1470">
        <f>IF(OR(B1470="",C1470="",T1470="Retracted",LEFT(D1470,8)="Negative"),0,IF(COUNTIFS($B$2:B1470,B1470,$C$2:C1470,C1470,$D$2:D1470,"&lt;&gt;Negative*",$T$2:T1470,"&lt;&gt;Retracted")=1,1,0))</f>
        <v>1</v>
      </c>
    </row>
    <row r="1471" spans="1:21" ht="26" x14ac:dyDescent="0.2">
      <c r="A1471" t="s">
        <v>3496</v>
      </c>
      <c r="B1471" t="s">
        <v>395</v>
      </c>
      <c r="C1471" t="s">
        <v>1434</v>
      </c>
      <c r="D1471" t="s">
        <v>1572</v>
      </c>
      <c r="E1471" t="s">
        <v>396</v>
      </c>
      <c r="F1471" t="s">
        <v>1566</v>
      </c>
      <c r="G1471">
        <v>9.1160599999999992</v>
      </c>
      <c r="H1471">
        <v>-79.758396000000005</v>
      </c>
      <c r="I1471" t="s">
        <v>3312</v>
      </c>
      <c r="J1471">
        <v>400</v>
      </c>
      <c r="K1471">
        <v>1857</v>
      </c>
      <c r="L1471">
        <v>1857</v>
      </c>
      <c r="M1471" t="s">
        <v>203</v>
      </c>
      <c r="N1471" t="s">
        <v>203</v>
      </c>
      <c r="Q1471" s="2" t="str">
        <f>IF($C1471="","",IFERROR(VLOOKUP($C1471,sources!$A$2:$N$200,2,FALSE()),"?"))</f>
        <v>Map</v>
      </c>
      <c r="R1471" s="2" t="str">
        <f t="shared" si="22"/>
        <v>Map</v>
      </c>
      <c r="S1471" s="2" t="str">
        <f>IF($C1471="","",IFERROR(VLOOKUP($C1471,sources!$A$2:$N$200,9,FALSE()),"?"))</f>
        <v>US corporate (PRR)</v>
      </c>
      <c r="T1471" t="s">
        <v>5692</v>
      </c>
      <c r="U1471">
        <f>IF(OR(B1471="",C1471="",T1471="Retracted",LEFT(D1471,8)="Negative"),0,IF(COUNTIFS($B$2:B1471,B1471,$C$2:C1471,C1471,$D$2:D1471,"&lt;&gt;Negative*",$T$2:T1471,"&lt;&gt;Retracted")=1,1,0))</f>
        <v>1</v>
      </c>
    </row>
    <row r="1472" spans="1:21" ht="26" x14ac:dyDescent="0.2">
      <c r="A1472" t="s">
        <v>3497</v>
      </c>
      <c r="B1472" t="s">
        <v>433</v>
      </c>
      <c r="C1472" t="s">
        <v>1434</v>
      </c>
      <c r="D1472" t="s">
        <v>1572</v>
      </c>
      <c r="E1472" t="s">
        <v>3498</v>
      </c>
      <c r="F1472" t="s">
        <v>1583</v>
      </c>
      <c r="G1472">
        <v>9.1248939999999994</v>
      </c>
      <c r="H1472">
        <v>-79.733565999999996</v>
      </c>
      <c r="I1472" t="s">
        <v>3312</v>
      </c>
      <c r="J1472">
        <v>700</v>
      </c>
      <c r="K1472">
        <v>1857</v>
      </c>
      <c r="L1472">
        <v>1857</v>
      </c>
      <c r="M1472" t="s">
        <v>203</v>
      </c>
      <c r="N1472" t="s">
        <v>209</v>
      </c>
      <c r="Q1472" s="2" t="str">
        <f>IF($C1472="","",IFERROR(VLOOKUP($C1472,sources!$A$2:$N$200,2,FALSE()),"?"))</f>
        <v>Map</v>
      </c>
      <c r="R1472" s="2" t="str">
        <f t="shared" si="22"/>
        <v>Map</v>
      </c>
      <c r="S1472" s="2" t="str">
        <f>IF($C1472="","",IFERROR(VLOOKUP($C1472,sources!$A$2:$N$200,9,FALSE()),"?"))</f>
        <v>US corporate (PRR)</v>
      </c>
      <c r="T1472" t="s">
        <v>5692</v>
      </c>
      <c r="U1472">
        <f>IF(OR(B1472="",C1472="",T1472="Retracted",LEFT(D1472,8)="Negative"),0,IF(COUNTIFS($B$2:B1472,B1472,$C$2:C1472,C1472,$D$2:D1472,"&lt;&gt;Negative*",$T$2:T1472,"&lt;&gt;Retracted")=1,1,0))</f>
        <v>1</v>
      </c>
    </row>
    <row r="1473" spans="1:21" ht="26" x14ac:dyDescent="0.2">
      <c r="A1473" t="s">
        <v>3499</v>
      </c>
      <c r="B1473" t="s">
        <v>242</v>
      </c>
      <c r="C1473" t="s">
        <v>1434</v>
      </c>
      <c r="D1473" t="s">
        <v>1572</v>
      </c>
      <c r="E1473" t="s">
        <v>2273</v>
      </c>
      <c r="F1473" t="s">
        <v>1566</v>
      </c>
      <c r="G1473">
        <v>9.1152180000000005</v>
      </c>
      <c r="H1473">
        <v>-79.723962999999998</v>
      </c>
      <c r="I1473" t="s">
        <v>3312</v>
      </c>
      <c r="J1473">
        <v>400</v>
      </c>
      <c r="K1473">
        <v>1857</v>
      </c>
      <c r="L1473">
        <v>1857</v>
      </c>
      <c r="M1473" t="s">
        <v>203</v>
      </c>
      <c r="N1473" t="s">
        <v>203</v>
      </c>
      <c r="Q1473" s="2" t="str">
        <f>IF($C1473="","",IFERROR(VLOOKUP($C1473,sources!$A$2:$N$200,2,FALSE()),"?"))</f>
        <v>Map</v>
      </c>
      <c r="R1473" s="2" t="str">
        <f t="shared" si="22"/>
        <v>Map</v>
      </c>
      <c r="S1473" s="2" t="str">
        <f>IF($C1473="","",IFERROR(VLOOKUP($C1473,sources!$A$2:$N$200,9,FALSE()),"?"))</f>
        <v>US corporate (PRR)</v>
      </c>
      <c r="T1473" t="s">
        <v>5692</v>
      </c>
      <c r="U1473">
        <f>IF(OR(B1473="",C1473="",T1473="Retracted",LEFT(D1473,8)="Negative"),0,IF(COUNTIFS($B$2:B1473,B1473,$C$2:C1473,C1473,$D$2:D1473,"&lt;&gt;Negative*",$T$2:T1473,"&lt;&gt;Retracted")=1,1,0))</f>
        <v>1</v>
      </c>
    </row>
    <row r="1474" spans="1:21" ht="26" x14ac:dyDescent="0.2">
      <c r="A1474" t="s">
        <v>3500</v>
      </c>
      <c r="B1474" t="s">
        <v>179</v>
      </c>
      <c r="C1474" t="s">
        <v>1434</v>
      </c>
      <c r="D1474" t="s">
        <v>1572</v>
      </c>
      <c r="E1474" t="s">
        <v>3501</v>
      </c>
      <c r="F1474" t="s">
        <v>1566</v>
      </c>
      <c r="G1474">
        <v>9.1113510000000009</v>
      </c>
      <c r="H1474">
        <v>-79.699348999999998</v>
      </c>
      <c r="I1474" t="s">
        <v>3312</v>
      </c>
      <c r="J1474">
        <v>700</v>
      </c>
      <c r="K1474">
        <v>1857</v>
      </c>
      <c r="L1474">
        <v>1857</v>
      </c>
      <c r="M1474" t="s">
        <v>203</v>
      </c>
      <c r="N1474" t="s">
        <v>209</v>
      </c>
      <c r="Q1474" s="2" t="str">
        <f>IF($C1474="","",IFERROR(VLOOKUP($C1474,sources!$A$2:$N$200,2,FALSE()),"?"))</f>
        <v>Map</v>
      </c>
      <c r="R1474" s="2" t="str">
        <f t="shared" ref="R1474:R1537" si="23">IF($Q1474="","",IF($Q1474="Map","Map",IF(OR($Q1474="Photograph",$Q1474="Postcard"),"Image",IF(OR($Q1474="Census or roll",$Q1474="Report",$Q1474="Newspaper",$Q1474="Letter",$Q1474="Memoir",$Q1474="Administrative",$Q1474="Web compilation"),"Textual",IF($Q1474="Legal claim","Legal/admin",IF($Q1474="Secondary","Secondary","Other"))))))</f>
        <v>Map</v>
      </c>
      <c r="S1474" s="2" t="str">
        <f>IF($C1474="","",IFERROR(VLOOKUP($C1474,sources!$A$2:$N$200,9,FALSE()),"?"))</f>
        <v>US corporate (PRR)</v>
      </c>
      <c r="T1474" t="s">
        <v>5692</v>
      </c>
      <c r="U1474">
        <f>IF(OR(B1474="",C1474="",T1474="Retracted",LEFT(D1474,8)="Negative"),0,IF(COUNTIFS($B$2:B1474,B1474,$C$2:C1474,C1474,$D$2:D1474,"&lt;&gt;Negative*",$T$2:T1474,"&lt;&gt;Retracted")=1,1,0))</f>
        <v>1</v>
      </c>
    </row>
    <row r="1475" spans="1:21" ht="26" x14ac:dyDescent="0.2">
      <c r="A1475" t="s">
        <v>3502</v>
      </c>
      <c r="B1475" t="s">
        <v>199</v>
      </c>
      <c r="C1475" t="s">
        <v>1434</v>
      </c>
      <c r="D1475" t="s">
        <v>1572</v>
      </c>
      <c r="E1475" t="s">
        <v>2746</v>
      </c>
      <c r="F1475" t="s">
        <v>1566</v>
      </c>
      <c r="G1475">
        <v>9.1274750000000004</v>
      </c>
      <c r="H1475">
        <v>-79.682201000000006</v>
      </c>
      <c r="I1475" t="s">
        <v>3312</v>
      </c>
      <c r="J1475">
        <v>800</v>
      </c>
      <c r="K1475">
        <v>1857</v>
      </c>
      <c r="L1475">
        <v>1857</v>
      </c>
      <c r="M1475" t="s">
        <v>203</v>
      </c>
      <c r="N1475" t="s">
        <v>209</v>
      </c>
      <c r="Q1475" s="2" t="str">
        <f>IF($C1475="","",IFERROR(VLOOKUP($C1475,sources!$A$2:$N$200,2,FALSE()),"?"))</f>
        <v>Map</v>
      </c>
      <c r="R1475" s="2" t="str">
        <f t="shared" si="23"/>
        <v>Map</v>
      </c>
      <c r="S1475" s="2" t="str">
        <f>IF($C1475="","",IFERROR(VLOOKUP($C1475,sources!$A$2:$N$200,9,FALSE()),"?"))</f>
        <v>US corporate (PRR)</v>
      </c>
      <c r="T1475" t="s">
        <v>5692</v>
      </c>
      <c r="U1475">
        <f>IF(OR(B1475="",C1475="",T1475="Retracted",LEFT(D1475,8)="Negative"),0,IF(COUNTIFS($B$2:B1475,B1475,$C$2:C1475,C1475,$D$2:D1475,"&lt;&gt;Negative*",$T$2:T1475,"&lt;&gt;Retracted")=1,1,0))</f>
        <v>1</v>
      </c>
    </row>
    <row r="1476" spans="1:21" ht="26" x14ac:dyDescent="0.2">
      <c r="A1476" t="s">
        <v>3503</v>
      </c>
      <c r="B1476" t="s">
        <v>253</v>
      </c>
      <c r="C1476" t="s">
        <v>1434</v>
      </c>
      <c r="D1476" t="s">
        <v>1572</v>
      </c>
      <c r="E1476" t="s">
        <v>3504</v>
      </c>
      <c r="F1476" t="s">
        <v>1583</v>
      </c>
      <c r="G1476">
        <v>9.104654</v>
      </c>
      <c r="H1476">
        <v>-79.682201000000006</v>
      </c>
      <c r="I1476" t="s">
        <v>3312</v>
      </c>
      <c r="J1476">
        <v>700</v>
      </c>
      <c r="K1476">
        <v>1857</v>
      </c>
      <c r="L1476">
        <v>1857</v>
      </c>
      <c r="M1476" t="s">
        <v>203</v>
      </c>
      <c r="N1476" t="s">
        <v>203</v>
      </c>
      <c r="Q1476" s="2" t="str">
        <f>IF($C1476="","",IFERROR(VLOOKUP($C1476,sources!$A$2:$N$200,2,FALSE()),"?"))</f>
        <v>Map</v>
      </c>
      <c r="R1476" s="2" t="str">
        <f t="shared" si="23"/>
        <v>Map</v>
      </c>
      <c r="S1476" s="2" t="str">
        <f>IF($C1476="","",IFERROR(VLOOKUP($C1476,sources!$A$2:$N$200,9,FALSE()),"?"))</f>
        <v>US corporate (PRR)</v>
      </c>
      <c r="T1476" t="s">
        <v>5692</v>
      </c>
      <c r="U1476">
        <f>IF(OR(B1476="",C1476="",T1476="Retracted",LEFT(D1476,8)="Negative"),0,IF(COUNTIFS($B$2:B1476,B1476,$C$2:C1476,C1476,$D$2:D1476,"&lt;&gt;Negative*",$T$2:T1476,"&lt;&gt;Retracted")=1,1,0))</f>
        <v>1</v>
      </c>
    </row>
    <row r="1477" spans="1:21" ht="26" x14ac:dyDescent="0.2">
      <c r="A1477" t="s">
        <v>3505</v>
      </c>
      <c r="B1477" t="s">
        <v>565</v>
      </c>
      <c r="C1477" t="s">
        <v>1434</v>
      </c>
      <c r="D1477" t="s">
        <v>1572</v>
      </c>
      <c r="E1477" t="s">
        <v>3506</v>
      </c>
      <c r="F1477" t="s">
        <v>1583</v>
      </c>
      <c r="G1477">
        <v>9.0955440000000003</v>
      </c>
      <c r="H1477">
        <v>-79.677295999999998</v>
      </c>
      <c r="I1477" t="s">
        <v>3312</v>
      </c>
      <c r="J1477">
        <v>700</v>
      </c>
      <c r="K1477">
        <v>1857</v>
      </c>
      <c r="L1477">
        <v>1857</v>
      </c>
      <c r="M1477" t="s">
        <v>203</v>
      </c>
      <c r="N1477" t="s">
        <v>203</v>
      </c>
      <c r="Q1477" s="2" t="str">
        <f>IF($C1477="","",IFERROR(VLOOKUP($C1477,sources!$A$2:$N$200,2,FALSE()),"?"))</f>
        <v>Map</v>
      </c>
      <c r="R1477" s="2" t="str">
        <f t="shared" si="23"/>
        <v>Map</v>
      </c>
      <c r="S1477" s="2" t="str">
        <f>IF($C1477="","",IFERROR(VLOOKUP($C1477,sources!$A$2:$N$200,9,FALSE()),"?"))</f>
        <v>US corporate (PRR)</v>
      </c>
      <c r="T1477" t="s">
        <v>5692</v>
      </c>
      <c r="U1477">
        <f>IF(OR(B1477="",C1477="",T1477="Retracted",LEFT(D1477,8)="Negative"),0,IF(COUNTIFS($B$2:B1477,B1477,$C$2:C1477,C1477,$D$2:D1477,"&lt;&gt;Negative*",$T$2:T1477,"&lt;&gt;Retracted")=1,1,0))</f>
        <v>1</v>
      </c>
    </row>
    <row r="1478" spans="1:21" ht="26" x14ac:dyDescent="0.2">
      <c r="A1478" t="s">
        <v>3507</v>
      </c>
      <c r="B1478" t="s">
        <v>247</v>
      </c>
      <c r="C1478" t="s">
        <v>1434</v>
      </c>
      <c r="D1478" t="s">
        <v>1564</v>
      </c>
      <c r="E1478" t="s">
        <v>3508</v>
      </c>
      <c r="F1478" t="s">
        <v>1566</v>
      </c>
      <c r="I1478" t="s">
        <v>1058</v>
      </c>
      <c r="K1478">
        <v>1857</v>
      </c>
      <c r="L1478">
        <v>1857</v>
      </c>
      <c r="M1478" t="s">
        <v>203</v>
      </c>
      <c r="N1478" t="s">
        <v>203</v>
      </c>
      <c r="Q1478" s="2" t="str">
        <f>IF($C1478="","",IFERROR(VLOOKUP($C1478,sources!$A$2:$N$200,2,FALSE()),"?"))</f>
        <v>Map</v>
      </c>
      <c r="R1478" s="2" t="str">
        <f t="shared" si="23"/>
        <v>Map</v>
      </c>
      <c r="S1478" s="2" t="str">
        <f>IF($C1478="","",IFERROR(VLOOKUP($C1478,sources!$A$2:$N$200,9,FALSE()),"?"))</f>
        <v>US corporate (PRR)</v>
      </c>
      <c r="T1478" t="s">
        <v>5692</v>
      </c>
      <c r="U1478">
        <f>IF(OR(B1478="",C1478="",T1478="Retracted",LEFT(D1478,8)="Negative"),0,IF(COUNTIFS($B$2:B1478,B1478,$C$2:C1478,C1478,$D$2:D1478,"&lt;&gt;Negative*",$T$2:T1478,"&lt;&gt;Retracted")=1,1,0))</f>
        <v>1</v>
      </c>
    </row>
    <row r="1479" spans="1:21" ht="26" x14ac:dyDescent="0.2">
      <c r="A1479" t="s">
        <v>3509</v>
      </c>
      <c r="B1479" t="s">
        <v>357</v>
      </c>
      <c r="C1479" t="s">
        <v>1434</v>
      </c>
      <c r="D1479" t="s">
        <v>1572</v>
      </c>
      <c r="E1479" t="s">
        <v>3510</v>
      </c>
      <c r="F1479" t="s">
        <v>1583</v>
      </c>
      <c r="G1479">
        <v>9.0248150000000003</v>
      </c>
      <c r="H1479">
        <v>-79.638102000000003</v>
      </c>
      <c r="I1479" t="s">
        <v>3312</v>
      </c>
      <c r="J1479">
        <v>900</v>
      </c>
      <c r="K1479">
        <v>1857</v>
      </c>
      <c r="L1479">
        <v>1857</v>
      </c>
      <c r="M1479" t="s">
        <v>203</v>
      </c>
      <c r="N1479" t="s">
        <v>209</v>
      </c>
      <c r="Q1479" s="2" t="str">
        <f>IF($C1479="","",IFERROR(VLOOKUP($C1479,sources!$A$2:$N$200,2,FALSE()),"?"))</f>
        <v>Map</v>
      </c>
      <c r="R1479" s="2" t="str">
        <f t="shared" si="23"/>
        <v>Map</v>
      </c>
      <c r="S1479" s="2" t="str">
        <f>IF($C1479="","",IFERROR(VLOOKUP($C1479,sources!$A$2:$N$200,9,FALSE()),"?"))</f>
        <v>US corporate (PRR)</v>
      </c>
      <c r="T1479" t="s">
        <v>5692</v>
      </c>
      <c r="U1479">
        <f>IF(OR(B1479="",C1479="",T1479="Retracted",LEFT(D1479,8)="Negative"),0,IF(COUNTIFS($B$2:B1479,B1479,$C$2:C1479,C1479,$D$2:D1479,"&lt;&gt;Negative*",$T$2:T1479,"&lt;&gt;Retracted")=1,1,0))</f>
        <v>1</v>
      </c>
    </row>
    <row r="1480" spans="1:21" ht="26" x14ac:dyDescent="0.2">
      <c r="A1480" t="s">
        <v>3511</v>
      </c>
      <c r="B1480" t="s">
        <v>344</v>
      </c>
      <c r="C1480" t="s">
        <v>1434</v>
      </c>
      <c r="D1480" t="s">
        <v>1572</v>
      </c>
      <c r="E1480" t="s">
        <v>345</v>
      </c>
      <c r="F1480" t="s">
        <v>1566</v>
      </c>
      <c r="G1480">
        <v>9.0163510000000002</v>
      </c>
      <c r="H1480">
        <v>-79.609517999999994</v>
      </c>
      <c r="I1480" t="s">
        <v>3312</v>
      </c>
      <c r="J1480">
        <v>600</v>
      </c>
      <c r="K1480">
        <v>1857</v>
      </c>
      <c r="L1480">
        <v>1857</v>
      </c>
      <c r="M1480" t="s">
        <v>203</v>
      </c>
      <c r="N1480" t="s">
        <v>203</v>
      </c>
      <c r="Q1480" s="2" t="str">
        <f>IF($C1480="","",IFERROR(VLOOKUP($C1480,sources!$A$2:$N$200,2,FALSE()),"?"))</f>
        <v>Map</v>
      </c>
      <c r="R1480" s="2" t="str">
        <f t="shared" si="23"/>
        <v>Map</v>
      </c>
      <c r="S1480" s="2" t="str">
        <f>IF($C1480="","",IFERROR(VLOOKUP($C1480,sources!$A$2:$N$200,9,FALSE()),"?"))</f>
        <v>US corporate (PRR)</v>
      </c>
      <c r="T1480" t="s">
        <v>5692</v>
      </c>
      <c r="U1480">
        <f>IF(OR(B1480="",C1480="",T1480="Retracted",LEFT(D1480,8)="Negative"),0,IF(COUNTIFS($B$2:B1480,B1480,$C$2:C1480,C1480,$D$2:D1480,"&lt;&gt;Negative*",$T$2:T1480,"&lt;&gt;Retracted")=1,1,0))</f>
        <v>1</v>
      </c>
    </row>
    <row r="1481" spans="1:21" ht="26" x14ac:dyDescent="0.2">
      <c r="A1481" t="s">
        <v>3512</v>
      </c>
      <c r="B1481" t="s">
        <v>340</v>
      </c>
      <c r="C1481" t="s">
        <v>1434</v>
      </c>
      <c r="D1481" t="s">
        <v>1572</v>
      </c>
      <c r="E1481" t="s">
        <v>3513</v>
      </c>
      <c r="F1481" t="s">
        <v>1583</v>
      </c>
      <c r="G1481">
        <v>8.9984380000000002</v>
      </c>
      <c r="H1481">
        <v>-79.601352000000006</v>
      </c>
      <c r="I1481" t="s">
        <v>3312</v>
      </c>
      <c r="J1481">
        <v>700</v>
      </c>
      <c r="K1481">
        <v>1857</v>
      </c>
      <c r="L1481">
        <v>1857</v>
      </c>
      <c r="M1481" t="s">
        <v>203</v>
      </c>
      <c r="N1481" t="s">
        <v>209</v>
      </c>
      <c r="Q1481" s="2" t="str">
        <f>IF($C1481="","",IFERROR(VLOOKUP($C1481,sources!$A$2:$N$200,2,FALSE()),"?"))</f>
        <v>Map</v>
      </c>
      <c r="R1481" s="2" t="str">
        <f t="shared" si="23"/>
        <v>Map</v>
      </c>
      <c r="S1481" s="2" t="str">
        <f>IF($C1481="","",IFERROR(VLOOKUP($C1481,sources!$A$2:$N$200,9,FALSE()),"?"))</f>
        <v>US corporate (PRR)</v>
      </c>
      <c r="T1481" t="s">
        <v>5692</v>
      </c>
      <c r="U1481">
        <f>IF(OR(B1481="",C1481="",T1481="Retracted",LEFT(D1481,8)="Negative"),0,IF(COUNTIFS($B$2:B1481,B1481,$C$2:C1481,C1481,$D$2:D1481,"&lt;&gt;Negative*",$T$2:T1481,"&lt;&gt;Retracted")=1,1,0))</f>
        <v>1</v>
      </c>
    </row>
    <row r="1482" spans="1:21" ht="26" x14ac:dyDescent="0.2">
      <c r="A1482" t="s">
        <v>3514</v>
      </c>
      <c r="B1482" t="s">
        <v>599</v>
      </c>
      <c r="C1482" t="s">
        <v>1434</v>
      </c>
      <c r="D1482" t="s">
        <v>1572</v>
      </c>
      <c r="E1482" t="s">
        <v>3515</v>
      </c>
      <c r="F1482" t="s">
        <v>1566</v>
      </c>
      <c r="G1482">
        <v>9.1013450000000002</v>
      </c>
      <c r="H1482">
        <v>-79.776362000000006</v>
      </c>
      <c r="I1482" t="s">
        <v>3312</v>
      </c>
      <c r="J1482">
        <v>800</v>
      </c>
      <c r="K1482">
        <v>1857</v>
      </c>
      <c r="L1482">
        <v>1857</v>
      </c>
      <c r="M1482" t="s">
        <v>203</v>
      </c>
      <c r="N1482" t="s">
        <v>190</v>
      </c>
      <c r="Q1482" s="2" t="str">
        <f>IF($C1482="","",IFERROR(VLOOKUP($C1482,sources!$A$2:$N$200,2,FALSE()),"?"))</f>
        <v>Map</v>
      </c>
      <c r="R1482" s="2" t="str">
        <f t="shared" si="23"/>
        <v>Map</v>
      </c>
      <c r="S1482" s="2" t="str">
        <f>IF($C1482="","",IFERROR(VLOOKUP($C1482,sources!$A$2:$N$200,9,FALSE()),"?"))</f>
        <v>US corporate (PRR)</v>
      </c>
      <c r="T1482" t="s">
        <v>5692</v>
      </c>
      <c r="U1482">
        <f>IF(OR(B1482="",C1482="",T1482="Retracted",LEFT(D1482,8)="Negative"),0,IF(COUNTIFS($B$2:B1482,B1482,$C$2:C1482,C1482,$D$2:D1482,"&lt;&gt;Negative*",$T$2:T1482,"&lt;&gt;Retracted")=1,1,0))</f>
        <v>1</v>
      </c>
    </row>
    <row r="1483" spans="1:21" ht="26" x14ac:dyDescent="0.2">
      <c r="A1483" t="s">
        <v>3516</v>
      </c>
      <c r="B1483" t="s">
        <v>510</v>
      </c>
      <c r="C1483" t="s">
        <v>1434</v>
      </c>
      <c r="D1483" t="s">
        <v>1564</v>
      </c>
      <c r="E1483" t="s">
        <v>3517</v>
      </c>
      <c r="F1483" t="s">
        <v>1566</v>
      </c>
      <c r="I1483" t="s">
        <v>1058</v>
      </c>
      <c r="K1483">
        <v>1857</v>
      </c>
      <c r="L1483">
        <v>1857</v>
      </c>
      <c r="M1483" t="s">
        <v>203</v>
      </c>
      <c r="N1483" t="s">
        <v>203</v>
      </c>
      <c r="Q1483" s="2" t="str">
        <f>IF($C1483="","",IFERROR(VLOOKUP($C1483,sources!$A$2:$N$200,2,FALSE()),"?"))</f>
        <v>Map</v>
      </c>
      <c r="R1483" s="2" t="str">
        <f t="shared" si="23"/>
        <v>Map</v>
      </c>
      <c r="S1483" s="2" t="str">
        <f>IF($C1483="","",IFERROR(VLOOKUP($C1483,sources!$A$2:$N$200,9,FALSE()),"?"))</f>
        <v>US corporate (PRR)</v>
      </c>
      <c r="T1483" t="s">
        <v>5692</v>
      </c>
      <c r="U1483">
        <f>IF(OR(B1483="",C1483="",T1483="Retracted",LEFT(D1483,8)="Negative"),0,IF(COUNTIFS($B$2:B1483,B1483,$C$2:C1483,C1483,$D$2:D1483,"&lt;&gt;Negative*",$T$2:T1483,"&lt;&gt;Retracted")=1,1,0))</f>
        <v>1</v>
      </c>
    </row>
    <row r="1484" spans="1:21" ht="26" x14ac:dyDescent="0.2">
      <c r="A1484" t="s">
        <v>3518</v>
      </c>
      <c r="B1484" t="s">
        <v>630</v>
      </c>
      <c r="C1484" t="s">
        <v>1434</v>
      </c>
      <c r="D1484" t="s">
        <v>1564</v>
      </c>
      <c r="E1484" t="s">
        <v>3519</v>
      </c>
      <c r="F1484" t="s">
        <v>1566</v>
      </c>
      <c r="I1484" t="s">
        <v>1058</v>
      </c>
      <c r="K1484">
        <v>1857</v>
      </c>
      <c r="L1484">
        <v>1857</v>
      </c>
      <c r="M1484" t="s">
        <v>203</v>
      </c>
      <c r="N1484" t="s">
        <v>203</v>
      </c>
      <c r="Q1484" s="2" t="str">
        <f>IF($C1484="","",IFERROR(VLOOKUP($C1484,sources!$A$2:$N$200,2,FALSE()),"?"))</f>
        <v>Map</v>
      </c>
      <c r="R1484" s="2" t="str">
        <f t="shared" si="23"/>
        <v>Map</v>
      </c>
      <c r="S1484" s="2" t="str">
        <f>IF($C1484="","",IFERROR(VLOOKUP($C1484,sources!$A$2:$N$200,9,FALSE()),"?"))</f>
        <v>US corporate (PRR)</v>
      </c>
      <c r="T1484" t="s">
        <v>5692</v>
      </c>
      <c r="U1484">
        <f>IF(OR(B1484="",C1484="",T1484="Retracted",LEFT(D1484,8)="Negative"),0,IF(COUNTIFS($B$2:B1484,B1484,$C$2:C1484,C1484,$D$2:D1484,"&lt;&gt;Negative*",$T$2:T1484,"&lt;&gt;Retracted")=1,1,0))</f>
        <v>1</v>
      </c>
    </row>
    <row r="1485" spans="1:21" ht="26" x14ac:dyDescent="0.2">
      <c r="A1485" t="s">
        <v>3520</v>
      </c>
      <c r="B1485" t="s">
        <v>403</v>
      </c>
      <c r="C1485" t="s">
        <v>1434</v>
      </c>
      <c r="D1485" t="s">
        <v>1564</v>
      </c>
      <c r="E1485" t="s">
        <v>404</v>
      </c>
      <c r="F1485" t="s">
        <v>1566</v>
      </c>
      <c r="I1485" t="s">
        <v>1058</v>
      </c>
      <c r="K1485">
        <v>1857</v>
      </c>
      <c r="L1485">
        <v>1857</v>
      </c>
      <c r="M1485" t="s">
        <v>203</v>
      </c>
      <c r="N1485" t="s">
        <v>203</v>
      </c>
      <c r="Q1485" s="2" t="str">
        <f>IF($C1485="","",IFERROR(VLOOKUP($C1485,sources!$A$2:$N$200,2,FALSE()),"?"))</f>
        <v>Map</v>
      </c>
      <c r="R1485" s="2" t="str">
        <f t="shared" si="23"/>
        <v>Map</v>
      </c>
      <c r="S1485" s="2" t="str">
        <f>IF($C1485="","",IFERROR(VLOOKUP($C1485,sources!$A$2:$N$200,9,FALSE()),"?"))</f>
        <v>US corporate (PRR)</v>
      </c>
      <c r="T1485" t="s">
        <v>5692</v>
      </c>
      <c r="U1485">
        <f>IF(OR(B1485="",C1485="",T1485="Retracted",LEFT(D1485,8)="Negative"),0,IF(COUNTIFS($B$2:B1485,B1485,$C$2:C1485,C1485,$D$2:D1485,"&lt;&gt;Negative*",$T$2:T1485,"&lt;&gt;Retracted")=1,1,0))</f>
        <v>1</v>
      </c>
    </row>
    <row r="1486" spans="1:21" ht="26" x14ac:dyDescent="0.2">
      <c r="A1486" t="s">
        <v>3521</v>
      </c>
      <c r="B1486" t="s">
        <v>217</v>
      </c>
      <c r="C1486" t="s">
        <v>1434</v>
      </c>
      <c r="D1486" t="s">
        <v>1613</v>
      </c>
      <c r="E1486" t="s">
        <v>218</v>
      </c>
      <c r="F1486" t="s">
        <v>1566</v>
      </c>
      <c r="I1486" t="s">
        <v>1058</v>
      </c>
      <c r="K1486">
        <v>1857</v>
      </c>
      <c r="L1486">
        <v>1857</v>
      </c>
      <c r="M1486" t="s">
        <v>203</v>
      </c>
      <c r="N1486" t="s">
        <v>209</v>
      </c>
      <c r="Q1486" s="2" t="str">
        <f>IF($C1486="","",IFERROR(VLOOKUP($C1486,sources!$A$2:$N$200,2,FALSE()),"?"))</f>
        <v>Map</v>
      </c>
      <c r="R1486" s="2" t="str">
        <f t="shared" si="23"/>
        <v>Map</v>
      </c>
      <c r="S1486" s="2" t="str">
        <f>IF($C1486="","",IFERROR(VLOOKUP($C1486,sources!$A$2:$N$200,9,FALSE()),"?"))</f>
        <v>US corporate (PRR)</v>
      </c>
      <c r="T1486" t="s">
        <v>5692</v>
      </c>
      <c r="U1486">
        <f>IF(OR(B1486="",C1486="",T1486="Retracted",LEFT(D1486,8)="Negative"),0,IF(COUNTIFS($B$2:B1486,B1486,$C$2:C1486,C1486,$D$2:D1486,"&lt;&gt;Negative*",$T$2:T1486,"&lt;&gt;Retracted")=1,1,0))</f>
        <v>0</v>
      </c>
    </row>
    <row r="1487" spans="1:21" ht="26" x14ac:dyDescent="0.2">
      <c r="A1487" t="s">
        <v>3522</v>
      </c>
      <c r="B1487" t="s">
        <v>213</v>
      </c>
      <c r="C1487" t="s">
        <v>1434</v>
      </c>
      <c r="D1487" t="s">
        <v>1613</v>
      </c>
      <c r="E1487" t="s">
        <v>214</v>
      </c>
      <c r="F1487" t="s">
        <v>1566</v>
      </c>
      <c r="I1487" t="s">
        <v>1058</v>
      </c>
      <c r="K1487">
        <v>1857</v>
      </c>
      <c r="L1487">
        <v>1857</v>
      </c>
      <c r="M1487" t="s">
        <v>203</v>
      </c>
      <c r="N1487" t="s">
        <v>209</v>
      </c>
      <c r="Q1487" s="2" t="str">
        <f>IF($C1487="","",IFERROR(VLOOKUP($C1487,sources!$A$2:$N$200,2,FALSE()),"?"))</f>
        <v>Map</v>
      </c>
      <c r="R1487" s="2" t="str">
        <f t="shared" si="23"/>
        <v>Map</v>
      </c>
      <c r="S1487" s="2" t="str">
        <f>IF($C1487="","",IFERROR(VLOOKUP($C1487,sources!$A$2:$N$200,9,FALSE()),"?"))</f>
        <v>US corporate (PRR)</v>
      </c>
      <c r="T1487" t="s">
        <v>5692</v>
      </c>
      <c r="U1487">
        <f>IF(OR(B1487="",C1487="",T1487="Retracted",LEFT(D1487,8)="Negative"),0,IF(COUNTIFS($B$2:B1487,B1487,$C$2:C1487,C1487,$D$2:D1487,"&lt;&gt;Negative*",$T$2:T1487,"&lt;&gt;Retracted")=1,1,0))</f>
        <v>0</v>
      </c>
    </row>
    <row r="1488" spans="1:21" ht="26" x14ac:dyDescent="0.2">
      <c r="A1488" t="s">
        <v>3523</v>
      </c>
      <c r="B1488" t="s">
        <v>211</v>
      </c>
      <c r="C1488" t="s">
        <v>1434</v>
      </c>
      <c r="D1488" t="s">
        <v>1613</v>
      </c>
      <c r="E1488" t="s">
        <v>212</v>
      </c>
      <c r="F1488" t="s">
        <v>1566</v>
      </c>
      <c r="I1488" t="s">
        <v>1058</v>
      </c>
      <c r="K1488">
        <v>1857</v>
      </c>
      <c r="L1488">
        <v>1857</v>
      </c>
      <c r="M1488" t="s">
        <v>203</v>
      </c>
      <c r="N1488" t="s">
        <v>190</v>
      </c>
      <c r="Q1488" s="2" t="str">
        <f>IF($C1488="","",IFERROR(VLOOKUP($C1488,sources!$A$2:$N$200,2,FALSE()),"?"))</f>
        <v>Map</v>
      </c>
      <c r="R1488" s="2" t="str">
        <f t="shared" si="23"/>
        <v>Map</v>
      </c>
      <c r="S1488" s="2" t="str">
        <f>IF($C1488="","",IFERROR(VLOOKUP($C1488,sources!$A$2:$N$200,9,FALSE()),"?"))</f>
        <v>US corporate (PRR)</v>
      </c>
      <c r="T1488" t="s">
        <v>5692</v>
      </c>
      <c r="U1488">
        <f>IF(OR(B1488="",C1488="",T1488="Retracted",LEFT(D1488,8)="Negative"),0,IF(COUNTIFS($B$2:B1488,B1488,$C$2:C1488,C1488,$D$2:D1488,"&lt;&gt;Negative*",$T$2:T1488,"&lt;&gt;Retracted")=1,1,0))</f>
        <v>0</v>
      </c>
    </row>
    <row r="1489" spans="1:21" ht="26" x14ac:dyDescent="0.2">
      <c r="A1489" t="s">
        <v>3524</v>
      </c>
      <c r="B1489" t="s">
        <v>386</v>
      </c>
      <c r="C1489" t="s">
        <v>1434</v>
      </c>
      <c r="D1489" t="s">
        <v>1613</v>
      </c>
      <c r="E1489" t="s">
        <v>560</v>
      </c>
      <c r="F1489" t="s">
        <v>1566</v>
      </c>
      <c r="I1489" t="s">
        <v>1058</v>
      </c>
      <c r="K1489">
        <v>1857</v>
      </c>
      <c r="L1489">
        <v>1857</v>
      </c>
      <c r="M1489" t="s">
        <v>203</v>
      </c>
      <c r="N1489" t="s">
        <v>209</v>
      </c>
      <c r="Q1489" s="2" t="str">
        <f>IF($C1489="","",IFERROR(VLOOKUP($C1489,sources!$A$2:$N$200,2,FALSE()),"?"))</f>
        <v>Map</v>
      </c>
      <c r="R1489" s="2" t="str">
        <f t="shared" si="23"/>
        <v>Map</v>
      </c>
      <c r="S1489" s="2" t="str">
        <f>IF($C1489="","",IFERROR(VLOOKUP($C1489,sources!$A$2:$N$200,9,FALSE()),"?"))</f>
        <v>US corporate (PRR)</v>
      </c>
      <c r="T1489" t="s">
        <v>5692</v>
      </c>
      <c r="U1489">
        <f>IF(OR(B1489="",C1489="",T1489="Retracted",LEFT(D1489,8)="Negative"),0,IF(COUNTIFS($B$2:B1489,B1489,$C$2:C1489,C1489,$D$2:D1489,"&lt;&gt;Negative*",$T$2:T1489,"&lt;&gt;Retracted")=1,1,0))</f>
        <v>0</v>
      </c>
    </row>
    <row r="1490" spans="1:21" ht="26" x14ac:dyDescent="0.2">
      <c r="A1490" t="s">
        <v>3525</v>
      </c>
      <c r="B1490" t="s">
        <v>436</v>
      </c>
      <c r="C1490" t="s">
        <v>1434</v>
      </c>
      <c r="D1490" t="s">
        <v>1613</v>
      </c>
      <c r="E1490" t="s">
        <v>437</v>
      </c>
      <c r="F1490" t="s">
        <v>1566</v>
      </c>
      <c r="I1490" t="s">
        <v>1058</v>
      </c>
      <c r="K1490">
        <v>1857</v>
      </c>
      <c r="L1490">
        <v>1857</v>
      </c>
      <c r="M1490" t="s">
        <v>203</v>
      </c>
      <c r="N1490" t="s">
        <v>190</v>
      </c>
      <c r="Q1490" s="2" t="str">
        <f>IF($C1490="","",IFERROR(VLOOKUP($C1490,sources!$A$2:$N$200,2,FALSE()),"?"))</f>
        <v>Map</v>
      </c>
      <c r="R1490" s="2" t="str">
        <f t="shared" si="23"/>
        <v>Map</v>
      </c>
      <c r="S1490" s="2" t="str">
        <f>IF($C1490="","",IFERROR(VLOOKUP($C1490,sources!$A$2:$N$200,9,FALSE()),"?"))</f>
        <v>US corporate (PRR)</v>
      </c>
      <c r="T1490" t="s">
        <v>5692</v>
      </c>
      <c r="U1490">
        <f>IF(OR(B1490="",C1490="",T1490="Retracted",LEFT(D1490,8)="Negative"),0,IF(COUNTIFS($B$2:B1490,B1490,$C$2:C1490,C1490,$D$2:D1490,"&lt;&gt;Negative*",$T$2:T1490,"&lt;&gt;Retracted")=1,1,0))</f>
        <v>0</v>
      </c>
    </row>
    <row r="1491" spans="1:21" ht="26" x14ac:dyDescent="0.2">
      <c r="A1491" t="s">
        <v>3526</v>
      </c>
      <c r="B1491" t="s">
        <v>592</v>
      </c>
      <c r="C1491" t="s">
        <v>1434</v>
      </c>
      <c r="D1491" t="s">
        <v>1613</v>
      </c>
      <c r="E1491" t="s">
        <v>593</v>
      </c>
      <c r="F1491" t="s">
        <v>1566</v>
      </c>
      <c r="I1491" t="s">
        <v>1058</v>
      </c>
      <c r="K1491">
        <v>1857</v>
      </c>
      <c r="L1491">
        <v>1857</v>
      </c>
      <c r="M1491" t="s">
        <v>203</v>
      </c>
      <c r="N1491" t="s">
        <v>190</v>
      </c>
      <c r="Q1491" s="2" t="str">
        <f>IF($C1491="","",IFERROR(VLOOKUP($C1491,sources!$A$2:$N$200,2,FALSE()),"?"))</f>
        <v>Map</v>
      </c>
      <c r="R1491" s="2" t="str">
        <f t="shared" si="23"/>
        <v>Map</v>
      </c>
      <c r="S1491" s="2" t="str">
        <f>IF($C1491="","",IFERROR(VLOOKUP($C1491,sources!$A$2:$N$200,9,FALSE()),"?"))</f>
        <v>US corporate (PRR)</v>
      </c>
      <c r="T1491" t="s">
        <v>5692</v>
      </c>
      <c r="U1491">
        <f>IF(OR(B1491="",C1491="",T1491="Retracted",LEFT(D1491,8)="Negative"),0,IF(COUNTIFS($B$2:B1491,B1491,$C$2:C1491,C1491,$D$2:D1491,"&lt;&gt;Negative*",$T$2:T1491,"&lt;&gt;Retracted")=1,1,0))</f>
        <v>0</v>
      </c>
    </row>
    <row r="1492" spans="1:21" x14ac:dyDescent="0.2">
      <c r="A1492" t="s">
        <v>3527</v>
      </c>
      <c r="B1492" t="s">
        <v>335</v>
      </c>
      <c r="C1492" t="s">
        <v>1413</v>
      </c>
      <c r="D1492" t="s">
        <v>1575</v>
      </c>
      <c r="E1492" t="s">
        <v>3528</v>
      </c>
      <c r="F1492" t="s">
        <v>2423</v>
      </c>
      <c r="K1492" t="s">
        <v>1416</v>
      </c>
      <c r="L1492" t="s">
        <v>1416</v>
      </c>
      <c r="M1492" t="s">
        <v>203</v>
      </c>
      <c r="N1492" t="s">
        <v>203</v>
      </c>
      <c r="Q1492" s="2" t="str">
        <f>IF($C1492="","",IFERROR(VLOOKUP($C1492,sources!$A$2:$N$200,2,FALSE()),"?"))</f>
        <v>Report</v>
      </c>
      <c r="R1492" s="2" t="str">
        <f t="shared" si="23"/>
        <v>Textual</v>
      </c>
      <c r="S1492" s="2" t="str">
        <f>IF($C1492="","",IFERROR(VLOOKUP($C1492,sources!$A$2:$N$200,9,FALSE()),"?"))</f>
        <v>French company</v>
      </c>
      <c r="T1492" t="s">
        <v>5692</v>
      </c>
      <c r="U1492">
        <f>IF(OR(B1492="",C1492="",T1492="Retracted",LEFT(D1492,8)="Negative"),0,IF(COUNTIFS($B$2:B1492,B1492,$C$2:C1492,C1492,$D$2:D1492,"&lt;&gt;Negative*",$T$2:T1492,"&lt;&gt;Retracted")=1,1,0))</f>
        <v>1</v>
      </c>
    </row>
    <row r="1493" spans="1:21" x14ac:dyDescent="0.2">
      <c r="A1493" t="s">
        <v>3529</v>
      </c>
      <c r="B1493" t="s">
        <v>420</v>
      </c>
      <c r="C1493" t="s">
        <v>1422</v>
      </c>
      <c r="D1493" t="s">
        <v>1575</v>
      </c>
      <c r="E1493" t="s">
        <v>421</v>
      </c>
      <c r="F1493" t="s">
        <v>2423</v>
      </c>
      <c r="K1493" t="s">
        <v>1425</v>
      </c>
      <c r="L1493" t="s">
        <v>1425</v>
      </c>
      <c r="M1493" t="s">
        <v>203</v>
      </c>
      <c r="N1493" t="s">
        <v>203</v>
      </c>
      <c r="Q1493" s="2" t="str">
        <f>IF($C1493="","",IFERROR(VLOOKUP($C1493,sources!$A$2:$N$200,2,FALSE()),"?"))</f>
        <v>Secondary</v>
      </c>
      <c r="R1493" s="2" t="str">
        <f t="shared" si="23"/>
        <v>Secondary</v>
      </c>
      <c r="S1493" s="2" t="str">
        <f>IF($C1493="","",IFERROR(VLOOKUP($C1493,sources!$A$2:$N$200,9,FALSE()),"?"))</f>
        <v>French company</v>
      </c>
      <c r="T1493" t="s">
        <v>5692</v>
      </c>
      <c r="U1493">
        <f>IF(OR(B1493="",C1493="",T1493="Retracted",LEFT(D1493,8)="Negative"),0,IF(COUNTIFS($B$2:B1493,B1493,$C$2:C1493,C1493,$D$2:D1493,"&lt;&gt;Negative*",$T$2:T1493,"&lt;&gt;Retracted")=1,1,0))</f>
        <v>1</v>
      </c>
    </row>
    <row r="1494" spans="1:21" x14ac:dyDescent="0.2">
      <c r="A1494" t="s">
        <v>3530</v>
      </c>
      <c r="B1494" t="s">
        <v>424</v>
      </c>
      <c r="C1494" t="s">
        <v>1422</v>
      </c>
      <c r="D1494" t="s">
        <v>1575</v>
      </c>
      <c r="E1494" t="s">
        <v>3531</v>
      </c>
      <c r="F1494" t="s">
        <v>2423</v>
      </c>
      <c r="K1494" t="s">
        <v>1425</v>
      </c>
      <c r="L1494" t="s">
        <v>1425</v>
      </c>
      <c r="M1494" t="s">
        <v>203</v>
      </c>
      <c r="N1494" t="s">
        <v>203</v>
      </c>
      <c r="Q1494" s="2" t="str">
        <f>IF($C1494="","",IFERROR(VLOOKUP($C1494,sources!$A$2:$N$200,2,FALSE()),"?"))</f>
        <v>Secondary</v>
      </c>
      <c r="R1494" s="2" t="str">
        <f t="shared" si="23"/>
        <v>Secondary</v>
      </c>
      <c r="S1494" s="2" t="str">
        <f>IF($C1494="","",IFERROR(VLOOKUP($C1494,sources!$A$2:$N$200,9,FALSE()),"?"))</f>
        <v>French company</v>
      </c>
      <c r="T1494" t="s">
        <v>5692</v>
      </c>
      <c r="U1494">
        <f>IF(OR(B1494="",C1494="",T1494="Retracted",LEFT(D1494,8)="Negative"),0,IF(COUNTIFS($B$2:B1494,B1494,$C$2:C1494,C1494,$D$2:D1494,"&lt;&gt;Negative*",$T$2:T1494,"&lt;&gt;Retracted")=1,1,0))</f>
        <v>1</v>
      </c>
    </row>
    <row r="1495" spans="1:21" x14ac:dyDescent="0.2">
      <c r="A1495" t="s">
        <v>3532</v>
      </c>
      <c r="B1495" t="s">
        <v>443</v>
      </c>
      <c r="C1495" t="s">
        <v>1413</v>
      </c>
      <c r="D1495" t="s">
        <v>1575</v>
      </c>
      <c r="E1495" t="s">
        <v>444</v>
      </c>
      <c r="F1495" t="s">
        <v>2423</v>
      </c>
      <c r="K1495" t="s">
        <v>1416</v>
      </c>
      <c r="L1495" t="s">
        <v>1416</v>
      </c>
      <c r="M1495" t="s">
        <v>203</v>
      </c>
      <c r="N1495" t="s">
        <v>203</v>
      </c>
      <c r="Q1495" s="2" t="str">
        <f>IF($C1495="","",IFERROR(VLOOKUP($C1495,sources!$A$2:$N$200,2,FALSE()),"?"))</f>
        <v>Report</v>
      </c>
      <c r="R1495" s="2" t="str">
        <f t="shared" si="23"/>
        <v>Textual</v>
      </c>
      <c r="S1495" s="2" t="str">
        <f>IF($C1495="","",IFERROR(VLOOKUP($C1495,sources!$A$2:$N$200,9,FALSE()),"?"))</f>
        <v>French company</v>
      </c>
      <c r="T1495" t="s">
        <v>5692</v>
      </c>
      <c r="U1495">
        <f>IF(OR(B1495="",C1495="",T1495="Retracted",LEFT(D1495,8)="Negative"),0,IF(COUNTIFS($B$2:B1495,B1495,$C$2:C1495,C1495,$D$2:D1495,"&lt;&gt;Negative*",$T$2:T1495,"&lt;&gt;Retracted")=1,1,0))</f>
        <v>1</v>
      </c>
    </row>
    <row r="1496" spans="1:21" x14ac:dyDescent="0.2">
      <c r="A1496" t="s">
        <v>3533</v>
      </c>
      <c r="B1496" t="s">
        <v>215</v>
      </c>
      <c r="C1496" t="s">
        <v>1413</v>
      </c>
      <c r="D1496" t="s">
        <v>1613</v>
      </c>
      <c r="F1496" t="s">
        <v>2423</v>
      </c>
      <c r="N1496" t="s">
        <v>209</v>
      </c>
      <c r="Q1496" s="2" t="str">
        <f>IF($C1496="","",IFERROR(VLOOKUP($C1496,sources!$A$2:$N$200,2,FALSE()),"?"))</f>
        <v>Report</v>
      </c>
      <c r="R1496" s="2" t="str">
        <f t="shared" si="23"/>
        <v>Textual</v>
      </c>
      <c r="S1496" s="2" t="str">
        <f>IF($C1496="","",IFERROR(VLOOKUP($C1496,sources!$A$2:$N$200,9,FALSE()),"?"))</f>
        <v>French company</v>
      </c>
      <c r="T1496" t="s">
        <v>5692</v>
      </c>
      <c r="U1496">
        <f>IF(OR(B1496="",C1496="",T1496="Retracted",LEFT(D1496,8)="Negative"),0,IF(COUNTIFS($B$2:B1496,B1496,$C$2:C1496,C1496,$D$2:D1496,"&lt;&gt;Negative*",$T$2:T1496,"&lt;&gt;Retracted")=1,1,0))</f>
        <v>0</v>
      </c>
    </row>
    <row r="1497" spans="1:21" x14ac:dyDescent="0.2">
      <c r="A1497" t="s">
        <v>3534</v>
      </c>
      <c r="B1497" t="s">
        <v>217</v>
      </c>
      <c r="C1497" t="s">
        <v>1413</v>
      </c>
      <c r="D1497" t="s">
        <v>1613</v>
      </c>
      <c r="F1497" t="s">
        <v>2423</v>
      </c>
      <c r="N1497" t="s">
        <v>209</v>
      </c>
      <c r="Q1497" s="2" t="str">
        <f>IF($C1497="","",IFERROR(VLOOKUP($C1497,sources!$A$2:$N$200,2,FALSE()),"?"))</f>
        <v>Report</v>
      </c>
      <c r="R1497" s="2" t="str">
        <f t="shared" si="23"/>
        <v>Textual</v>
      </c>
      <c r="S1497" s="2" t="str">
        <f>IF($C1497="","",IFERROR(VLOOKUP($C1497,sources!$A$2:$N$200,9,FALSE()),"?"))</f>
        <v>French company</v>
      </c>
      <c r="T1497" t="s">
        <v>5692</v>
      </c>
      <c r="U1497">
        <f>IF(OR(B1497="",C1497="",T1497="Retracted",LEFT(D1497,8)="Negative"),0,IF(COUNTIFS($B$2:B1497,B1497,$C$2:C1497,C1497,$D$2:D1497,"&lt;&gt;Negative*",$T$2:T1497,"&lt;&gt;Retracted")=1,1,0))</f>
        <v>0</v>
      </c>
    </row>
    <row r="1498" spans="1:21" x14ac:dyDescent="0.2">
      <c r="A1498" t="s">
        <v>3535</v>
      </c>
      <c r="B1498" t="s">
        <v>211</v>
      </c>
      <c r="C1498" t="s">
        <v>1413</v>
      </c>
      <c r="D1498" t="s">
        <v>1613</v>
      </c>
      <c r="F1498" t="s">
        <v>2423</v>
      </c>
      <c r="N1498" t="s">
        <v>209</v>
      </c>
      <c r="Q1498" s="2" t="str">
        <f>IF($C1498="","",IFERROR(VLOOKUP($C1498,sources!$A$2:$N$200,2,FALSE()),"?"))</f>
        <v>Report</v>
      </c>
      <c r="R1498" s="2" t="str">
        <f t="shared" si="23"/>
        <v>Textual</v>
      </c>
      <c r="S1498" s="2" t="str">
        <f>IF($C1498="","",IFERROR(VLOOKUP($C1498,sources!$A$2:$N$200,9,FALSE()),"?"))</f>
        <v>French company</v>
      </c>
      <c r="T1498" t="s">
        <v>5692</v>
      </c>
      <c r="U1498">
        <f>IF(OR(B1498="",C1498="",T1498="Retracted",LEFT(D1498,8)="Negative"),0,IF(COUNTIFS($B$2:B1498,B1498,$C$2:C1498,C1498,$D$2:D1498,"&lt;&gt;Negative*",$T$2:T1498,"&lt;&gt;Retracted")=1,1,0))</f>
        <v>0</v>
      </c>
    </row>
    <row r="1499" spans="1:21" x14ac:dyDescent="0.2">
      <c r="A1499" t="s">
        <v>3536</v>
      </c>
      <c r="B1499" t="s">
        <v>213</v>
      </c>
      <c r="C1499" t="s">
        <v>1413</v>
      </c>
      <c r="D1499" t="s">
        <v>1613</v>
      </c>
      <c r="F1499" t="s">
        <v>2423</v>
      </c>
      <c r="N1499" t="s">
        <v>209</v>
      </c>
      <c r="Q1499" s="2" t="str">
        <f>IF($C1499="","",IFERROR(VLOOKUP($C1499,sources!$A$2:$N$200,2,FALSE()),"?"))</f>
        <v>Report</v>
      </c>
      <c r="R1499" s="2" t="str">
        <f t="shared" si="23"/>
        <v>Textual</v>
      </c>
      <c r="S1499" s="2" t="str">
        <f>IF($C1499="","",IFERROR(VLOOKUP($C1499,sources!$A$2:$N$200,9,FALSE()),"?"))</f>
        <v>French company</v>
      </c>
      <c r="T1499" t="s">
        <v>5692</v>
      </c>
      <c r="U1499">
        <f>IF(OR(B1499="",C1499="",T1499="Retracted",LEFT(D1499,8)="Negative"),0,IF(COUNTIFS($B$2:B1499,B1499,$C$2:C1499,C1499,$D$2:D1499,"&lt;&gt;Negative*",$T$2:T1499,"&lt;&gt;Retracted")=1,1,0))</f>
        <v>0</v>
      </c>
    </row>
    <row r="1500" spans="1:21" x14ac:dyDescent="0.2">
      <c r="A1500" t="s">
        <v>3537</v>
      </c>
      <c r="B1500" t="s">
        <v>433</v>
      </c>
      <c r="C1500" t="s">
        <v>1413</v>
      </c>
      <c r="D1500" t="s">
        <v>1613</v>
      </c>
      <c r="F1500" t="s">
        <v>2423</v>
      </c>
      <c r="N1500" t="s">
        <v>209</v>
      </c>
      <c r="Q1500" s="2" t="str">
        <f>IF($C1500="","",IFERROR(VLOOKUP($C1500,sources!$A$2:$N$200,2,FALSE()),"?"))</f>
        <v>Report</v>
      </c>
      <c r="R1500" s="2" t="str">
        <f t="shared" si="23"/>
        <v>Textual</v>
      </c>
      <c r="S1500" s="2" t="str">
        <f>IF($C1500="","",IFERROR(VLOOKUP($C1500,sources!$A$2:$N$200,9,FALSE()),"?"))</f>
        <v>French company</v>
      </c>
      <c r="T1500" t="s">
        <v>5692</v>
      </c>
      <c r="U1500">
        <f>IF(OR(B1500="",C1500="",T1500="Retracted",LEFT(D1500,8)="Negative"),0,IF(COUNTIFS($B$2:B1500,B1500,$C$2:C1500,C1500,$D$2:D1500,"&lt;&gt;Negative*",$T$2:T1500,"&lt;&gt;Retracted")=1,1,0))</f>
        <v>0</v>
      </c>
    </row>
    <row r="1501" spans="1:21" x14ac:dyDescent="0.2">
      <c r="A1501" t="s">
        <v>3538</v>
      </c>
      <c r="B1501" t="s">
        <v>484</v>
      </c>
      <c r="C1501" t="s">
        <v>1413</v>
      </c>
      <c r="D1501" t="s">
        <v>1613</v>
      </c>
      <c r="F1501" t="s">
        <v>2423</v>
      </c>
      <c r="N1501" t="s">
        <v>209</v>
      </c>
      <c r="Q1501" s="2" t="str">
        <f>IF($C1501="","",IFERROR(VLOOKUP($C1501,sources!$A$2:$N$200,2,FALSE()),"?"))</f>
        <v>Report</v>
      </c>
      <c r="R1501" s="2" t="str">
        <f t="shared" si="23"/>
        <v>Textual</v>
      </c>
      <c r="S1501" s="2" t="str">
        <f>IF($C1501="","",IFERROR(VLOOKUP($C1501,sources!$A$2:$N$200,9,FALSE()),"?"))</f>
        <v>French company</v>
      </c>
      <c r="T1501" t="s">
        <v>5692</v>
      </c>
      <c r="U1501">
        <f>IF(OR(B1501="",C1501="",T1501="Retracted",LEFT(D1501,8)="Negative"),0,IF(COUNTIFS($B$2:B1501,B1501,$C$2:C1501,C1501,$D$2:D1501,"&lt;&gt;Negative*",$T$2:T1501,"&lt;&gt;Retracted")=1,1,0))</f>
        <v>0</v>
      </c>
    </row>
    <row r="1502" spans="1:21" x14ac:dyDescent="0.2">
      <c r="A1502" t="s">
        <v>3539</v>
      </c>
      <c r="B1502" t="s">
        <v>480</v>
      </c>
      <c r="C1502" t="s">
        <v>1413</v>
      </c>
      <c r="D1502" t="s">
        <v>1613</v>
      </c>
      <c r="F1502" t="s">
        <v>2423</v>
      </c>
      <c r="N1502" t="s">
        <v>209</v>
      </c>
      <c r="Q1502" s="2" t="str">
        <f>IF($C1502="","",IFERROR(VLOOKUP($C1502,sources!$A$2:$N$200,2,FALSE()),"?"))</f>
        <v>Report</v>
      </c>
      <c r="R1502" s="2" t="str">
        <f t="shared" si="23"/>
        <v>Textual</v>
      </c>
      <c r="S1502" s="2" t="str">
        <f>IF($C1502="","",IFERROR(VLOOKUP($C1502,sources!$A$2:$N$200,9,FALSE()),"?"))</f>
        <v>French company</v>
      </c>
      <c r="T1502" t="s">
        <v>5692</v>
      </c>
      <c r="U1502">
        <f>IF(OR(B1502="",C1502="",T1502="Retracted",LEFT(D1502,8)="Negative"),0,IF(COUNTIFS($B$2:B1502,B1502,$C$2:C1502,C1502,$D$2:D1502,"&lt;&gt;Negative*",$T$2:T1502,"&lt;&gt;Retracted")=1,1,0))</f>
        <v>0</v>
      </c>
    </row>
    <row r="1503" spans="1:21" x14ac:dyDescent="0.2">
      <c r="A1503" t="s">
        <v>3540</v>
      </c>
      <c r="B1503" t="s">
        <v>498</v>
      </c>
      <c r="C1503" t="s">
        <v>1413</v>
      </c>
      <c r="D1503" t="s">
        <v>1613</v>
      </c>
      <c r="F1503" t="s">
        <v>2423</v>
      </c>
      <c r="N1503" t="s">
        <v>209</v>
      </c>
      <c r="Q1503" s="2" t="str">
        <f>IF($C1503="","",IFERROR(VLOOKUP($C1503,sources!$A$2:$N$200,2,FALSE()),"?"))</f>
        <v>Report</v>
      </c>
      <c r="R1503" s="2" t="str">
        <f t="shared" si="23"/>
        <v>Textual</v>
      </c>
      <c r="S1503" s="2" t="str">
        <f>IF($C1503="","",IFERROR(VLOOKUP($C1503,sources!$A$2:$N$200,9,FALSE()),"?"))</f>
        <v>French company</v>
      </c>
      <c r="T1503" t="s">
        <v>5692</v>
      </c>
      <c r="U1503">
        <f>IF(OR(B1503="",C1503="",T1503="Retracted",LEFT(D1503,8)="Negative"),0,IF(COUNTIFS($B$2:B1503,B1503,$C$2:C1503,C1503,$D$2:D1503,"&lt;&gt;Negative*",$T$2:T1503,"&lt;&gt;Retracted")=1,1,0))</f>
        <v>0</v>
      </c>
    </row>
    <row r="1504" spans="1:21" x14ac:dyDescent="0.2">
      <c r="A1504" t="s">
        <v>3541</v>
      </c>
      <c r="B1504" t="s">
        <v>503</v>
      </c>
      <c r="C1504" t="s">
        <v>1413</v>
      </c>
      <c r="D1504" t="s">
        <v>1613</v>
      </c>
      <c r="F1504" t="s">
        <v>2423</v>
      </c>
      <c r="N1504" t="s">
        <v>209</v>
      </c>
      <c r="Q1504" s="2" t="str">
        <f>IF($C1504="","",IFERROR(VLOOKUP($C1504,sources!$A$2:$N$200,2,FALSE()),"?"))</f>
        <v>Report</v>
      </c>
      <c r="R1504" s="2" t="str">
        <f t="shared" si="23"/>
        <v>Textual</v>
      </c>
      <c r="S1504" s="2" t="str">
        <f>IF($C1504="","",IFERROR(VLOOKUP($C1504,sources!$A$2:$N$200,9,FALSE()),"?"))</f>
        <v>French company</v>
      </c>
      <c r="T1504" t="s">
        <v>5692</v>
      </c>
      <c r="U1504">
        <f>IF(OR(B1504="",C1504="",T1504="Retracted",LEFT(D1504,8)="Negative"),0,IF(COUNTIFS($B$2:B1504,B1504,$C$2:C1504,C1504,$D$2:D1504,"&lt;&gt;Negative*",$T$2:T1504,"&lt;&gt;Retracted")=1,1,0))</f>
        <v>0</v>
      </c>
    </row>
    <row r="1505" spans="1:21" x14ac:dyDescent="0.2">
      <c r="A1505" t="s">
        <v>3542</v>
      </c>
      <c r="B1505" t="s">
        <v>507</v>
      </c>
      <c r="C1505" t="s">
        <v>1413</v>
      </c>
      <c r="D1505" t="s">
        <v>1613</v>
      </c>
      <c r="F1505" t="s">
        <v>2423</v>
      </c>
      <c r="N1505" t="s">
        <v>209</v>
      </c>
      <c r="Q1505" s="2" t="str">
        <f>IF($C1505="","",IFERROR(VLOOKUP($C1505,sources!$A$2:$N$200,2,FALSE()),"?"))</f>
        <v>Report</v>
      </c>
      <c r="R1505" s="2" t="str">
        <f t="shared" si="23"/>
        <v>Textual</v>
      </c>
      <c r="S1505" s="2" t="str">
        <f>IF($C1505="","",IFERROR(VLOOKUP($C1505,sources!$A$2:$N$200,9,FALSE()),"?"))</f>
        <v>French company</v>
      </c>
      <c r="T1505" t="s">
        <v>5692</v>
      </c>
      <c r="U1505">
        <f>IF(OR(B1505="",C1505="",T1505="Retracted",LEFT(D1505,8)="Negative"),0,IF(COUNTIFS($B$2:B1505,B1505,$C$2:C1505,C1505,$D$2:D1505,"&lt;&gt;Negative*",$T$2:T1505,"&lt;&gt;Retracted")=1,1,0))</f>
        <v>0</v>
      </c>
    </row>
    <row r="1506" spans="1:21" x14ac:dyDescent="0.2">
      <c r="A1506" t="s">
        <v>3543</v>
      </c>
      <c r="B1506" t="s">
        <v>472</v>
      </c>
      <c r="C1506" t="s">
        <v>1413</v>
      </c>
      <c r="D1506" t="s">
        <v>1613</v>
      </c>
      <c r="F1506" t="s">
        <v>2423</v>
      </c>
      <c r="N1506" t="s">
        <v>209</v>
      </c>
      <c r="Q1506" s="2" t="str">
        <f>IF($C1506="","",IFERROR(VLOOKUP($C1506,sources!$A$2:$N$200,2,FALSE()),"?"))</f>
        <v>Report</v>
      </c>
      <c r="R1506" s="2" t="str">
        <f t="shared" si="23"/>
        <v>Textual</v>
      </c>
      <c r="S1506" s="2" t="str">
        <f>IF($C1506="","",IFERROR(VLOOKUP($C1506,sources!$A$2:$N$200,9,FALSE()),"?"))</f>
        <v>French company</v>
      </c>
      <c r="T1506" t="s">
        <v>5692</v>
      </c>
      <c r="U1506">
        <f>IF(OR(B1506="",C1506="",T1506="Retracted",LEFT(D1506,8)="Negative"),0,IF(COUNTIFS($B$2:B1506,B1506,$C$2:C1506,C1506,$D$2:D1506,"&lt;&gt;Negative*",$T$2:T1506,"&lt;&gt;Retracted")=1,1,0))</f>
        <v>0</v>
      </c>
    </row>
    <row r="1507" spans="1:21" x14ac:dyDescent="0.2">
      <c r="A1507" t="s">
        <v>3544</v>
      </c>
      <c r="B1507" t="s">
        <v>386</v>
      </c>
      <c r="C1507" t="s">
        <v>1413</v>
      </c>
      <c r="D1507" t="s">
        <v>1613</v>
      </c>
      <c r="F1507" t="s">
        <v>2423</v>
      </c>
      <c r="N1507" t="s">
        <v>209</v>
      </c>
      <c r="Q1507" s="2" t="str">
        <f>IF($C1507="","",IFERROR(VLOOKUP($C1507,sources!$A$2:$N$200,2,FALSE()),"?"))</f>
        <v>Report</v>
      </c>
      <c r="R1507" s="2" t="str">
        <f t="shared" si="23"/>
        <v>Textual</v>
      </c>
      <c r="S1507" s="2" t="str">
        <f>IF($C1507="","",IFERROR(VLOOKUP($C1507,sources!$A$2:$N$200,9,FALSE()),"?"))</f>
        <v>French company</v>
      </c>
      <c r="T1507" t="s">
        <v>5692</v>
      </c>
      <c r="U1507">
        <f>IF(OR(B1507="",C1507="",T1507="Retracted",LEFT(D1507,8)="Negative"),0,IF(COUNTIFS($B$2:B1507,B1507,$C$2:C1507,C1507,$D$2:D1507,"&lt;&gt;Negative*",$T$2:T1507,"&lt;&gt;Retracted")=1,1,0))</f>
        <v>0</v>
      </c>
    </row>
    <row r="1508" spans="1:21" x14ac:dyDescent="0.2">
      <c r="A1508" t="s">
        <v>3545</v>
      </c>
      <c r="B1508" t="s">
        <v>599</v>
      </c>
      <c r="C1508" t="s">
        <v>1413</v>
      </c>
      <c r="D1508" t="s">
        <v>1613</v>
      </c>
      <c r="F1508" t="s">
        <v>2423</v>
      </c>
      <c r="N1508" t="s">
        <v>209</v>
      </c>
      <c r="Q1508" s="2" t="str">
        <f>IF($C1508="","",IFERROR(VLOOKUP($C1508,sources!$A$2:$N$200,2,FALSE()),"?"))</f>
        <v>Report</v>
      </c>
      <c r="R1508" s="2" t="str">
        <f t="shared" si="23"/>
        <v>Textual</v>
      </c>
      <c r="S1508" s="2" t="str">
        <f>IF($C1508="","",IFERROR(VLOOKUP($C1508,sources!$A$2:$N$200,9,FALSE()),"?"))</f>
        <v>French company</v>
      </c>
      <c r="T1508" t="s">
        <v>5692</v>
      </c>
      <c r="U1508">
        <f>IF(OR(B1508="",C1508="",T1508="Retracted",LEFT(D1508,8)="Negative"),0,IF(COUNTIFS($B$2:B1508,B1508,$C$2:C1508,C1508,$D$2:D1508,"&lt;&gt;Negative*",$T$2:T1508,"&lt;&gt;Retracted")=1,1,0))</f>
        <v>0</v>
      </c>
    </row>
    <row r="1509" spans="1:21" x14ac:dyDescent="0.2">
      <c r="A1509" t="s">
        <v>3546</v>
      </c>
      <c r="B1509" t="s">
        <v>607</v>
      </c>
      <c r="C1509" t="s">
        <v>1413</v>
      </c>
      <c r="D1509" t="s">
        <v>1613</v>
      </c>
      <c r="F1509" t="s">
        <v>2423</v>
      </c>
      <c r="N1509" t="s">
        <v>209</v>
      </c>
      <c r="Q1509" s="2" t="str">
        <f>IF($C1509="","",IFERROR(VLOOKUP($C1509,sources!$A$2:$N$200,2,FALSE()),"?"))</f>
        <v>Report</v>
      </c>
      <c r="R1509" s="2" t="str">
        <f t="shared" si="23"/>
        <v>Textual</v>
      </c>
      <c r="S1509" s="2" t="str">
        <f>IF($C1509="","",IFERROR(VLOOKUP($C1509,sources!$A$2:$N$200,9,FALSE()),"?"))</f>
        <v>French company</v>
      </c>
      <c r="T1509" t="s">
        <v>5692</v>
      </c>
      <c r="U1509">
        <f>IF(OR(B1509="",C1509="",T1509="Retracted",LEFT(D1509,8)="Negative"),0,IF(COUNTIFS($B$2:B1509,B1509,$C$2:C1509,C1509,$D$2:D1509,"&lt;&gt;Negative*",$T$2:T1509,"&lt;&gt;Retracted")=1,1,0))</f>
        <v>0</v>
      </c>
    </row>
    <row r="1510" spans="1:21" x14ac:dyDescent="0.2">
      <c r="A1510" t="s">
        <v>3547</v>
      </c>
      <c r="B1510" t="s">
        <v>783</v>
      </c>
      <c r="C1510" t="s">
        <v>1413</v>
      </c>
      <c r="D1510" t="s">
        <v>1613</v>
      </c>
      <c r="F1510" t="s">
        <v>2423</v>
      </c>
      <c r="N1510" t="s">
        <v>209</v>
      </c>
      <c r="Q1510" s="2" t="str">
        <f>IF($C1510="","",IFERROR(VLOOKUP($C1510,sources!$A$2:$N$200,2,FALSE()),"?"))</f>
        <v>Report</v>
      </c>
      <c r="R1510" s="2" t="str">
        <f t="shared" si="23"/>
        <v>Textual</v>
      </c>
      <c r="S1510" s="2" t="str">
        <f>IF($C1510="","",IFERROR(VLOOKUP($C1510,sources!$A$2:$N$200,9,FALSE()),"?"))</f>
        <v>French company</v>
      </c>
      <c r="T1510" t="s">
        <v>5692</v>
      </c>
      <c r="U1510">
        <f>IF(OR(B1510="",C1510="",T1510="Retracted",LEFT(D1510,8)="Negative"),0,IF(COUNTIFS($B$2:B1510,B1510,$C$2:C1510,C1510,$D$2:D1510,"&lt;&gt;Negative*",$T$2:T1510,"&lt;&gt;Retracted")=1,1,0))</f>
        <v>0</v>
      </c>
    </row>
    <row r="1511" spans="1:21" x14ac:dyDescent="0.2">
      <c r="A1511" t="s">
        <v>3548</v>
      </c>
      <c r="B1511" t="s">
        <v>378</v>
      </c>
      <c r="C1511" t="s">
        <v>1413</v>
      </c>
      <c r="D1511" t="s">
        <v>1613</v>
      </c>
      <c r="F1511" t="s">
        <v>2423</v>
      </c>
      <c r="N1511" t="s">
        <v>209</v>
      </c>
      <c r="Q1511" s="2" t="str">
        <f>IF($C1511="","",IFERROR(VLOOKUP($C1511,sources!$A$2:$N$200,2,FALSE()),"?"))</f>
        <v>Report</v>
      </c>
      <c r="R1511" s="2" t="str">
        <f t="shared" si="23"/>
        <v>Textual</v>
      </c>
      <c r="S1511" s="2" t="str">
        <f>IF($C1511="","",IFERROR(VLOOKUP($C1511,sources!$A$2:$N$200,9,FALSE()),"?"))</f>
        <v>French company</v>
      </c>
      <c r="T1511" t="s">
        <v>5692</v>
      </c>
      <c r="U1511">
        <f>IF(OR(B1511="",C1511="",T1511="Retracted",LEFT(D1511,8)="Negative"),0,IF(COUNTIFS($B$2:B1511,B1511,$C$2:C1511,C1511,$D$2:D1511,"&lt;&gt;Negative*",$T$2:T1511,"&lt;&gt;Retracted")=1,1,0))</f>
        <v>0</v>
      </c>
    </row>
    <row r="1512" spans="1:21" x14ac:dyDescent="0.2">
      <c r="A1512" t="s">
        <v>3549</v>
      </c>
      <c r="B1512" t="s">
        <v>565</v>
      </c>
      <c r="C1512" t="s">
        <v>1413</v>
      </c>
      <c r="D1512" t="s">
        <v>1613</v>
      </c>
      <c r="F1512" t="s">
        <v>2423</v>
      </c>
      <c r="N1512" t="s">
        <v>209</v>
      </c>
      <c r="Q1512" s="2" t="str">
        <f>IF($C1512="","",IFERROR(VLOOKUP($C1512,sources!$A$2:$N$200,2,FALSE()),"?"))</f>
        <v>Report</v>
      </c>
      <c r="R1512" s="2" t="str">
        <f t="shared" si="23"/>
        <v>Textual</v>
      </c>
      <c r="S1512" s="2" t="str">
        <f>IF($C1512="","",IFERROR(VLOOKUP($C1512,sources!$A$2:$N$200,9,FALSE()),"?"))</f>
        <v>French company</v>
      </c>
      <c r="T1512" t="s">
        <v>5692</v>
      </c>
      <c r="U1512">
        <f>IF(OR(B1512="",C1512="",T1512="Retracted",LEFT(D1512,8)="Negative"),0,IF(COUNTIFS($B$2:B1512,B1512,$C$2:C1512,C1512,$D$2:D1512,"&lt;&gt;Negative*",$T$2:T1512,"&lt;&gt;Retracted")=1,1,0))</f>
        <v>0</v>
      </c>
    </row>
    <row r="1513" spans="1:21" x14ac:dyDescent="0.2">
      <c r="A1513" t="s">
        <v>3550</v>
      </c>
      <c r="B1513" t="s">
        <v>510</v>
      </c>
      <c r="C1513" t="s">
        <v>1413</v>
      </c>
      <c r="D1513" t="s">
        <v>1613</v>
      </c>
      <c r="F1513" t="s">
        <v>2423</v>
      </c>
      <c r="N1513" t="s">
        <v>209</v>
      </c>
      <c r="Q1513" s="2" t="str">
        <f>IF($C1513="","",IFERROR(VLOOKUP($C1513,sources!$A$2:$N$200,2,FALSE()),"?"))</f>
        <v>Report</v>
      </c>
      <c r="R1513" s="2" t="str">
        <f t="shared" si="23"/>
        <v>Textual</v>
      </c>
      <c r="S1513" s="2" t="str">
        <f>IF($C1513="","",IFERROR(VLOOKUP($C1513,sources!$A$2:$N$200,9,FALSE()),"?"))</f>
        <v>French company</v>
      </c>
      <c r="T1513" t="s">
        <v>5692</v>
      </c>
      <c r="U1513">
        <f>IF(OR(B1513="",C1513="",T1513="Retracted",LEFT(D1513,8)="Negative"),0,IF(COUNTIFS($B$2:B1513,B1513,$C$2:C1513,C1513,$D$2:D1513,"&lt;&gt;Negative*",$T$2:T1513,"&lt;&gt;Retracted")=1,1,0))</f>
        <v>0</v>
      </c>
    </row>
    <row r="1514" spans="1:21" x14ac:dyDescent="0.2">
      <c r="A1514" t="s">
        <v>3551</v>
      </c>
      <c r="B1514" t="s">
        <v>883</v>
      </c>
      <c r="C1514" t="s">
        <v>1401</v>
      </c>
      <c r="D1514" t="s">
        <v>1572</v>
      </c>
      <c r="E1514" t="s">
        <v>3552</v>
      </c>
      <c r="G1514">
        <v>8.9743999999999993</v>
      </c>
      <c r="H1514">
        <v>-79.573800000000006</v>
      </c>
      <c r="I1514" t="s">
        <v>1573</v>
      </c>
      <c r="J1514">
        <v>200</v>
      </c>
      <c r="K1514">
        <v>1947</v>
      </c>
      <c r="L1514">
        <v>1947</v>
      </c>
      <c r="M1514" t="s">
        <v>203</v>
      </c>
      <c r="N1514" t="s">
        <v>203</v>
      </c>
      <c r="Q1514" s="2" t="str">
        <f>IF($C1514="","",IFERROR(VLOOKUP($C1514,sources!$A$2:$N$200,2,FALSE()),"?"))</f>
        <v>Map</v>
      </c>
      <c r="R1514" s="2" t="str">
        <f t="shared" si="23"/>
        <v>Map</v>
      </c>
      <c r="S1514" s="2" t="str">
        <f>IF($C1514="","",IFERROR(VLOOKUP($C1514,sources!$A$2:$N$200,9,FALSE()),"?"))</f>
        <v>US military</v>
      </c>
      <c r="T1514" t="s">
        <v>5692</v>
      </c>
      <c r="U1514">
        <f>IF(OR(B1514="",C1514="",T1514="Retracted",LEFT(D1514,8)="Negative"),0,IF(COUNTIFS($B$2:B1514,B1514,$C$2:C1514,C1514,$D$2:D1514,"&lt;&gt;Negative*",$T$2:T1514,"&lt;&gt;Retracted")=1,1,0))</f>
        <v>1</v>
      </c>
    </row>
    <row r="1515" spans="1:21" ht="26" x14ac:dyDescent="0.2">
      <c r="A1515" t="s">
        <v>3553</v>
      </c>
      <c r="B1515" t="s">
        <v>892</v>
      </c>
      <c r="C1515" t="s">
        <v>1434</v>
      </c>
      <c r="D1515" t="s">
        <v>1572</v>
      </c>
      <c r="E1515" t="s">
        <v>3554</v>
      </c>
      <c r="G1515">
        <v>9.2568000000000001</v>
      </c>
      <c r="H1515">
        <v>-79.928200000000004</v>
      </c>
      <c r="I1515" t="s">
        <v>1573</v>
      </c>
      <c r="J1515">
        <v>500</v>
      </c>
      <c r="K1515">
        <v>1857</v>
      </c>
      <c r="L1515">
        <v>1857</v>
      </c>
      <c r="M1515" t="s">
        <v>203</v>
      </c>
      <c r="N1515" t="s">
        <v>209</v>
      </c>
      <c r="Q1515" s="2" t="str">
        <f>IF($C1515="","",IFERROR(VLOOKUP($C1515,sources!$A$2:$N$200,2,FALSE()),"?"))</f>
        <v>Map</v>
      </c>
      <c r="R1515" s="2" t="str">
        <f t="shared" si="23"/>
        <v>Map</v>
      </c>
      <c r="S1515" s="2" t="str">
        <f>IF($C1515="","",IFERROR(VLOOKUP($C1515,sources!$A$2:$N$200,9,FALSE()),"?"))</f>
        <v>US corporate (PRR)</v>
      </c>
      <c r="T1515" t="s">
        <v>5692</v>
      </c>
      <c r="U1515">
        <f>IF(OR(B1515="",C1515="",T1515="Retracted",LEFT(D1515,8)="Negative"),0,IF(COUNTIFS($B$2:B1515,B1515,$C$2:C1515,C1515,$D$2:D1515,"&lt;&gt;Negative*",$T$2:T1515,"&lt;&gt;Retracted")=1,1,0))</f>
        <v>1</v>
      </c>
    </row>
    <row r="1516" spans="1:21" ht="26" x14ac:dyDescent="0.2">
      <c r="A1516" t="s">
        <v>3555</v>
      </c>
      <c r="B1516" t="s">
        <v>896</v>
      </c>
      <c r="C1516" t="s">
        <v>1434</v>
      </c>
      <c r="D1516" t="s">
        <v>1572</v>
      </c>
      <c r="E1516" t="s">
        <v>3556</v>
      </c>
      <c r="G1516">
        <v>9.2119</v>
      </c>
      <c r="H1516">
        <v>-79.906599999999997</v>
      </c>
      <c r="I1516" t="s">
        <v>1573</v>
      </c>
      <c r="J1516">
        <v>500</v>
      </c>
      <c r="K1516">
        <v>1857</v>
      </c>
      <c r="L1516">
        <v>1857</v>
      </c>
      <c r="M1516" t="s">
        <v>203</v>
      </c>
      <c r="N1516" t="s">
        <v>209</v>
      </c>
      <c r="Q1516" s="2" t="str">
        <f>IF($C1516="","",IFERROR(VLOOKUP($C1516,sources!$A$2:$N$200,2,FALSE()),"?"))</f>
        <v>Map</v>
      </c>
      <c r="R1516" s="2" t="str">
        <f t="shared" si="23"/>
        <v>Map</v>
      </c>
      <c r="S1516" s="2" t="str">
        <f>IF($C1516="","",IFERROR(VLOOKUP($C1516,sources!$A$2:$N$200,9,FALSE()),"?"))</f>
        <v>US corporate (PRR)</v>
      </c>
      <c r="T1516" t="s">
        <v>5692</v>
      </c>
      <c r="U1516">
        <f>IF(OR(B1516="",C1516="",T1516="Retracted",LEFT(D1516,8)="Negative"),0,IF(COUNTIFS($B$2:B1516,B1516,$C$2:C1516,C1516,$D$2:D1516,"&lt;&gt;Negative*",$T$2:T1516,"&lt;&gt;Retracted")=1,1,0))</f>
        <v>1</v>
      </c>
    </row>
    <row r="1517" spans="1:21" ht="26" x14ac:dyDescent="0.2">
      <c r="A1517" t="s">
        <v>3557</v>
      </c>
      <c r="B1517" t="s">
        <v>899</v>
      </c>
      <c r="C1517" t="s">
        <v>1434</v>
      </c>
      <c r="D1517" t="s">
        <v>1572</v>
      </c>
      <c r="E1517" t="s">
        <v>3558</v>
      </c>
      <c r="G1517">
        <v>9.2093000000000007</v>
      </c>
      <c r="H1517">
        <v>-79.899199999999993</v>
      </c>
      <c r="I1517" t="s">
        <v>1573</v>
      </c>
      <c r="J1517">
        <v>500</v>
      </c>
      <c r="K1517">
        <v>1857</v>
      </c>
      <c r="L1517">
        <v>1857</v>
      </c>
      <c r="M1517" t="s">
        <v>203</v>
      </c>
      <c r="N1517" t="s">
        <v>209</v>
      </c>
      <c r="Q1517" s="2" t="str">
        <f>IF($C1517="","",IFERROR(VLOOKUP($C1517,sources!$A$2:$N$200,2,FALSE()),"?"))</f>
        <v>Map</v>
      </c>
      <c r="R1517" s="2" t="str">
        <f t="shared" si="23"/>
        <v>Map</v>
      </c>
      <c r="S1517" s="2" t="str">
        <f>IF($C1517="","",IFERROR(VLOOKUP($C1517,sources!$A$2:$N$200,9,FALSE()),"?"))</f>
        <v>US corporate (PRR)</v>
      </c>
      <c r="T1517" t="s">
        <v>5692</v>
      </c>
      <c r="U1517">
        <f>IF(OR(B1517="",C1517="",T1517="Retracted",LEFT(D1517,8)="Negative"),0,IF(COUNTIFS($B$2:B1517,B1517,$C$2:C1517,C1517,$D$2:D1517,"&lt;&gt;Negative*",$T$2:T1517,"&lt;&gt;Retracted")=1,1,0))</f>
        <v>1</v>
      </c>
    </row>
    <row r="1518" spans="1:21" ht="26" x14ac:dyDescent="0.2">
      <c r="A1518" t="s">
        <v>3559</v>
      </c>
      <c r="B1518" t="s">
        <v>902</v>
      </c>
      <c r="C1518" t="s">
        <v>1434</v>
      </c>
      <c r="D1518" t="s">
        <v>1572</v>
      </c>
      <c r="E1518" t="s">
        <v>3560</v>
      </c>
      <c r="G1518">
        <v>9.2294999999999998</v>
      </c>
      <c r="H1518">
        <v>-79.876999999999995</v>
      </c>
      <c r="I1518" t="s">
        <v>1573</v>
      </c>
      <c r="J1518">
        <v>500</v>
      </c>
      <c r="K1518">
        <v>1857</v>
      </c>
      <c r="L1518">
        <v>1857</v>
      </c>
      <c r="M1518" t="s">
        <v>203</v>
      </c>
      <c r="N1518" t="s">
        <v>209</v>
      </c>
      <c r="Q1518" s="2" t="str">
        <f>IF($C1518="","",IFERROR(VLOOKUP($C1518,sources!$A$2:$N$200,2,FALSE()),"?"))</f>
        <v>Map</v>
      </c>
      <c r="R1518" s="2" t="str">
        <f t="shared" si="23"/>
        <v>Map</v>
      </c>
      <c r="S1518" s="2" t="str">
        <f>IF($C1518="","",IFERROR(VLOOKUP($C1518,sources!$A$2:$N$200,9,FALSE()),"?"))</f>
        <v>US corporate (PRR)</v>
      </c>
      <c r="T1518" t="s">
        <v>5692</v>
      </c>
      <c r="U1518">
        <f>IF(OR(B1518="",C1518="",T1518="Retracted",LEFT(D1518,8)="Negative"),0,IF(COUNTIFS($B$2:B1518,B1518,$C$2:C1518,C1518,$D$2:D1518,"&lt;&gt;Negative*",$T$2:T1518,"&lt;&gt;Retracted")=1,1,0))</f>
        <v>1</v>
      </c>
    </row>
    <row r="1519" spans="1:21" ht="26" x14ac:dyDescent="0.2">
      <c r="A1519" t="s">
        <v>3561</v>
      </c>
      <c r="B1519" t="s">
        <v>906</v>
      </c>
      <c r="C1519" t="s">
        <v>1434</v>
      </c>
      <c r="D1519" t="s">
        <v>1572</v>
      </c>
      <c r="E1519" t="s">
        <v>3562</v>
      </c>
      <c r="G1519">
        <v>9.1129999999999995</v>
      </c>
      <c r="H1519">
        <v>-79.8</v>
      </c>
      <c r="I1519" t="s">
        <v>1573</v>
      </c>
      <c r="J1519">
        <v>800</v>
      </c>
      <c r="K1519">
        <v>1857</v>
      </c>
      <c r="L1519">
        <v>1857</v>
      </c>
      <c r="M1519" t="s">
        <v>203</v>
      </c>
      <c r="N1519" t="s">
        <v>209</v>
      </c>
      <c r="Q1519" s="2" t="str">
        <f>IF($C1519="","",IFERROR(VLOOKUP($C1519,sources!$A$2:$N$200,2,FALSE()),"?"))</f>
        <v>Map</v>
      </c>
      <c r="R1519" s="2" t="str">
        <f t="shared" si="23"/>
        <v>Map</v>
      </c>
      <c r="S1519" s="2" t="str">
        <f>IF($C1519="","",IFERROR(VLOOKUP($C1519,sources!$A$2:$N$200,9,FALSE()),"?"))</f>
        <v>US corporate (PRR)</v>
      </c>
      <c r="T1519" t="s">
        <v>5692</v>
      </c>
      <c r="U1519">
        <f>IF(OR(B1519="",C1519="",T1519="Retracted",LEFT(D1519,8)="Negative"),0,IF(COUNTIFS($B$2:B1519,B1519,$C$2:C1519,C1519,$D$2:D1519,"&lt;&gt;Negative*",$T$2:T1519,"&lt;&gt;Retracted")=1,1,0))</f>
        <v>1</v>
      </c>
    </row>
    <row r="1520" spans="1:21" ht="26" x14ac:dyDescent="0.2">
      <c r="A1520" t="s">
        <v>3563</v>
      </c>
      <c r="B1520" t="s">
        <v>910</v>
      </c>
      <c r="C1520" t="s">
        <v>1434</v>
      </c>
      <c r="D1520" t="s">
        <v>1572</v>
      </c>
      <c r="E1520" t="s">
        <v>3564</v>
      </c>
      <c r="G1520">
        <v>9.093</v>
      </c>
      <c r="H1520">
        <v>-79.709999999999994</v>
      </c>
      <c r="I1520" t="s">
        <v>1573</v>
      </c>
      <c r="J1520">
        <v>800</v>
      </c>
      <c r="K1520">
        <v>1857</v>
      </c>
      <c r="L1520">
        <v>1857</v>
      </c>
      <c r="M1520" t="s">
        <v>203</v>
      </c>
      <c r="N1520" t="s">
        <v>209</v>
      </c>
      <c r="Q1520" s="2" t="str">
        <f>IF($C1520="","",IFERROR(VLOOKUP($C1520,sources!$A$2:$N$200,2,FALSE()),"?"))</f>
        <v>Map</v>
      </c>
      <c r="R1520" s="2" t="str">
        <f t="shared" si="23"/>
        <v>Map</v>
      </c>
      <c r="S1520" s="2" t="str">
        <f>IF($C1520="","",IFERROR(VLOOKUP($C1520,sources!$A$2:$N$200,9,FALSE()),"?"))</f>
        <v>US corporate (PRR)</v>
      </c>
      <c r="T1520" t="s">
        <v>5692</v>
      </c>
      <c r="U1520">
        <f>IF(OR(B1520="",C1520="",T1520="Retracted",LEFT(D1520,8)="Negative"),0,IF(COUNTIFS($B$2:B1520,B1520,$C$2:C1520,C1520,$D$2:D1520,"&lt;&gt;Negative*",$T$2:T1520,"&lt;&gt;Retracted")=1,1,0))</f>
        <v>1</v>
      </c>
    </row>
    <row r="1521" spans="1:21" ht="26" x14ac:dyDescent="0.2">
      <c r="A1521" t="s">
        <v>3565</v>
      </c>
      <c r="B1521" t="s">
        <v>914</v>
      </c>
      <c r="C1521" t="s">
        <v>1434</v>
      </c>
      <c r="D1521" t="s">
        <v>1572</v>
      </c>
      <c r="E1521" t="s">
        <v>3566</v>
      </c>
      <c r="G1521">
        <v>9.08</v>
      </c>
      <c r="H1521">
        <v>-79.7</v>
      </c>
      <c r="I1521" t="s">
        <v>1573</v>
      </c>
      <c r="J1521">
        <v>800</v>
      </c>
      <c r="K1521">
        <v>1857</v>
      </c>
      <c r="L1521">
        <v>1857</v>
      </c>
      <c r="M1521" t="s">
        <v>203</v>
      </c>
      <c r="N1521" t="s">
        <v>209</v>
      </c>
      <c r="Q1521" s="2" t="str">
        <f>IF($C1521="","",IFERROR(VLOOKUP($C1521,sources!$A$2:$N$200,2,FALSE()),"?"))</f>
        <v>Map</v>
      </c>
      <c r="R1521" s="2" t="str">
        <f t="shared" si="23"/>
        <v>Map</v>
      </c>
      <c r="S1521" s="2" t="str">
        <f>IF($C1521="","",IFERROR(VLOOKUP($C1521,sources!$A$2:$N$200,9,FALSE()),"?"))</f>
        <v>US corporate (PRR)</v>
      </c>
      <c r="T1521" t="s">
        <v>5692</v>
      </c>
      <c r="U1521">
        <f>IF(OR(B1521="",C1521="",T1521="Retracted",LEFT(D1521,8)="Negative"),0,IF(COUNTIFS($B$2:B1521,B1521,$C$2:C1521,C1521,$D$2:D1521,"&lt;&gt;Negative*",$T$2:T1521,"&lt;&gt;Retracted")=1,1,0))</f>
        <v>1</v>
      </c>
    </row>
    <row r="1522" spans="1:21" ht="26" x14ac:dyDescent="0.2">
      <c r="A1522" t="s">
        <v>3567</v>
      </c>
      <c r="B1522" t="s">
        <v>917</v>
      </c>
      <c r="C1522" t="s">
        <v>1434</v>
      </c>
      <c r="D1522" t="s">
        <v>1572</v>
      </c>
      <c r="E1522" t="s">
        <v>3568</v>
      </c>
      <c r="G1522">
        <v>9.0399999999999991</v>
      </c>
      <c r="H1522">
        <v>-79.611999999999995</v>
      </c>
      <c r="I1522" t="s">
        <v>1573</v>
      </c>
      <c r="J1522">
        <v>800</v>
      </c>
      <c r="K1522">
        <v>1857</v>
      </c>
      <c r="L1522">
        <v>1857</v>
      </c>
      <c r="M1522" t="s">
        <v>203</v>
      </c>
      <c r="N1522" t="s">
        <v>209</v>
      </c>
      <c r="Q1522" s="2" t="str">
        <f>IF($C1522="","",IFERROR(VLOOKUP($C1522,sources!$A$2:$N$200,2,FALSE()),"?"))</f>
        <v>Map</v>
      </c>
      <c r="R1522" s="2" t="str">
        <f t="shared" si="23"/>
        <v>Map</v>
      </c>
      <c r="S1522" s="2" t="str">
        <f>IF($C1522="","",IFERROR(VLOOKUP($C1522,sources!$A$2:$N$200,9,FALSE()),"?"))</f>
        <v>US corporate (PRR)</v>
      </c>
      <c r="T1522" t="s">
        <v>5692</v>
      </c>
      <c r="U1522">
        <f>IF(OR(B1522="",C1522="",T1522="Retracted",LEFT(D1522,8)="Negative"),0,IF(COUNTIFS($B$2:B1522,B1522,$C$2:C1522,C1522,$D$2:D1522,"&lt;&gt;Negative*",$T$2:T1522,"&lt;&gt;Retracted")=1,1,0))</f>
        <v>1</v>
      </c>
    </row>
    <row r="1523" spans="1:21" ht="26" x14ac:dyDescent="0.2">
      <c r="A1523" t="s">
        <v>3569</v>
      </c>
      <c r="B1523" t="s">
        <v>920</v>
      </c>
      <c r="C1523" t="s">
        <v>1434</v>
      </c>
      <c r="D1523" t="s">
        <v>1572</v>
      </c>
      <c r="E1523" t="s">
        <v>3570</v>
      </c>
      <c r="G1523">
        <v>9.0050000000000008</v>
      </c>
      <c r="H1523">
        <v>-79.591999999999999</v>
      </c>
      <c r="I1523" t="s">
        <v>1573</v>
      </c>
      <c r="J1523">
        <v>800</v>
      </c>
      <c r="K1523">
        <v>1857</v>
      </c>
      <c r="L1523">
        <v>1857</v>
      </c>
      <c r="M1523" t="s">
        <v>203</v>
      </c>
      <c r="N1523" t="s">
        <v>209</v>
      </c>
      <c r="Q1523" s="2" t="str">
        <f>IF($C1523="","",IFERROR(VLOOKUP($C1523,sources!$A$2:$N$200,2,FALSE()),"?"))</f>
        <v>Map</v>
      </c>
      <c r="R1523" s="2" t="str">
        <f t="shared" si="23"/>
        <v>Map</v>
      </c>
      <c r="S1523" s="2" t="str">
        <f>IF($C1523="","",IFERROR(VLOOKUP($C1523,sources!$A$2:$N$200,9,FALSE()),"?"))</f>
        <v>US corporate (PRR)</v>
      </c>
      <c r="T1523" t="s">
        <v>5692</v>
      </c>
      <c r="U1523">
        <f>IF(OR(B1523="",C1523="",T1523="Retracted",LEFT(D1523,8)="Negative"),0,IF(COUNTIFS($B$2:B1523,B1523,$C$2:C1523,C1523,$D$2:D1523,"&lt;&gt;Negative*",$T$2:T1523,"&lt;&gt;Retracted")=1,1,0))</f>
        <v>1</v>
      </c>
    </row>
    <row r="1524" spans="1:21" ht="26" x14ac:dyDescent="0.2">
      <c r="A1524" t="s">
        <v>3571</v>
      </c>
      <c r="B1524" t="s">
        <v>924</v>
      </c>
      <c r="C1524" t="s">
        <v>1434</v>
      </c>
      <c r="D1524" t="s">
        <v>1572</v>
      </c>
      <c r="E1524" t="s">
        <v>3572</v>
      </c>
      <c r="G1524">
        <v>9.0559999999999992</v>
      </c>
      <c r="H1524">
        <v>-79.64</v>
      </c>
      <c r="I1524" t="s">
        <v>1573</v>
      </c>
      <c r="J1524">
        <v>800</v>
      </c>
      <c r="K1524">
        <v>1857</v>
      </c>
      <c r="L1524">
        <v>1857</v>
      </c>
      <c r="M1524" t="s">
        <v>203</v>
      </c>
      <c r="N1524" t="s">
        <v>209</v>
      </c>
      <c r="Q1524" s="2" t="str">
        <f>IF($C1524="","",IFERROR(VLOOKUP($C1524,sources!$A$2:$N$200,2,FALSE()),"?"))</f>
        <v>Map</v>
      </c>
      <c r="R1524" s="2" t="str">
        <f t="shared" si="23"/>
        <v>Map</v>
      </c>
      <c r="S1524" s="2" t="str">
        <f>IF($C1524="","",IFERROR(VLOOKUP($C1524,sources!$A$2:$N$200,9,FALSE()),"?"))</f>
        <v>US corporate (PRR)</v>
      </c>
      <c r="T1524" t="s">
        <v>5692</v>
      </c>
      <c r="U1524">
        <f>IF(OR(B1524="",C1524="",T1524="Retracted",LEFT(D1524,8)="Negative"),0,IF(COUNTIFS($B$2:B1524,B1524,$C$2:C1524,C1524,$D$2:D1524,"&lt;&gt;Negative*",$T$2:T1524,"&lt;&gt;Retracted")=1,1,0))</f>
        <v>1</v>
      </c>
    </row>
    <row r="1525" spans="1:21" ht="26" x14ac:dyDescent="0.2">
      <c r="A1525" t="s">
        <v>3573</v>
      </c>
      <c r="B1525" t="s">
        <v>928</v>
      </c>
      <c r="C1525" t="s">
        <v>1434</v>
      </c>
      <c r="D1525" t="s">
        <v>1572</v>
      </c>
      <c r="E1525" t="s">
        <v>3574</v>
      </c>
      <c r="G1525">
        <v>9.2539999999999996</v>
      </c>
      <c r="H1525">
        <v>-79.935000000000002</v>
      </c>
      <c r="I1525" t="s">
        <v>1573</v>
      </c>
      <c r="J1525">
        <v>500</v>
      </c>
      <c r="K1525">
        <v>1857</v>
      </c>
      <c r="L1525">
        <v>1857</v>
      </c>
      <c r="M1525" t="s">
        <v>203</v>
      </c>
      <c r="N1525" t="s">
        <v>209</v>
      </c>
      <c r="Q1525" s="2" t="str">
        <f>IF($C1525="","",IFERROR(VLOOKUP($C1525,sources!$A$2:$N$200,2,FALSE()),"?"))</f>
        <v>Map</v>
      </c>
      <c r="R1525" s="2" t="str">
        <f t="shared" si="23"/>
        <v>Map</v>
      </c>
      <c r="S1525" s="2" t="str">
        <f>IF($C1525="","",IFERROR(VLOOKUP($C1525,sources!$A$2:$N$200,9,FALSE()),"?"))</f>
        <v>US corporate (PRR)</v>
      </c>
      <c r="T1525" t="s">
        <v>5692</v>
      </c>
      <c r="U1525">
        <f>IF(OR(B1525="",C1525="",T1525="Retracted",LEFT(D1525,8)="Negative"),0,IF(COUNTIFS($B$2:B1525,B1525,$C$2:C1525,C1525,$D$2:D1525,"&lt;&gt;Negative*",$T$2:T1525,"&lt;&gt;Retracted")=1,1,0))</f>
        <v>1</v>
      </c>
    </row>
    <row r="1526" spans="1:21" ht="26" x14ac:dyDescent="0.2">
      <c r="A1526" t="s">
        <v>3575</v>
      </c>
      <c r="B1526" t="s">
        <v>783</v>
      </c>
      <c r="C1526" t="s">
        <v>1434</v>
      </c>
      <c r="D1526" t="s">
        <v>1572</v>
      </c>
      <c r="E1526" t="s">
        <v>3576</v>
      </c>
      <c r="G1526">
        <v>9.1210000000000004</v>
      </c>
      <c r="H1526">
        <v>-79.734999999999999</v>
      </c>
      <c r="I1526" t="s">
        <v>1573</v>
      </c>
      <c r="J1526">
        <v>800</v>
      </c>
      <c r="K1526">
        <v>1857</v>
      </c>
      <c r="L1526">
        <v>1857</v>
      </c>
      <c r="M1526" t="s">
        <v>203</v>
      </c>
      <c r="N1526" t="s">
        <v>209</v>
      </c>
      <c r="Q1526" s="2" t="str">
        <f>IF($C1526="","",IFERROR(VLOOKUP($C1526,sources!$A$2:$N$200,2,FALSE()),"?"))</f>
        <v>Map</v>
      </c>
      <c r="R1526" s="2" t="str">
        <f t="shared" si="23"/>
        <v>Map</v>
      </c>
      <c r="S1526" s="2" t="str">
        <f>IF($C1526="","",IFERROR(VLOOKUP($C1526,sources!$A$2:$N$200,9,FALSE()),"?"))</f>
        <v>US corporate (PRR)</v>
      </c>
      <c r="T1526" t="s">
        <v>5692</v>
      </c>
      <c r="U1526">
        <f>IF(OR(B1526="",C1526="",T1526="Retracted",LEFT(D1526,8)="Negative"),0,IF(COUNTIFS($B$2:B1526,B1526,$C$2:C1526,C1526,$D$2:D1526,"&lt;&gt;Negative*",$T$2:T1526,"&lt;&gt;Retracted")=1,1,0))</f>
        <v>1</v>
      </c>
    </row>
    <row r="1527" spans="1:21" ht="26" x14ac:dyDescent="0.2">
      <c r="A1527" t="s">
        <v>3577</v>
      </c>
      <c r="B1527" t="s">
        <v>603</v>
      </c>
      <c r="C1527" t="s">
        <v>1434</v>
      </c>
      <c r="D1527" t="s">
        <v>1564</v>
      </c>
      <c r="E1527" t="s">
        <v>3578</v>
      </c>
      <c r="K1527">
        <v>1857</v>
      </c>
      <c r="L1527">
        <v>1857</v>
      </c>
      <c r="M1527" t="s">
        <v>203</v>
      </c>
      <c r="N1527" t="s">
        <v>209</v>
      </c>
      <c r="Q1527" s="2" t="str">
        <f>IF($C1527="","",IFERROR(VLOOKUP($C1527,sources!$A$2:$N$200,2,FALSE()),"?"))</f>
        <v>Map</v>
      </c>
      <c r="R1527" s="2" t="str">
        <f t="shared" si="23"/>
        <v>Map</v>
      </c>
      <c r="S1527" s="2" t="str">
        <f>IF($C1527="","",IFERROR(VLOOKUP($C1527,sources!$A$2:$N$200,9,FALSE()),"?"))</f>
        <v>US corporate (PRR)</v>
      </c>
      <c r="T1527" t="s">
        <v>5692</v>
      </c>
      <c r="U1527">
        <f>IF(OR(B1527="",C1527="",T1527="Retracted",LEFT(D1527,8)="Negative"),0,IF(COUNTIFS($B$2:B1527,B1527,$C$2:C1527,C1527,$D$2:D1527,"&lt;&gt;Negative*",$T$2:T1527,"&lt;&gt;Retracted")=1,1,0))</f>
        <v>1</v>
      </c>
    </row>
    <row r="1528" spans="1:21" x14ac:dyDescent="0.2">
      <c r="A1528" t="s">
        <v>3579</v>
      </c>
      <c r="B1528" t="s">
        <v>932</v>
      </c>
      <c r="C1528" t="s">
        <v>1408</v>
      </c>
      <c r="D1528" t="s">
        <v>1572</v>
      </c>
      <c r="E1528" t="s">
        <v>3580</v>
      </c>
      <c r="G1528">
        <v>8.9602920000000008</v>
      </c>
      <c r="H1528">
        <v>-79.541263000000001</v>
      </c>
      <c r="I1528" t="s">
        <v>1573</v>
      </c>
      <c r="J1528">
        <v>150</v>
      </c>
      <c r="K1528">
        <v>1904</v>
      </c>
      <c r="L1528">
        <v>1904</v>
      </c>
      <c r="M1528" t="s">
        <v>203</v>
      </c>
      <c r="N1528" t="s">
        <v>203</v>
      </c>
      <c r="Q1528" s="2" t="str">
        <f>IF($C1528="","",IFERROR(VLOOKUP($C1528,sources!$A$2:$N$200,2,FALSE()),"?"))</f>
        <v>Map</v>
      </c>
      <c r="R1528" s="2" t="str">
        <f t="shared" si="23"/>
        <v>Map</v>
      </c>
      <c r="S1528" s="2" t="str">
        <f>IF($C1528="","",IFERROR(VLOOKUP($C1528,sources!$A$2:$N$200,9,FALSE()),"?"))</f>
        <v>Panamanian</v>
      </c>
      <c r="T1528" t="s">
        <v>5692</v>
      </c>
      <c r="U1528">
        <f>IF(OR(B1528="",C1528="",T1528="Retracted",LEFT(D1528,8)="Negative"),0,IF(COUNTIFS($B$2:B1528,B1528,$C$2:C1528,C1528,$D$2:D1528,"&lt;&gt;Negative*",$T$2:T1528,"&lt;&gt;Retracted")=1,1,0))</f>
        <v>1</v>
      </c>
    </row>
    <row r="1529" spans="1:21" x14ac:dyDescent="0.2">
      <c r="A1529" t="s">
        <v>3581</v>
      </c>
      <c r="B1529" t="s">
        <v>938</v>
      </c>
      <c r="C1529" t="s">
        <v>1408</v>
      </c>
      <c r="D1529" t="s">
        <v>1572</v>
      </c>
      <c r="E1529" t="s">
        <v>3582</v>
      </c>
      <c r="G1529">
        <v>8.9557970000000005</v>
      </c>
      <c r="H1529">
        <v>-79.546772000000004</v>
      </c>
      <c r="I1529" t="s">
        <v>1573</v>
      </c>
      <c r="J1529">
        <v>150</v>
      </c>
      <c r="K1529">
        <v>1904</v>
      </c>
      <c r="L1529">
        <v>1904</v>
      </c>
      <c r="M1529" t="s">
        <v>203</v>
      </c>
      <c r="N1529" t="s">
        <v>209</v>
      </c>
      <c r="Q1529" s="2" t="str">
        <f>IF($C1529="","",IFERROR(VLOOKUP($C1529,sources!$A$2:$N$200,2,FALSE()),"?"))</f>
        <v>Map</v>
      </c>
      <c r="R1529" s="2" t="str">
        <f t="shared" si="23"/>
        <v>Map</v>
      </c>
      <c r="S1529" s="2" t="str">
        <f>IF($C1529="","",IFERROR(VLOOKUP($C1529,sources!$A$2:$N$200,9,FALSE()),"?"))</f>
        <v>Panamanian</v>
      </c>
      <c r="T1529" t="s">
        <v>5692</v>
      </c>
      <c r="U1529">
        <f>IF(OR(B1529="",C1529="",T1529="Retracted",LEFT(D1529,8)="Negative"),0,IF(COUNTIFS($B$2:B1529,B1529,$C$2:C1529,C1529,$D$2:D1529,"&lt;&gt;Negative*",$T$2:T1529,"&lt;&gt;Retracted")=1,1,0))</f>
        <v>1</v>
      </c>
    </row>
    <row r="1530" spans="1:21" x14ac:dyDescent="0.2">
      <c r="A1530" t="s">
        <v>3583</v>
      </c>
      <c r="B1530" t="s">
        <v>943</v>
      </c>
      <c r="C1530" t="s">
        <v>1408</v>
      </c>
      <c r="D1530" t="s">
        <v>1572</v>
      </c>
      <c r="E1530" t="s">
        <v>944</v>
      </c>
      <c r="G1530">
        <v>8.9539050000000007</v>
      </c>
      <c r="H1530">
        <v>-79.549237000000005</v>
      </c>
      <c r="I1530" t="s">
        <v>1573</v>
      </c>
      <c r="J1530">
        <v>150</v>
      </c>
      <c r="K1530">
        <v>1904</v>
      </c>
      <c r="L1530">
        <v>1904</v>
      </c>
      <c r="M1530" t="s">
        <v>203</v>
      </c>
      <c r="N1530" t="s">
        <v>203</v>
      </c>
      <c r="Q1530" s="2" t="str">
        <f>IF($C1530="","",IFERROR(VLOOKUP($C1530,sources!$A$2:$N$200,2,FALSE()),"?"))</f>
        <v>Map</v>
      </c>
      <c r="R1530" s="2" t="str">
        <f t="shared" si="23"/>
        <v>Map</v>
      </c>
      <c r="S1530" s="2" t="str">
        <f>IF($C1530="","",IFERROR(VLOOKUP($C1530,sources!$A$2:$N$200,9,FALSE()),"?"))</f>
        <v>Panamanian</v>
      </c>
      <c r="T1530" t="s">
        <v>5692</v>
      </c>
      <c r="U1530">
        <f>IF(OR(B1530="",C1530="",T1530="Retracted",LEFT(D1530,8)="Negative"),0,IF(COUNTIFS($B$2:B1530,B1530,$C$2:C1530,C1530,$D$2:D1530,"&lt;&gt;Negative*",$T$2:T1530,"&lt;&gt;Retracted")=1,1,0))</f>
        <v>1</v>
      </c>
    </row>
    <row r="1531" spans="1:21" x14ac:dyDescent="0.2">
      <c r="A1531" t="s">
        <v>3584</v>
      </c>
      <c r="B1531" t="s">
        <v>947</v>
      </c>
      <c r="C1531" t="s">
        <v>1408</v>
      </c>
      <c r="D1531" t="s">
        <v>1572</v>
      </c>
      <c r="E1531" t="s">
        <v>3585</v>
      </c>
      <c r="G1531">
        <v>8.9537560000000003</v>
      </c>
      <c r="H1531">
        <v>-79.546772000000004</v>
      </c>
      <c r="I1531" t="s">
        <v>1573</v>
      </c>
      <c r="J1531">
        <v>150</v>
      </c>
      <c r="K1531">
        <v>1904</v>
      </c>
      <c r="L1531">
        <v>1904</v>
      </c>
      <c r="M1531" t="s">
        <v>203</v>
      </c>
      <c r="N1531" t="s">
        <v>203</v>
      </c>
      <c r="Q1531" s="2" t="str">
        <f>IF($C1531="","",IFERROR(VLOOKUP($C1531,sources!$A$2:$N$200,2,FALSE()),"?"))</f>
        <v>Map</v>
      </c>
      <c r="R1531" s="2" t="str">
        <f t="shared" si="23"/>
        <v>Map</v>
      </c>
      <c r="S1531" s="2" t="str">
        <f>IF($C1531="","",IFERROR(VLOOKUP($C1531,sources!$A$2:$N$200,9,FALSE()),"?"))</f>
        <v>Panamanian</v>
      </c>
      <c r="T1531" t="s">
        <v>5692</v>
      </c>
      <c r="U1531">
        <f>IF(OR(B1531="",C1531="",T1531="Retracted",LEFT(D1531,8)="Negative"),0,IF(COUNTIFS($B$2:B1531,B1531,$C$2:C1531,C1531,$D$2:D1531,"&lt;&gt;Negative*",$T$2:T1531,"&lt;&gt;Retracted")=1,1,0))</f>
        <v>1</v>
      </c>
    </row>
    <row r="1532" spans="1:21" ht="26" x14ac:dyDescent="0.2">
      <c r="A1532" t="s">
        <v>3586</v>
      </c>
      <c r="B1532" t="s">
        <v>936</v>
      </c>
      <c r="C1532" t="s">
        <v>1440</v>
      </c>
      <c r="D1532" t="s">
        <v>1572</v>
      </c>
      <c r="E1532" t="s">
        <v>3587</v>
      </c>
      <c r="G1532">
        <v>8.9551549999999995</v>
      </c>
      <c r="H1532">
        <v>-79.541983000000002</v>
      </c>
      <c r="I1532" t="s">
        <v>1573</v>
      </c>
      <c r="J1532">
        <v>150</v>
      </c>
      <c r="K1532">
        <v>1857</v>
      </c>
      <c r="L1532">
        <v>1857</v>
      </c>
      <c r="M1532" t="s">
        <v>203</v>
      </c>
      <c r="N1532" t="s">
        <v>203</v>
      </c>
      <c r="Q1532" s="2" t="str">
        <f>IF($C1532="","",IFERROR(VLOOKUP($C1532,sources!$A$2:$N$200,2,FALSE()),"?"))</f>
        <v>Map</v>
      </c>
      <c r="R1532" s="2" t="str">
        <f t="shared" si="23"/>
        <v>Map</v>
      </c>
      <c r="S1532" s="2" t="str">
        <f>IF($C1532="","",IFERROR(VLOOKUP($C1532,sources!$A$2:$N$200,9,FALSE()),"?"))</f>
        <v>US corporate (PRR)</v>
      </c>
      <c r="T1532" t="s">
        <v>5692</v>
      </c>
      <c r="U1532">
        <f>IF(OR(B1532="",C1532="",T1532="Retracted",LEFT(D1532,8)="Negative"),0,IF(COUNTIFS($B$2:B1532,B1532,$C$2:C1532,C1532,$D$2:D1532,"&lt;&gt;Negative*",$T$2:T1532,"&lt;&gt;Retracted")=1,1,0))</f>
        <v>1</v>
      </c>
    </row>
    <row r="1533" spans="1:21" ht="26" x14ac:dyDescent="0.2">
      <c r="A1533" t="s">
        <v>3588</v>
      </c>
      <c r="B1533" t="s">
        <v>955</v>
      </c>
      <c r="C1533" t="s">
        <v>1440</v>
      </c>
      <c r="D1533" t="s">
        <v>1572</v>
      </c>
      <c r="E1533" t="s">
        <v>3589</v>
      </c>
      <c r="G1533">
        <v>8.9570539999999994</v>
      </c>
      <c r="H1533">
        <v>-79.540993999999998</v>
      </c>
      <c r="I1533" t="s">
        <v>1573</v>
      </c>
      <c r="J1533">
        <v>150</v>
      </c>
      <c r="K1533">
        <v>1857</v>
      </c>
      <c r="L1533">
        <v>1857</v>
      </c>
      <c r="M1533" t="s">
        <v>203</v>
      </c>
      <c r="N1533" t="s">
        <v>203</v>
      </c>
      <c r="Q1533" s="2" t="str">
        <f>IF($C1533="","",IFERROR(VLOOKUP($C1533,sources!$A$2:$N$200,2,FALSE()),"?"))</f>
        <v>Map</v>
      </c>
      <c r="R1533" s="2" t="str">
        <f t="shared" si="23"/>
        <v>Map</v>
      </c>
      <c r="S1533" s="2" t="str">
        <f>IF($C1533="","",IFERROR(VLOOKUP($C1533,sources!$A$2:$N$200,9,FALSE()),"?"))</f>
        <v>US corporate (PRR)</v>
      </c>
      <c r="T1533" t="s">
        <v>5692</v>
      </c>
      <c r="U1533">
        <f>IF(OR(B1533="",C1533="",T1533="Retracted",LEFT(D1533,8)="Negative"),0,IF(COUNTIFS($B$2:B1533,B1533,$C$2:C1533,C1533,$D$2:D1533,"&lt;&gt;Negative*",$T$2:T1533,"&lt;&gt;Retracted")=1,1,0))</f>
        <v>1</v>
      </c>
    </row>
    <row r="1534" spans="1:21" ht="26" x14ac:dyDescent="0.2">
      <c r="A1534" t="s">
        <v>3590</v>
      </c>
      <c r="B1534" t="s">
        <v>959</v>
      </c>
      <c r="C1534" t="s">
        <v>1440</v>
      </c>
      <c r="D1534" t="s">
        <v>1572</v>
      </c>
      <c r="E1534" t="s">
        <v>3591</v>
      </c>
      <c r="G1534">
        <v>8.9555900000000008</v>
      </c>
      <c r="H1534">
        <v>-79.543132</v>
      </c>
      <c r="I1534" t="s">
        <v>1573</v>
      </c>
      <c r="J1534">
        <v>120</v>
      </c>
      <c r="K1534">
        <v>1857</v>
      </c>
      <c r="L1534">
        <v>1857</v>
      </c>
      <c r="M1534" t="s">
        <v>203</v>
      </c>
      <c r="N1534" t="s">
        <v>203</v>
      </c>
      <c r="Q1534" s="2" t="str">
        <f>IF($C1534="","",IFERROR(VLOOKUP($C1534,sources!$A$2:$N$200,2,FALSE()),"?"))</f>
        <v>Map</v>
      </c>
      <c r="R1534" s="2" t="str">
        <f t="shared" si="23"/>
        <v>Map</v>
      </c>
      <c r="S1534" s="2" t="str">
        <f>IF($C1534="","",IFERROR(VLOOKUP($C1534,sources!$A$2:$N$200,9,FALSE()),"?"))</f>
        <v>US corporate (PRR)</v>
      </c>
      <c r="T1534" t="s">
        <v>5692</v>
      </c>
      <c r="U1534">
        <f>IF(OR(B1534="",C1534="",T1534="Retracted",LEFT(D1534,8)="Negative"),0,IF(COUNTIFS($B$2:B1534,B1534,$C$2:C1534,C1534,$D$2:D1534,"&lt;&gt;Negative*",$T$2:T1534,"&lt;&gt;Retracted")=1,1,0))</f>
        <v>1</v>
      </c>
    </row>
    <row r="1535" spans="1:21" ht="26" x14ac:dyDescent="0.2">
      <c r="A1535" t="s">
        <v>3592</v>
      </c>
      <c r="B1535" t="s">
        <v>962</v>
      </c>
      <c r="C1535" t="s">
        <v>1440</v>
      </c>
      <c r="D1535" t="s">
        <v>1572</v>
      </c>
      <c r="E1535" t="s">
        <v>963</v>
      </c>
      <c r="G1535">
        <v>8.9558909999999994</v>
      </c>
      <c r="H1535">
        <v>-79.540257999999994</v>
      </c>
      <c r="I1535" t="s">
        <v>1573</v>
      </c>
      <c r="J1535">
        <v>150</v>
      </c>
      <c r="K1535">
        <v>1857</v>
      </c>
      <c r="L1535">
        <v>1857</v>
      </c>
      <c r="M1535" t="s">
        <v>203</v>
      </c>
      <c r="N1535" t="s">
        <v>209</v>
      </c>
      <c r="Q1535" s="2" t="str">
        <f>IF($C1535="","",IFERROR(VLOOKUP($C1535,sources!$A$2:$N$200,2,FALSE()),"?"))</f>
        <v>Map</v>
      </c>
      <c r="R1535" s="2" t="str">
        <f t="shared" si="23"/>
        <v>Map</v>
      </c>
      <c r="S1535" s="2" t="str">
        <f>IF($C1535="","",IFERROR(VLOOKUP($C1535,sources!$A$2:$N$200,9,FALSE()),"?"))</f>
        <v>US corporate (PRR)</v>
      </c>
      <c r="T1535" t="s">
        <v>5692</v>
      </c>
      <c r="U1535">
        <f>IF(OR(B1535="",C1535="",T1535="Retracted",LEFT(D1535,8)="Negative"),0,IF(COUNTIFS($B$2:B1535,B1535,$C$2:C1535,C1535,$D$2:D1535,"&lt;&gt;Negative*",$T$2:T1535,"&lt;&gt;Retracted")=1,1,0))</f>
        <v>1</v>
      </c>
    </row>
    <row r="1536" spans="1:21" ht="26" x14ac:dyDescent="0.2">
      <c r="A1536" t="s">
        <v>3593</v>
      </c>
      <c r="B1536" t="s">
        <v>966</v>
      </c>
      <c r="C1536" t="s">
        <v>1440</v>
      </c>
      <c r="D1536" t="s">
        <v>1572</v>
      </c>
      <c r="E1536" t="s">
        <v>3594</v>
      </c>
      <c r="G1536">
        <v>8.9540000000000006</v>
      </c>
      <c r="H1536">
        <v>-79.551000000000002</v>
      </c>
      <c r="I1536" t="s">
        <v>1573</v>
      </c>
      <c r="J1536">
        <v>150</v>
      </c>
      <c r="K1536">
        <v>1857</v>
      </c>
      <c r="L1536">
        <v>1857</v>
      </c>
      <c r="M1536" t="s">
        <v>203</v>
      </c>
      <c r="N1536" t="s">
        <v>190</v>
      </c>
      <c r="Q1536" s="2" t="str">
        <f>IF($C1536="","",IFERROR(VLOOKUP($C1536,sources!$A$2:$N$200,2,FALSE()),"?"))</f>
        <v>Map</v>
      </c>
      <c r="R1536" s="2" t="str">
        <f t="shared" si="23"/>
        <v>Map</v>
      </c>
      <c r="S1536" s="2" t="str">
        <f>IF($C1536="","",IFERROR(VLOOKUP($C1536,sources!$A$2:$N$200,9,FALSE()),"?"))</f>
        <v>US corporate (PRR)</v>
      </c>
      <c r="T1536" t="s">
        <v>5693</v>
      </c>
      <c r="U1536">
        <f>IF(OR(B1536="",C1536="",T1536="Retracted",LEFT(D1536,8)="Negative"),0,IF(COUNTIFS($B$2:B1536,B1536,$C$2:C1536,C1536,$D$2:D1536,"&lt;&gt;Negative*",$T$2:T1536,"&lt;&gt;Retracted")=1,1,0))</f>
        <v>0</v>
      </c>
    </row>
    <row r="1537" spans="1:21" ht="26" x14ac:dyDescent="0.2">
      <c r="A1537" t="s">
        <v>3595</v>
      </c>
      <c r="B1537" t="s">
        <v>947</v>
      </c>
      <c r="C1537" t="s">
        <v>1440</v>
      </c>
      <c r="D1537" t="s">
        <v>1575</v>
      </c>
      <c r="E1537" t="s">
        <v>3596</v>
      </c>
      <c r="K1537">
        <v>1857</v>
      </c>
      <c r="L1537">
        <v>1857</v>
      </c>
      <c r="M1537" t="s">
        <v>203</v>
      </c>
      <c r="N1537" t="s">
        <v>209</v>
      </c>
      <c r="Q1537" s="2" t="str">
        <f>IF($C1537="","",IFERROR(VLOOKUP($C1537,sources!$A$2:$N$200,2,FALSE()),"?"))</f>
        <v>Map</v>
      </c>
      <c r="R1537" s="2" t="str">
        <f t="shared" si="23"/>
        <v>Map</v>
      </c>
      <c r="S1537" s="2" t="str">
        <f>IF($C1537="","",IFERROR(VLOOKUP($C1537,sources!$A$2:$N$200,9,FALSE()),"?"))</f>
        <v>US corporate (PRR)</v>
      </c>
      <c r="T1537" t="s">
        <v>5692</v>
      </c>
      <c r="U1537">
        <f>IF(OR(B1537="",C1537="",T1537="Retracted",LEFT(D1537,8)="Negative"),0,IF(COUNTIFS($B$2:B1537,B1537,$C$2:C1537,C1537,$D$2:D1537,"&lt;&gt;Negative*",$T$2:T1537,"&lt;&gt;Retracted")=1,1,0))</f>
        <v>1</v>
      </c>
    </row>
    <row r="1538" spans="1:21" ht="26" x14ac:dyDescent="0.2">
      <c r="A1538" t="s">
        <v>3597</v>
      </c>
      <c r="B1538" t="s">
        <v>966</v>
      </c>
      <c r="C1538" t="s">
        <v>1434</v>
      </c>
      <c r="D1538" t="s">
        <v>1564</v>
      </c>
      <c r="E1538" t="s">
        <v>3598</v>
      </c>
      <c r="K1538">
        <v>1857</v>
      </c>
      <c r="L1538">
        <v>1857</v>
      </c>
      <c r="M1538" t="s">
        <v>203</v>
      </c>
      <c r="N1538" t="s">
        <v>190</v>
      </c>
      <c r="Q1538" s="2" t="str">
        <f>IF($C1538="","",IFERROR(VLOOKUP($C1538,sources!$A$2:$N$200,2,FALSE()),"?"))</f>
        <v>Map</v>
      </c>
      <c r="R1538" s="2" t="str">
        <f t="shared" ref="R1538:R1601" si="24">IF($Q1538="","",IF($Q1538="Map","Map",IF(OR($Q1538="Photograph",$Q1538="Postcard"),"Image",IF(OR($Q1538="Census or roll",$Q1538="Report",$Q1538="Newspaper",$Q1538="Letter",$Q1538="Memoir",$Q1538="Administrative",$Q1538="Web compilation"),"Textual",IF($Q1538="Legal claim","Legal/admin",IF($Q1538="Secondary","Secondary","Other"))))))</f>
        <v>Map</v>
      </c>
      <c r="S1538" s="2" t="str">
        <f>IF($C1538="","",IFERROR(VLOOKUP($C1538,sources!$A$2:$N$200,9,FALSE()),"?"))</f>
        <v>US corporate (PRR)</v>
      </c>
      <c r="T1538" t="s">
        <v>5693</v>
      </c>
      <c r="U1538">
        <f>IF(OR(B1538="",C1538="",T1538="Retracted",LEFT(D1538,8)="Negative"),0,IF(COUNTIFS($B$2:B1538,B1538,$C$2:C1538,C1538,$D$2:D1538,"&lt;&gt;Negative*",$T$2:T1538,"&lt;&gt;Retracted")=1,1,0))</f>
        <v>0</v>
      </c>
    </row>
    <row r="1539" spans="1:21" x14ac:dyDescent="0.2">
      <c r="A1539" t="s">
        <v>3599</v>
      </c>
      <c r="B1539" t="s">
        <v>480</v>
      </c>
      <c r="C1539" t="s">
        <v>1445</v>
      </c>
      <c r="D1539" t="s">
        <v>1575</v>
      </c>
      <c r="E1539" t="s">
        <v>481</v>
      </c>
      <c r="F1539" t="s">
        <v>1566</v>
      </c>
      <c r="K1539">
        <v>1904</v>
      </c>
      <c r="L1539">
        <v>1904</v>
      </c>
      <c r="M1539" t="s">
        <v>203</v>
      </c>
      <c r="N1539" t="s">
        <v>190</v>
      </c>
      <c r="Q1539" s="2" t="str">
        <f>IF($C1539="","",IFERROR(VLOOKUP($C1539,sources!$A$2:$N$200,2,FALSE()),"?"))</f>
        <v>Newspaper</v>
      </c>
      <c r="R1539" s="2" t="str">
        <f t="shared" si="24"/>
        <v>Textual</v>
      </c>
      <c r="S1539" s="2" t="str">
        <f>IF($C1539="","",IFERROR(VLOOKUP($C1539,sources!$A$2:$N$200,9,FALSE()),"?"))</f>
        <v>Panamanian</v>
      </c>
      <c r="T1539" t="s">
        <v>5692</v>
      </c>
      <c r="U1539">
        <f>IF(OR(B1539="",C1539="",T1539="Retracted",LEFT(D1539,8)="Negative"),0,IF(COUNTIFS($B$2:B1539,B1539,$C$2:C1539,C1539,$D$2:D1539,"&lt;&gt;Negative*",$T$2:T1539,"&lt;&gt;Retracted")=1,1,0))</f>
        <v>1</v>
      </c>
    </row>
    <row r="1540" spans="1:21" x14ac:dyDescent="0.2">
      <c r="A1540" t="s">
        <v>3600</v>
      </c>
      <c r="B1540" t="s">
        <v>205</v>
      </c>
      <c r="C1540" t="s">
        <v>1445</v>
      </c>
      <c r="D1540" t="s">
        <v>1575</v>
      </c>
      <c r="E1540" t="s">
        <v>206</v>
      </c>
      <c r="F1540" t="s">
        <v>1566</v>
      </c>
      <c r="K1540">
        <v>1904</v>
      </c>
      <c r="L1540">
        <v>1912</v>
      </c>
      <c r="M1540" t="s">
        <v>203</v>
      </c>
      <c r="N1540" t="s">
        <v>209</v>
      </c>
      <c r="Q1540" s="2" t="str">
        <f>IF($C1540="","",IFERROR(VLOOKUP($C1540,sources!$A$2:$N$200,2,FALSE()),"?"))</f>
        <v>Newspaper</v>
      </c>
      <c r="R1540" s="2" t="str">
        <f t="shared" si="24"/>
        <v>Textual</v>
      </c>
      <c r="S1540" s="2" t="str">
        <f>IF($C1540="","",IFERROR(VLOOKUP($C1540,sources!$A$2:$N$200,9,FALSE()),"?"))</f>
        <v>Panamanian</v>
      </c>
      <c r="T1540" t="s">
        <v>5692</v>
      </c>
      <c r="U1540">
        <f>IF(OR(B1540="",C1540="",T1540="Retracted",LEFT(D1540,8)="Negative"),0,IF(COUNTIFS($B$2:B1540,B1540,$C$2:C1540,C1540,$D$2:D1540,"&lt;&gt;Negative*",$T$2:T1540,"&lt;&gt;Retracted")=1,1,0))</f>
        <v>1</v>
      </c>
    </row>
    <row r="1541" spans="1:21" x14ac:dyDescent="0.2">
      <c r="A1541" t="s">
        <v>3601</v>
      </c>
      <c r="B1541" t="s">
        <v>542</v>
      </c>
      <c r="C1541" t="s">
        <v>1445</v>
      </c>
      <c r="D1541" t="s">
        <v>1613</v>
      </c>
      <c r="E1541" t="s">
        <v>543</v>
      </c>
      <c r="F1541" t="s">
        <v>1566</v>
      </c>
      <c r="N1541" t="s">
        <v>209</v>
      </c>
      <c r="Q1541" s="2" t="str">
        <f>IF($C1541="","",IFERROR(VLOOKUP($C1541,sources!$A$2:$N$200,2,FALSE()),"?"))</f>
        <v>Newspaper</v>
      </c>
      <c r="R1541" s="2" t="str">
        <f t="shared" si="24"/>
        <v>Textual</v>
      </c>
      <c r="S1541" s="2" t="str">
        <f>IF($C1541="","",IFERROR(VLOOKUP($C1541,sources!$A$2:$N$200,9,FALSE()),"?"))</f>
        <v>Panamanian</v>
      </c>
      <c r="T1541" t="s">
        <v>5692</v>
      </c>
      <c r="U1541">
        <f>IF(OR(B1541="",C1541="",T1541="Retracted",LEFT(D1541,8)="Negative"),0,IF(COUNTIFS($B$2:B1541,B1541,$C$2:C1541,C1541,$D$2:D1541,"&lt;&gt;Negative*",$T$2:T1541,"&lt;&gt;Retracted")=1,1,0))</f>
        <v>0</v>
      </c>
    </row>
    <row r="1542" spans="1:21" x14ac:dyDescent="0.2">
      <c r="A1542" t="s">
        <v>3602</v>
      </c>
      <c r="B1542" t="s">
        <v>429</v>
      </c>
      <c r="C1542" t="s">
        <v>1445</v>
      </c>
      <c r="D1542" t="s">
        <v>1575</v>
      </c>
      <c r="E1542" t="s">
        <v>430</v>
      </c>
      <c r="F1542" t="s">
        <v>1566</v>
      </c>
      <c r="K1542">
        <v>1911</v>
      </c>
      <c r="L1542">
        <v>1912</v>
      </c>
      <c r="M1542" t="s">
        <v>203</v>
      </c>
      <c r="N1542" t="s">
        <v>190</v>
      </c>
      <c r="Q1542" s="2" t="str">
        <f>IF($C1542="","",IFERROR(VLOOKUP($C1542,sources!$A$2:$N$200,2,FALSE()),"?"))</f>
        <v>Newspaper</v>
      </c>
      <c r="R1542" s="2" t="str">
        <f t="shared" si="24"/>
        <v>Textual</v>
      </c>
      <c r="S1542" s="2" t="str">
        <f>IF($C1542="","",IFERROR(VLOOKUP($C1542,sources!$A$2:$N$200,9,FALSE()),"?"))</f>
        <v>Panamanian</v>
      </c>
      <c r="T1542" t="s">
        <v>5692</v>
      </c>
      <c r="U1542">
        <f>IF(OR(B1542="",C1542="",T1542="Retracted",LEFT(D1542,8)="Negative"),0,IF(COUNTIFS($B$2:B1542,B1542,$C$2:C1542,C1542,$D$2:D1542,"&lt;&gt;Negative*",$T$2:T1542,"&lt;&gt;Retracted")=1,1,0))</f>
        <v>1</v>
      </c>
    </row>
    <row r="1543" spans="1:21" x14ac:dyDescent="0.2">
      <c r="A1543" t="s">
        <v>3603</v>
      </c>
      <c r="B1543" t="s">
        <v>570</v>
      </c>
      <c r="C1543" t="s">
        <v>1445</v>
      </c>
      <c r="D1543" t="s">
        <v>1613</v>
      </c>
      <c r="E1543" t="s">
        <v>571</v>
      </c>
      <c r="F1543" t="s">
        <v>1566</v>
      </c>
      <c r="N1543" t="s">
        <v>209</v>
      </c>
      <c r="Q1543" s="2" t="str">
        <f>IF($C1543="","",IFERROR(VLOOKUP($C1543,sources!$A$2:$N$200,2,FALSE()),"?"))</f>
        <v>Newspaper</v>
      </c>
      <c r="R1543" s="2" t="str">
        <f t="shared" si="24"/>
        <v>Textual</v>
      </c>
      <c r="S1543" s="2" t="str">
        <f>IF($C1543="","",IFERROR(VLOOKUP($C1543,sources!$A$2:$N$200,9,FALSE()),"?"))</f>
        <v>Panamanian</v>
      </c>
      <c r="T1543" t="s">
        <v>5692</v>
      </c>
      <c r="U1543">
        <f>IF(OR(B1543="",C1543="",T1543="Retracted",LEFT(D1543,8)="Negative"),0,IF(COUNTIFS($B$2:B1543,B1543,$C$2:C1543,C1543,$D$2:D1543,"&lt;&gt;Negative*",$T$2:T1543,"&lt;&gt;Retracted")=1,1,0))</f>
        <v>0</v>
      </c>
    </row>
    <row r="1544" spans="1:21" x14ac:dyDescent="0.2">
      <c r="A1544" t="s">
        <v>3604</v>
      </c>
      <c r="B1544" t="s">
        <v>215</v>
      </c>
      <c r="C1544" t="s">
        <v>1445</v>
      </c>
      <c r="D1544" t="s">
        <v>1575</v>
      </c>
      <c r="E1544" t="s">
        <v>216</v>
      </c>
      <c r="F1544" t="s">
        <v>1566</v>
      </c>
      <c r="K1544">
        <v>1905</v>
      </c>
      <c r="L1544">
        <v>1914</v>
      </c>
      <c r="M1544" t="s">
        <v>203</v>
      </c>
      <c r="N1544" t="s">
        <v>209</v>
      </c>
      <c r="Q1544" s="2" t="str">
        <f>IF($C1544="","",IFERROR(VLOOKUP($C1544,sources!$A$2:$N$200,2,FALSE()),"?"))</f>
        <v>Newspaper</v>
      </c>
      <c r="R1544" s="2" t="str">
        <f t="shared" si="24"/>
        <v>Textual</v>
      </c>
      <c r="S1544" s="2" t="str">
        <f>IF($C1544="","",IFERROR(VLOOKUP($C1544,sources!$A$2:$N$200,9,FALSE()),"?"))</f>
        <v>Panamanian</v>
      </c>
      <c r="T1544" t="s">
        <v>5692</v>
      </c>
      <c r="U1544">
        <f>IF(OR(B1544="",C1544="",T1544="Retracted",LEFT(D1544,8)="Negative"),0,IF(COUNTIFS($B$2:B1544,B1544,$C$2:C1544,C1544,$D$2:D1544,"&lt;&gt;Negative*",$T$2:T1544,"&lt;&gt;Retracted")=1,1,0))</f>
        <v>1</v>
      </c>
    </row>
    <row r="1545" spans="1:21" x14ac:dyDescent="0.2">
      <c r="A1545" t="s">
        <v>3605</v>
      </c>
      <c r="B1545" t="s">
        <v>411</v>
      </c>
      <c r="C1545" t="s">
        <v>1445</v>
      </c>
      <c r="D1545" t="s">
        <v>1575</v>
      </c>
      <c r="E1545" t="s">
        <v>412</v>
      </c>
      <c r="F1545" t="s">
        <v>1566</v>
      </c>
      <c r="N1545" t="s">
        <v>190</v>
      </c>
      <c r="Q1545" s="2" t="str">
        <f>IF($C1545="","",IFERROR(VLOOKUP($C1545,sources!$A$2:$N$200,2,FALSE()),"?"))</f>
        <v>Newspaper</v>
      </c>
      <c r="R1545" s="2" t="str">
        <f t="shared" si="24"/>
        <v>Textual</v>
      </c>
      <c r="S1545" s="2" t="str">
        <f>IF($C1545="","",IFERROR(VLOOKUP($C1545,sources!$A$2:$N$200,9,FALSE()),"?"))</f>
        <v>Panamanian</v>
      </c>
      <c r="T1545" t="s">
        <v>5692</v>
      </c>
      <c r="U1545">
        <f>IF(OR(B1545="",C1545="",T1545="Retracted",LEFT(D1545,8)="Negative"),0,IF(COUNTIFS($B$2:B1545,B1545,$C$2:C1545,C1545,$D$2:D1545,"&lt;&gt;Negative*",$T$2:T1545,"&lt;&gt;Retracted")=1,1,0))</f>
        <v>1</v>
      </c>
    </row>
    <row r="1546" spans="1:21" x14ac:dyDescent="0.2">
      <c r="A1546" t="s">
        <v>3606</v>
      </c>
      <c r="B1546" t="s">
        <v>439</v>
      </c>
      <c r="C1546" t="s">
        <v>1445</v>
      </c>
      <c r="D1546" t="s">
        <v>1613</v>
      </c>
      <c r="E1546" t="s">
        <v>440</v>
      </c>
      <c r="F1546" t="s">
        <v>1566</v>
      </c>
      <c r="N1546" t="s">
        <v>209</v>
      </c>
      <c r="Q1546" s="2" t="str">
        <f>IF($C1546="","",IFERROR(VLOOKUP($C1546,sources!$A$2:$N$200,2,FALSE()),"?"))</f>
        <v>Newspaper</v>
      </c>
      <c r="R1546" s="2" t="str">
        <f t="shared" si="24"/>
        <v>Textual</v>
      </c>
      <c r="S1546" s="2" t="str">
        <f>IF($C1546="","",IFERROR(VLOOKUP($C1546,sources!$A$2:$N$200,9,FALSE()),"?"))</f>
        <v>Panamanian</v>
      </c>
      <c r="T1546" t="s">
        <v>5692</v>
      </c>
      <c r="U1546">
        <f>IF(OR(B1546="",C1546="",T1546="Retracted",LEFT(D1546,8)="Negative"),0,IF(COUNTIFS($B$2:B1546,B1546,$C$2:C1546,C1546,$D$2:D1546,"&lt;&gt;Negative*",$T$2:T1546,"&lt;&gt;Retracted")=1,1,0))</f>
        <v>0</v>
      </c>
    </row>
    <row r="1547" spans="1:21" x14ac:dyDescent="0.2">
      <c r="A1547" t="s">
        <v>3607</v>
      </c>
      <c r="B1547" t="s">
        <v>194</v>
      </c>
      <c r="C1547" t="s">
        <v>1445</v>
      </c>
      <c r="D1547" t="s">
        <v>1575</v>
      </c>
      <c r="E1547" t="s">
        <v>195</v>
      </c>
      <c r="F1547" t="s">
        <v>1566</v>
      </c>
      <c r="K1547">
        <v>1904</v>
      </c>
      <c r="L1547">
        <v>1913</v>
      </c>
      <c r="M1547" t="s">
        <v>203</v>
      </c>
      <c r="N1547" t="s">
        <v>209</v>
      </c>
      <c r="Q1547" s="2" t="str">
        <f>IF($C1547="","",IFERROR(VLOOKUP($C1547,sources!$A$2:$N$200,2,FALSE()),"?"))</f>
        <v>Newspaper</v>
      </c>
      <c r="R1547" s="2" t="str">
        <f t="shared" si="24"/>
        <v>Textual</v>
      </c>
      <c r="S1547" s="2" t="str">
        <f>IF($C1547="","",IFERROR(VLOOKUP($C1547,sources!$A$2:$N$200,9,FALSE()),"?"))</f>
        <v>Panamanian</v>
      </c>
      <c r="T1547" t="s">
        <v>5692</v>
      </c>
      <c r="U1547">
        <f>IF(OR(B1547="",C1547="",T1547="Retracted",LEFT(D1547,8)="Negative"),0,IF(COUNTIFS($B$2:B1547,B1547,$C$2:C1547,C1547,$D$2:D1547,"&lt;&gt;Negative*",$T$2:T1547,"&lt;&gt;Retracted")=1,1,0))</f>
        <v>1</v>
      </c>
    </row>
    <row r="1548" spans="1:21" x14ac:dyDescent="0.2">
      <c r="A1548" t="s">
        <v>3608</v>
      </c>
      <c r="B1548" t="s">
        <v>253</v>
      </c>
      <c r="C1548" t="s">
        <v>1445</v>
      </c>
      <c r="D1548" t="s">
        <v>1575</v>
      </c>
      <c r="E1548" t="s">
        <v>254</v>
      </c>
      <c r="F1548" t="s">
        <v>1566</v>
      </c>
      <c r="K1548">
        <v>1905</v>
      </c>
      <c r="L1548">
        <v>1914</v>
      </c>
      <c r="M1548" t="s">
        <v>203</v>
      </c>
      <c r="N1548" t="s">
        <v>209</v>
      </c>
      <c r="Q1548" s="2" t="str">
        <f>IF($C1548="","",IFERROR(VLOOKUP($C1548,sources!$A$2:$N$200,2,FALSE()),"?"))</f>
        <v>Newspaper</v>
      </c>
      <c r="R1548" s="2" t="str">
        <f t="shared" si="24"/>
        <v>Textual</v>
      </c>
      <c r="S1548" s="2" t="str">
        <f>IF($C1548="","",IFERROR(VLOOKUP($C1548,sources!$A$2:$N$200,9,FALSE()),"?"))</f>
        <v>Panamanian</v>
      </c>
      <c r="T1548" t="s">
        <v>5692</v>
      </c>
      <c r="U1548">
        <f>IF(OR(B1548="",C1548="",T1548="Retracted",LEFT(D1548,8)="Negative"),0,IF(COUNTIFS($B$2:B1548,B1548,$C$2:C1548,C1548,$D$2:D1548,"&lt;&gt;Negative*",$T$2:T1548,"&lt;&gt;Retracted")=1,1,0))</f>
        <v>1</v>
      </c>
    </row>
    <row r="1549" spans="1:21" x14ac:dyDescent="0.2">
      <c r="A1549" t="s">
        <v>3609</v>
      </c>
      <c r="B1549" t="s">
        <v>265</v>
      </c>
      <c r="C1549" t="s">
        <v>1445</v>
      </c>
      <c r="D1549" t="s">
        <v>1575</v>
      </c>
      <c r="E1549" t="s">
        <v>266</v>
      </c>
      <c r="F1549" t="s">
        <v>1566</v>
      </c>
      <c r="K1549">
        <v>1904</v>
      </c>
      <c r="L1549">
        <v>1914</v>
      </c>
      <c r="M1549" t="s">
        <v>203</v>
      </c>
      <c r="N1549" t="s">
        <v>209</v>
      </c>
      <c r="Q1549" s="2" t="str">
        <f>IF($C1549="","",IFERROR(VLOOKUP($C1549,sources!$A$2:$N$200,2,FALSE()),"?"))</f>
        <v>Newspaper</v>
      </c>
      <c r="R1549" s="2" t="str">
        <f t="shared" si="24"/>
        <v>Textual</v>
      </c>
      <c r="S1549" s="2" t="str">
        <f>IF($C1549="","",IFERROR(VLOOKUP($C1549,sources!$A$2:$N$200,9,FALSE()),"?"))</f>
        <v>Panamanian</v>
      </c>
      <c r="T1549" t="s">
        <v>5692</v>
      </c>
      <c r="U1549">
        <f>IF(OR(B1549="",C1549="",T1549="Retracted",LEFT(D1549,8)="Negative"),0,IF(COUNTIFS($B$2:B1549,B1549,$C$2:C1549,C1549,$D$2:D1549,"&lt;&gt;Negative*",$T$2:T1549,"&lt;&gt;Retracted")=1,1,0))</f>
        <v>1</v>
      </c>
    </row>
    <row r="1550" spans="1:21" x14ac:dyDescent="0.2">
      <c r="A1550" t="s">
        <v>3610</v>
      </c>
      <c r="B1550" t="s">
        <v>386</v>
      </c>
      <c r="C1550" t="s">
        <v>1445</v>
      </c>
      <c r="D1550" t="s">
        <v>1575</v>
      </c>
      <c r="E1550" t="s">
        <v>387</v>
      </c>
      <c r="F1550" t="s">
        <v>1566</v>
      </c>
      <c r="N1550" t="s">
        <v>190</v>
      </c>
      <c r="Q1550" s="2" t="str">
        <f>IF($C1550="","",IFERROR(VLOOKUP($C1550,sources!$A$2:$N$200,2,FALSE()),"?"))</f>
        <v>Newspaper</v>
      </c>
      <c r="R1550" s="2" t="str">
        <f t="shared" si="24"/>
        <v>Textual</v>
      </c>
      <c r="S1550" s="2" t="str">
        <f>IF($C1550="","",IFERROR(VLOOKUP($C1550,sources!$A$2:$N$200,9,FALSE()),"?"))</f>
        <v>Panamanian</v>
      </c>
      <c r="T1550" t="s">
        <v>5692</v>
      </c>
      <c r="U1550">
        <f>IF(OR(B1550="",C1550="",T1550="Retracted",LEFT(D1550,8)="Negative"),0,IF(COUNTIFS($B$2:B1550,B1550,$C$2:C1550,C1550,$D$2:D1550,"&lt;&gt;Negative*",$T$2:T1550,"&lt;&gt;Retracted")=1,1,0))</f>
        <v>1</v>
      </c>
    </row>
    <row r="1551" spans="1:21" x14ac:dyDescent="0.2">
      <c r="A1551" t="s">
        <v>3611</v>
      </c>
      <c r="B1551" t="s">
        <v>211</v>
      </c>
      <c r="C1551" t="s">
        <v>1445</v>
      </c>
      <c r="D1551" t="s">
        <v>1575</v>
      </c>
      <c r="E1551" t="s">
        <v>212</v>
      </c>
      <c r="F1551" t="s">
        <v>1566</v>
      </c>
      <c r="N1551" t="s">
        <v>190</v>
      </c>
      <c r="Q1551" s="2" t="str">
        <f>IF($C1551="","",IFERROR(VLOOKUP($C1551,sources!$A$2:$N$200,2,FALSE()),"?"))</f>
        <v>Newspaper</v>
      </c>
      <c r="R1551" s="2" t="str">
        <f t="shared" si="24"/>
        <v>Textual</v>
      </c>
      <c r="S1551" s="2" t="str">
        <f>IF($C1551="","",IFERROR(VLOOKUP($C1551,sources!$A$2:$N$200,9,FALSE()),"?"))</f>
        <v>Panamanian</v>
      </c>
      <c r="T1551" t="s">
        <v>5692</v>
      </c>
      <c r="U1551">
        <f>IF(OR(B1551="",C1551="",T1551="Retracted",LEFT(D1551,8)="Negative"),0,IF(COUNTIFS($B$2:B1551,B1551,$C$2:C1551,C1551,$D$2:D1551,"&lt;&gt;Negative*",$T$2:T1551,"&lt;&gt;Retracted")=1,1,0))</f>
        <v>1</v>
      </c>
    </row>
    <row r="1552" spans="1:21" x14ac:dyDescent="0.2">
      <c r="A1552" t="s">
        <v>3612</v>
      </c>
      <c r="B1552" t="s">
        <v>465</v>
      </c>
      <c r="C1552" t="s">
        <v>1445</v>
      </c>
      <c r="D1552" t="s">
        <v>1575</v>
      </c>
      <c r="E1552" t="s">
        <v>466</v>
      </c>
      <c r="F1552" t="s">
        <v>1566</v>
      </c>
      <c r="N1552" t="s">
        <v>190</v>
      </c>
      <c r="Q1552" s="2" t="str">
        <f>IF($C1552="","",IFERROR(VLOOKUP($C1552,sources!$A$2:$N$200,2,FALSE()),"?"))</f>
        <v>Newspaper</v>
      </c>
      <c r="R1552" s="2" t="str">
        <f t="shared" si="24"/>
        <v>Textual</v>
      </c>
      <c r="S1552" s="2" t="str">
        <f>IF($C1552="","",IFERROR(VLOOKUP($C1552,sources!$A$2:$N$200,9,FALSE()),"?"))</f>
        <v>Panamanian</v>
      </c>
      <c r="T1552" t="s">
        <v>5692</v>
      </c>
      <c r="U1552">
        <f>IF(OR(B1552="",C1552="",T1552="Retracted",LEFT(D1552,8)="Negative"),0,IF(COUNTIFS($B$2:B1552,B1552,$C$2:C1552,C1552,$D$2:D1552,"&lt;&gt;Negative*",$T$2:T1552,"&lt;&gt;Retracted")=1,1,0))</f>
        <v>1</v>
      </c>
    </row>
    <row r="1553" spans="1:21" x14ac:dyDescent="0.2">
      <c r="A1553" t="s">
        <v>3613</v>
      </c>
      <c r="B1553" t="s">
        <v>398</v>
      </c>
      <c r="C1553" t="s">
        <v>1445</v>
      </c>
      <c r="D1553" t="s">
        <v>1575</v>
      </c>
      <c r="E1553" t="s">
        <v>399</v>
      </c>
      <c r="F1553" t="s">
        <v>1566</v>
      </c>
      <c r="K1553">
        <v>1906</v>
      </c>
      <c r="L1553">
        <v>1912</v>
      </c>
      <c r="M1553" t="s">
        <v>203</v>
      </c>
      <c r="N1553" t="s">
        <v>209</v>
      </c>
      <c r="Q1553" s="2" t="str">
        <f>IF($C1553="","",IFERROR(VLOOKUP($C1553,sources!$A$2:$N$200,2,FALSE()),"?"))</f>
        <v>Newspaper</v>
      </c>
      <c r="R1553" s="2" t="str">
        <f t="shared" si="24"/>
        <v>Textual</v>
      </c>
      <c r="S1553" s="2" t="str">
        <f>IF($C1553="","",IFERROR(VLOOKUP($C1553,sources!$A$2:$N$200,9,FALSE()),"?"))</f>
        <v>Panamanian</v>
      </c>
      <c r="T1553" t="s">
        <v>5692</v>
      </c>
      <c r="U1553">
        <f>IF(OR(B1553="",C1553="",T1553="Retracted",LEFT(D1553,8)="Negative"),0,IF(COUNTIFS($B$2:B1553,B1553,$C$2:C1553,C1553,$D$2:D1553,"&lt;&gt;Negative*",$T$2:T1553,"&lt;&gt;Retracted")=1,1,0))</f>
        <v>1</v>
      </c>
    </row>
    <row r="1554" spans="1:21" x14ac:dyDescent="0.2">
      <c r="A1554" t="s">
        <v>3614</v>
      </c>
      <c r="B1554" t="s">
        <v>503</v>
      </c>
      <c r="C1554" t="s">
        <v>1445</v>
      </c>
      <c r="D1554" t="s">
        <v>1575</v>
      </c>
      <c r="E1554" t="s">
        <v>504</v>
      </c>
      <c r="F1554" t="s">
        <v>1566</v>
      </c>
      <c r="K1554">
        <v>1907</v>
      </c>
      <c r="L1554">
        <v>1911</v>
      </c>
      <c r="M1554" t="s">
        <v>203</v>
      </c>
      <c r="N1554" t="s">
        <v>209</v>
      </c>
      <c r="Q1554" s="2" t="str">
        <f>IF($C1554="","",IFERROR(VLOOKUP($C1554,sources!$A$2:$N$200,2,FALSE()),"?"))</f>
        <v>Newspaper</v>
      </c>
      <c r="R1554" s="2" t="str">
        <f t="shared" si="24"/>
        <v>Textual</v>
      </c>
      <c r="S1554" s="2" t="str">
        <f>IF($C1554="","",IFERROR(VLOOKUP($C1554,sources!$A$2:$N$200,9,FALSE()),"?"))</f>
        <v>Panamanian</v>
      </c>
      <c r="T1554" t="s">
        <v>5692</v>
      </c>
      <c r="U1554">
        <f>IF(OR(B1554="",C1554="",T1554="Retracted",LEFT(D1554,8)="Negative"),0,IF(COUNTIFS($B$2:B1554,B1554,$C$2:C1554,C1554,$D$2:D1554,"&lt;&gt;Negative*",$T$2:T1554,"&lt;&gt;Retracted")=1,1,0))</f>
        <v>1</v>
      </c>
    </row>
    <row r="1555" spans="1:21" x14ac:dyDescent="0.2">
      <c r="A1555" t="s">
        <v>3615</v>
      </c>
      <c r="B1555" t="s">
        <v>443</v>
      </c>
      <c r="C1555" t="s">
        <v>1445</v>
      </c>
      <c r="D1555" t="s">
        <v>1575</v>
      </c>
      <c r="E1555" t="s">
        <v>444</v>
      </c>
      <c r="F1555" t="s">
        <v>1566</v>
      </c>
      <c r="N1555" t="s">
        <v>190</v>
      </c>
      <c r="Q1555" s="2" t="str">
        <f>IF($C1555="","",IFERROR(VLOOKUP($C1555,sources!$A$2:$N$200,2,FALSE()),"?"))</f>
        <v>Newspaper</v>
      </c>
      <c r="R1555" s="2" t="str">
        <f t="shared" si="24"/>
        <v>Textual</v>
      </c>
      <c r="S1555" s="2" t="str">
        <f>IF($C1555="","",IFERROR(VLOOKUP($C1555,sources!$A$2:$N$200,9,FALSE()),"?"))</f>
        <v>Panamanian</v>
      </c>
      <c r="T1555" t="s">
        <v>5692</v>
      </c>
      <c r="U1555">
        <f>IF(OR(B1555="",C1555="",T1555="Retracted",LEFT(D1555,8)="Negative"),0,IF(COUNTIFS($B$2:B1555,B1555,$C$2:C1555,C1555,$D$2:D1555,"&lt;&gt;Negative*",$T$2:T1555,"&lt;&gt;Retracted")=1,1,0))</f>
        <v>1</v>
      </c>
    </row>
    <row r="1556" spans="1:21" x14ac:dyDescent="0.2">
      <c r="A1556" t="s">
        <v>3616</v>
      </c>
      <c r="B1556" t="s">
        <v>520</v>
      </c>
      <c r="C1556" t="s">
        <v>1445</v>
      </c>
      <c r="D1556" t="s">
        <v>1613</v>
      </c>
      <c r="E1556" t="s">
        <v>521</v>
      </c>
      <c r="F1556" t="s">
        <v>1566</v>
      </c>
      <c r="N1556" t="s">
        <v>209</v>
      </c>
      <c r="Q1556" s="2" t="str">
        <f>IF($C1556="","",IFERROR(VLOOKUP($C1556,sources!$A$2:$N$200,2,FALSE()),"?"))</f>
        <v>Newspaper</v>
      </c>
      <c r="R1556" s="2" t="str">
        <f t="shared" si="24"/>
        <v>Textual</v>
      </c>
      <c r="S1556" s="2" t="str">
        <f>IF($C1556="","",IFERROR(VLOOKUP($C1556,sources!$A$2:$N$200,9,FALSE()),"?"))</f>
        <v>Panamanian</v>
      </c>
      <c r="T1556" t="s">
        <v>5692</v>
      </c>
      <c r="U1556">
        <f>IF(OR(B1556="",C1556="",T1556="Retracted",LEFT(D1556,8)="Negative"),0,IF(COUNTIFS($B$2:B1556,B1556,$C$2:C1556,C1556,$D$2:D1556,"&lt;&gt;Negative*",$T$2:T1556,"&lt;&gt;Retracted")=1,1,0))</f>
        <v>0</v>
      </c>
    </row>
    <row r="1557" spans="1:21" x14ac:dyDescent="0.2">
      <c r="A1557" t="s">
        <v>3617</v>
      </c>
      <c r="B1557" t="s">
        <v>510</v>
      </c>
      <c r="C1557" t="s">
        <v>1445</v>
      </c>
      <c r="D1557" t="s">
        <v>1575</v>
      </c>
      <c r="E1557" t="s">
        <v>511</v>
      </c>
      <c r="F1557" t="s">
        <v>1566</v>
      </c>
      <c r="K1557">
        <v>1904</v>
      </c>
      <c r="L1557">
        <v>1911</v>
      </c>
      <c r="M1557" t="s">
        <v>203</v>
      </c>
      <c r="N1557" t="s">
        <v>209</v>
      </c>
      <c r="Q1557" s="2" t="str">
        <f>IF($C1557="","",IFERROR(VLOOKUP($C1557,sources!$A$2:$N$200,2,FALSE()),"?"))</f>
        <v>Newspaper</v>
      </c>
      <c r="R1557" s="2" t="str">
        <f t="shared" si="24"/>
        <v>Textual</v>
      </c>
      <c r="S1557" s="2" t="str">
        <f>IF($C1557="","",IFERROR(VLOOKUP($C1557,sources!$A$2:$N$200,9,FALSE()),"?"))</f>
        <v>Panamanian</v>
      </c>
      <c r="T1557" t="s">
        <v>5692</v>
      </c>
      <c r="U1557">
        <f>IF(OR(B1557="",C1557="",T1557="Retracted",LEFT(D1557,8)="Negative"),0,IF(COUNTIFS($B$2:B1557,B1557,$C$2:C1557,C1557,$D$2:D1557,"&lt;&gt;Negative*",$T$2:T1557,"&lt;&gt;Retracted")=1,1,0))</f>
        <v>1</v>
      </c>
    </row>
    <row r="1558" spans="1:21" x14ac:dyDescent="0.2">
      <c r="A1558" t="s">
        <v>3618</v>
      </c>
      <c r="B1558" t="s">
        <v>351</v>
      </c>
      <c r="C1558" t="s">
        <v>1445</v>
      </c>
      <c r="D1558" t="s">
        <v>1575</v>
      </c>
      <c r="E1558" t="s">
        <v>352</v>
      </c>
      <c r="F1558" t="s">
        <v>1566</v>
      </c>
      <c r="K1558">
        <v>1904</v>
      </c>
      <c r="L1558">
        <v>1914</v>
      </c>
      <c r="M1558" t="s">
        <v>203</v>
      </c>
      <c r="N1558" t="s">
        <v>209</v>
      </c>
      <c r="Q1558" s="2" t="str">
        <f>IF($C1558="","",IFERROR(VLOOKUP($C1558,sources!$A$2:$N$200,2,FALSE()),"?"))</f>
        <v>Newspaper</v>
      </c>
      <c r="R1558" s="2" t="str">
        <f t="shared" si="24"/>
        <v>Textual</v>
      </c>
      <c r="S1558" s="2" t="str">
        <f>IF($C1558="","",IFERROR(VLOOKUP($C1558,sources!$A$2:$N$200,9,FALSE()),"?"))</f>
        <v>Panamanian</v>
      </c>
      <c r="T1558" t="s">
        <v>5692</v>
      </c>
      <c r="U1558">
        <f>IF(OR(B1558="",C1558="",T1558="Retracted",LEFT(D1558,8)="Negative"),0,IF(COUNTIFS($B$2:B1558,B1558,$C$2:C1558,C1558,$D$2:D1558,"&lt;&gt;Negative*",$T$2:T1558,"&lt;&gt;Retracted")=1,1,0))</f>
        <v>1</v>
      </c>
    </row>
    <row r="1559" spans="1:21" x14ac:dyDescent="0.2">
      <c r="A1559" t="s">
        <v>3619</v>
      </c>
      <c r="B1559" t="s">
        <v>199</v>
      </c>
      <c r="C1559" t="s">
        <v>1445</v>
      </c>
      <c r="D1559" t="s">
        <v>1575</v>
      </c>
      <c r="E1559" t="s">
        <v>200</v>
      </c>
      <c r="F1559" t="s">
        <v>1566</v>
      </c>
      <c r="N1559" t="s">
        <v>190</v>
      </c>
      <c r="Q1559" s="2" t="str">
        <f>IF($C1559="","",IFERROR(VLOOKUP($C1559,sources!$A$2:$N$200,2,FALSE()),"?"))</f>
        <v>Newspaper</v>
      </c>
      <c r="R1559" s="2" t="str">
        <f t="shared" si="24"/>
        <v>Textual</v>
      </c>
      <c r="S1559" s="2" t="str">
        <f>IF($C1559="","",IFERROR(VLOOKUP($C1559,sources!$A$2:$N$200,9,FALSE()),"?"))</f>
        <v>Panamanian</v>
      </c>
      <c r="T1559" t="s">
        <v>5692</v>
      </c>
      <c r="U1559">
        <f>IF(OR(B1559="",C1559="",T1559="Retracted",LEFT(D1559,8)="Negative"),0,IF(COUNTIFS($B$2:B1559,B1559,$C$2:C1559,C1559,$D$2:D1559,"&lt;&gt;Negative*",$T$2:T1559,"&lt;&gt;Retracted")=1,1,0))</f>
        <v>1</v>
      </c>
    </row>
    <row r="1560" spans="1:21" x14ac:dyDescent="0.2">
      <c r="A1560" t="s">
        <v>3620</v>
      </c>
      <c r="B1560" t="s">
        <v>378</v>
      </c>
      <c r="C1560" t="s">
        <v>1445</v>
      </c>
      <c r="D1560" t="s">
        <v>1575</v>
      </c>
      <c r="E1560" t="s">
        <v>379</v>
      </c>
      <c r="F1560" t="s">
        <v>1566</v>
      </c>
      <c r="K1560">
        <v>1904</v>
      </c>
      <c r="L1560">
        <v>1914</v>
      </c>
      <c r="M1560" t="s">
        <v>203</v>
      </c>
      <c r="N1560" t="s">
        <v>209</v>
      </c>
      <c r="Q1560" s="2" t="str">
        <f>IF($C1560="","",IFERROR(VLOOKUP($C1560,sources!$A$2:$N$200,2,FALSE()),"?"))</f>
        <v>Newspaper</v>
      </c>
      <c r="R1560" s="2" t="str">
        <f t="shared" si="24"/>
        <v>Textual</v>
      </c>
      <c r="S1560" s="2" t="str">
        <f>IF($C1560="","",IFERROR(VLOOKUP($C1560,sources!$A$2:$N$200,9,FALSE()),"?"))</f>
        <v>Panamanian</v>
      </c>
      <c r="T1560" t="s">
        <v>5692</v>
      </c>
      <c r="U1560">
        <f>IF(OR(B1560="",C1560="",T1560="Retracted",LEFT(D1560,8)="Negative"),0,IF(COUNTIFS($B$2:B1560,B1560,$C$2:C1560,C1560,$D$2:D1560,"&lt;&gt;Negative*",$T$2:T1560,"&lt;&gt;Retracted")=1,1,0))</f>
        <v>1</v>
      </c>
    </row>
    <row r="1561" spans="1:21" x14ac:dyDescent="0.2">
      <c r="A1561" t="s">
        <v>3621</v>
      </c>
      <c r="B1561" t="s">
        <v>247</v>
      </c>
      <c r="C1561" t="s">
        <v>1445</v>
      </c>
      <c r="D1561" t="s">
        <v>1575</v>
      </c>
      <c r="E1561" t="s">
        <v>248</v>
      </c>
      <c r="F1561" t="s">
        <v>1566</v>
      </c>
      <c r="K1561">
        <v>1904</v>
      </c>
      <c r="M1561" t="s">
        <v>203</v>
      </c>
      <c r="N1561" t="s">
        <v>209</v>
      </c>
      <c r="Q1561" s="2" t="str">
        <f>IF($C1561="","",IFERROR(VLOOKUP($C1561,sources!$A$2:$N$200,2,FALSE()),"?"))</f>
        <v>Newspaper</v>
      </c>
      <c r="R1561" s="2" t="str">
        <f t="shared" si="24"/>
        <v>Textual</v>
      </c>
      <c r="S1561" s="2" t="str">
        <f>IF($C1561="","",IFERROR(VLOOKUP($C1561,sources!$A$2:$N$200,9,FALSE()),"?"))</f>
        <v>Panamanian</v>
      </c>
      <c r="T1561" t="s">
        <v>5692</v>
      </c>
      <c r="U1561">
        <f>IF(OR(B1561="",C1561="",T1561="Retracted",LEFT(D1561,8)="Negative"),0,IF(COUNTIFS($B$2:B1561,B1561,$C$2:C1561,C1561,$D$2:D1561,"&lt;&gt;Negative*",$T$2:T1561,"&lt;&gt;Retracted")=1,1,0))</f>
        <v>1</v>
      </c>
    </row>
    <row r="1562" spans="1:21" x14ac:dyDescent="0.2">
      <c r="A1562" t="s">
        <v>3622</v>
      </c>
      <c r="B1562" t="s">
        <v>580</v>
      </c>
      <c r="C1562" t="s">
        <v>1445</v>
      </c>
      <c r="D1562" t="s">
        <v>1613</v>
      </c>
      <c r="E1562" t="s">
        <v>581</v>
      </c>
      <c r="F1562" t="s">
        <v>1566</v>
      </c>
      <c r="N1562" t="s">
        <v>209</v>
      </c>
      <c r="Q1562" s="2" t="str">
        <f>IF($C1562="","",IFERROR(VLOOKUP($C1562,sources!$A$2:$N$200,2,FALSE()),"?"))</f>
        <v>Newspaper</v>
      </c>
      <c r="R1562" s="2" t="str">
        <f t="shared" si="24"/>
        <v>Textual</v>
      </c>
      <c r="S1562" s="2" t="str">
        <f>IF($C1562="","",IFERROR(VLOOKUP($C1562,sources!$A$2:$N$200,9,FALSE()),"?"))</f>
        <v>Panamanian</v>
      </c>
      <c r="T1562" t="s">
        <v>5692</v>
      </c>
      <c r="U1562">
        <f>IF(OR(B1562="",C1562="",T1562="Retracted",LEFT(D1562,8)="Negative"),0,IF(COUNTIFS($B$2:B1562,B1562,$C$2:C1562,C1562,$D$2:D1562,"&lt;&gt;Negative*",$T$2:T1562,"&lt;&gt;Retracted")=1,1,0))</f>
        <v>0</v>
      </c>
    </row>
    <row r="1563" spans="1:21" x14ac:dyDescent="0.2">
      <c r="A1563" t="s">
        <v>3623</v>
      </c>
      <c r="B1563" t="s">
        <v>452</v>
      </c>
      <c r="C1563" t="s">
        <v>1445</v>
      </c>
      <c r="D1563" t="s">
        <v>1575</v>
      </c>
      <c r="E1563" t="s">
        <v>453</v>
      </c>
      <c r="F1563" t="s">
        <v>1566</v>
      </c>
      <c r="N1563" t="s">
        <v>190</v>
      </c>
      <c r="Q1563" s="2" t="str">
        <f>IF($C1563="","",IFERROR(VLOOKUP($C1563,sources!$A$2:$N$200,2,FALSE()),"?"))</f>
        <v>Newspaper</v>
      </c>
      <c r="R1563" s="2" t="str">
        <f t="shared" si="24"/>
        <v>Textual</v>
      </c>
      <c r="S1563" s="2" t="str">
        <f>IF($C1563="","",IFERROR(VLOOKUP($C1563,sources!$A$2:$N$200,9,FALSE()),"?"))</f>
        <v>Panamanian</v>
      </c>
      <c r="T1563" t="s">
        <v>5692</v>
      </c>
      <c r="U1563">
        <f>IF(OR(B1563="",C1563="",T1563="Retracted",LEFT(D1563,8)="Negative"),0,IF(COUNTIFS($B$2:B1563,B1563,$C$2:C1563,C1563,$D$2:D1563,"&lt;&gt;Negative*",$T$2:T1563,"&lt;&gt;Retracted")=1,1,0))</f>
        <v>1</v>
      </c>
    </row>
    <row r="1564" spans="1:21" x14ac:dyDescent="0.2">
      <c r="A1564" t="s">
        <v>3624</v>
      </c>
      <c r="B1564" t="s">
        <v>472</v>
      </c>
      <c r="C1564" t="s">
        <v>1445</v>
      </c>
      <c r="D1564" t="s">
        <v>1575</v>
      </c>
      <c r="E1564" t="s">
        <v>473</v>
      </c>
      <c r="F1564" t="s">
        <v>1566</v>
      </c>
      <c r="K1564">
        <v>1913</v>
      </c>
      <c r="L1564">
        <v>1913</v>
      </c>
      <c r="M1564" t="s">
        <v>203</v>
      </c>
      <c r="N1564" t="s">
        <v>190</v>
      </c>
      <c r="Q1564" s="2" t="str">
        <f>IF($C1564="","",IFERROR(VLOOKUP($C1564,sources!$A$2:$N$200,2,FALSE()),"?"))</f>
        <v>Newspaper</v>
      </c>
      <c r="R1564" s="2" t="str">
        <f t="shared" si="24"/>
        <v>Textual</v>
      </c>
      <c r="S1564" s="2" t="str">
        <f>IF($C1564="","",IFERROR(VLOOKUP($C1564,sources!$A$2:$N$200,9,FALSE()),"?"))</f>
        <v>Panamanian</v>
      </c>
      <c r="T1564" t="s">
        <v>5692</v>
      </c>
      <c r="U1564">
        <f>IF(OR(B1564="",C1564="",T1564="Retracted",LEFT(D1564,8)="Negative"),0,IF(COUNTIFS($B$2:B1564,B1564,$C$2:C1564,C1564,$D$2:D1564,"&lt;&gt;Negative*",$T$2:T1564,"&lt;&gt;Retracted")=1,1,0))</f>
        <v>1</v>
      </c>
    </row>
    <row r="1565" spans="1:21" x14ac:dyDescent="0.2">
      <c r="A1565" t="s">
        <v>3625</v>
      </c>
      <c r="B1565" t="s">
        <v>233</v>
      </c>
      <c r="C1565" t="s">
        <v>1445</v>
      </c>
      <c r="D1565" t="s">
        <v>1575</v>
      </c>
      <c r="E1565" t="s">
        <v>305</v>
      </c>
      <c r="F1565" t="s">
        <v>1566</v>
      </c>
      <c r="N1565" t="s">
        <v>190</v>
      </c>
      <c r="Q1565" s="2" t="str">
        <f>IF($C1565="","",IFERROR(VLOOKUP($C1565,sources!$A$2:$N$200,2,FALSE()),"?"))</f>
        <v>Newspaper</v>
      </c>
      <c r="R1565" s="2" t="str">
        <f t="shared" si="24"/>
        <v>Textual</v>
      </c>
      <c r="S1565" s="2" t="str">
        <f>IF($C1565="","",IFERROR(VLOOKUP($C1565,sources!$A$2:$N$200,9,FALSE()),"?"))</f>
        <v>Panamanian</v>
      </c>
      <c r="T1565" t="s">
        <v>5692</v>
      </c>
      <c r="U1565">
        <f>IF(OR(B1565="",C1565="",T1565="Retracted",LEFT(D1565,8)="Negative"),0,IF(COUNTIFS($B$2:B1565,B1565,$C$2:C1565,C1565,$D$2:D1565,"&lt;&gt;Negative*",$T$2:T1565,"&lt;&gt;Retracted")=1,1,0))</f>
        <v>1</v>
      </c>
    </row>
    <row r="1566" spans="1:21" x14ac:dyDescent="0.2">
      <c r="A1566" t="s">
        <v>3626</v>
      </c>
      <c r="B1566" t="s">
        <v>487</v>
      </c>
      <c r="C1566" t="s">
        <v>1445</v>
      </c>
      <c r="D1566" t="s">
        <v>1575</v>
      </c>
      <c r="E1566" t="s">
        <v>488</v>
      </c>
      <c r="F1566" t="s">
        <v>1566</v>
      </c>
      <c r="N1566" t="s">
        <v>190</v>
      </c>
      <c r="Q1566" s="2" t="str">
        <f>IF($C1566="","",IFERROR(VLOOKUP($C1566,sources!$A$2:$N$200,2,FALSE()),"?"))</f>
        <v>Newspaper</v>
      </c>
      <c r="R1566" s="2" t="str">
        <f t="shared" si="24"/>
        <v>Textual</v>
      </c>
      <c r="S1566" s="2" t="str">
        <f>IF($C1566="","",IFERROR(VLOOKUP($C1566,sources!$A$2:$N$200,9,FALSE()),"?"))</f>
        <v>Panamanian</v>
      </c>
      <c r="T1566" t="s">
        <v>5692</v>
      </c>
      <c r="U1566">
        <f>IF(OR(B1566="",C1566="",T1566="Retracted",LEFT(D1566,8)="Negative"),0,IF(COUNTIFS($B$2:B1566,B1566,$C$2:C1566,C1566,$D$2:D1566,"&lt;&gt;Negative*",$T$2:T1566,"&lt;&gt;Retracted")=1,1,0))</f>
        <v>1</v>
      </c>
    </row>
    <row r="1567" spans="1:21" x14ac:dyDescent="0.2">
      <c r="A1567" t="s">
        <v>3627</v>
      </c>
      <c r="B1567" t="s">
        <v>538</v>
      </c>
      <c r="C1567" t="s">
        <v>1445</v>
      </c>
      <c r="D1567" t="s">
        <v>1575</v>
      </c>
      <c r="E1567" t="s">
        <v>539</v>
      </c>
      <c r="F1567" t="s">
        <v>1566</v>
      </c>
      <c r="N1567" t="s">
        <v>190</v>
      </c>
      <c r="Q1567" s="2" t="str">
        <f>IF($C1567="","",IFERROR(VLOOKUP($C1567,sources!$A$2:$N$200,2,FALSE()),"?"))</f>
        <v>Newspaper</v>
      </c>
      <c r="R1567" s="2" t="str">
        <f t="shared" si="24"/>
        <v>Textual</v>
      </c>
      <c r="S1567" s="2" t="str">
        <f>IF($C1567="","",IFERROR(VLOOKUP($C1567,sources!$A$2:$N$200,9,FALSE()),"?"))</f>
        <v>Panamanian</v>
      </c>
      <c r="T1567" t="s">
        <v>5692</v>
      </c>
      <c r="U1567">
        <f>IF(OR(B1567="",C1567="",T1567="Retracted",LEFT(D1567,8)="Negative"),0,IF(COUNTIFS($B$2:B1567,B1567,$C$2:C1567,C1567,$D$2:D1567,"&lt;&gt;Negative*",$T$2:T1567,"&lt;&gt;Retracted")=1,1,0))</f>
        <v>1</v>
      </c>
    </row>
    <row r="1568" spans="1:21" x14ac:dyDescent="0.2">
      <c r="A1568" t="s">
        <v>3628</v>
      </c>
      <c r="B1568" t="s">
        <v>525</v>
      </c>
      <c r="C1568" t="s">
        <v>1445</v>
      </c>
      <c r="D1568" t="s">
        <v>1613</v>
      </c>
      <c r="E1568" t="s">
        <v>526</v>
      </c>
      <c r="F1568" t="s">
        <v>1566</v>
      </c>
      <c r="N1568" t="s">
        <v>209</v>
      </c>
      <c r="Q1568" s="2" t="str">
        <f>IF($C1568="","",IFERROR(VLOOKUP($C1568,sources!$A$2:$N$200,2,FALSE()),"?"))</f>
        <v>Newspaper</v>
      </c>
      <c r="R1568" s="2" t="str">
        <f t="shared" si="24"/>
        <v>Textual</v>
      </c>
      <c r="S1568" s="2" t="str">
        <f>IF($C1568="","",IFERROR(VLOOKUP($C1568,sources!$A$2:$N$200,9,FALSE()),"?"))</f>
        <v>Panamanian</v>
      </c>
      <c r="T1568" t="s">
        <v>5692</v>
      </c>
      <c r="U1568">
        <f>IF(OR(B1568="",C1568="",T1568="Retracted",LEFT(D1568,8)="Negative"),0,IF(COUNTIFS($B$2:B1568,B1568,$C$2:C1568,C1568,$D$2:D1568,"&lt;&gt;Negative*",$T$2:T1568,"&lt;&gt;Retracted")=1,1,0))</f>
        <v>0</v>
      </c>
    </row>
    <row r="1569" spans="1:21" x14ac:dyDescent="0.2">
      <c r="A1569" t="s">
        <v>3629</v>
      </c>
      <c r="B1569" t="s">
        <v>530</v>
      </c>
      <c r="C1569" t="s">
        <v>1445</v>
      </c>
      <c r="D1569" t="s">
        <v>1613</v>
      </c>
      <c r="E1569" t="s">
        <v>531</v>
      </c>
      <c r="F1569" t="s">
        <v>1566</v>
      </c>
      <c r="N1569" t="s">
        <v>209</v>
      </c>
      <c r="Q1569" s="2" t="str">
        <f>IF($C1569="","",IFERROR(VLOOKUP($C1569,sources!$A$2:$N$200,2,FALSE()),"?"))</f>
        <v>Newspaper</v>
      </c>
      <c r="R1569" s="2" t="str">
        <f t="shared" si="24"/>
        <v>Textual</v>
      </c>
      <c r="S1569" s="2" t="str">
        <f>IF($C1569="","",IFERROR(VLOOKUP($C1569,sources!$A$2:$N$200,9,FALSE()),"?"))</f>
        <v>Panamanian</v>
      </c>
      <c r="T1569" t="s">
        <v>5692</v>
      </c>
      <c r="U1569">
        <f>IF(OR(B1569="",C1569="",T1569="Retracted",LEFT(D1569,8)="Negative"),0,IF(COUNTIFS($B$2:B1569,B1569,$C$2:C1569,C1569,$D$2:D1569,"&lt;&gt;Negative*",$T$2:T1569,"&lt;&gt;Retracted")=1,1,0))</f>
        <v>0</v>
      </c>
    </row>
    <row r="1570" spans="1:21" x14ac:dyDescent="0.2">
      <c r="A1570" t="s">
        <v>3630</v>
      </c>
      <c r="B1570" t="s">
        <v>534</v>
      </c>
      <c r="C1570" t="s">
        <v>1445</v>
      </c>
      <c r="D1570" t="s">
        <v>1613</v>
      </c>
      <c r="E1570" t="s">
        <v>535</v>
      </c>
      <c r="F1570" t="s">
        <v>1566</v>
      </c>
      <c r="N1570" t="s">
        <v>209</v>
      </c>
      <c r="Q1570" s="2" t="str">
        <f>IF($C1570="","",IFERROR(VLOOKUP($C1570,sources!$A$2:$N$200,2,FALSE()),"?"))</f>
        <v>Newspaper</v>
      </c>
      <c r="R1570" s="2" t="str">
        <f t="shared" si="24"/>
        <v>Textual</v>
      </c>
      <c r="S1570" s="2" t="str">
        <f>IF($C1570="","",IFERROR(VLOOKUP($C1570,sources!$A$2:$N$200,9,FALSE()),"?"))</f>
        <v>Panamanian</v>
      </c>
      <c r="T1570" t="s">
        <v>5692</v>
      </c>
      <c r="U1570">
        <f>IF(OR(B1570="",C1570="",T1570="Retracted",LEFT(D1570,8)="Negative"),0,IF(COUNTIFS($B$2:B1570,B1570,$C$2:C1570,C1570,$D$2:D1570,"&lt;&gt;Negative*",$T$2:T1570,"&lt;&gt;Retracted")=1,1,0))</f>
        <v>0</v>
      </c>
    </row>
    <row r="1571" spans="1:21" x14ac:dyDescent="0.2">
      <c r="A1571" t="s">
        <v>3631</v>
      </c>
      <c r="B1571" t="s">
        <v>369</v>
      </c>
      <c r="C1571" t="s">
        <v>1445</v>
      </c>
      <c r="D1571" t="s">
        <v>1575</v>
      </c>
      <c r="E1571" t="s">
        <v>370</v>
      </c>
      <c r="F1571" t="s">
        <v>1566</v>
      </c>
      <c r="N1571" t="s">
        <v>190</v>
      </c>
      <c r="Q1571" s="2" t="str">
        <f>IF($C1571="","",IFERROR(VLOOKUP($C1571,sources!$A$2:$N$200,2,FALSE()),"?"))</f>
        <v>Newspaper</v>
      </c>
      <c r="R1571" s="2" t="str">
        <f t="shared" si="24"/>
        <v>Textual</v>
      </c>
      <c r="S1571" s="2" t="str">
        <f>IF($C1571="","",IFERROR(VLOOKUP($C1571,sources!$A$2:$N$200,9,FALSE()),"?"))</f>
        <v>Panamanian</v>
      </c>
      <c r="T1571" t="s">
        <v>5692</v>
      </c>
      <c r="U1571">
        <f>IF(OR(B1571="",C1571="",T1571="Retracted",LEFT(D1571,8)="Negative"),0,IF(COUNTIFS($B$2:B1571,B1571,$C$2:C1571,C1571,$D$2:D1571,"&lt;&gt;Negative*",$T$2:T1571,"&lt;&gt;Retracted")=1,1,0))</f>
        <v>1</v>
      </c>
    </row>
    <row r="1572" spans="1:21" x14ac:dyDescent="0.2">
      <c r="A1572" t="s">
        <v>3632</v>
      </c>
      <c r="B1572" t="s">
        <v>436</v>
      </c>
      <c r="C1572" t="s">
        <v>1445</v>
      </c>
      <c r="D1572" t="s">
        <v>1575</v>
      </c>
      <c r="E1572" t="s">
        <v>437</v>
      </c>
      <c r="F1572" t="s">
        <v>1566</v>
      </c>
      <c r="K1572">
        <v>1904</v>
      </c>
      <c r="L1572">
        <v>1904</v>
      </c>
      <c r="M1572" t="s">
        <v>203</v>
      </c>
      <c r="N1572" t="s">
        <v>190</v>
      </c>
      <c r="Q1572" s="2" t="str">
        <f>IF($C1572="","",IFERROR(VLOOKUP($C1572,sources!$A$2:$N$200,2,FALSE()),"?"))</f>
        <v>Newspaper</v>
      </c>
      <c r="R1572" s="2" t="str">
        <f t="shared" si="24"/>
        <v>Textual</v>
      </c>
      <c r="S1572" s="2" t="str">
        <f>IF($C1572="","",IFERROR(VLOOKUP($C1572,sources!$A$2:$N$200,9,FALSE()),"?"))</f>
        <v>Panamanian</v>
      </c>
      <c r="T1572" t="s">
        <v>5692</v>
      </c>
      <c r="U1572">
        <f>IF(OR(B1572="",C1572="",T1572="Retracted",LEFT(D1572,8)="Negative"),0,IF(COUNTIFS($B$2:B1572,B1572,$C$2:C1572,C1572,$D$2:D1572,"&lt;&gt;Negative*",$T$2:T1572,"&lt;&gt;Retracted")=1,1,0))</f>
        <v>1</v>
      </c>
    </row>
    <row r="1573" spans="1:21" x14ac:dyDescent="0.2">
      <c r="A1573" t="s">
        <v>3633</v>
      </c>
      <c r="B1573" t="s">
        <v>219</v>
      </c>
      <c r="C1573" t="s">
        <v>1445</v>
      </c>
      <c r="D1573" t="s">
        <v>1575</v>
      </c>
      <c r="E1573" t="s">
        <v>3634</v>
      </c>
      <c r="F1573" t="s">
        <v>1566</v>
      </c>
      <c r="K1573">
        <v>1904</v>
      </c>
      <c r="M1573" t="s">
        <v>203</v>
      </c>
      <c r="N1573" t="s">
        <v>209</v>
      </c>
      <c r="Q1573" s="2" t="str">
        <f>IF($C1573="","",IFERROR(VLOOKUP($C1573,sources!$A$2:$N$200,2,FALSE()),"?"))</f>
        <v>Newspaper</v>
      </c>
      <c r="R1573" s="2" t="str">
        <f t="shared" si="24"/>
        <v>Textual</v>
      </c>
      <c r="S1573" s="2" t="str">
        <f>IF($C1573="","",IFERROR(VLOOKUP($C1573,sources!$A$2:$N$200,9,FALSE()),"?"))</f>
        <v>Panamanian</v>
      </c>
      <c r="T1573" t="s">
        <v>5692</v>
      </c>
      <c r="U1573">
        <f>IF(OR(B1573="",C1573="",T1573="Retracted",LEFT(D1573,8)="Negative"),0,IF(COUNTIFS($B$2:B1573,B1573,$C$2:C1573,C1573,$D$2:D1573,"&lt;&gt;Negative*",$T$2:T1573,"&lt;&gt;Retracted")=1,1,0))</f>
        <v>1</v>
      </c>
    </row>
    <row r="1574" spans="1:21" x14ac:dyDescent="0.2">
      <c r="A1574" t="s">
        <v>3635</v>
      </c>
      <c r="B1574" t="s">
        <v>242</v>
      </c>
      <c r="C1574" t="s">
        <v>1445</v>
      </c>
      <c r="D1574" t="s">
        <v>1575</v>
      </c>
      <c r="E1574" t="s">
        <v>243</v>
      </c>
      <c r="F1574" t="s">
        <v>1566</v>
      </c>
      <c r="K1574">
        <v>1904</v>
      </c>
      <c r="M1574" t="s">
        <v>203</v>
      </c>
      <c r="N1574" t="s">
        <v>209</v>
      </c>
      <c r="Q1574" s="2" t="str">
        <f>IF($C1574="","",IFERROR(VLOOKUP($C1574,sources!$A$2:$N$200,2,FALSE()),"?"))</f>
        <v>Newspaper</v>
      </c>
      <c r="R1574" s="2" t="str">
        <f t="shared" si="24"/>
        <v>Textual</v>
      </c>
      <c r="S1574" s="2" t="str">
        <f>IF($C1574="","",IFERROR(VLOOKUP($C1574,sources!$A$2:$N$200,9,FALSE()),"?"))</f>
        <v>Panamanian</v>
      </c>
      <c r="T1574" t="s">
        <v>5692</v>
      </c>
      <c r="U1574">
        <f>IF(OR(B1574="",C1574="",T1574="Retracted",LEFT(D1574,8)="Negative"),0,IF(COUNTIFS($B$2:B1574,B1574,$C$2:C1574,C1574,$D$2:D1574,"&lt;&gt;Negative*",$T$2:T1574,"&lt;&gt;Retracted")=1,1,0))</f>
        <v>1</v>
      </c>
    </row>
    <row r="1575" spans="1:21" x14ac:dyDescent="0.2">
      <c r="A1575" t="s">
        <v>3636</v>
      </c>
      <c r="B1575" t="s">
        <v>565</v>
      </c>
      <c r="C1575" t="s">
        <v>1445</v>
      </c>
      <c r="D1575" t="s">
        <v>1613</v>
      </c>
      <c r="E1575" t="s">
        <v>566</v>
      </c>
      <c r="F1575" t="s">
        <v>1566</v>
      </c>
      <c r="N1575" t="s">
        <v>209</v>
      </c>
      <c r="Q1575" s="2" t="str">
        <f>IF($C1575="","",IFERROR(VLOOKUP($C1575,sources!$A$2:$N$200,2,FALSE()),"?"))</f>
        <v>Newspaper</v>
      </c>
      <c r="R1575" s="2" t="str">
        <f t="shared" si="24"/>
        <v>Textual</v>
      </c>
      <c r="S1575" s="2" t="str">
        <f>IF($C1575="","",IFERROR(VLOOKUP($C1575,sources!$A$2:$N$200,9,FALSE()),"?"))</f>
        <v>Panamanian</v>
      </c>
      <c r="T1575" t="s">
        <v>5692</v>
      </c>
      <c r="U1575">
        <f>IF(OR(B1575="",C1575="",T1575="Retracted",LEFT(D1575,8)="Negative"),0,IF(COUNTIFS($B$2:B1575,B1575,$C$2:C1575,C1575,$D$2:D1575,"&lt;&gt;Negative*",$T$2:T1575,"&lt;&gt;Retracted")=1,1,0))</f>
        <v>0</v>
      </c>
    </row>
    <row r="1576" spans="1:21" x14ac:dyDescent="0.2">
      <c r="A1576" t="s">
        <v>3637</v>
      </c>
      <c r="B1576" t="s">
        <v>217</v>
      </c>
      <c r="C1576" t="s">
        <v>1445</v>
      </c>
      <c r="D1576" t="s">
        <v>1613</v>
      </c>
      <c r="E1576" t="s">
        <v>3638</v>
      </c>
      <c r="F1576" t="s">
        <v>1566</v>
      </c>
      <c r="N1576" t="s">
        <v>209</v>
      </c>
      <c r="Q1576" s="2" t="str">
        <f>IF($C1576="","",IFERROR(VLOOKUP($C1576,sources!$A$2:$N$200,2,FALSE()),"?"))</f>
        <v>Newspaper</v>
      </c>
      <c r="R1576" s="2" t="str">
        <f t="shared" si="24"/>
        <v>Textual</v>
      </c>
      <c r="S1576" s="2" t="str">
        <f>IF($C1576="","",IFERROR(VLOOKUP($C1576,sources!$A$2:$N$200,9,FALSE()),"?"))</f>
        <v>Panamanian</v>
      </c>
      <c r="T1576" t="s">
        <v>5692</v>
      </c>
      <c r="U1576">
        <f>IF(OR(B1576="",C1576="",T1576="Retracted",LEFT(D1576,8)="Negative"),0,IF(COUNTIFS($B$2:B1576,B1576,$C$2:C1576,C1576,$D$2:D1576,"&lt;&gt;Negative*",$T$2:T1576,"&lt;&gt;Retracted")=1,1,0))</f>
        <v>0</v>
      </c>
    </row>
    <row r="1577" spans="1:21" x14ac:dyDescent="0.2">
      <c r="A1577" t="s">
        <v>3639</v>
      </c>
      <c r="B1577" t="s">
        <v>433</v>
      </c>
      <c r="C1577" t="s">
        <v>1445</v>
      </c>
      <c r="D1577" t="s">
        <v>1575</v>
      </c>
      <c r="E1577" t="s">
        <v>434</v>
      </c>
      <c r="F1577" t="s">
        <v>1566</v>
      </c>
      <c r="K1577">
        <v>1904</v>
      </c>
      <c r="L1577">
        <v>1913</v>
      </c>
      <c r="M1577" t="s">
        <v>203</v>
      </c>
      <c r="N1577" t="s">
        <v>209</v>
      </c>
      <c r="Q1577" s="2" t="str">
        <f>IF($C1577="","",IFERROR(VLOOKUP($C1577,sources!$A$2:$N$200,2,FALSE()),"?"))</f>
        <v>Newspaper</v>
      </c>
      <c r="R1577" s="2" t="str">
        <f t="shared" si="24"/>
        <v>Textual</v>
      </c>
      <c r="S1577" s="2" t="str">
        <f>IF($C1577="","",IFERROR(VLOOKUP($C1577,sources!$A$2:$N$200,9,FALSE()),"?"))</f>
        <v>Panamanian</v>
      </c>
      <c r="T1577" t="s">
        <v>5692</v>
      </c>
      <c r="U1577">
        <f>IF(OR(B1577="",C1577="",T1577="Retracted",LEFT(D1577,8)="Negative"),0,IF(COUNTIFS($B$2:B1577,B1577,$C$2:C1577,C1577,$D$2:D1577,"&lt;&gt;Negative*",$T$2:T1577,"&lt;&gt;Retracted")=1,1,0))</f>
        <v>1</v>
      </c>
    </row>
    <row r="1578" spans="1:21" x14ac:dyDescent="0.2">
      <c r="A1578" t="s">
        <v>3640</v>
      </c>
      <c r="B1578" t="s">
        <v>484</v>
      </c>
      <c r="C1578" t="s">
        <v>1445</v>
      </c>
      <c r="D1578" t="s">
        <v>1575</v>
      </c>
      <c r="E1578" t="s">
        <v>485</v>
      </c>
      <c r="F1578" t="s">
        <v>1566</v>
      </c>
      <c r="K1578">
        <v>1904</v>
      </c>
      <c r="L1578">
        <v>1913</v>
      </c>
      <c r="M1578" t="s">
        <v>203</v>
      </c>
      <c r="N1578" t="s">
        <v>209</v>
      </c>
      <c r="Q1578" s="2" t="str">
        <f>IF($C1578="","",IFERROR(VLOOKUP($C1578,sources!$A$2:$N$200,2,FALSE()),"?"))</f>
        <v>Newspaper</v>
      </c>
      <c r="R1578" s="2" t="str">
        <f t="shared" si="24"/>
        <v>Textual</v>
      </c>
      <c r="S1578" s="2" t="str">
        <f>IF($C1578="","",IFERROR(VLOOKUP($C1578,sources!$A$2:$N$200,9,FALSE()),"?"))</f>
        <v>Panamanian</v>
      </c>
      <c r="T1578" t="s">
        <v>5692</v>
      </c>
      <c r="U1578">
        <f>IF(OR(B1578="",C1578="",T1578="Retracted",LEFT(D1578,8)="Negative"),0,IF(COUNTIFS($B$2:B1578,B1578,$C$2:C1578,C1578,$D$2:D1578,"&lt;&gt;Negative*",$T$2:T1578,"&lt;&gt;Retracted")=1,1,0))</f>
        <v>1</v>
      </c>
    </row>
    <row r="1579" spans="1:21" x14ac:dyDescent="0.2">
      <c r="A1579" t="s">
        <v>3641</v>
      </c>
      <c r="B1579" t="s">
        <v>348</v>
      </c>
      <c r="C1579" t="s">
        <v>1445</v>
      </c>
      <c r="D1579" t="s">
        <v>1575</v>
      </c>
      <c r="E1579" t="s">
        <v>349</v>
      </c>
      <c r="F1579" t="s">
        <v>1566</v>
      </c>
      <c r="N1579" t="s">
        <v>190</v>
      </c>
      <c r="Q1579" s="2" t="str">
        <f>IF($C1579="","",IFERROR(VLOOKUP($C1579,sources!$A$2:$N$200,2,FALSE()),"?"))</f>
        <v>Newspaper</v>
      </c>
      <c r="R1579" s="2" t="str">
        <f t="shared" si="24"/>
        <v>Textual</v>
      </c>
      <c r="S1579" s="2" t="str">
        <f>IF($C1579="","",IFERROR(VLOOKUP($C1579,sources!$A$2:$N$200,9,FALSE()),"?"))</f>
        <v>Panamanian</v>
      </c>
      <c r="T1579" t="s">
        <v>5692</v>
      </c>
      <c r="U1579">
        <f>IF(OR(B1579="",C1579="",T1579="Retracted",LEFT(D1579,8)="Negative"),0,IF(COUNTIFS($B$2:B1579,B1579,$C$2:C1579,C1579,$D$2:D1579,"&lt;&gt;Negative*",$T$2:T1579,"&lt;&gt;Retracted")=1,1,0))</f>
        <v>1</v>
      </c>
    </row>
    <row r="1580" spans="1:21" x14ac:dyDescent="0.2">
      <c r="A1580" t="s">
        <v>3642</v>
      </c>
      <c r="B1580" t="s">
        <v>261</v>
      </c>
      <c r="C1580" t="s">
        <v>1445</v>
      </c>
      <c r="D1580" t="s">
        <v>1575</v>
      </c>
      <c r="E1580" t="s">
        <v>262</v>
      </c>
      <c r="F1580" t="s">
        <v>1566</v>
      </c>
      <c r="K1580">
        <v>1904</v>
      </c>
      <c r="M1580" t="s">
        <v>203</v>
      </c>
      <c r="N1580" t="s">
        <v>209</v>
      </c>
      <c r="Q1580" s="2" t="str">
        <f>IF($C1580="","",IFERROR(VLOOKUP($C1580,sources!$A$2:$N$200,2,FALSE()),"?"))</f>
        <v>Newspaper</v>
      </c>
      <c r="R1580" s="2" t="str">
        <f t="shared" si="24"/>
        <v>Textual</v>
      </c>
      <c r="S1580" s="2" t="str">
        <f>IF($C1580="","",IFERROR(VLOOKUP($C1580,sources!$A$2:$N$200,9,FALSE()),"?"))</f>
        <v>Panamanian</v>
      </c>
      <c r="T1580" t="s">
        <v>5692</v>
      </c>
      <c r="U1580">
        <f>IF(OR(B1580="",C1580="",T1580="Retracted",LEFT(D1580,8)="Negative"),0,IF(COUNTIFS($B$2:B1580,B1580,$C$2:C1580,C1580,$D$2:D1580,"&lt;&gt;Negative*",$T$2:T1580,"&lt;&gt;Retracted")=1,1,0))</f>
        <v>1</v>
      </c>
    </row>
    <row r="1581" spans="1:21" x14ac:dyDescent="0.2">
      <c r="A1581" t="s">
        <v>3643</v>
      </c>
      <c r="B1581" t="s">
        <v>389</v>
      </c>
      <c r="C1581" t="s">
        <v>1445</v>
      </c>
      <c r="D1581" t="s">
        <v>1575</v>
      </c>
      <c r="E1581" t="s">
        <v>390</v>
      </c>
      <c r="F1581" t="s">
        <v>1566</v>
      </c>
      <c r="K1581">
        <v>1904</v>
      </c>
      <c r="L1581">
        <v>1907</v>
      </c>
      <c r="M1581" t="s">
        <v>203</v>
      </c>
      <c r="N1581" t="s">
        <v>209</v>
      </c>
      <c r="Q1581" s="2" t="str">
        <f>IF($C1581="","",IFERROR(VLOOKUP($C1581,sources!$A$2:$N$200,2,FALSE()),"?"))</f>
        <v>Newspaper</v>
      </c>
      <c r="R1581" s="2" t="str">
        <f t="shared" si="24"/>
        <v>Textual</v>
      </c>
      <c r="S1581" s="2" t="str">
        <f>IF($C1581="","",IFERROR(VLOOKUP($C1581,sources!$A$2:$N$200,9,FALSE()),"?"))</f>
        <v>Panamanian</v>
      </c>
      <c r="T1581" t="s">
        <v>5692</v>
      </c>
      <c r="U1581">
        <f>IF(OR(B1581="",C1581="",T1581="Retracted",LEFT(D1581,8)="Negative"),0,IF(COUNTIFS($B$2:B1581,B1581,$C$2:C1581,C1581,$D$2:D1581,"&lt;&gt;Negative*",$T$2:T1581,"&lt;&gt;Retracted")=1,1,0))</f>
        <v>1</v>
      </c>
    </row>
    <row r="1582" spans="1:21" x14ac:dyDescent="0.2">
      <c r="A1582" t="s">
        <v>3644</v>
      </c>
      <c r="B1582" t="s">
        <v>395</v>
      </c>
      <c r="C1582" t="s">
        <v>1445</v>
      </c>
      <c r="D1582" t="s">
        <v>1575</v>
      </c>
      <c r="E1582" t="s">
        <v>396</v>
      </c>
      <c r="F1582" t="s">
        <v>1566</v>
      </c>
      <c r="K1582">
        <v>1904</v>
      </c>
      <c r="L1582">
        <v>1913</v>
      </c>
      <c r="M1582" t="s">
        <v>203</v>
      </c>
      <c r="N1582" t="s">
        <v>209</v>
      </c>
      <c r="Q1582" s="2" t="str">
        <f>IF($C1582="","",IFERROR(VLOOKUP($C1582,sources!$A$2:$N$200,2,FALSE()),"?"))</f>
        <v>Newspaper</v>
      </c>
      <c r="R1582" s="2" t="str">
        <f t="shared" si="24"/>
        <v>Textual</v>
      </c>
      <c r="S1582" s="2" t="str">
        <f>IF($C1582="","",IFERROR(VLOOKUP($C1582,sources!$A$2:$N$200,9,FALSE()),"?"))</f>
        <v>Panamanian</v>
      </c>
      <c r="T1582" t="s">
        <v>5692</v>
      </c>
      <c r="U1582">
        <f>IF(OR(B1582="",C1582="",T1582="Retracted",LEFT(D1582,8)="Negative"),0,IF(COUNTIFS($B$2:B1582,B1582,$C$2:C1582,C1582,$D$2:D1582,"&lt;&gt;Negative*",$T$2:T1582,"&lt;&gt;Retracted")=1,1,0))</f>
        <v>1</v>
      </c>
    </row>
    <row r="1583" spans="1:21" x14ac:dyDescent="0.2">
      <c r="A1583" t="s">
        <v>3645</v>
      </c>
      <c r="B1583" t="s">
        <v>374</v>
      </c>
      <c r="C1583" t="s">
        <v>1445</v>
      </c>
      <c r="D1583" t="s">
        <v>1575</v>
      </c>
      <c r="E1583" t="s">
        <v>375</v>
      </c>
      <c r="F1583" t="s">
        <v>1566</v>
      </c>
      <c r="N1583" t="s">
        <v>190</v>
      </c>
      <c r="Q1583" s="2" t="str">
        <f>IF($C1583="","",IFERROR(VLOOKUP($C1583,sources!$A$2:$N$200,2,FALSE()),"?"))</f>
        <v>Newspaper</v>
      </c>
      <c r="R1583" s="2" t="str">
        <f t="shared" si="24"/>
        <v>Textual</v>
      </c>
      <c r="S1583" s="2" t="str">
        <f>IF($C1583="","",IFERROR(VLOOKUP($C1583,sources!$A$2:$N$200,9,FALSE()),"?"))</f>
        <v>Panamanian</v>
      </c>
      <c r="T1583" t="s">
        <v>5692</v>
      </c>
      <c r="U1583">
        <f>IF(OR(B1583="",C1583="",T1583="Retracted",LEFT(D1583,8)="Negative"),0,IF(COUNTIFS($B$2:B1583,B1583,$C$2:C1583,C1583,$D$2:D1583,"&lt;&gt;Negative*",$T$2:T1583,"&lt;&gt;Retracted")=1,1,0))</f>
        <v>1</v>
      </c>
    </row>
    <row r="1584" spans="1:21" x14ac:dyDescent="0.2">
      <c r="A1584" t="s">
        <v>3646</v>
      </c>
      <c r="B1584" t="s">
        <v>403</v>
      </c>
      <c r="C1584" t="s">
        <v>1445</v>
      </c>
      <c r="D1584" t="s">
        <v>1575</v>
      </c>
      <c r="E1584" t="s">
        <v>404</v>
      </c>
      <c r="F1584" t="s">
        <v>1566</v>
      </c>
      <c r="K1584">
        <v>1909</v>
      </c>
      <c r="L1584">
        <v>1909</v>
      </c>
      <c r="M1584" t="s">
        <v>203</v>
      </c>
      <c r="N1584" t="s">
        <v>190</v>
      </c>
      <c r="Q1584" s="2" t="str">
        <f>IF($C1584="","",IFERROR(VLOOKUP($C1584,sources!$A$2:$N$200,2,FALSE()),"?"))</f>
        <v>Newspaper</v>
      </c>
      <c r="R1584" s="2" t="str">
        <f t="shared" si="24"/>
        <v>Textual</v>
      </c>
      <c r="S1584" s="2" t="str">
        <f>IF($C1584="","",IFERROR(VLOOKUP($C1584,sources!$A$2:$N$200,9,FALSE()),"?"))</f>
        <v>Panamanian</v>
      </c>
      <c r="T1584" t="s">
        <v>5692</v>
      </c>
      <c r="U1584">
        <f>IF(OR(B1584="",C1584="",T1584="Retracted",LEFT(D1584,8)="Negative"),0,IF(COUNTIFS($B$2:B1584,B1584,$C$2:C1584,C1584,$D$2:D1584,"&lt;&gt;Negative*",$T$2:T1584,"&lt;&gt;Retracted")=1,1,0))</f>
        <v>1</v>
      </c>
    </row>
    <row r="1585" spans="1:21" x14ac:dyDescent="0.2">
      <c r="A1585" t="s">
        <v>3647</v>
      </c>
      <c r="B1585" t="s">
        <v>415</v>
      </c>
      <c r="C1585" t="s">
        <v>1445</v>
      </c>
      <c r="D1585" t="s">
        <v>1575</v>
      </c>
      <c r="E1585" t="s">
        <v>416</v>
      </c>
      <c r="F1585" t="s">
        <v>1566</v>
      </c>
      <c r="K1585">
        <v>1904</v>
      </c>
      <c r="L1585">
        <v>1914</v>
      </c>
      <c r="M1585" t="s">
        <v>203</v>
      </c>
      <c r="N1585" t="s">
        <v>209</v>
      </c>
      <c r="Q1585" s="2" t="str">
        <f>IF($C1585="","",IFERROR(VLOOKUP($C1585,sources!$A$2:$N$200,2,FALSE()),"?"))</f>
        <v>Newspaper</v>
      </c>
      <c r="R1585" s="2" t="str">
        <f t="shared" si="24"/>
        <v>Textual</v>
      </c>
      <c r="S1585" s="2" t="str">
        <f>IF($C1585="","",IFERROR(VLOOKUP($C1585,sources!$A$2:$N$200,9,FALSE()),"?"))</f>
        <v>Panamanian</v>
      </c>
      <c r="T1585" t="s">
        <v>5692</v>
      </c>
      <c r="U1585">
        <f>IF(OR(B1585="",C1585="",T1585="Retracted",LEFT(D1585,8)="Negative"),0,IF(COUNTIFS($B$2:B1585,B1585,$C$2:C1585,C1585,$D$2:D1585,"&lt;&gt;Negative*",$T$2:T1585,"&lt;&gt;Retracted")=1,1,0))</f>
        <v>1</v>
      </c>
    </row>
    <row r="1586" spans="1:21" x14ac:dyDescent="0.2">
      <c r="A1586" t="s">
        <v>3648</v>
      </c>
      <c r="B1586" t="s">
        <v>468</v>
      </c>
      <c r="C1586" t="s">
        <v>1445</v>
      </c>
      <c r="D1586" t="s">
        <v>1575</v>
      </c>
      <c r="E1586" t="s">
        <v>469</v>
      </c>
      <c r="F1586" t="s">
        <v>1566</v>
      </c>
      <c r="K1586">
        <v>1911</v>
      </c>
      <c r="L1586">
        <v>1912</v>
      </c>
      <c r="M1586" t="s">
        <v>203</v>
      </c>
      <c r="N1586" t="s">
        <v>209</v>
      </c>
      <c r="Q1586" s="2" t="str">
        <f>IF($C1586="","",IFERROR(VLOOKUP($C1586,sources!$A$2:$N$200,2,FALSE()),"?"))</f>
        <v>Newspaper</v>
      </c>
      <c r="R1586" s="2" t="str">
        <f t="shared" si="24"/>
        <v>Textual</v>
      </c>
      <c r="S1586" s="2" t="str">
        <f>IF($C1586="","",IFERROR(VLOOKUP($C1586,sources!$A$2:$N$200,9,FALSE()),"?"))</f>
        <v>Panamanian</v>
      </c>
      <c r="T1586" t="s">
        <v>5692</v>
      </c>
      <c r="U1586">
        <f>IF(OR(B1586="",C1586="",T1586="Retracted",LEFT(D1586,8)="Negative"),0,IF(COUNTIFS($B$2:B1586,B1586,$C$2:C1586,C1586,$D$2:D1586,"&lt;&gt;Negative*",$T$2:T1586,"&lt;&gt;Retracted")=1,1,0))</f>
        <v>1</v>
      </c>
    </row>
    <row r="1587" spans="1:21" x14ac:dyDescent="0.2">
      <c r="A1587" t="s">
        <v>3649</v>
      </c>
      <c r="B1587" t="s">
        <v>226</v>
      </c>
      <c r="C1587" t="s">
        <v>1445</v>
      </c>
      <c r="D1587" t="s">
        <v>1575</v>
      </c>
      <c r="E1587" t="s">
        <v>227</v>
      </c>
      <c r="F1587" t="s">
        <v>1566</v>
      </c>
      <c r="K1587">
        <v>1911</v>
      </c>
      <c r="L1587">
        <v>1912</v>
      </c>
      <c r="M1587" t="s">
        <v>203</v>
      </c>
      <c r="N1587" t="s">
        <v>209</v>
      </c>
      <c r="Q1587" s="2" t="str">
        <f>IF($C1587="","",IFERROR(VLOOKUP($C1587,sources!$A$2:$N$200,2,FALSE()),"?"))</f>
        <v>Newspaper</v>
      </c>
      <c r="R1587" s="2" t="str">
        <f t="shared" si="24"/>
        <v>Textual</v>
      </c>
      <c r="S1587" s="2" t="str">
        <f>IF($C1587="","",IFERROR(VLOOKUP($C1587,sources!$A$2:$N$200,9,FALSE()),"?"))</f>
        <v>Panamanian</v>
      </c>
      <c r="T1587" t="s">
        <v>5692</v>
      </c>
      <c r="U1587">
        <f>IF(OR(B1587="",C1587="",T1587="Retracted",LEFT(D1587,8)="Negative"),0,IF(COUNTIFS($B$2:B1587,B1587,$C$2:C1587,C1587,$D$2:D1587,"&lt;&gt;Negative*",$T$2:T1587,"&lt;&gt;Retracted")=1,1,0))</f>
        <v>1</v>
      </c>
    </row>
    <row r="1588" spans="1:21" x14ac:dyDescent="0.2">
      <c r="A1588" t="s">
        <v>3650</v>
      </c>
      <c r="B1588" t="s">
        <v>507</v>
      </c>
      <c r="C1588" t="s">
        <v>1445</v>
      </c>
      <c r="D1588" t="s">
        <v>1575</v>
      </c>
      <c r="E1588" t="s">
        <v>508</v>
      </c>
      <c r="F1588" t="s">
        <v>1566</v>
      </c>
      <c r="N1588" t="s">
        <v>190</v>
      </c>
      <c r="Q1588" s="2" t="str">
        <f>IF($C1588="","",IFERROR(VLOOKUP($C1588,sources!$A$2:$N$200,2,FALSE()),"?"))</f>
        <v>Newspaper</v>
      </c>
      <c r="R1588" s="2" t="str">
        <f t="shared" si="24"/>
        <v>Textual</v>
      </c>
      <c r="S1588" s="2" t="str">
        <f>IF($C1588="","",IFERROR(VLOOKUP($C1588,sources!$A$2:$N$200,9,FALSE()),"?"))</f>
        <v>Panamanian</v>
      </c>
      <c r="T1588" t="s">
        <v>5692</v>
      </c>
      <c r="U1588">
        <f>IF(OR(B1588="",C1588="",T1588="Retracted",LEFT(D1588,8)="Negative"),0,IF(COUNTIFS($B$2:B1588,B1588,$C$2:C1588,C1588,$D$2:D1588,"&lt;&gt;Negative*",$T$2:T1588,"&lt;&gt;Retracted")=1,1,0))</f>
        <v>1</v>
      </c>
    </row>
    <row r="1589" spans="1:21" x14ac:dyDescent="0.2">
      <c r="A1589" t="s">
        <v>3651</v>
      </c>
      <c r="B1589" t="s">
        <v>357</v>
      </c>
      <c r="C1589" t="s">
        <v>1445</v>
      </c>
      <c r="D1589" t="s">
        <v>1575</v>
      </c>
      <c r="E1589" t="s">
        <v>358</v>
      </c>
      <c r="F1589" t="s">
        <v>1566</v>
      </c>
      <c r="K1589">
        <v>1904</v>
      </c>
      <c r="M1589" t="s">
        <v>203</v>
      </c>
      <c r="N1589" t="s">
        <v>209</v>
      </c>
      <c r="Q1589" s="2" t="str">
        <f>IF($C1589="","",IFERROR(VLOOKUP($C1589,sources!$A$2:$N$200,2,FALSE()),"?"))</f>
        <v>Newspaper</v>
      </c>
      <c r="R1589" s="2" t="str">
        <f t="shared" si="24"/>
        <v>Textual</v>
      </c>
      <c r="S1589" s="2" t="str">
        <f>IF($C1589="","",IFERROR(VLOOKUP($C1589,sources!$A$2:$N$200,9,FALSE()),"?"))</f>
        <v>Panamanian</v>
      </c>
      <c r="T1589" t="s">
        <v>5692</v>
      </c>
      <c r="U1589">
        <f>IF(OR(B1589="",C1589="",T1589="Retracted",LEFT(D1589,8)="Negative"),0,IF(COUNTIFS($B$2:B1589,B1589,$C$2:C1589,C1589,$D$2:D1589,"&lt;&gt;Negative*",$T$2:T1589,"&lt;&gt;Retracted")=1,1,0))</f>
        <v>1</v>
      </c>
    </row>
    <row r="1590" spans="1:21" x14ac:dyDescent="0.2">
      <c r="A1590" t="s">
        <v>3652</v>
      </c>
      <c r="B1590" t="s">
        <v>498</v>
      </c>
      <c r="C1590" t="s">
        <v>1445</v>
      </c>
      <c r="D1590" t="s">
        <v>1575</v>
      </c>
      <c r="E1590" t="s">
        <v>499</v>
      </c>
      <c r="F1590" t="s">
        <v>1566</v>
      </c>
      <c r="K1590">
        <v>1904</v>
      </c>
      <c r="L1590">
        <v>1913</v>
      </c>
      <c r="M1590" t="s">
        <v>203</v>
      </c>
      <c r="N1590" t="s">
        <v>209</v>
      </c>
      <c r="Q1590" s="2" t="str">
        <f>IF($C1590="","",IFERROR(VLOOKUP($C1590,sources!$A$2:$N$200,2,FALSE()),"?"))</f>
        <v>Newspaper</v>
      </c>
      <c r="R1590" s="2" t="str">
        <f t="shared" si="24"/>
        <v>Textual</v>
      </c>
      <c r="S1590" s="2" t="str">
        <f>IF($C1590="","",IFERROR(VLOOKUP($C1590,sources!$A$2:$N$200,9,FALSE()),"?"))</f>
        <v>Panamanian</v>
      </c>
      <c r="T1590" t="s">
        <v>5692</v>
      </c>
      <c r="U1590">
        <f>IF(OR(B1590="",C1590="",T1590="Retracted",LEFT(D1590,8)="Negative"),0,IF(COUNTIFS($B$2:B1590,B1590,$C$2:C1590,C1590,$D$2:D1590,"&lt;&gt;Negative*",$T$2:T1590,"&lt;&gt;Retracted")=1,1,0))</f>
        <v>1</v>
      </c>
    </row>
    <row r="1591" spans="1:21" x14ac:dyDescent="0.2">
      <c r="A1591" t="s">
        <v>3653</v>
      </c>
      <c r="B1591" t="s">
        <v>424</v>
      </c>
      <c r="C1591" t="s">
        <v>1445</v>
      </c>
      <c r="D1591" t="s">
        <v>1575</v>
      </c>
      <c r="E1591" t="s">
        <v>425</v>
      </c>
      <c r="F1591" t="s">
        <v>1566</v>
      </c>
      <c r="K1591">
        <v>1908</v>
      </c>
      <c r="L1591">
        <v>1914</v>
      </c>
      <c r="M1591" t="s">
        <v>203</v>
      </c>
      <c r="N1591" t="s">
        <v>209</v>
      </c>
      <c r="Q1591" s="2" t="str">
        <f>IF($C1591="","",IFERROR(VLOOKUP($C1591,sources!$A$2:$N$200,2,FALSE()),"?"))</f>
        <v>Newspaper</v>
      </c>
      <c r="R1591" s="2" t="str">
        <f t="shared" si="24"/>
        <v>Textual</v>
      </c>
      <c r="S1591" s="2" t="str">
        <f>IF($C1591="","",IFERROR(VLOOKUP($C1591,sources!$A$2:$N$200,9,FALSE()),"?"))</f>
        <v>Panamanian</v>
      </c>
      <c r="T1591" t="s">
        <v>5692</v>
      </c>
      <c r="U1591">
        <f>IF(OR(B1591="",C1591="",T1591="Retracted",LEFT(D1591,8)="Negative"),0,IF(COUNTIFS($B$2:B1591,B1591,$C$2:C1591,C1591,$D$2:D1591,"&lt;&gt;Negative*",$T$2:T1591,"&lt;&gt;Retracted")=1,1,0))</f>
        <v>1</v>
      </c>
    </row>
    <row r="1592" spans="1:21" x14ac:dyDescent="0.2">
      <c r="A1592" t="s">
        <v>3654</v>
      </c>
      <c r="B1592" t="s">
        <v>547</v>
      </c>
      <c r="C1592" t="s">
        <v>1445</v>
      </c>
      <c r="D1592" t="s">
        <v>1613</v>
      </c>
      <c r="E1592" t="s">
        <v>548</v>
      </c>
      <c r="F1592" t="s">
        <v>1566</v>
      </c>
      <c r="N1592" t="s">
        <v>209</v>
      </c>
      <c r="Q1592" s="2" t="str">
        <f>IF($C1592="","",IFERROR(VLOOKUP($C1592,sources!$A$2:$N$200,2,FALSE()),"?"))</f>
        <v>Newspaper</v>
      </c>
      <c r="R1592" s="2" t="str">
        <f t="shared" si="24"/>
        <v>Textual</v>
      </c>
      <c r="S1592" s="2" t="str">
        <f>IF($C1592="","",IFERROR(VLOOKUP($C1592,sources!$A$2:$N$200,9,FALSE()),"?"))</f>
        <v>Panamanian</v>
      </c>
      <c r="T1592" t="s">
        <v>5692</v>
      </c>
      <c r="U1592">
        <f>IF(OR(B1592="",C1592="",T1592="Retracted",LEFT(D1592,8)="Negative"),0,IF(COUNTIFS($B$2:B1592,B1592,$C$2:C1592,C1592,$D$2:D1592,"&lt;&gt;Negative*",$T$2:T1592,"&lt;&gt;Retracted")=1,1,0))</f>
        <v>0</v>
      </c>
    </row>
    <row r="1593" spans="1:21" x14ac:dyDescent="0.2">
      <c r="A1593" t="s">
        <v>3655</v>
      </c>
      <c r="B1593" t="s">
        <v>461</v>
      </c>
      <c r="C1593" t="s">
        <v>1445</v>
      </c>
      <c r="D1593" t="s">
        <v>1613</v>
      </c>
      <c r="E1593" t="s">
        <v>462</v>
      </c>
      <c r="F1593" t="s">
        <v>1566</v>
      </c>
      <c r="N1593" t="s">
        <v>209</v>
      </c>
      <c r="Q1593" s="2" t="str">
        <f>IF($C1593="","",IFERROR(VLOOKUP($C1593,sources!$A$2:$N$200,2,FALSE()),"?"))</f>
        <v>Newspaper</v>
      </c>
      <c r="R1593" s="2" t="str">
        <f t="shared" si="24"/>
        <v>Textual</v>
      </c>
      <c r="S1593" s="2" t="str">
        <f>IF($C1593="","",IFERROR(VLOOKUP($C1593,sources!$A$2:$N$200,9,FALSE()),"?"))</f>
        <v>Panamanian</v>
      </c>
      <c r="T1593" t="s">
        <v>5692</v>
      </c>
      <c r="U1593">
        <f>IF(OR(B1593="",C1593="",T1593="Retracted",LEFT(D1593,8)="Negative"),0,IF(COUNTIFS($B$2:B1593,B1593,$C$2:C1593,C1593,$D$2:D1593,"&lt;&gt;Negative*",$T$2:T1593,"&lt;&gt;Retracted")=1,1,0))</f>
        <v>0</v>
      </c>
    </row>
    <row r="1594" spans="1:21" x14ac:dyDescent="0.2">
      <c r="A1594" t="s">
        <v>3656</v>
      </c>
      <c r="B1594" t="s">
        <v>340</v>
      </c>
      <c r="C1594" t="s">
        <v>1445</v>
      </c>
      <c r="D1594" t="s">
        <v>1575</v>
      </c>
      <c r="E1594" t="s">
        <v>341</v>
      </c>
      <c r="F1594" t="s">
        <v>1566</v>
      </c>
      <c r="N1594" t="s">
        <v>190</v>
      </c>
      <c r="Q1594" s="2" t="str">
        <f>IF($C1594="","",IFERROR(VLOOKUP($C1594,sources!$A$2:$N$200,2,FALSE()),"?"))</f>
        <v>Newspaper</v>
      </c>
      <c r="R1594" s="2" t="str">
        <f t="shared" si="24"/>
        <v>Textual</v>
      </c>
      <c r="S1594" s="2" t="str">
        <f>IF($C1594="","",IFERROR(VLOOKUP($C1594,sources!$A$2:$N$200,9,FALSE()),"?"))</f>
        <v>Panamanian</v>
      </c>
      <c r="T1594" t="s">
        <v>5692</v>
      </c>
      <c r="U1594">
        <f>IF(OR(B1594="",C1594="",T1594="Retracted",LEFT(D1594,8)="Negative"),0,IF(COUNTIFS($B$2:B1594,B1594,$C$2:C1594,C1594,$D$2:D1594,"&lt;&gt;Negative*",$T$2:T1594,"&lt;&gt;Retracted")=1,1,0))</f>
        <v>1</v>
      </c>
    </row>
    <row r="1595" spans="1:21" x14ac:dyDescent="0.2">
      <c r="A1595" t="s">
        <v>3657</v>
      </c>
      <c r="B1595" t="s">
        <v>360</v>
      </c>
      <c r="C1595" t="s">
        <v>1445</v>
      </c>
      <c r="D1595" t="s">
        <v>1575</v>
      </c>
      <c r="E1595" t="s">
        <v>361</v>
      </c>
      <c r="F1595" t="s">
        <v>1566</v>
      </c>
      <c r="K1595">
        <v>1904</v>
      </c>
      <c r="M1595" t="s">
        <v>203</v>
      </c>
      <c r="N1595" t="s">
        <v>209</v>
      </c>
      <c r="Q1595" s="2" t="str">
        <f>IF($C1595="","",IFERROR(VLOOKUP($C1595,sources!$A$2:$N$200,2,FALSE()),"?"))</f>
        <v>Newspaper</v>
      </c>
      <c r="R1595" s="2" t="str">
        <f t="shared" si="24"/>
        <v>Textual</v>
      </c>
      <c r="S1595" s="2" t="str">
        <f>IF($C1595="","",IFERROR(VLOOKUP($C1595,sources!$A$2:$N$200,9,FALSE()),"?"))</f>
        <v>Panamanian</v>
      </c>
      <c r="T1595" t="s">
        <v>5692</v>
      </c>
      <c r="U1595">
        <f>IF(OR(B1595="",C1595="",T1595="Retracted",LEFT(D1595,8)="Negative"),0,IF(COUNTIFS($B$2:B1595,B1595,$C$2:C1595,C1595,$D$2:D1595,"&lt;&gt;Negative*",$T$2:T1595,"&lt;&gt;Retracted")=1,1,0))</f>
        <v>1</v>
      </c>
    </row>
    <row r="1596" spans="1:21" x14ac:dyDescent="0.2">
      <c r="A1596" t="s">
        <v>3658</v>
      </c>
      <c r="B1596" t="s">
        <v>213</v>
      </c>
      <c r="C1596" t="s">
        <v>1445</v>
      </c>
      <c r="D1596" t="s">
        <v>1575</v>
      </c>
      <c r="E1596" t="s">
        <v>214</v>
      </c>
      <c r="F1596" t="s">
        <v>1566</v>
      </c>
      <c r="N1596" t="s">
        <v>190</v>
      </c>
      <c r="Q1596" s="2" t="str">
        <f>IF($C1596="","",IFERROR(VLOOKUP($C1596,sources!$A$2:$N$200,2,FALSE()),"?"))</f>
        <v>Newspaper</v>
      </c>
      <c r="R1596" s="2" t="str">
        <f t="shared" si="24"/>
        <v>Textual</v>
      </c>
      <c r="S1596" s="2" t="str">
        <f>IF($C1596="","",IFERROR(VLOOKUP($C1596,sources!$A$2:$N$200,9,FALSE()),"?"))</f>
        <v>Panamanian</v>
      </c>
      <c r="T1596" t="s">
        <v>5692</v>
      </c>
      <c r="U1596">
        <f>IF(OR(B1596="",C1596="",T1596="Retracted",LEFT(D1596,8)="Negative"),0,IF(COUNTIFS($B$2:B1596,B1596,$C$2:C1596,C1596,$D$2:D1596,"&lt;&gt;Negative*",$T$2:T1596,"&lt;&gt;Retracted")=1,1,0))</f>
        <v>1</v>
      </c>
    </row>
    <row r="1597" spans="1:21" x14ac:dyDescent="0.2">
      <c r="A1597" t="s">
        <v>3659</v>
      </c>
      <c r="B1597" t="s">
        <v>456</v>
      </c>
      <c r="C1597" t="s">
        <v>1445</v>
      </c>
      <c r="D1597" t="s">
        <v>1575</v>
      </c>
      <c r="E1597" t="s">
        <v>457</v>
      </c>
      <c r="F1597" t="s">
        <v>1566</v>
      </c>
      <c r="N1597" t="s">
        <v>190</v>
      </c>
      <c r="Q1597" s="2" t="str">
        <f>IF($C1597="","",IFERROR(VLOOKUP($C1597,sources!$A$2:$N$200,2,FALSE()),"?"))</f>
        <v>Newspaper</v>
      </c>
      <c r="R1597" s="2" t="str">
        <f t="shared" si="24"/>
        <v>Textual</v>
      </c>
      <c r="S1597" s="2" t="str">
        <f>IF($C1597="","",IFERROR(VLOOKUP($C1597,sources!$A$2:$N$200,9,FALSE()),"?"))</f>
        <v>Panamanian</v>
      </c>
      <c r="T1597" t="s">
        <v>5692</v>
      </c>
      <c r="U1597">
        <f>IF(OR(B1597="",C1597="",T1597="Retracted",LEFT(D1597,8)="Negative"),0,IF(COUNTIFS($B$2:B1597,B1597,$C$2:C1597,C1597,$D$2:D1597,"&lt;&gt;Negative*",$T$2:T1597,"&lt;&gt;Retracted")=1,1,0))</f>
        <v>1</v>
      </c>
    </row>
    <row r="1598" spans="1:21" x14ac:dyDescent="0.2">
      <c r="A1598" t="s">
        <v>3660</v>
      </c>
      <c r="B1598" t="s">
        <v>363</v>
      </c>
      <c r="C1598" t="s">
        <v>1445</v>
      </c>
      <c r="D1598" t="s">
        <v>1575</v>
      </c>
      <c r="E1598" t="s">
        <v>364</v>
      </c>
      <c r="F1598" t="s">
        <v>1566</v>
      </c>
      <c r="K1598">
        <v>1904</v>
      </c>
      <c r="L1598">
        <v>1913</v>
      </c>
      <c r="M1598" t="s">
        <v>203</v>
      </c>
      <c r="N1598" t="s">
        <v>209</v>
      </c>
      <c r="Q1598" s="2" t="str">
        <f>IF($C1598="","",IFERROR(VLOOKUP($C1598,sources!$A$2:$N$200,2,FALSE()),"?"))</f>
        <v>Newspaper</v>
      </c>
      <c r="R1598" s="2" t="str">
        <f t="shared" si="24"/>
        <v>Textual</v>
      </c>
      <c r="S1598" s="2" t="str">
        <f>IF($C1598="","",IFERROR(VLOOKUP($C1598,sources!$A$2:$N$200,9,FALSE()),"?"))</f>
        <v>Panamanian</v>
      </c>
      <c r="T1598" t="s">
        <v>5692</v>
      </c>
      <c r="U1598">
        <f>IF(OR(B1598="",C1598="",T1598="Retracted",LEFT(D1598,8)="Negative"),0,IF(COUNTIFS($B$2:B1598,B1598,$C$2:C1598,C1598,$D$2:D1598,"&lt;&gt;Negative*",$T$2:T1598,"&lt;&gt;Retracted")=1,1,0))</f>
        <v>1</v>
      </c>
    </row>
    <row r="1599" spans="1:21" x14ac:dyDescent="0.2">
      <c r="A1599" t="s">
        <v>3661</v>
      </c>
      <c r="B1599" t="s">
        <v>420</v>
      </c>
      <c r="C1599" t="s">
        <v>1445</v>
      </c>
      <c r="D1599" t="s">
        <v>1575</v>
      </c>
      <c r="E1599" t="s">
        <v>421</v>
      </c>
      <c r="F1599" t="s">
        <v>1566</v>
      </c>
      <c r="K1599">
        <v>1904</v>
      </c>
      <c r="M1599" t="s">
        <v>203</v>
      </c>
      <c r="N1599" t="s">
        <v>209</v>
      </c>
      <c r="Q1599" s="2" t="str">
        <f>IF($C1599="","",IFERROR(VLOOKUP($C1599,sources!$A$2:$N$200,2,FALSE()),"?"))</f>
        <v>Newspaper</v>
      </c>
      <c r="R1599" s="2" t="str">
        <f t="shared" si="24"/>
        <v>Textual</v>
      </c>
      <c r="S1599" s="2" t="str">
        <f>IF($C1599="","",IFERROR(VLOOKUP($C1599,sources!$A$2:$N$200,9,FALSE()),"?"))</f>
        <v>Panamanian</v>
      </c>
      <c r="T1599" t="s">
        <v>5692</v>
      </c>
      <c r="U1599">
        <f>IF(OR(B1599="",C1599="",T1599="Retracted",LEFT(D1599,8)="Negative"),0,IF(COUNTIFS($B$2:B1599,B1599,$C$2:C1599,C1599,$D$2:D1599,"&lt;&gt;Negative*",$T$2:T1599,"&lt;&gt;Retracted")=1,1,0))</f>
        <v>1</v>
      </c>
    </row>
    <row r="1600" spans="1:21" x14ac:dyDescent="0.2">
      <c r="A1600" t="s">
        <v>3662</v>
      </c>
      <c r="B1600" t="s">
        <v>407</v>
      </c>
      <c r="C1600" t="s">
        <v>1445</v>
      </c>
      <c r="D1600" t="s">
        <v>1575</v>
      </c>
      <c r="E1600" t="s">
        <v>408</v>
      </c>
      <c r="F1600" t="s">
        <v>1566</v>
      </c>
      <c r="K1600">
        <v>1911</v>
      </c>
      <c r="L1600">
        <v>1914</v>
      </c>
      <c r="M1600" t="s">
        <v>203</v>
      </c>
      <c r="N1600" t="s">
        <v>209</v>
      </c>
      <c r="Q1600" s="2" t="str">
        <f>IF($C1600="","",IFERROR(VLOOKUP($C1600,sources!$A$2:$N$200,2,FALSE()),"?"))</f>
        <v>Newspaper</v>
      </c>
      <c r="R1600" s="2" t="str">
        <f t="shared" si="24"/>
        <v>Textual</v>
      </c>
      <c r="S1600" s="2" t="str">
        <f>IF($C1600="","",IFERROR(VLOOKUP($C1600,sources!$A$2:$N$200,9,FALSE()),"?"))</f>
        <v>Panamanian</v>
      </c>
      <c r="T1600" t="s">
        <v>5692</v>
      </c>
      <c r="U1600">
        <f>IF(OR(B1600="",C1600="",T1600="Retracted",LEFT(D1600,8)="Negative"),0,IF(COUNTIFS($B$2:B1600,B1600,$C$2:C1600,C1600,$D$2:D1600,"&lt;&gt;Negative*",$T$2:T1600,"&lt;&gt;Retracted")=1,1,0))</f>
        <v>1</v>
      </c>
    </row>
    <row r="1601" spans="1:21" x14ac:dyDescent="0.2">
      <c r="A1601" t="s">
        <v>3663</v>
      </c>
      <c r="B1601" t="s">
        <v>495</v>
      </c>
      <c r="C1601" t="s">
        <v>1445</v>
      </c>
      <c r="D1601" t="s">
        <v>1575</v>
      </c>
      <c r="E1601" t="s">
        <v>496</v>
      </c>
      <c r="F1601" t="s">
        <v>1566</v>
      </c>
      <c r="K1601">
        <v>1913</v>
      </c>
      <c r="L1601">
        <v>1913</v>
      </c>
      <c r="M1601" t="s">
        <v>203</v>
      </c>
      <c r="N1601" t="s">
        <v>209</v>
      </c>
      <c r="Q1601" s="2" t="str">
        <f>IF($C1601="","",IFERROR(VLOOKUP($C1601,sources!$A$2:$N$200,2,FALSE()),"?"))</f>
        <v>Newspaper</v>
      </c>
      <c r="R1601" s="2" t="str">
        <f t="shared" si="24"/>
        <v>Textual</v>
      </c>
      <c r="S1601" s="2" t="str">
        <f>IF($C1601="","",IFERROR(VLOOKUP($C1601,sources!$A$2:$N$200,9,FALSE()),"?"))</f>
        <v>Panamanian</v>
      </c>
      <c r="T1601" t="s">
        <v>5692</v>
      </c>
      <c r="U1601">
        <f>IF(OR(B1601="",C1601="",T1601="Retracted",LEFT(D1601,8)="Negative"),0,IF(COUNTIFS($B$2:B1601,B1601,$C$2:C1601,C1601,$D$2:D1601,"&lt;&gt;Negative*",$T$2:T1601,"&lt;&gt;Retracted")=1,1,0))</f>
        <v>1</v>
      </c>
    </row>
    <row r="1602" spans="1:21" x14ac:dyDescent="0.2">
      <c r="A1602" t="s">
        <v>3664</v>
      </c>
      <c r="B1602" t="s">
        <v>490</v>
      </c>
      <c r="C1602" t="s">
        <v>1445</v>
      </c>
      <c r="D1602" t="s">
        <v>1575</v>
      </c>
      <c r="E1602" t="s">
        <v>491</v>
      </c>
      <c r="F1602" t="s">
        <v>1566</v>
      </c>
      <c r="N1602" t="s">
        <v>190</v>
      </c>
      <c r="Q1602" s="2" t="str">
        <f>IF($C1602="","",IFERROR(VLOOKUP($C1602,sources!$A$2:$N$200,2,FALSE()),"?"))</f>
        <v>Newspaper</v>
      </c>
      <c r="R1602" s="2" t="str">
        <f t="shared" ref="R1602:R1665" si="25">IF($Q1602="","",IF($Q1602="Map","Map",IF(OR($Q1602="Photograph",$Q1602="Postcard"),"Image",IF(OR($Q1602="Census or roll",$Q1602="Report",$Q1602="Newspaper",$Q1602="Letter",$Q1602="Memoir",$Q1602="Administrative",$Q1602="Web compilation"),"Textual",IF($Q1602="Legal claim","Legal/admin",IF($Q1602="Secondary","Secondary","Other"))))))</f>
        <v>Textual</v>
      </c>
      <c r="S1602" s="2" t="str">
        <f>IF($C1602="","",IFERROR(VLOOKUP($C1602,sources!$A$2:$N$200,9,FALSE()),"?"))</f>
        <v>Panamanian</v>
      </c>
      <c r="T1602" t="s">
        <v>5692</v>
      </c>
      <c r="U1602">
        <f>IF(OR(B1602="",C1602="",T1602="Retracted",LEFT(D1602,8)="Negative"),0,IF(COUNTIFS($B$2:B1602,B1602,$C$2:C1602,C1602,$D$2:D1602,"&lt;&gt;Negative*",$T$2:T1602,"&lt;&gt;Retracted")=1,1,0))</f>
        <v>1</v>
      </c>
    </row>
    <row r="1603" spans="1:21" x14ac:dyDescent="0.2">
      <c r="A1603" t="s">
        <v>3665</v>
      </c>
      <c r="B1603" t="s">
        <v>974</v>
      </c>
      <c r="C1603" t="s">
        <v>1311</v>
      </c>
      <c r="D1603" t="s">
        <v>1564</v>
      </c>
      <c r="E1603" t="s">
        <v>975</v>
      </c>
      <c r="F1603" t="s">
        <v>1583</v>
      </c>
      <c r="I1603" t="s">
        <v>1058</v>
      </c>
      <c r="K1603">
        <v>1910</v>
      </c>
      <c r="L1603">
        <v>1910</v>
      </c>
      <c r="M1603" t="s">
        <v>203</v>
      </c>
      <c r="N1603" t="s">
        <v>209</v>
      </c>
      <c r="Q1603" s="2" t="str">
        <f>IF($C1603="","",IFERROR(VLOOKUP($C1603,sources!$A$2:$N$200,2,FALSE()),"?"))</f>
        <v>Map</v>
      </c>
      <c r="R1603" s="2" t="str">
        <f t="shared" si="25"/>
        <v>Map</v>
      </c>
      <c r="S1603" s="2" t="str">
        <f>IF($C1603="","",IFERROR(VLOOKUP($C1603,sources!$A$2:$N$200,9,FALSE()),"?"))</f>
        <v>US official</v>
      </c>
      <c r="T1603" t="s">
        <v>5692</v>
      </c>
      <c r="U1603">
        <f>IF(OR(B1603="",C1603="",T1603="Retracted",LEFT(D1603,8)="Negative"),0,IF(COUNTIFS($B$2:B1603,B1603,$C$2:C1603,C1603,$D$2:D1603,"&lt;&gt;Negative*",$T$2:T1603,"&lt;&gt;Retracted")=1,1,0))</f>
        <v>1</v>
      </c>
    </row>
    <row r="1604" spans="1:21" x14ac:dyDescent="0.2">
      <c r="A1604" t="s">
        <v>3666</v>
      </c>
      <c r="B1604" t="s">
        <v>971</v>
      </c>
      <c r="C1604" t="s">
        <v>1335</v>
      </c>
      <c r="D1604" t="s">
        <v>1572</v>
      </c>
      <c r="E1604" t="s">
        <v>3667</v>
      </c>
      <c r="F1604" t="s">
        <v>1583</v>
      </c>
      <c r="G1604">
        <v>8.9630759999999992</v>
      </c>
      <c r="H1604">
        <v>-79.544825000000003</v>
      </c>
      <c r="I1604" t="s">
        <v>3312</v>
      </c>
      <c r="J1604">
        <v>200</v>
      </c>
      <c r="K1604">
        <v>1906</v>
      </c>
      <c r="L1604">
        <v>1906</v>
      </c>
      <c r="M1604" t="s">
        <v>203</v>
      </c>
      <c r="N1604" t="s">
        <v>203</v>
      </c>
      <c r="Q1604" s="2" t="str">
        <f>IF($C1604="","",IFERROR(VLOOKUP($C1604,sources!$A$2:$N$200,2,FALSE()),"?"))</f>
        <v>Map</v>
      </c>
      <c r="R1604" s="2" t="str">
        <f t="shared" si="25"/>
        <v>Map</v>
      </c>
      <c r="S1604" s="2" t="str">
        <f>IF($C1604="","",IFERROR(VLOOKUP($C1604,sources!$A$2:$N$200,9,FALSE()),"?"))</f>
        <v>US official</v>
      </c>
      <c r="T1604" t="s">
        <v>5692</v>
      </c>
      <c r="U1604">
        <f>IF(OR(B1604="",C1604="",T1604="Retracted",LEFT(D1604,8)="Negative"),0,IF(COUNTIFS($B$2:B1604,B1604,$C$2:C1604,C1604,$D$2:D1604,"&lt;&gt;Negative*",$T$2:T1604,"&lt;&gt;Retracted")=1,1,0))</f>
        <v>1</v>
      </c>
    </row>
    <row r="1605" spans="1:21" x14ac:dyDescent="0.2">
      <c r="A1605" t="s">
        <v>3668</v>
      </c>
      <c r="B1605" t="s">
        <v>971</v>
      </c>
      <c r="C1605" t="s">
        <v>1401</v>
      </c>
      <c r="D1605" t="s">
        <v>1572</v>
      </c>
      <c r="E1605" t="s">
        <v>3669</v>
      </c>
      <c r="F1605" t="s">
        <v>1583</v>
      </c>
      <c r="G1605">
        <v>8.9646000000000008</v>
      </c>
      <c r="H1605">
        <v>-79.546400000000006</v>
      </c>
      <c r="I1605" t="s">
        <v>3312</v>
      </c>
      <c r="J1605">
        <v>100</v>
      </c>
      <c r="K1605">
        <v>1947</v>
      </c>
      <c r="L1605">
        <v>1947</v>
      </c>
      <c r="M1605" t="s">
        <v>203</v>
      </c>
      <c r="N1605" t="s">
        <v>203</v>
      </c>
      <c r="Q1605" s="2" t="str">
        <f>IF($C1605="","",IFERROR(VLOOKUP($C1605,sources!$A$2:$N$200,2,FALSE()),"?"))</f>
        <v>Map</v>
      </c>
      <c r="R1605" s="2" t="str">
        <f t="shared" si="25"/>
        <v>Map</v>
      </c>
      <c r="S1605" s="2" t="str">
        <f>IF($C1605="","",IFERROR(VLOOKUP($C1605,sources!$A$2:$N$200,9,FALSE()),"?"))</f>
        <v>US military</v>
      </c>
      <c r="T1605" t="s">
        <v>5692</v>
      </c>
      <c r="U1605">
        <f>IF(OR(B1605="",C1605="",T1605="Retracted",LEFT(D1605,8)="Negative"),0,IF(COUNTIFS($B$2:B1605,B1605,$C$2:C1605,C1605,$D$2:D1605,"&lt;&gt;Negative*",$T$2:T1605,"&lt;&gt;Retracted")=1,1,0))</f>
        <v>1</v>
      </c>
    </row>
    <row r="1606" spans="1:21" x14ac:dyDescent="0.2">
      <c r="A1606" t="s">
        <v>3670</v>
      </c>
      <c r="B1606" t="s">
        <v>974</v>
      </c>
      <c r="C1606" t="s">
        <v>1311</v>
      </c>
      <c r="D1606" t="s">
        <v>1572</v>
      </c>
      <c r="E1606" t="s">
        <v>975</v>
      </c>
      <c r="F1606" t="s">
        <v>1583</v>
      </c>
      <c r="G1606">
        <v>9.035736</v>
      </c>
      <c r="H1606">
        <v>-79.649771000000001</v>
      </c>
      <c r="I1606" t="s">
        <v>3312</v>
      </c>
      <c r="J1606">
        <v>250</v>
      </c>
      <c r="K1606">
        <v>1910</v>
      </c>
      <c r="L1606">
        <v>1910</v>
      </c>
      <c r="M1606" t="s">
        <v>203</v>
      </c>
      <c r="N1606" t="s">
        <v>203</v>
      </c>
      <c r="Q1606" s="2" t="str">
        <f>IF($C1606="","",IFERROR(VLOOKUP($C1606,sources!$A$2:$N$200,2,FALSE()),"?"))</f>
        <v>Map</v>
      </c>
      <c r="R1606" s="2" t="str">
        <f t="shared" si="25"/>
        <v>Map</v>
      </c>
      <c r="S1606" s="2" t="str">
        <f>IF($C1606="","",IFERROR(VLOOKUP($C1606,sources!$A$2:$N$200,9,FALSE()),"?"))</f>
        <v>US official</v>
      </c>
      <c r="T1606" t="s">
        <v>5692</v>
      </c>
      <c r="U1606">
        <f>IF(OR(B1606="",C1606="",T1606="Retracted",LEFT(D1606,8)="Negative"),0,IF(COUNTIFS($B$2:B1606,B1606,$C$2:C1606,C1606,$D$2:D1606,"&lt;&gt;Negative*",$T$2:T1606,"&lt;&gt;Retracted")=1,1,0))</f>
        <v>0</v>
      </c>
    </row>
    <row r="1607" spans="1:21" x14ac:dyDescent="0.2">
      <c r="A1607" t="s">
        <v>3671</v>
      </c>
      <c r="B1607" t="s">
        <v>979</v>
      </c>
      <c r="C1607" t="s">
        <v>1335</v>
      </c>
      <c r="D1607" t="s">
        <v>1572</v>
      </c>
      <c r="E1607" t="s">
        <v>3672</v>
      </c>
      <c r="F1607" t="s">
        <v>1583</v>
      </c>
      <c r="G1607">
        <v>8.9533419999999992</v>
      </c>
      <c r="H1607">
        <v>-79.568161000000003</v>
      </c>
      <c r="I1607" t="s">
        <v>3312</v>
      </c>
      <c r="J1607">
        <v>300</v>
      </c>
      <c r="K1607">
        <v>1906</v>
      </c>
      <c r="L1607">
        <v>1906</v>
      </c>
      <c r="M1607" t="s">
        <v>203</v>
      </c>
      <c r="N1607" t="s">
        <v>203</v>
      </c>
      <c r="Q1607" s="2" t="str">
        <f>IF($C1607="","",IFERROR(VLOOKUP($C1607,sources!$A$2:$N$200,2,FALSE()),"?"))</f>
        <v>Map</v>
      </c>
      <c r="R1607" s="2" t="str">
        <f t="shared" si="25"/>
        <v>Map</v>
      </c>
      <c r="S1607" s="2" t="str">
        <f>IF($C1607="","",IFERROR(VLOOKUP($C1607,sources!$A$2:$N$200,9,FALSE()),"?"))</f>
        <v>US official</v>
      </c>
      <c r="T1607" t="s">
        <v>5692</v>
      </c>
      <c r="U1607">
        <f>IF(OR(B1607="",C1607="",T1607="Retracted",LEFT(D1607,8)="Negative"),0,IF(COUNTIFS($B$2:B1607,B1607,$C$2:C1607,C1607,$D$2:D1607,"&lt;&gt;Negative*",$T$2:T1607,"&lt;&gt;Retracted")=1,1,0))</f>
        <v>1</v>
      </c>
    </row>
    <row r="1608" spans="1:21" x14ac:dyDescent="0.2">
      <c r="A1608" t="s">
        <v>3673</v>
      </c>
      <c r="B1608" t="s">
        <v>983</v>
      </c>
      <c r="C1608" t="s">
        <v>1168</v>
      </c>
      <c r="D1608" t="s">
        <v>1572</v>
      </c>
      <c r="E1608" t="s">
        <v>984</v>
      </c>
      <c r="F1608" t="s">
        <v>1583</v>
      </c>
      <c r="G1608">
        <v>9.0494800000000009</v>
      </c>
      <c r="H1608">
        <v>-79.659139999999994</v>
      </c>
      <c r="I1608" t="s">
        <v>3312</v>
      </c>
      <c r="J1608">
        <v>400</v>
      </c>
      <c r="K1608">
        <v>1911</v>
      </c>
      <c r="L1608">
        <v>1911</v>
      </c>
      <c r="M1608" t="s">
        <v>203</v>
      </c>
      <c r="N1608" t="s">
        <v>190</v>
      </c>
      <c r="Q1608" s="2" t="str">
        <f>IF($C1608="","",IFERROR(VLOOKUP($C1608,sources!$A$2:$N$200,2,FALSE()),"?"))</f>
        <v>Map</v>
      </c>
      <c r="R1608" s="2" t="str">
        <f t="shared" si="25"/>
        <v>Map</v>
      </c>
      <c r="S1608" s="2" t="str">
        <f>IF($C1608="","",IFERROR(VLOOKUP($C1608,sources!$A$2:$N$200,9,FALSE()),"?"))</f>
        <v>US official</v>
      </c>
      <c r="T1608" t="s">
        <v>5692</v>
      </c>
      <c r="U1608">
        <f>IF(OR(B1608="",C1608="",T1608="Retracted",LEFT(D1608,8)="Negative"),0,IF(COUNTIFS($B$2:B1608,B1608,$C$2:C1608,C1608,$D$2:D1608,"&lt;&gt;Negative*",$T$2:T1608,"&lt;&gt;Retracted")=1,1,0))</f>
        <v>1</v>
      </c>
    </row>
    <row r="1609" spans="1:21" ht="26" x14ac:dyDescent="0.2">
      <c r="A1609" t="s">
        <v>3674</v>
      </c>
      <c r="B1609" t="s">
        <v>928</v>
      </c>
      <c r="C1609" t="s">
        <v>1434</v>
      </c>
      <c r="D1609" t="s">
        <v>1572</v>
      </c>
      <c r="E1609" t="s">
        <v>375</v>
      </c>
      <c r="F1609" t="s">
        <v>1566</v>
      </c>
      <c r="G1609">
        <v>9.2539999999999996</v>
      </c>
      <c r="H1609">
        <v>-79.935000000000002</v>
      </c>
      <c r="I1609" t="s">
        <v>3312</v>
      </c>
      <c r="J1609">
        <v>800</v>
      </c>
      <c r="K1609">
        <v>1857</v>
      </c>
      <c r="L1609">
        <v>1857</v>
      </c>
      <c r="M1609" t="s">
        <v>203</v>
      </c>
      <c r="N1609" t="s">
        <v>209</v>
      </c>
      <c r="Q1609" s="2" t="str">
        <f>IF($C1609="","",IFERROR(VLOOKUP($C1609,sources!$A$2:$N$200,2,FALSE()),"?"))</f>
        <v>Map</v>
      </c>
      <c r="R1609" s="2" t="str">
        <f t="shared" si="25"/>
        <v>Map</v>
      </c>
      <c r="S1609" s="2" t="str">
        <f>IF($C1609="","",IFERROR(VLOOKUP($C1609,sources!$A$2:$N$200,9,FALSE()),"?"))</f>
        <v>US corporate (PRR)</v>
      </c>
      <c r="T1609" t="s">
        <v>5692</v>
      </c>
      <c r="U1609">
        <f>IF(OR(B1609="",C1609="",T1609="Retracted",LEFT(D1609,8)="Negative"),0,IF(COUNTIFS($B$2:B1609,B1609,$C$2:C1609,C1609,$D$2:D1609,"&lt;&gt;Negative*",$T$2:T1609,"&lt;&gt;Retracted")=1,1,0))</f>
        <v>0</v>
      </c>
    </row>
    <row r="1610" spans="1:21" x14ac:dyDescent="0.2">
      <c r="A1610" t="s">
        <v>3675</v>
      </c>
      <c r="B1610" t="s">
        <v>711</v>
      </c>
      <c r="C1610" t="s">
        <v>1311</v>
      </c>
      <c r="D1610" t="s">
        <v>1572</v>
      </c>
      <c r="E1610" t="s">
        <v>3676</v>
      </c>
      <c r="F1610" t="s">
        <v>1583</v>
      </c>
      <c r="G1610">
        <v>9.0420879999999997</v>
      </c>
      <c r="H1610">
        <v>-79.650688000000002</v>
      </c>
      <c r="I1610" t="s">
        <v>3312</v>
      </c>
      <c r="J1610">
        <v>250</v>
      </c>
      <c r="K1610">
        <v>1910</v>
      </c>
      <c r="L1610">
        <v>1910</v>
      </c>
      <c r="M1610" t="s">
        <v>203</v>
      </c>
      <c r="N1610" t="s">
        <v>203</v>
      </c>
      <c r="Q1610" s="2" t="str">
        <f>IF($C1610="","",IFERROR(VLOOKUP($C1610,sources!$A$2:$N$200,2,FALSE()),"?"))</f>
        <v>Map</v>
      </c>
      <c r="R1610" s="2" t="str">
        <f t="shared" si="25"/>
        <v>Map</v>
      </c>
      <c r="S1610" s="2" t="str">
        <f>IF($C1610="","",IFERROR(VLOOKUP($C1610,sources!$A$2:$N$200,9,FALSE()),"?"))</f>
        <v>US official</v>
      </c>
      <c r="T1610" t="s">
        <v>5692</v>
      </c>
      <c r="U1610">
        <f>IF(OR(B1610="",C1610="",T1610="Retracted",LEFT(D1610,8)="Negative"),0,IF(COUNTIFS($B$2:B1610,B1610,$C$2:C1610,C1610,$D$2:D1610,"&lt;&gt;Negative*",$T$2:T1610,"&lt;&gt;Retracted")=1,1,0))</f>
        <v>1</v>
      </c>
    </row>
    <row r="1611" spans="1:21" x14ac:dyDescent="0.2">
      <c r="A1611" t="s">
        <v>3677</v>
      </c>
      <c r="B1611" t="s">
        <v>714</v>
      </c>
      <c r="C1611" t="s">
        <v>1311</v>
      </c>
      <c r="D1611" t="s">
        <v>1572</v>
      </c>
      <c r="E1611" t="s">
        <v>3678</v>
      </c>
      <c r="F1611" t="s">
        <v>1583</v>
      </c>
      <c r="G1611">
        <v>9.0403140000000004</v>
      </c>
      <c r="H1611">
        <v>-79.649321999999998</v>
      </c>
      <c r="I1611" t="s">
        <v>3312</v>
      </c>
      <c r="J1611">
        <v>250</v>
      </c>
      <c r="K1611">
        <v>1910</v>
      </c>
      <c r="L1611">
        <v>1910</v>
      </c>
      <c r="M1611" t="s">
        <v>203</v>
      </c>
      <c r="N1611" t="s">
        <v>203</v>
      </c>
      <c r="Q1611" s="2" t="str">
        <f>IF($C1611="","",IFERROR(VLOOKUP($C1611,sources!$A$2:$N$200,2,FALSE()),"?"))</f>
        <v>Map</v>
      </c>
      <c r="R1611" s="2" t="str">
        <f t="shared" si="25"/>
        <v>Map</v>
      </c>
      <c r="S1611" s="2" t="str">
        <f>IF($C1611="","",IFERROR(VLOOKUP($C1611,sources!$A$2:$N$200,9,FALSE()),"?"))</f>
        <v>US official</v>
      </c>
      <c r="T1611" t="s">
        <v>5692</v>
      </c>
      <c r="U1611">
        <f>IF(OR(B1611="",C1611="",T1611="Retracted",LEFT(D1611,8)="Negative"),0,IF(COUNTIFS($B$2:B1611,B1611,$C$2:C1611,C1611,$D$2:D1611,"&lt;&gt;Negative*",$T$2:T1611,"&lt;&gt;Retracted")=1,1,0))</f>
        <v>1</v>
      </c>
    </row>
    <row r="1612" spans="1:21" x14ac:dyDescent="0.2">
      <c r="A1612" t="s">
        <v>3679</v>
      </c>
      <c r="B1612" t="s">
        <v>717</v>
      </c>
      <c r="C1612" t="s">
        <v>1311</v>
      </c>
      <c r="D1612" t="s">
        <v>1572</v>
      </c>
      <c r="E1612" t="s">
        <v>3680</v>
      </c>
      <c r="F1612" t="s">
        <v>1583</v>
      </c>
      <c r="G1612">
        <v>9.0400569999999991</v>
      </c>
      <c r="H1612">
        <v>-79.648325</v>
      </c>
      <c r="I1612" t="s">
        <v>3312</v>
      </c>
      <c r="J1612">
        <v>250</v>
      </c>
      <c r="K1612">
        <v>1910</v>
      </c>
      <c r="L1612">
        <v>1910</v>
      </c>
      <c r="M1612" t="s">
        <v>203</v>
      </c>
      <c r="N1612" t="s">
        <v>203</v>
      </c>
      <c r="Q1612" s="2" t="str">
        <f>IF($C1612="","",IFERROR(VLOOKUP($C1612,sources!$A$2:$N$200,2,FALSE()),"?"))</f>
        <v>Map</v>
      </c>
      <c r="R1612" s="2" t="str">
        <f t="shared" si="25"/>
        <v>Map</v>
      </c>
      <c r="S1612" s="2" t="str">
        <f>IF($C1612="","",IFERROR(VLOOKUP($C1612,sources!$A$2:$N$200,9,FALSE()),"?"))</f>
        <v>US official</v>
      </c>
      <c r="T1612" t="s">
        <v>5692</v>
      </c>
      <c r="U1612">
        <f>IF(OR(B1612="",C1612="",T1612="Retracted",LEFT(D1612,8)="Negative"),0,IF(COUNTIFS($B$2:B1612,B1612,$C$2:C1612,C1612,$D$2:D1612,"&lt;&gt;Negative*",$T$2:T1612,"&lt;&gt;Retracted")=1,1,0))</f>
        <v>1</v>
      </c>
    </row>
    <row r="1613" spans="1:21" x14ac:dyDescent="0.2">
      <c r="A1613" t="s">
        <v>3681</v>
      </c>
      <c r="B1613" t="s">
        <v>720</v>
      </c>
      <c r="C1613" t="s">
        <v>1311</v>
      </c>
      <c r="D1613" t="s">
        <v>1572</v>
      </c>
      <c r="E1613" t="s">
        <v>3682</v>
      </c>
      <c r="F1613" t="s">
        <v>1583</v>
      </c>
      <c r="G1613">
        <v>9.039631</v>
      </c>
      <c r="H1613">
        <v>-79.648622000000003</v>
      </c>
      <c r="I1613" t="s">
        <v>3312</v>
      </c>
      <c r="J1613">
        <v>250</v>
      </c>
      <c r="K1613">
        <v>1910</v>
      </c>
      <c r="L1613">
        <v>1910</v>
      </c>
      <c r="M1613" t="s">
        <v>203</v>
      </c>
      <c r="N1613" t="s">
        <v>203</v>
      </c>
      <c r="Q1613" s="2" t="str">
        <f>IF($C1613="","",IFERROR(VLOOKUP($C1613,sources!$A$2:$N$200,2,FALSE()),"?"))</f>
        <v>Map</v>
      </c>
      <c r="R1613" s="2" t="str">
        <f t="shared" si="25"/>
        <v>Map</v>
      </c>
      <c r="S1613" s="2" t="str">
        <f>IF($C1613="","",IFERROR(VLOOKUP($C1613,sources!$A$2:$N$200,9,FALSE()),"?"))</f>
        <v>US official</v>
      </c>
      <c r="T1613" t="s">
        <v>5692</v>
      </c>
      <c r="U1613">
        <f>IF(OR(B1613="",C1613="",T1613="Retracted",LEFT(D1613,8)="Negative"),0,IF(COUNTIFS($B$2:B1613,B1613,$C$2:C1613,C1613,$D$2:D1613,"&lt;&gt;Negative*",$T$2:T1613,"&lt;&gt;Retracted")=1,1,0))</f>
        <v>0</v>
      </c>
    </row>
    <row r="1614" spans="1:21" x14ac:dyDescent="0.2">
      <c r="A1614" t="s">
        <v>3683</v>
      </c>
      <c r="B1614" t="s">
        <v>740</v>
      </c>
      <c r="C1614" t="s">
        <v>1311</v>
      </c>
      <c r="D1614" t="s">
        <v>1572</v>
      </c>
      <c r="E1614" t="s">
        <v>3684</v>
      </c>
      <c r="F1614" t="s">
        <v>1583</v>
      </c>
      <c r="G1614">
        <v>9.0382739999999995</v>
      </c>
      <c r="H1614">
        <v>-79.65137</v>
      </c>
      <c r="I1614" t="s">
        <v>3312</v>
      </c>
      <c r="J1614">
        <v>250</v>
      </c>
      <c r="K1614">
        <v>1910</v>
      </c>
      <c r="L1614">
        <v>1910</v>
      </c>
      <c r="M1614" t="s">
        <v>203</v>
      </c>
      <c r="N1614" t="s">
        <v>203</v>
      </c>
      <c r="Q1614" s="2" t="str">
        <f>IF($C1614="","",IFERROR(VLOOKUP($C1614,sources!$A$2:$N$200,2,FALSE()),"?"))</f>
        <v>Map</v>
      </c>
      <c r="R1614" s="2" t="str">
        <f t="shared" si="25"/>
        <v>Map</v>
      </c>
      <c r="S1614" s="2" t="str">
        <f>IF($C1614="","",IFERROR(VLOOKUP($C1614,sources!$A$2:$N$200,9,FALSE()),"?"))</f>
        <v>US official</v>
      </c>
      <c r="T1614" t="s">
        <v>5692</v>
      </c>
      <c r="U1614">
        <f>IF(OR(B1614="",C1614="",T1614="Retracted",LEFT(D1614,8)="Negative"),0,IF(COUNTIFS($B$2:B1614,B1614,$C$2:C1614,C1614,$D$2:D1614,"&lt;&gt;Negative*",$T$2:T1614,"&lt;&gt;Retracted")=1,1,0))</f>
        <v>1</v>
      </c>
    </row>
    <row r="1615" spans="1:21" x14ac:dyDescent="0.2">
      <c r="A1615" t="s">
        <v>3685</v>
      </c>
      <c r="B1615" t="s">
        <v>247</v>
      </c>
      <c r="C1615" t="s">
        <v>1311</v>
      </c>
      <c r="D1615" t="s">
        <v>1572</v>
      </c>
      <c r="E1615" t="s">
        <v>3686</v>
      </c>
      <c r="F1615" t="s">
        <v>1583</v>
      </c>
      <c r="G1615">
        <v>9.0359999999999996</v>
      </c>
      <c r="H1615">
        <v>-79.646500000000003</v>
      </c>
      <c r="I1615" t="s">
        <v>3312</v>
      </c>
      <c r="J1615">
        <v>250</v>
      </c>
      <c r="K1615">
        <v>1910</v>
      </c>
      <c r="L1615">
        <v>1910</v>
      </c>
      <c r="M1615" t="s">
        <v>203</v>
      </c>
      <c r="N1615" t="s">
        <v>209</v>
      </c>
      <c r="Q1615" s="2" t="str">
        <f>IF($C1615="","",IFERROR(VLOOKUP($C1615,sources!$A$2:$N$200,2,FALSE()),"?"))</f>
        <v>Map</v>
      </c>
      <c r="R1615" s="2" t="str">
        <f t="shared" si="25"/>
        <v>Map</v>
      </c>
      <c r="S1615" s="2" t="str">
        <f>IF($C1615="","",IFERROR(VLOOKUP($C1615,sources!$A$2:$N$200,9,FALSE()),"?"))</f>
        <v>US official</v>
      </c>
      <c r="T1615" t="s">
        <v>5692</v>
      </c>
      <c r="U1615">
        <f>IF(OR(B1615="",C1615="",T1615="Retracted",LEFT(D1615,8)="Negative"),0,IF(COUNTIFS($B$2:B1615,B1615,$C$2:C1615,C1615,$D$2:D1615,"&lt;&gt;Negative*",$T$2:T1615,"&lt;&gt;Retracted")=1,1,0))</f>
        <v>0</v>
      </c>
    </row>
    <row r="1616" spans="1:21" x14ac:dyDescent="0.2">
      <c r="A1616" t="s">
        <v>3687</v>
      </c>
      <c r="B1616" t="s">
        <v>723</v>
      </c>
      <c r="C1616" t="s">
        <v>1311</v>
      </c>
      <c r="D1616" t="s">
        <v>1572</v>
      </c>
      <c r="E1616" t="s">
        <v>3688</v>
      </c>
      <c r="F1616" t="s">
        <v>1583</v>
      </c>
      <c r="G1616">
        <v>9.0464269999999996</v>
      </c>
      <c r="H1616">
        <v>-79.654343999999995</v>
      </c>
      <c r="I1616" t="s">
        <v>3312</v>
      </c>
      <c r="J1616">
        <v>250</v>
      </c>
      <c r="K1616">
        <v>1910</v>
      </c>
      <c r="L1616">
        <v>1910</v>
      </c>
      <c r="M1616" t="s">
        <v>203</v>
      </c>
      <c r="N1616" t="s">
        <v>203</v>
      </c>
      <c r="Q1616" s="2" t="str">
        <f>IF($C1616="","",IFERROR(VLOOKUP($C1616,sources!$A$2:$N$200,2,FALSE()),"?"))</f>
        <v>Map</v>
      </c>
      <c r="R1616" s="2" t="str">
        <f t="shared" si="25"/>
        <v>Map</v>
      </c>
      <c r="S1616" s="2" t="str">
        <f>IF($C1616="","",IFERROR(VLOOKUP($C1616,sources!$A$2:$N$200,9,FALSE()),"?"))</f>
        <v>US official</v>
      </c>
      <c r="T1616" t="s">
        <v>5692</v>
      </c>
      <c r="U1616">
        <f>IF(OR(B1616="",C1616="",T1616="Retracted",LEFT(D1616,8)="Negative"),0,IF(COUNTIFS($B$2:B1616,B1616,$C$2:C1616,C1616,$D$2:D1616,"&lt;&gt;Negative*",$T$2:T1616,"&lt;&gt;Retracted")=1,1,0))</f>
        <v>1</v>
      </c>
    </row>
    <row r="1617" spans="1:21" ht="26" x14ac:dyDescent="0.2">
      <c r="A1617" t="s">
        <v>3689</v>
      </c>
      <c r="B1617" t="s">
        <v>303</v>
      </c>
      <c r="C1617" t="s">
        <v>1384</v>
      </c>
      <c r="D1617" t="s">
        <v>1575</v>
      </c>
      <c r="E1617" t="s">
        <v>3690</v>
      </c>
      <c r="F1617" t="s">
        <v>1566</v>
      </c>
      <c r="N1617" t="s">
        <v>209</v>
      </c>
      <c r="Q1617" s="2" t="str">
        <f>IF($C1617="","",IFERROR(VLOOKUP($C1617,sources!$A$2:$N$200,2,FALSE()),"?"))</f>
        <v>Newspaper</v>
      </c>
      <c r="R1617" s="2" t="str">
        <f t="shared" si="25"/>
        <v>Textual</v>
      </c>
      <c r="S1617" s="2" t="str">
        <f>IF($C1617="","",IFERROR(VLOOKUP($C1617,sources!$A$2:$N$200,9,FALSE()),"?"))</f>
        <v>Caribbean community</v>
      </c>
      <c r="T1617" t="s">
        <v>5692</v>
      </c>
      <c r="U1617">
        <f>IF(OR(B1617="",C1617="",T1617="Retracted",LEFT(D1617,8)="Negative"),0,IF(COUNTIFS($B$2:B1617,B1617,$C$2:C1617,C1617,$D$2:D1617,"&lt;&gt;Negative*",$T$2:T1617,"&lt;&gt;Retracted")=1,1,0))</f>
        <v>1</v>
      </c>
    </row>
    <row r="1618" spans="1:21" x14ac:dyDescent="0.2">
      <c r="A1618" t="s">
        <v>3691</v>
      </c>
      <c r="B1618" t="s">
        <v>786</v>
      </c>
      <c r="C1618" t="s">
        <v>1454</v>
      </c>
      <c r="D1618" t="s">
        <v>1572</v>
      </c>
      <c r="E1618" t="s">
        <v>3692</v>
      </c>
      <c r="F1618" t="s">
        <v>1583</v>
      </c>
      <c r="G1618">
        <v>9.3454359999999994</v>
      </c>
      <c r="H1618">
        <v>-79.898892000000004</v>
      </c>
      <c r="I1618" t="s">
        <v>3312</v>
      </c>
      <c r="J1618">
        <v>150</v>
      </c>
      <c r="K1618">
        <v>1947</v>
      </c>
      <c r="L1618">
        <v>1947</v>
      </c>
      <c r="M1618" t="s">
        <v>203</v>
      </c>
      <c r="N1618" t="s">
        <v>203</v>
      </c>
      <c r="Q1618" s="2" t="str">
        <f>IF($C1618="","",IFERROR(VLOOKUP($C1618,sources!$A$2:$N$200,2,FALSE()),"?"))</f>
        <v>Map</v>
      </c>
      <c r="R1618" s="2" t="str">
        <f t="shared" si="25"/>
        <v>Map</v>
      </c>
      <c r="S1618" s="2" t="str">
        <f>IF($C1618="","",IFERROR(VLOOKUP($C1618,sources!$A$2:$N$200,9,FALSE()),"?"))</f>
        <v>US military</v>
      </c>
      <c r="T1618" t="s">
        <v>5692</v>
      </c>
      <c r="U1618">
        <f>IF(OR(B1618="",C1618="",T1618="Retracted",LEFT(D1618,8)="Negative"),0,IF(COUNTIFS($B$2:B1618,B1618,$C$2:C1618,C1618,$D$2:D1618,"&lt;&gt;Negative*",$T$2:T1618,"&lt;&gt;Retracted")=1,1,0))</f>
        <v>1</v>
      </c>
    </row>
    <row r="1619" spans="1:21" x14ac:dyDescent="0.2">
      <c r="A1619" t="s">
        <v>3693</v>
      </c>
      <c r="B1619" t="s">
        <v>994</v>
      </c>
      <c r="C1619" t="s">
        <v>1454</v>
      </c>
      <c r="D1619" t="s">
        <v>1572</v>
      </c>
      <c r="E1619" t="s">
        <v>3694</v>
      </c>
      <c r="F1619" t="s">
        <v>1583</v>
      </c>
      <c r="G1619">
        <v>9.348122</v>
      </c>
      <c r="H1619">
        <v>-79.902413999999993</v>
      </c>
      <c r="I1619" t="s">
        <v>3312</v>
      </c>
      <c r="J1619">
        <v>200</v>
      </c>
      <c r="K1619">
        <v>1947</v>
      </c>
      <c r="L1619">
        <v>1947</v>
      </c>
      <c r="M1619" t="s">
        <v>203</v>
      </c>
      <c r="N1619" t="s">
        <v>203</v>
      </c>
      <c r="Q1619" s="2" t="str">
        <f>IF($C1619="","",IFERROR(VLOOKUP($C1619,sources!$A$2:$N$200,2,FALSE()),"?"))</f>
        <v>Map</v>
      </c>
      <c r="R1619" s="2" t="str">
        <f t="shared" si="25"/>
        <v>Map</v>
      </c>
      <c r="S1619" s="2" t="str">
        <f>IF($C1619="","",IFERROR(VLOOKUP($C1619,sources!$A$2:$N$200,9,FALSE()),"?"))</f>
        <v>US military</v>
      </c>
      <c r="T1619" t="s">
        <v>5692</v>
      </c>
      <c r="U1619">
        <f>IF(OR(B1619="",C1619="",T1619="Retracted",LEFT(D1619,8)="Negative"),0,IF(COUNTIFS($B$2:B1619,B1619,$C$2:C1619,C1619,$D$2:D1619,"&lt;&gt;Negative*",$T$2:T1619,"&lt;&gt;Retracted")=1,1,0))</f>
        <v>1</v>
      </c>
    </row>
    <row r="1620" spans="1:21" x14ac:dyDescent="0.2">
      <c r="A1620" t="s">
        <v>3695</v>
      </c>
      <c r="B1620" t="s">
        <v>997</v>
      </c>
      <c r="C1620" t="s">
        <v>1454</v>
      </c>
      <c r="D1620" t="s">
        <v>1572</v>
      </c>
      <c r="E1620" t="s">
        <v>3696</v>
      </c>
      <c r="F1620" t="s">
        <v>1583</v>
      </c>
      <c r="G1620">
        <v>9.3375830000000004</v>
      </c>
      <c r="H1620">
        <v>-79.898343999999994</v>
      </c>
      <c r="I1620" t="s">
        <v>3312</v>
      </c>
      <c r="J1620">
        <v>200</v>
      </c>
      <c r="K1620">
        <v>1947</v>
      </c>
      <c r="L1620">
        <v>1947</v>
      </c>
      <c r="M1620" t="s">
        <v>203</v>
      </c>
      <c r="N1620" t="s">
        <v>203</v>
      </c>
      <c r="Q1620" s="2" t="str">
        <f>IF($C1620="","",IFERROR(VLOOKUP($C1620,sources!$A$2:$N$200,2,FALSE()),"?"))</f>
        <v>Map</v>
      </c>
      <c r="R1620" s="2" t="str">
        <f t="shared" si="25"/>
        <v>Map</v>
      </c>
      <c r="S1620" s="2" t="str">
        <f>IF($C1620="","",IFERROR(VLOOKUP($C1620,sources!$A$2:$N$200,9,FALSE()),"?"))</f>
        <v>US military</v>
      </c>
      <c r="T1620" t="s">
        <v>5692</v>
      </c>
      <c r="U1620">
        <f>IF(OR(B1620="",C1620="",T1620="Retracted",LEFT(D1620,8)="Negative"),0,IF(COUNTIFS($B$2:B1620,B1620,$C$2:C1620,C1620,$D$2:D1620,"&lt;&gt;Negative*",$T$2:T1620,"&lt;&gt;Retracted")=1,1,0))</f>
        <v>1</v>
      </c>
    </row>
    <row r="1621" spans="1:21" x14ac:dyDescent="0.2">
      <c r="A1621" t="s">
        <v>3697</v>
      </c>
      <c r="B1621" t="s">
        <v>1002</v>
      </c>
      <c r="C1621" t="s">
        <v>1454</v>
      </c>
      <c r="D1621" t="s">
        <v>1572</v>
      </c>
      <c r="E1621" t="s">
        <v>3698</v>
      </c>
      <c r="F1621" t="s">
        <v>1583</v>
      </c>
      <c r="G1621">
        <v>9.3659800000000004</v>
      </c>
      <c r="H1621">
        <v>-79.911299999999997</v>
      </c>
      <c r="I1621" t="s">
        <v>3312</v>
      </c>
      <c r="J1621">
        <v>250</v>
      </c>
      <c r="K1621">
        <v>1947</v>
      </c>
      <c r="L1621">
        <v>1947</v>
      </c>
      <c r="M1621" t="s">
        <v>203</v>
      </c>
      <c r="N1621" t="s">
        <v>203</v>
      </c>
      <c r="Q1621" s="2" t="str">
        <f>IF($C1621="","",IFERROR(VLOOKUP($C1621,sources!$A$2:$N$200,2,FALSE()),"?"))</f>
        <v>Map</v>
      </c>
      <c r="R1621" s="2" t="str">
        <f t="shared" si="25"/>
        <v>Map</v>
      </c>
      <c r="S1621" s="2" t="str">
        <f>IF($C1621="","",IFERROR(VLOOKUP($C1621,sources!$A$2:$N$200,9,FALSE()),"?"))</f>
        <v>US military</v>
      </c>
      <c r="T1621" t="s">
        <v>5692</v>
      </c>
      <c r="U1621">
        <f>IF(OR(B1621="",C1621="",T1621="Retracted",LEFT(D1621,8)="Negative"),0,IF(COUNTIFS($B$2:B1621,B1621,$C$2:C1621,C1621,$D$2:D1621,"&lt;&gt;Negative*",$T$2:T1621,"&lt;&gt;Retracted")=1,1,0))</f>
        <v>1</v>
      </c>
    </row>
    <row r="1622" spans="1:21" x14ac:dyDescent="0.2">
      <c r="A1622" t="s">
        <v>3699</v>
      </c>
      <c r="B1622" t="s">
        <v>330</v>
      </c>
      <c r="C1622" t="s">
        <v>1454</v>
      </c>
      <c r="D1622" t="s">
        <v>1572</v>
      </c>
      <c r="E1622" t="s">
        <v>3700</v>
      </c>
      <c r="F1622" t="s">
        <v>1583</v>
      </c>
      <c r="G1622">
        <v>9.3634740000000001</v>
      </c>
      <c r="H1622">
        <v>-79.901390000000006</v>
      </c>
      <c r="I1622" t="s">
        <v>3312</v>
      </c>
      <c r="J1622">
        <v>300</v>
      </c>
      <c r="K1622">
        <v>1947</v>
      </c>
      <c r="L1622">
        <v>1947</v>
      </c>
      <c r="M1622" t="s">
        <v>203</v>
      </c>
      <c r="N1622" t="s">
        <v>203</v>
      </c>
      <c r="Q1622" s="2" t="str">
        <f>IF($C1622="","",IFERROR(VLOOKUP($C1622,sources!$A$2:$N$200,2,FALSE()),"?"))</f>
        <v>Map</v>
      </c>
      <c r="R1622" s="2" t="str">
        <f t="shared" si="25"/>
        <v>Map</v>
      </c>
      <c r="S1622" s="2" t="str">
        <f>IF($C1622="","",IFERROR(VLOOKUP($C1622,sources!$A$2:$N$200,9,FALSE()),"?"))</f>
        <v>US military</v>
      </c>
      <c r="T1622" t="s">
        <v>5692</v>
      </c>
      <c r="U1622">
        <f>IF(OR(B1622="",C1622="",T1622="Retracted",LEFT(D1622,8)="Negative"),0,IF(COUNTIFS($B$2:B1622,B1622,$C$2:C1622,C1622,$D$2:D1622,"&lt;&gt;Negative*",$T$2:T1622,"&lt;&gt;Retracted")=1,1,0))</f>
        <v>1</v>
      </c>
    </row>
    <row r="1623" spans="1:21" x14ac:dyDescent="0.2">
      <c r="A1623" t="s">
        <v>3701</v>
      </c>
      <c r="B1623" t="s">
        <v>415</v>
      </c>
      <c r="C1623" t="s">
        <v>1454</v>
      </c>
      <c r="D1623" t="s">
        <v>1572</v>
      </c>
      <c r="E1623" t="s">
        <v>3702</v>
      </c>
      <c r="F1623" t="s">
        <v>1583</v>
      </c>
      <c r="G1623">
        <v>9.3401350000000001</v>
      </c>
      <c r="H1623">
        <v>-79.896996999999999</v>
      </c>
      <c r="I1623" t="s">
        <v>3312</v>
      </c>
      <c r="J1623">
        <v>250</v>
      </c>
      <c r="K1623">
        <v>1947</v>
      </c>
      <c r="L1623">
        <v>1947</v>
      </c>
      <c r="M1623" t="s">
        <v>203</v>
      </c>
      <c r="N1623" t="s">
        <v>203</v>
      </c>
      <c r="Q1623" s="2" t="str">
        <f>IF($C1623="","",IFERROR(VLOOKUP($C1623,sources!$A$2:$N$200,2,FALSE()),"?"))</f>
        <v>Map</v>
      </c>
      <c r="R1623" s="2" t="str">
        <f t="shared" si="25"/>
        <v>Map</v>
      </c>
      <c r="S1623" s="2" t="str">
        <f>IF($C1623="","",IFERROR(VLOOKUP($C1623,sources!$A$2:$N$200,9,FALSE()),"?"))</f>
        <v>US military</v>
      </c>
      <c r="T1623" t="s">
        <v>5692</v>
      </c>
      <c r="U1623">
        <f>IF(OR(B1623="",C1623="",T1623="Retracted",LEFT(D1623,8)="Negative"),0,IF(COUNTIFS($B$2:B1623,B1623,$C$2:C1623,C1623,$D$2:D1623,"&lt;&gt;Negative*",$T$2:T1623,"&lt;&gt;Retracted")=1,1,0))</f>
        <v>1</v>
      </c>
    </row>
    <row r="1624" spans="1:21" x14ac:dyDescent="0.2">
      <c r="A1624" t="s">
        <v>3703</v>
      </c>
      <c r="B1624" t="s">
        <v>515</v>
      </c>
      <c r="C1624" t="s">
        <v>1454</v>
      </c>
      <c r="D1624" t="s">
        <v>1572</v>
      </c>
      <c r="E1624" t="s">
        <v>3704</v>
      </c>
      <c r="F1624" t="s">
        <v>1583</v>
      </c>
      <c r="G1624">
        <v>9.3369440000000008</v>
      </c>
      <c r="H1624">
        <v>-79.892505</v>
      </c>
      <c r="I1624" t="s">
        <v>3312</v>
      </c>
      <c r="J1624">
        <v>400</v>
      </c>
      <c r="K1624">
        <v>1947</v>
      </c>
      <c r="L1624">
        <v>1947</v>
      </c>
      <c r="M1624" t="s">
        <v>203</v>
      </c>
      <c r="N1624" t="s">
        <v>209</v>
      </c>
      <c r="Q1624" s="2" t="str">
        <f>IF($C1624="","",IFERROR(VLOOKUP($C1624,sources!$A$2:$N$200,2,FALSE()),"?"))</f>
        <v>Map</v>
      </c>
      <c r="R1624" s="2" t="str">
        <f t="shared" si="25"/>
        <v>Map</v>
      </c>
      <c r="S1624" s="2" t="str">
        <f>IF($C1624="","",IFERROR(VLOOKUP($C1624,sources!$A$2:$N$200,9,FALSE()),"?"))</f>
        <v>US military</v>
      </c>
      <c r="T1624" t="s">
        <v>5692</v>
      </c>
      <c r="U1624">
        <f>IF(OR(B1624="",C1624="",T1624="Retracted",LEFT(D1624,8)="Negative"),0,IF(COUNTIFS($B$2:B1624,B1624,$C$2:C1624,C1624,$D$2:D1624,"&lt;&gt;Negative*",$T$2:T1624,"&lt;&gt;Retracted")=1,1,0))</f>
        <v>1</v>
      </c>
    </row>
    <row r="1625" spans="1:21" x14ac:dyDescent="0.2">
      <c r="A1625" t="s">
        <v>3705</v>
      </c>
      <c r="B1625" t="s">
        <v>472</v>
      </c>
      <c r="C1625" t="s">
        <v>1461</v>
      </c>
      <c r="D1625" t="s">
        <v>1575</v>
      </c>
      <c r="E1625" t="s">
        <v>473</v>
      </c>
      <c r="F1625" t="s">
        <v>1583</v>
      </c>
      <c r="I1625" t="s">
        <v>1058</v>
      </c>
      <c r="K1625">
        <v>1927</v>
      </c>
      <c r="L1625">
        <v>1927</v>
      </c>
      <c r="M1625" t="s">
        <v>190</v>
      </c>
      <c r="N1625" t="s">
        <v>209</v>
      </c>
      <c r="Q1625" s="2" t="str">
        <f>IF($C1625="","",IFERROR(VLOOKUP($C1625,sources!$A$2:$N$200,2,FALSE()),"?"))</f>
        <v>Map</v>
      </c>
      <c r="R1625" s="2" t="str">
        <f t="shared" si="25"/>
        <v>Map</v>
      </c>
      <c r="S1625" s="2" t="str">
        <f>IF($C1625="","",IFERROR(VLOOKUP($C1625,sources!$A$2:$N$200,9,FALSE()),"?"))</f>
        <v>US commercial</v>
      </c>
      <c r="T1625" t="s">
        <v>5692</v>
      </c>
      <c r="U1625">
        <f>IF(OR(B1625="",C1625="",T1625="Retracted",LEFT(D1625,8)="Negative"),0,IF(COUNTIFS($B$2:B1625,B1625,$C$2:C1625,C1625,$D$2:D1625,"&lt;&gt;Negative*",$T$2:T1625,"&lt;&gt;Retracted")=1,1,0))</f>
        <v>1</v>
      </c>
    </row>
    <row r="1626" spans="1:21" x14ac:dyDescent="0.2">
      <c r="A1626" t="s">
        <v>3706</v>
      </c>
      <c r="B1626" t="s">
        <v>643</v>
      </c>
      <c r="C1626" t="s">
        <v>1461</v>
      </c>
      <c r="D1626" t="s">
        <v>1575</v>
      </c>
      <c r="E1626" t="s">
        <v>644</v>
      </c>
      <c r="F1626" t="s">
        <v>1583</v>
      </c>
      <c r="I1626" t="s">
        <v>1058</v>
      </c>
      <c r="K1626">
        <v>1927</v>
      </c>
      <c r="L1626">
        <v>1927</v>
      </c>
      <c r="M1626" t="s">
        <v>190</v>
      </c>
      <c r="N1626" t="s">
        <v>209</v>
      </c>
      <c r="Q1626" s="2" t="str">
        <f>IF($C1626="","",IFERROR(VLOOKUP($C1626,sources!$A$2:$N$200,2,FALSE()),"?"))</f>
        <v>Map</v>
      </c>
      <c r="R1626" s="2" t="str">
        <f t="shared" si="25"/>
        <v>Map</v>
      </c>
      <c r="S1626" s="2" t="str">
        <f>IF($C1626="","",IFERROR(VLOOKUP($C1626,sources!$A$2:$N$200,9,FALSE()),"?"))</f>
        <v>US commercial</v>
      </c>
      <c r="T1626" t="s">
        <v>5692</v>
      </c>
      <c r="U1626">
        <f>IF(OR(B1626="",C1626="",T1626="Retracted",LEFT(D1626,8)="Negative"),0,IF(COUNTIFS($B$2:B1626,B1626,$C$2:C1626,C1626,$D$2:D1626,"&lt;&gt;Negative*",$T$2:T1626,"&lt;&gt;Retracted")=1,1,0))</f>
        <v>1</v>
      </c>
    </row>
    <row r="1627" spans="1:21" x14ac:dyDescent="0.2">
      <c r="A1627" t="s">
        <v>3707</v>
      </c>
      <c r="B1627" t="s">
        <v>639</v>
      </c>
      <c r="C1627" t="s">
        <v>1461</v>
      </c>
      <c r="D1627" t="s">
        <v>1575</v>
      </c>
      <c r="E1627" t="s">
        <v>640</v>
      </c>
      <c r="F1627" t="s">
        <v>1583</v>
      </c>
      <c r="I1627" t="s">
        <v>1058</v>
      </c>
      <c r="K1627">
        <v>1927</v>
      </c>
      <c r="L1627">
        <v>1927</v>
      </c>
      <c r="M1627" t="s">
        <v>190</v>
      </c>
      <c r="N1627" t="s">
        <v>209</v>
      </c>
      <c r="Q1627" s="2" t="str">
        <f>IF($C1627="","",IFERROR(VLOOKUP($C1627,sources!$A$2:$N$200,2,FALSE()),"?"))</f>
        <v>Map</v>
      </c>
      <c r="R1627" s="2" t="str">
        <f t="shared" si="25"/>
        <v>Map</v>
      </c>
      <c r="S1627" s="2" t="str">
        <f>IF($C1627="","",IFERROR(VLOOKUP($C1627,sources!$A$2:$N$200,9,FALSE()),"?"))</f>
        <v>US commercial</v>
      </c>
      <c r="T1627" t="s">
        <v>5692</v>
      </c>
      <c r="U1627">
        <f>IF(OR(B1627="",C1627="",T1627="Retracted",LEFT(D1627,8)="Negative"),0,IF(COUNTIFS($B$2:B1627,B1627,$C$2:C1627,C1627,$D$2:D1627,"&lt;&gt;Negative*",$T$2:T1627,"&lt;&gt;Retracted")=1,1,0))</f>
        <v>1</v>
      </c>
    </row>
    <row r="1628" spans="1:21" x14ac:dyDescent="0.2">
      <c r="A1628" t="s">
        <v>3708</v>
      </c>
      <c r="B1628" t="s">
        <v>649</v>
      </c>
      <c r="C1628" t="s">
        <v>1461</v>
      </c>
      <c r="D1628" t="s">
        <v>1575</v>
      </c>
      <c r="E1628" t="s">
        <v>3709</v>
      </c>
      <c r="F1628" t="s">
        <v>1583</v>
      </c>
      <c r="I1628" t="s">
        <v>1058</v>
      </c>
      <c r="K1628">
        <v>1927</v>
      </c>
      <c r="L1628">
        <v>1927</v>
      </c>
      <c r="M1628" t="s">
        <v>190</v>
      </c>
      <c r="N1628" t="s">
        <v>209</v>
      </c>
      <c r="Q1628" s="2" t="str">
        <f>IF($C1628="","",IFERROR(VLOOKUP($C1628,sources!$A$2:$N$200,2,FALSE()),"?"))</f>
        <v>Map</v>
      </c>
      <c r="R1628" s="2" t="str">
        <f t="shared" si="25"/>
        <v>Map</v>
      </c>
      <c r="S1628" s="2" t="str">
        <f>IF($C1628="","",IFERROR(VLOOKUP($C1628,sources!$A$2:$N$200,9,FALSE()),"?"))</f>
        <v>US commercial</v>
      </c>
      <c r="T1628" t="s">
        <v>5692</v>
      </c>
      <c r="U1628">
        <f>IF(OR(B1628="",C1628="",T1628="Retracted",LEFT(D1628,8)="Negative"),0,IF(COUNTIFS($B$2:B1628,B1628,$C$2:C1628,C1628,$D$2:D1628,"&lt;&gt;Negative*",$T$2:T1628,"&lt;&gt;Retracted")=1,1,0))</f>
        <v>1</v>
      </c>
    </row>
    <row r="1629" spans="1:21" x14ac:dyDescent="0.2">
      <c r="A1629" t="s">
        <v>3710</v>
      </c>
      <c r="B1629" t="s">
        <v>635</v>
      </c>
      <c r="C1629" t="s">
        <v>1461</v>
      </c>
      <c r="D1629" t="s">
        <v>1575</v>
      </c>
      <c r="E1629" t="s">
        <v>636</v>
      </c>
      <c r="F1629" t="s">
        <v>1583</v>
      </c>
      <c r="I1629" t="s">
        <v>1058</v>
      </c>
      <c r="K1629">
        <v>1927</v>
      </c>
      <c r="L1629">
        <v>1927</v>
      </c>
      <c r="M1629" t="s">
        <v>190</v>
      </c>
      <c r="N1629" t="s">
        <v>209</v>
      </c>
      <c r="Q1629" s="2" t="str">
        <f>IF($C1629="","",IFERROR(VLOOKUP($C1629,sources!$A$2:$N$200,2,FALSE()),"?"))</f>
        <v>Map</v>
      </c>
      <c r="R1629" s="2" t="str">
        <f t="shared" si="25"/>
        <v>Map</v>
      </c>
      <c r="S1629" s="2" t="str">
        <f>IF($C1629="","",IFERROR(VLOOKUP($C1629,sources!$A$2:$N$200,9,FALSE()),"?"))</f>
        <v>US commercial</v>
      </c>
      <c r="T1629" t="s">
        <v>5692</v>
      </c>
      <c r="U1629">
        <f>IF(OR(B1629="",C1629="",T1629="Retracted",LEFT(D1629,8)="Negative"),0,IF(COUNTIFS($B$2:B1629,B1629,$C$2:C1629,C1629,$D$2:D1629,"&lt;&gt;Negative*",$T$2:T1629,"&lt;&gt;Retracted")=1,1,0))</f>
        <v>1</v>
      </c>
    </row>
    <row r="1630" spans="1:21" x14ac:dyDescent="0.2">
      <c r="A1630" t="s">
        <v>3711</v>
      </c>
      <c r="B1630" t="s">
        <v>484</v>
      </c>
      <c r="C1630" t="s">
        <v>1461</v>
      </c>
      <c r="D1630" t="s">
        <v>1575</v>
      </c>
      <c r="E1630" t="s">
        <v>485</v>
      </c>
      <c r="F1630" t="s">
        <v>1583</v>
      </c>
      <c r="I1630" t="s">
        <v>1058</v>
      </c>
      <c r="K1630">
        <v>1927</v>
      </c>
      <c r="L1630">
        <v>1927</v>
      </c>
      <c r="M1630" t="s">
        <v>190</v>
      </c>
      <c r="N1630" t="s">
        <v>209</v>
      </c>
      <c r="Q1630" s="2" t="str">
        <f>IF($C1630="","",IFERROR(VLOOKUP($C1630,sources!$A$2:$N$200,2,FALSE()),"?"))</f>
        <v>Map</v>
      </c>
      <c r="R1630" s="2" t="str">
        <f t="shared" si="25"/>
        <v>Map</v>
      </c>
      <c r="S1630" s="2" t="str">
        <f>IF($C1630="","",IFERROR(VLOOKUP($C1630,sources!$A$2:$N$200,9,FALSE()),"?"))</f>
        <v>US commercial</v>
      </c>
      <c r="T1630" t="s">
        <v>5692</v>
      </c>
      <c r="U1630">
        <f>IF(OR(B1630="",C1630="",T1630="Retracted",LEFT(D1630,8)="Negative"),0,IF(COUNTIFS($B$2:B1630,B1630,$C$2:C1630,C1630,$D$2:D1630,"&lt;&gt;Negative*",$T$2:T1630,"&lt;&gt;Retracted")=1,1,0))</f>
        <v>1</v>
      </c>
    </row>
    <row r="1631" spans="1:21" x14ac:dyDescent="0.2">
      <c r="A1631" t="s">
        <v>3712</v>
      </c>
      <c r="B1631" t="s">
        <v>507</v>
      </c>
      <c r="C1631" t="s">
        <v>1461</v>
      </c>
      <c r="D1631" t="s">
        <v>1575</v>
      </c>
      <c r="E1631" t="s">
        <v>508</v>
      </c>
      <c r="F1631" t="s">
        <v>1583</v>
      </c>
      <c r="I1631" t="s">
        <v>1058</v>
      </c>
      <c r="K1631">
        <v>1927</v>
      </c>
      <c r="L1631">
        <v>1927</v>
      </c>
      <c r="M1631" t="s">
        <v>190</v>
      </c>
      <c r="N1631" t="s">
        <v>209</v>
      </c>
      <c r="Q1631" s="2" t="str">
        <f>IF($C1631="","",IFERROR(VLOOKUP($C1631,sources!$A$2:$N$200,2,FALSE()),"?"))</f>
        <v>Map</v>
      </c>
      <c r="R1631" s="2" t="str">
        <f t="shared" si="25"/>
        <v>Map</v>
      </c>
      <c r="S1631" s="2" t="str">
        <f>IF($C1631="","",IFERROR(VLOOKUP($C1631,sources!$A$2:$N$200,9,FALSE()),"?"))</f>
        <v>US commercial</v>
      </c>
      <c r="T1631" t="s">
        <v>5692</v>
      </c>
      <c r="U1631">
        <f>IF(OR(B1631="",C1631="",T1631="Retracted",LEFT(D1631,8)="Negative"),0,IF(COUNTIFS($B$2:B1631,B1631,$C$2:C1631,C1631,$D$2:D1631,"&lt;&gt;Negative*",$T$2:T1631,"&lt;&gt;Retracted")=1,1,0))</f>
        <v>1</v>
      </c>
    </row>
    <row r="1632" spans="1:21" x14ac:dyDescent="0.2">
      <c r="A1632" t="s">
        <v>3713</v>
      </c>
      <c r="B1632" t="s">
        <v>199</v>
      </c>
      <c r="C1632" t="s">
        <v>1461</v>
      </c>
      <c r="D1632" t="s">
        <v>1575</v>
      </c>
      <c r="E1632" t="s">
        <v>200</v>
      </c>
      <c r="F1632" t="s">
        <v>1583</v>
      </c>
      <c r="I1632" t="s">
        <v>1058</v>
      </c>
      <c r="M1632" t="s">
        <v>190</v>
      </c>
      <c r="N1632" t="s">
        <v>209</v>
      </c>
      <c r="Q1632" s="2" t="str">
        <f>IF($C1632="","",IFERROR(VLOOKUP($C1632,sources!$A$2:$N$200,2,FALSE()),"?"))</f>
        <v>Map</v>
      </c>
      <c r="R1632" s="2" t="str">
        <f t="shared" si="25"/>
        <v>Map</v>
      </c>
      <c r="S1632" s="2" t="str">
        <f>IF($C1632="","",IFERROR(VLOOKUP($C1632,sources!$A$2:$N$200,9,FALSE()),"?"))</f>
        <v>US commercial</v>
      </c>
      <c r="T1632" t="s">
        <v>5692</v>
      </c>
      <c r="U1632">
        <f>IF(OR(B1632="",C1632="",T1632="Retracted",LEFT(D1632,8)="Negative"),0,IF(COUNTIFS($B$2:B1632,B1632,$C$2:C1632,C1632,$D$2:D1632,"&lt;&gt;Negative*",$T$2:T1632,"&lt;&gt;Retracted")=1,1,0))</f>
        <v>1</v>
      </c>
    </row>
    <row r="1633" spans="1:21" x14ac:dyDescent="0.2">
      <c r="A1633" t="s">
        <v>3714</v>
      </c>
      <c r="B1633" t="s">
        <v>447</v>
      </c>
      <c r="C1633" t="s">
        <v>1461</v>
      </c>
      <c r="D1633" t="s">
        <v>1575</v>
      </c>
      <c r="E1633" t="s">
        <v>3715</v>
      </c>
      <c r="F1633" t="s">
        <v>1583</v>
      </c>
      <c r="I1633" t="s">
        <v>1058</v>
      </c>
      <c r="K1633">
        <v>1927</v>
      </c>
      <c r="L1633">
        <v>1927</v>
      </c>
      <c r="M1633" t="s">
        <v>190</v>
      </c>
      <c r="N1633" t="s">
        <v>209</v>
      </c>
      <c r="Q1633" s="2" t="str">
        <f>IF($C1633="","",IFERROR(VLOOKUP($C1633,sources!$A$2:$N$200,2,FALSE()),"?"))</f>
        <v>Map</v>
      </c>
      <c r="R1633" s="2" t="str">
        <f t="shared" si="25"/>
        <v>Map</v>
      </c>
      <c r="S1633" s="2" t="str">
        <f>IF($C1633="","",IFERROR(VLOOKUP($C1633,sources!$A$2:$N$200,9,FALSE()),"?"))</f>
        <v>US commercial</v>
      </c>
      <c r="T1633" t="s">
        <v>5692</v>
      </c>
      <c r="U1633">
        <f>IF(OR(B1633="",C1633="",T1633="Retracted",LEFT(D1633,8)="Negative"),0,IF(COUNTIFS($B$2:B1633,B1633,$C$2:C1633,C1633,$D$2:D1633,"&lt;&gt;Negative*",$T$2:T1633,"&lt;&gt;Retracted")=1,1,0))</f>
        <v>1</v>
      </c>
    </row>
    <row r="1634" spans="1:21" x14ac:dyDescent="0.2">
      <c r="A1634" t="s">
        <v>3716</v>
      </c>
      <c r="B1634" t="s">
        <v>398</v>
      </c>
      <c r="C1634" t="s">
        <v>1461</v>
      </c>
      <c r="D1634" t="s">
        <v>1575</v>
      </c>
      <c r="E1634" t="s">
        <v>399</v>
      </c>
      <c r="F1634" t="s">
        <v>1583</v>
      </c>
      <c r="I1634" t="s">
        <v>1058</v>
      </c>
      <c r="M1634" t="s">
        <v>190</v>
      </c>
      <c r="N1634" t="s">
        <v>209</v>
      </c>
      <c r="Q1634" s="2" t="str">
        <f>IF($C1634="","",IFERROR(VLOOKUP($C1634,sources!$A$2:$N$200,2,FALSE()),"?"))</f>
        <v>Map</v>
      </c>
      <c r="R1634" s="2" t="str">
        <f t="shared" si="25"/>
        <v>Map</v>
      </c>
      <c r="S1634" s="2" t="str">
        <f>IF($C1634="","",IFERROR(VLOOKUP($C1634,sources!$A$2:$N$200,9,FALSE()),"?"))</f>
        <v>US commercial</v>
      </c>
      <c r="T1634" t="s">
        <v>5692</v>
      </c>
      <c r="U1634">
        <f>IF(OR(B1634="",C1634="",T1634="Retracted",LEFT(D1634,8)="Negative"),0,IF(COUNTIFS($B$2:B1634,B1634,$C$2:C1634,C1634,$D$2:D1634,"&lt;&gt;Negative*",$T$2:T1634,"&lt;&gt;Retracted")=1,1,0))</f>
        <v>1</v>
      </c>
    </row>
    <row r="1635" spans="1:21" x14ac:dyDescent="0.2">
      <c r="A1635" t="s">
        <v>3717</v>
      </c>
      <c r="B1635" t="s">
        <v>580</v>
      </c>
      <c r="C1635" t="s">
        <v>1461</v>
      </c>
      <c r="D1635" t="s">
        <v>1575</v>
      </c>
      <c r="E1635" t="s">
        <v>581</v>
      </c>
      <c r="F1635" t="s">
        <v>1583</v>
      </c>
      <c r="I1635" t="s">
        <v>1058</v>
      </c>
      <c r="M1635" t="s">
        <v>190</v>
      </c>
      <c r="N1635" t="s">
        <v>209</v>
      </c>
      <c r="Q1635" s="2" t="str">
        <f>IF($C1635="","",IFERROR(VLOOKUP($C1635,sources!$A$2:$N$200,2,FALSE()),"?"))</f>
        <v>Map</v>
      </c>
      <c r="R1635" s="2" t="str">
        <f t="shared" si="25"/>
        <v>Map</v>
      </c>
      <c r="S1635" s="2" t="str">
        <f>IF($C1635="","",IFERROR(VLOOKUP($C1635,sources!$A$2:$N$200,9,FALSE()),"?"))</f>
        <v>US commercial</v>
      </c>
      <c r="T1635" t="s">
        <v>5692</v>
      </c>
      <c r="U1635">
        <f>IF(OR(B1635="",C1635="",T1635="Retracted",LEFT(D1635,8)="Negative"),0,IF(COUNTIFS($B$2:B1635,B1635,$C$2:C1635,C1635,$D$2:D1635,"&lt;&gt;Negative*",$T$2:T1635,"&lt;&gt;Retracted")=1,1,0))</f>
        <v>1</v>
      </c>
    </row>
    <row r="1636" spans="1:21" x14ac:dyDescent="0.2">
      <c r="A1636" t="s">
        <v>3718</v>
      </c>
      <c r="B1636" t="s">
        <v>429</v>
      </c>
      <c r="C1636" t="s">
        <v>1461</v>
      </c>
      <c r="D1636" t="s">
        <v>1575</v>
      </c>
      <c r="E1636" t="s">
        <v>430</v>
      </c>
      <c r="F1636" t="s">
        <v>1583</v>
      </c>
      <c r="I1636" t="s">
        <v>1058</v>
      </c>
      <c r="K1636">
        <v>1927</v>
      </c>
      <c r="L1636">
        <v>1927</v>
      </c>
      <c r="M1636" t="s">
        <v>190</v>
      </c>
      <c r="N1636" t="s">
        <v>209</v>
      </c>
      <c r="Q1636" s="2" t="str">
        <f>IF($C1636="","",IFERROR(VLOOKUP($C1636,sources!$A$2:$N$200,2,FALSE()),"?"))</f>
        <v>Map</v>
      </c>
      <c r="R1636" s="2" t="str">
        <f t="shared" si="25"/>
        <v>Map</v>
      </c>
      <c r="S1636" s="2" t="str">
        <f>IF($C1636="","",IFERROR(VLOOKUP($C1636,sources!$A$2:$N$200,9,FALSE()),"?"))</f>
        <v>US commercial</v>
      </c>
      <c r="T1636" t="s">
        <v>5692</v>
      </c>
      <c r="U1636">
        <f>IF(OR(B1636="",C1636="",T1636="Retracted",LEFT(D1636,8)="Negative"),0,IF(COUNTIFS($B$2:B1636,B1636,$C$2:C1636,C1636,$D$2:D1636,"&lt;&gt;Negative*",$T$2:T1636,"&lt;&gt;Retracted")=1,1,0))</f>
        <v>1</v>
      </c>
    </row>
    <row r="1637" spans="1:21" x14ac:dyDescent="0.2">
      <c r="A1637" t="s">
        <v>3719</v>
      </c>
      <c r="B1637" t="s">
        <v>786</v>
      </c>
      <c r="C1637" t="s">
        <v>1469</v>
      </c>
      <c r="D1637" t="s">
        <v>1564</v>
      </c>
      <c r="E1637" t="s">
        <v>3391</v>
      </c>
      <c r="F1637" t="s">
        <v>1583</v>
      </c>
      <c r="I1637" t="s">
        <v>1058</v>
      </c>
      <c r="K1637">
        <v>1973</v>
      </c>
      <c r="L1637">
        <v>1973</v>
      </c>
      <c r="M1637" t="s">
        <v>203</v>
      </c>
      <c r="N1637" t="s">
        <v>203</v>
      </c>
      <c r="Q1637" s="2" t="str">
        <f>IF($C1637="","",IFERROR(VLOOKUP($C1637,sources!$A$2:$N$200,2,FALSE()),"?"))</f>
        <v>Map</v>
      </c>
      <c r="R1637" s="2" t="str">
        <f t="shared" si="25"/>
        <v>Map</v>
      </c>
      <c r="S1637" s="2" t="str">
        <f>IF($C1637="","",IFERROR(VLOOKUP($C1637,sources!$A$2:$N$200,9,FALSE()),"?"))</f>
        <v>US official</v>
      </c>
      <c r="T1637" t="s">
        <v>5692</v>
      </c>
      <c r="U1637">
        <f>IF(OR(B1637="",C1637="",T1637="Retracted",LEFT(D1637,8)="Negative"),0,IF(COUNTIFS($B$2:B1637,B1637,$C$2:C1637,C1637,$D$2:D1637,"&lt;&gt;Negative*",$T$2:T1637,"&lt;&gt;Retracted")=1,1,0))</f>
        <v>1</v>
      </c>
    </row>
    <row r="1638" spans="1:21" x14ac:dyDescent="0.2">
      <c r="A1638" t="s">
        <v>3720</v>
      </c>
      <c r="B1638" t="s">
        <v>515</v>
      </c>
      <c r="C1638" t="s">
        <v>1469</v>
      </c>
      <c r="D1638" t="s">
        <v>1575</v>
      </c>
      <c r="E1638" t="s">
        <v>516</v>
      </c>
      <c r="F1638" t="s">
        <v>1583</v>
      </c>
      <c r="I1638" t="s">
        <v>1058</v>
      </c>
      <c r="K1638">
        <v>1973</v>
      </c>
      <c r="L1638">
        <v>1973</v>
      </c>
      <c r="M1638" t="s">
        <v>203</v>
      </c>
      <c r="N1638" t="s">
        <v>203</v>
      </c>
      <c r="Q1638" s="2" t="str">
        <f>IF($C1638="","",IFERROR(VLOOKUP($C1638,sources!$A$2:$N$200,2,FALSE()),"?"))</f>
        <v>Map</v>
      </c>
      <c r="R1638" s="2" t="str">
        <f t="shared" si="25"/>
        <v>Map</v>
      </c>
      <c r="S1638" s="2" t="str">
        <f>IF($C1638="","",IFERROR(VLOOKUP($C1638,sources!$A$2:$N$200,9,FALSE()),"?"))</f>
        <v>US official</v>
      </c>
      <c r="T1638" t="s">
        <v>5692</v>
      </c>
      <c r="U1638">
        <f>IF(OR(B1638="",C1638="",T1638="Retracted",LEFT(D1638,8)="Negative"),0,IF(COUNTIFS($B$2:B1638,B1638,$C$2:C1638,C1638,$D$2:D1638,"&lt;&gt;Negative*",$T$2:T1638,"&lt;&gt;Retracted")=1,1,0))</f>
        <v>1</v>
      </c>
    </row>
    <row r="1639" spans="1:21" x14ac:dyDescent="0.2">
      <c r="A1639" t="s">
        <v>3721</v>
      </c>
      <c r="B1639" t="s">
        <v>520</v>
      </c>
      <c r="C1639" t="s">
        <v>1469</v>
      </c>
      <c r="D1639" t="s">
        <v>1575</v>
      </c>
      <c r="E1639" t="s">
        <v>3722</v>
      </c>
      <c r="F1639" t="s">
        <v>1583</v>
      </c>
      <c r="I1639" t="s">
        <v>1058</v>
      </c>
      <c r="K1639">
        <v>1973</v>
      </c>
      <c r="L1639">
        <v>1973</v>
      </c>
      <c r="M1639" t="s">
        <v>203</v>
      </c>
      <c r="N1639" t="s">
        <v>203</v>
      </c>
      <c r="Q1639" s="2" t="str">
        <f>IF($C1639="","",IFERROR(VLOOKUP($C1639,sources!$A$2:$N$200,2,FALSE()),"?"))</f>
        <v>Map</v>
      </c>
      <c r="R1639" s="2" t="str">
        <f t="shared" si="25"/>
        <v>Map</v>
      </c>
      <c r="S1639" s="2" t="str">
        <f>IF($C1639="","",IFERROR(VLOOKUP($C1639,sources!$A$2:$N$200,9,FALSE()),"?"))</f>
        <v>US official</v>
      </c>
      <c r="T1639" t="s">
        <v>5692</v>
      </c>
      <c r="U1639">
        <f>IF(OR(B1639="",C1639="",T1639="Retracted",LEFT(D1639,8)="Negative"),0,IF(COUNTIFS($B$2:B1639,B1639,$C$2:C1639,C1639,$D$2:D1639,"&lt;&gt;Negative*",$T$2:T1639,"&lt;&gt;Retracted")=1,1,0))</f>
        <v>1</v>
      </c>
    </row>
    <row r="1640" spans="1:21" ht="26" x14ac:dyDescent="0.2">
      <c r="A1640" t="s">
        <v>3723</v>
      </c>
      <c r="B1640" t="s">
        <v>219</v>
      </c>
      <c r="C1640" t="s">
        <v>1475</v>
      </c>
      <c r="D1640" t="s">
        <v>1575</v>
      </c>
      <c r="E1640" t="s">
        <v>3724</v>
      </c>
      <c r="F1640" t="s">
        <v>2423</v>
      </c>
      <c r="I1640" t="s">
        <v>1058</v>
      </c>
      <c r="K1640">
        <v>1844</v>
      </c>
      <c r="L1640">
        <v>1844</v>
      </c>
      <c r="M1640" t="s">
        <v>203</v>
      </c>
      <c r="N1640" t="s">
        <v>203</v>
      </c>
      <c r="Q1640" s="2" t="str">
        <f>IF($C1640="","",IFERROR(VLOOKUP($C1640,sources!$A$2:$N$200,2,FALSE()),"?"))</f>
        <v>Map</v>
      </c>
      <c r="R1640" s="2" t="str">
        <f t="shared" si="25"/>
        <v>Map</v>
      </c>
      <c r="S1640" s="2" t="str">
        <f>IF($C1640="","",IFERROR(VLOOKUP($C1640,sources!$A$2:$N$200,9,FALSE()),"?"))</f>
        <v>French state survey</v>
      </c>
      <c r="T1640" t="s">
        <v>5692</v>
      </c>
      <c r="U1640">
        <f>IF(OR(B1640="",C1640="",T1640="Retracted",LEFT(D1640,8)="Negative"),0,IF(COUNTIFS($B$2:B1640,B1640,$C$2:C1640,C1640,$D$2:D1640,"&lt;&gt;Negative*",$T$2:T1640,"&lt;&gt;Retracted")=1,1,0))</f>
        <v>1</v>
      </c>
    </row>
    <row r="1641" spans="1:21" ht="26" x14ac:dyDescent="0.2">
      <c r="A1641" t="s">
        <v>3725</v>
      </c>
      <c r="B1641" t="s">
        <v>928</v>
      </c>
      <c r="C1641" t="s">
        <v>1475</v>
      </c>
      <c r="D1641" t="s">
        <v>1575</v>
      </c>
      <c r="E1641" t="s">
        <v>375</v>
      </c>
      <c r="F1641" t="s">
        <v>1566</v>
      </c>
      <c r="I1641" t="s">
        <v>1058</v>
      </c>
      <c r="K1641">
        <v>1844</v>
      </c>
      <c r="L1641">
        <v>1844</v>
      </c>
      <c r="M1641" t="s">
        <v>203</v>
      </c>
      <c r="N1641" t="s">
        <v>203</v>
      </c>
      <c r="Q1641" s="2" t="str">
        <f>IF($C1641="","",IFERROR(VLOOKUP($C1641,sources!$A$2:$N$200,2,FALSE()),"?"))</f>
        <v>Map</v>
      </c>
      <c r="R1641" s="2" t="str">
        <f t="shared" si="25"/>
        <v>Map</v>
      </c>
      <c r="S1641" s="2" t="str">
        <f>IF($C1641="","",IFERROR(VLOOKUP($C1641,sources!$A$2:$N$200,9,FALSE()),"?"))</f>
        <v>French state survey</v>
      </c>
      <c r="T1641" t="s">
        <v>5692</v>
      </c>
      <c r="U1641">
        <f>IF(OR(B1641="",C1641="",T1641="Retracted",LEFT(D1641,8)="Negative"),0,IF(COUNTIFS($B$2:B1641,B1641,$C$2:C1641,C1641,$D$2:D1641,"&lt;&gt;Negative*",$T$2:T1641,"&lt;&gt;Retracted")=1,1,0))</f>
        <v>1</v>
      </c>
    </row>
    <row r="1642" spans="1:21" ht="26" x14ac:dyDescent="0.2">
      <c r="A1642" t="s">
        <v>3726</v>
      </c>
      <c r="B1642" t="s">
        <v>495</v>
      </c>
      <c r="C1642" t="s">
        <v>1475</v>
      </c>
      <c r="D1642" t="s">
        <v>1575</v>
      </c>
      <c r="E1642" t="s">
        <v>3727</v>
      </c>
      <c r="F1642" t="s">
        <v>1566</v>
      </c>
      <c r="I1642" t="s">
        <v>1058</v>
      </c>
      <c r="K1642">
        <v>1844</v>
      </c>
      <c r="L1642">
        <v>1844</v>
      </c>
      <c r="M1642" t="s">
        <v>203</v>
      </c>
      <c r="N1642" t="s">
        <v>203</v>
      </c>
      <c r="Q1642" s="2" t="str">
        <f>IF($C1642="","",IFERROR(VLOOKUP($C1642,sources!$A$2:$N$200,2,FALSE()),"?"))</f>
        <v>Map</v>
      </c>
      <c r="R1642" s="2" t="str">
        <f t="shared" si="25"/>
        <v>Map</v>
      </c>
      <c r="S1642" s="2" t="str">
        <f>IF($C1642="","",IFERROR(VLOOKUP($C1642,sources!$A$2:$N$200,9,FALSE()),"?"))</f>
        <v>French state survey</v>
      </c>
      <c r="T1642" t="s">
        <v>5692</v>
      </c>
      <c r="U1642">
        <f>IF(OR(B1642="",C1642="",T1642="Retracted",LEFT(D1642,8)="Negative"),0,IF(COUNTIFS($B$2:B1642,B1642,$C$2:C1642,C1642,$D$2:D1642,"&lt;&gt;Negative*",$T$2:T1642,"&lt;&gt;Retracted")=1,1,0))</f>
        <v>1</v>
      </c>
    </row>
    <row r="1643" spans="1:21" ht="26" x14ac:dyDescent="0.2">
      <c r="A1643" t="s">
        <v>3728</v>
      </c>
      <c r="B1643" t="s">
        <v>265</v>
      </c>
      <c r="C1643" t="s">
        <v>1475</v>
      </c>
      <c r="D1643" t="s">
        <v>1564</v>
      </c>
      <c r="E1643" t="s">
        <v>3729</v>
      </c>
      <c r="F1643" t="s">
        <v>1566</v>
      </c>
      <c r="I1643" t="s">
        <v>1058</v>
      </c>
      <c r="K1643">
        <v>1844</v>
      </c>
      <c r="L1643">
        <v>1844</v>
      </c>
      <c r="M1643" t="s">
        <v>203</v>
      </c>
      <c r="N1643" t="s">
        <v>203</v>
      </c>
      <c r="Q1643" s="2" t="str">
        <f>IF($C1643="","",IFERROR(VLOOKUP($C1643,sources!$A$2:$N$200,2,FALSE()),"?"))</f>
        <v>Map</v>
      </c>
      <c r="R1643" s="2" t="str">
        <f t="shared" si="25"/>
        <v>Map</v>
      </c>
      <c r="S1643" s="2" t="str">
        <f>IF($C1643="","",IFERROR(VLOOKUP($C1643,sources!$A$2:$N$200,9,FALSE()),"?"))</f>
        <v>French state survey</v>
      </c>
      <c r="T1643" t="s">
        <v>5692</v>
      </c>
      <c r="U1643">
        <f>IF(OR(B1643="",C1643="",T1643="Retracted",LEFT(D1643,8)="Negative"),0,IF(COUNTIFS($B$2:B1643,B1643,$C$2:C1643,C1643,$D$2:D1643,"&lt;&gt;Negative*",$T$2:T1643,"&lt;&gt;Retracted")=1,1,0))</f>
        <v>1</v>
      </c>
    </row>
    <row r="1644" spans="1:21" ht="26" x14ac:dyDescent="0.2">
      <c r="A1644" t="s">
        <v>3730</v>
      </c>
      <c r="B1644" t="s">
        <v>363</v>
      </c>
      <c r="C1644" t="s">
        <v>1475</v>
      </c>
      <c r="D1644" t="s">
        <v>1575</v>
      </c>
      <c r="E1644" t="s">
        <v>364</v>
      </c>
      <c r="F1644" t="s">
        <v>1566</v>
      </c>
      <c r="I1644" t="s">
        <v>1058</v>
      </c>
      <c r="K1644">
        <v>1844</v>
      </c>
      <c r="L1644">
        <v>1844</v>
      </c>
      <c r="M1644" t="s">
        <v>203</v>
      </c>
      <c r="N1644" t="s">
        <v>203</v>
      </c>
      <c r="Q1644" s="2" t="str">
        <f>IF($C1644="","",IFERROR(VLOOKUP($C1644,sources!$A$2:$N$200,2,FALSE()),"?"))</f>
        <v>Map</v>
      </c>
      <c r="R1644" s="2" t="str">
        <f t="shared" si="25"/>
        <v>Map</v>
      </c>
      <c r="S1644" s="2" t="str">
        <f>IF($C1644="","",IFERROR(VLOOKUP($C1644,sources!$A$2:$N$200,9,FALSE()),"?"))</f>
        <v>French state survey</v>
      </c>
      <c r="T1644" t="s">
        <v>5692</v>
      </c>
      <c r="U1644">
        <f>IF(OR(B1644="",C1644="",T1644="Retracted",LEFT(D1644,8)="Negative"),0,IF(COUNTIFS($B$2:B1644,B1644,$C$2:C1644,C1644,$D$2:D1644,"&lt;&gt;Negative*",$T$2:T1644,"&lt;&gt;Retracted")=1,1,0))</f>
        <v>1</v>
      </c>
    </row>
    <row r="1645" spans="1:21" ht="26" x14ac:dyDescent="0.2">
      <c r="A1645" t="s">
        <v>3731</v>
      </c>
      <c r="B1645" t="s">
        <v>194</v>
      </c>
      <c r="C1645" t="s">
        <v>1475</v>
      </c>
      <c r="D1645" t="s">
        <v>1575</v>
      </c>
      <c r="E1645" t="s">
        <v>3732</v>
      </c>
      <c r="F1645" t="s">
        <v>1566</v>
      </c>
      <c r="I1645" t="s">
        <v>1058</v>
      </c>
      <c r="K1645">
        <v>1844</v>
      </c>
      <c r="L1645">
        <v>1844</v>
      </c>
      <c r="M1645" t="s">
        <v>203</v>
      </c>
      <c r="N1645" t="s">
        <v>203</v>
      </c>
      <c r="Q1645" s="2" t="str">
        <f>IF($C1645="","",IFERROR(VLOOKUP($C1645,sources!$A$2:$N$200,2,FALSE()),"?"))</f>
        <v>Map</v>
      </c>
      <c r="R1645" s="2" t="str">
        <f t="shared" si="25"/>
        <v>Map</v>
      </c>
      <c r="S1645" s="2" t="str">
        <f>IF($C1645="","",IFERROR(VLOOKUP($C1645,sources!$A$2:$N$200,9,FALSE()),"?"))</f>
        <v>French state survey</v>
      </c>
      <c r="T1645" t="s">
        <v>5692</v>
      </c>
      <c r="U1645">
        <f>IF(OR(B1645="",C1645="",T1645="Retracted",LEFT(D1645,8)="Negative"),0,IF(COUNTIFS($B$2:B1645,B1645,$C$2:C1645,C1645,$D$2:D1645,"&lt;&gt;Negative*",$T$2:T1645,"&lt;&gt;Retracted")=1,1,0))</f>
        <v>1</v>
      </c>
    </row>
    <row r="1646" spans="1:21" ht="26" x14ac:dyDescent="0.2">
      <c r="A1646" t="s">
        <v>3733</v>
      </c>
      <c r="B1646" t="s">
        <v>215</v>
      </c>
      <c r="C1646" t="s">
        <v>1475</v>
      </c>
      <c r="D1646" t="s">
        <v>1575</v>
      </c>
      <c r="E1646" t="s">
        <v>3734</v>
      </c>
      <c r="F1646" t="s">
        <v>1566</v>
      </c>
      <c r="I1646" t="s">
        <v>1058</v>
      </c>
      <c r="K1646">
        <v>1844</v>
      </c>
      <c r="L1646">
        <v>1844</v>
      </c>
      <c r="M1646" t="s">
        <v>203</v>
      </c>
      <c r="N1646" t="s">
        <v>203</v>
      </c>
      <c r="Q1646" s="2" t="str">
        <f>IF($C1646="","",IFERROR(VLOOKUP($C1646,sources!$A$2:$N$200,2,FALSE()),"?"))</f>
        <v>Map</v>
      </c>
      <c r="R1646" s="2" t="str">
        <f t="shared" si="25"/>
        <v>Map</v>
      </c>
      <c r="S1646" s="2" t="str">
        <f>IF($C1646="","",IFERROR(VLOOKUP($C1646,sources!$A$2:$N$200,9,FALSE()),"?"))</f>
        <v>French state survey</v>
      </c>
      <c r="T1646" t="s">
        <v>5692</v>
      </c>
      <c r="U1646">
        <f>IF(OR(B1646="",C1646="",T1646="Retracted",LEFT(D1646,8)="Negative"),0,IF(COUNTIFS($B$2:B1646,B1646,$C$2:C1646,C1646,$D$2:D1646,"&lt;&gt;Negative*",$T$2:T1646,"&lt;&gt;Retracted")=1,1,0))</f>
        <v>1</v>
      </c>
    </row>
    <row r="1647" spans="1:21" ht="26" x14ac:dyDescent="0.2">
      <c r="A1647" t="s">
        <v>3735</v>
      </c>
      <c r="B1647" t="s">
        <v>433</v>
      </c>
      <c r="C1647" t="s">
        <v>1475</v>
      </c>
      <c r="D1647" t="s">
        <v>1575</v>
      </c>
      <c r="E1647" t="s">
        <v>434</v>
      </c>
      <c r="F1647" t="s">
        <v>1566</v>
      </c>
      <c r="I1647" t="s">
        <v>1058</v>
      </c>
      <c r="K1647">
        <v>1844</v>
      </c>
      <c r="L1647">
        <v>1844</v>
      </c>
      <c r="M1647" t="s">
        <v>203</v>
      </c>
      <c r="N1647" t="s">
        <v>203</v>
      </c>
      <c r="Q1647" s="2" t="str">
        <f>IF($C1647="","",IFERROR(VLOOKUP($C1647,sources!$A$2:$N$200,2,FALSE()),"?"))</f>
        <v>Map</v>
      </c>
      <c r="R1647" s="2" t="str">
        <f t="shared" si="25"/>
        <v>Map</v>
      </c>
      <c r="S1647" s="2" t="str">
        <f>IF($C1647="","",IFERROR(VLOOKUP($C1647,sources!$A$2:$N$200,9,FALSE()),"?"))</f>
        <v>French state survey</v>
      </c>
      <c r="T1647" t="s">
        <v>5692</v>
      </c>
      <c r="U1647">
        <f>IF(OR(B1647="",C1647="",T1647="Retracted",LEFT(D1647,8)="Negative"),0,IF(COUNTIFS($B$2:B1647,B1647,$C$2:C1647,C1647,$D$2:D1647,"&lt;&gt;Negative*",$T$2:T1647,"&lt;&gt;Retracted")=1,1,0))</f>
        <v>1</v>
      </c>
    </row>
    <row r="1648" spans="1:21" ht="26" x14ac:dyDescent="0.2">
      <c r="A1648" t="s">
        <v>3736</v>
      </c>
      <c r="B1648" t="s">
        <v>199</v>
      </c>
      <c r="C1648" t="s">
        <v>1475</v>
      </c>
      <c r="D1648" t="s">
        <v>1575</v>
      </c>
      <c r="E1648" t="s">
        <v>200</v>
      </c>
      <c r="F1648" t="s">
        <v>1566</v>
      </c>
      <c r="I1648" t="s">
        <v>1058</v>
      </c>
      <c r="K1648">
        <v>1844</v>
      </c>
      <c r="L1648">
        <v>1844</v>
      </c>
      <c r="M1648" t="s">
        <v>203</v>
      </c>
      <c r="N1648" t="s">
        <v>203</v>
      </c>
      <c r="Q1648" s="2" t="str">
        <f>IF($C1648="","",IFERROR(VLOOKUP($C1648,sources!$A$2:$N$200,2,FALSE()),"?"))</f>
        <v>Map</v>
      </c>
      <c r="R1648" s="2" t="str">
        <f t="shared" si="25"/>
        <v>Map</v>
      </c>
      <c r="S1648" s="2" t="str">
        <f>IF($C1648="","",IFERROR(VLOOKUP($C1648,sources!$A$2:$N$200,9,FALSE()),"?"))</f>
        <v>French state survey</v>
      </c>
      <c r="T1648" t="s">
        <v>5692</v>
      </c>
      <c r="U1648">
        <f>IF(OR(B1648="",C1648="",T1648="Retracted",LEFT(D1648,8)="Negative"),0,IF(COUNTIFS($B$2:B1648,B1648,$C$2:C1648,C1648,$D$2:D1648,"&lt;&gt;Negative*",$T$2:T1648,"&lt;&gt;Retracted")=1,1,0))</f>
        <v>1</v>
      </c>
    </row>
    <row r="1649" spans="1:21" ht="26" x14ac:dyDescent="0.2">
      <c r="A1649" t="s">
        <v>3737</v>
      </c>
      <c r="B1649" t="s">
        <v>902</v>
      </c>
      <c r="C1649" t="s">
        <v>1475</v>
      </c>
      <c r="D1649" t="s">
        <v>1575</v>
      </c>
      <c r="E1649" t="s">
        <v>904</v>
      </c>
      <c r="F1649" t="s">
        <v>1566</v>
      </c>
      <c r="I1649" t="s">
        <v>1058</v>
      </c>
      <c r="K1649">
        <v>1844</v>
      </c>
      <c r="L1649">
        <v>1844</v>
      </c>
      <c r="M1649" t="s">
        <v>203</v>
      </c>
      <c r="N1649" t="s">
        <v>209</v>
      </c>
      <c r="Q1649" s="2" t="str">
        <f>IF($C1649="","",IFERROR(VLOOKUP($C1649,sources!$A$2:$N$200,2,FALSE()),"?"))</f>
        <v>Map</v>
      </c>
      <c r="R1649" s="2" t="str">
        <f t="shared" si="25"/>
        <v>Map</v>
      </c>
      <c r="S1649" s="2" t="str">
        <f>IF($C1649="","",IFERROR(VLOOKUP($C1649,sources!$A$2:$N$200,9,FALSE()),"?"))</f>
        <v>French state survey</v>
      </c>
      <c r="T1649" t="s">
        <v>5692</v>
      </c>
      <c r="U1649">
        <f>IF(OR(B1649="",C1649="",T1649="Retracted",LEFT(D1649,8)="Negative"),0,IF(COUNTIFS($B$2:B1649,B1649,$C$2:C1649,C1649,$D$2:D1649,"&lt;&gt;Negative*",$T$2:T1649,"&lt;&gt;Retracted")=1,1,0))</f>
        <v>1</v>
      </c>
    </row>
    <row r="1650" spans="1:21" ht="26" x14ac:dyDescent="0.2">
      <c r="A1650" t="s">
        <v>3738</v>
      </c>
      <c r="B1650" t="s">
        <v>480</v>
      </c>
      <c r="C1650" t="s">
        <v>1475</v>
      </c>
      <c r="D1650" t="s">
        <v>1564</v>
      </c>
      <c r="E1650" t="s">
        <v>3739</v>
      </c>
      <c r="F1650" t="s">
        <v>2423</v>
      </c>
      <c r="I1650" t="s">
        <v>1058</v>
      </c>
      <c r="K1650">
        <v>1844</v>
      </c>
      <c r="L1650">
        <v>1844</v>
      </c>
      <c r="M1650" t="s">
        <v>203</v>
      </c>
      <c r="N1650" t="s">
        <v>209</v>
      </c>
      <c r="Q1650" s="2" t="str">
        <f>IF($C1650="","",IFERROR(VLOOKUP($C1650,sources!$A$2:$N$200,2,FALSE()),"?"))</f>
        <v>Map</v>
      </c>
      <c r="R1650" s="2" t="str">
        <f t="shared" si="25"/>
        <v>Map</v>
      </c>
      <c r="S1650" s="2" t="str">
        <f>IF($C1650="","",IFERROR(VLOOKUP($C1650,sources!$A$2:$N$200,9,FALSE()),"?"))</f>
        <v>French state survey</v>
      </c>
      <c r="T1650" t="s">
        <v>5692</v>
      </c>
      <c r="U1650">
        <f>IF(OR(B1650="",C1650="",T1650="Retracted",LEFT(D1650,8)="Negative"),0,IF(COUNTIFS($B$2:B1650,B1650,$C$2:C1650,C1650,$D$2:D1650,"&lt;&gt;Negative*",$T$2:T1650,"&lt;&gt;Retracted")=1,1,0))</f>
        <v>1</v>
      </c>
    </row>
    <row r="1651" spans="1:21" ht="26" x14ac:dyDescent="0.2">
      <c r="A1651" t="s">
        <v>3740</v>
      </c>
      <c r="B1651" t="s">
        <v>630</v>
      </c>
      <c r="C1651" t="s">
        <v>1475</v>
      </c>
      <c r="D1651" t="s">
        <v>1564</v>
      </c>
      <c r="E1651" t="s">
        <v>3741</v>
      </c>
      <c r="F1651" t="s">
        <v>1566</v>
      </c>
      <c r="I1651" t="s">
        <v>1058</v>
      </c>
      <c r="K1651">
        <v>1844</v>
      </c>
      <c r="L1651">
        <v>1844</v>
      </c>
      <c r="M1651" t="s">
        <v>203</v>
      </c>
      <c r="N1651" t="s">
        <v>209</v>
      </c>
      <c r="Q1651" s="2" t="str">
        <f>IF($C1651="","",IFERROR(VLOOKUP($C1651,sources!$A$2:$N$200,2,FALSE()),"?"))</f>
        <v>Map</v>
      </c>
      <c r="R1651" s="2" t="str">
        <f t="shared" si="25"/>
        <v>Map</v>
      </c>
      <c r="S1651" s="2" t="str">
        <f>IF($C1651="","",IFERROR(VLOOKUP($C1651,sources!$A$2:$N$200,9,FALSE()),"?"))</f>
        <v>French state survey</v>
      </c>
      <c r="T1651" t="s">
        <v>5692</v>
      </c>
      <c r="U1651">
        <f>IF(OR(B1651="",C1651="",T1651="Retracted",LEFT(D1651,8)="Negative"),0,IF(COUNTIFS($B$2:B1651,B1651,$C$2:C1651,C1651,$D$2:D1651,"&lt;&gt;Negative*",$T$2:T1651,"&lt;&gt;Retracted")=1,1,0))</f>
        <v>1</v>
      </c>
    </row>
    <row r="1652" spans="1:21" ht="26" x14ac:dyDescent="0.2">
      <c r="A1652" t="s">
        <v>3742</v>
      </c>
      <c r="B1652" t="s">
        <v>357</v>
      </c>
      <c r="C1652" t="s">
        <v>1475</v>
      </c>
      <c r="D1652" t="s">
        <v>1564</v>
      </c>
      <c r="E1652" t="s">
        <v>3743</v>
      </c>
      <c r="F1652" t="s">
        <v>2423</v>
      </c>
      <c r="I1652" t="s">
        <v>1058</v>
      </c>
      <c r="K1652">
        <v>1844</v>
      </c>
      <c r="L1652">
        <v>1844</v>
      </c>
      <c r="M1652" t="s">
        <v>203</v>
      </c>
      <c r="N1652" t="s">
        <v>209</v>
      </c>
      <c r="Q1652" s="2" t="str">
        <f>IF($C1652="","",IFERROR(VLOOKUP($C1652,sources!$A$2:$N$200,2,FALSE()),"?"))</f>
        <v>Map</v>
      </c>
      <c r="R1652" s="2" t="str">
        <f t="shared" si="25"/>
        <v>Map</v>
      </c>
      <c r="S1652" s="2" t="str">
        <f>IF($C1652="","",IFERROR(VLOOKUP($C1652,sources!$A$2:$N$200,9,FALSE()),"?"))</f>
        <v>French state survey</v>
      </c>
      <c r="T1652" t="s">
        <v>5692</v>
      </c>
      <c r="U1652">
        <f>IF(OR(B1652="",C1652="",T1652="Retracted",LEFT(D1652,8)="Negative"),0,IF(COUNTIFS($B$2:B1652,B1652,$C$2:C1652,C1652,$D$2:D1652,"&lt;&gt;Negative*",$T$2:T1652,"&lt;&gt;Retracted")=1,1,0))</f>
        <v>1</v>
      </c>
    </row>
    <row r="1653" spans="1:21" ht="26" x14ac:dyDescent="0.2">
      <c r="A1653" t="s">
        <v>3744</v>
      </c>
      <c r="B1653" t="s">
        <v>383</v>
      </c>
      <c r="C1653" t="s">
        <v>1475</v>
      </c>
      <c r="D1653" t="s">
        <v>1564</v>
      </c>
      <c r="E1653" t="s">
        <v>3745</v>
      </c>
      <c r="F1653" t="s">
        <v>2423</v>
      </c>
      <c r="I1653" t="s">
        <v>1058</v>
      </c>
      <c r="K1653">
        <v>1844</v>
      </c>
      <c r="L1653">
        <v>1844</v>
      </c>
      <c r="M1653" t="s">
        <v>203</v>
      </c>
      <c r="N1653" t="s">
        <v>209</v>
      </c>
      <c r="Q1653" s="2" t="str">
        <f>IF($C1653="","",IFERROR(VLOOKUP($C1653,sources!$A$2:$N$200,2,FALSE()),"?"))</f>
        <v>Map</v>
      </c>
      <c r="R1653" s="2" t="str">
        <f t="shared" si="25"/>
        <v>Map</v>
      </c>
      <c r="S1653" s="2" t="str">
        <f>IF($C1653="","",IFERROR(VLOOKUP($C1653,sources!$A$2:$N$200,9,FALSE()),"?"))</f>
        <v>French state survey</v>
      </c>
      <c r="T1653" t="s">
        <v>5692</v>
      </c>
      <c r="U1653">
        <f>IF(OR(B1653="",C1653="",T1653="Retracted",LEFT(D1653,8)="Negative"),0,IF(COUNTIFS($B$2:B1653,B1653,$C$2:C1653,C1653,$D$2:D1653,"&lt;&gt;Negative*",$T$2:T1653,"&lt;&gt;Retracted")=1,1,0))</f>
        <v>1</v>
      </c>
    </row>
    <row r="1654" spans="1:21" ht="26" x14ac:dyDescent="0.2">
      <c r="A1654" t="s">
        <v>3746</v>
      </c>
      <c r="B1654" t="s">
        <v>242</v>
      </c>
      <c r="C1654" t="s">
        <v>1475</v>
      </c>
      <c r="D1654" t="s">
        <v>1575</v>
      </c>
      <c r="E1654" t="s">
        <v>243</v>
      </c>
      <c r="F1654" t="s">
        <v>1566</v>
      </c>
      <c r="I1654" t="s">
        <v>1058</v>
      </c>
      <c r="K1654">
        <v>1844</v>
      </c>
      <c r="L1654">
        <v>1844</v>
      </c>
      <c r="M1654" t="s">
        <v>203</v>
      </c>
      <c r="N1654" t="s">
        <v>209</v>
      </c>
      <c r="Q1654" s="2" t="str">
        <f>IF($C1654="","",IFERROR(VLOOKUP($C1654,sources!$A$2:$N$200,2,FALSE()),"?"))</f>
        <v>Map</v>
      </c>
      <c r="R1654" s="2" t="str">
        <f t="shared" si="25"/>
        <v>Map</v>
      </c>
      <c r="S1654" s="2" t="str">
        <f>IF($C1654="","",IFERROR(VLOOKUP($C1654,sources!$A$2:$N$200,9,FALSE()),"?"))</f>
        <v>French state survey</v>
      </c>
      <c r="T1654" t="s">
        <v>5692</v>
      </c>
      <c r="U1654">
        <f>IF(OR(B1654="",C1654="",T1654="Retracted",LEFT(D1654,8)="Negative"),0,IF(COUNTIFS($B$2:B1654,B1654,$C$2:C1654,C1654,$D$2:D1654,"&lt;&gt;Negative*",$T$2:T1654,"&lt;&gt;Retracted")=1,1,0))</f>
        <v>1</v>
      </c>
    </row>
    <row r="1655" spans="1:21" x14ac:dyDescent="0.2">
      <c r="A1655" t="s">
        <v>3747</v>
      </c>
      <c r="B1655" t="s">
        <v>776</v>
      </c>
      <c r="C1655" t="s">
        <v>1328</v>
      </c>
      <c r="D1655" t="s">
        <v>1572</v>
      </c>
      <c r="E1655" t="s">
        <v>3748</v>
      </c>
      <c r="F1655" t="s">
        <v>2423</v>
      </c>
      <c r="G1655">
        <v>8.9621999999999993</v>
      </c>
      <c r="H1655">
        <v>-79.540599999999998</v>
      </c>
      <c r="I1655" t="s">
        <v>3312</v>
      </c>
      <c r="J1655">
        <v>80</v>
      </c>
      <c r="K1655">
        <v>1890</v>
      </c>
      <c r="L1655">
        <v>1890</v>
      </c>
      <c r="M1655" t="s">
        <v>203</v>
      </c>
      <c r="N1655" t="s">
        <v>203</v>
      </c>
      <c r="Q1655" s="2" t="str">
        <f>IF($C1655="","",IFERROR(VLOOKUP($C1655,sources!$A$2:$N$200,2,FALSE()),"?"))</f>
        <v>Map</v>
      </c>
      <c r="R1655" s="2" t="str">
        <f t="shared" si="25"/>
        <v>Map</v>
      </c>
      <c r="S1655" s="2" t="str">
        <f>IF($C1655="","",IFERROR(VLOOKUP($C1655,sources!$A$2:$N$200,9,FALSE()),"?"))</f>
        <v>French company</v>
      </c>
      <c r="T1655" t="s">
        <v>5692</v>
      </c>
      <c r="U1655">
        <f>IF(OR(B1655="",C1655="",T1655="Retracted",LEFT(D1655,8)="Negative"),0,IF(COUNTIFS($B$2:B1655,B1655,$C$2:C1655,C1655,$D$2:D1655,"&lt;&gt;Negative*",$T$2:T1655,"&lt;&gt;Retracted")=1,1,0))</f>
        <v>0</v>
      </c>
    </row>
    <row r="1656" spans="1:21" x14ac:dyDescent="0.2">
      <c r="A1656" t="s">
        <v>3749</v>
      </c>
      <c r="B1656" t="s">
        <v>330</v>
      </c>
      <c r="C1656" t="s">
        <v>1490</v>
      </c>
      <c r="D1656" t="s">
        <v>1575</v>
      </c>
      <c r="E1656" t="s">
        <v>3750</v>
      </c>
      <c r="F1656" t="s">
        <v>2423</v>
      </c>
      <c r="K1656" t="s">
        <v>1493</v>
      </c>
      <c r="L1656" t="s">
        <v>1493</v>
      </c>
      <c r="M1656" t="s">
        <v>203</v>
      </c>
      <c r="N1656" t="s">
        <v>203</v>
      </c>
      <c r="Q1656" s="2" t="str">
        <f>IF($C1656="","",IFERROR(VLOOKUP($C1656,sources!$A$2:$N$200,2,FALSE()),"?"))</f>
        <v>Map</v>
      </c>
      <c r="R1656" s="2" t="str">
        <f t="shared" si="25"/>
        <v>Map</v>
      </c>
      <c r="S1656" s="2" t="str">
        <f>IF($C1656="","",IFERROR(VLOOKUP($C1656,sources!$A$2:$N$200,9,FALSE()),"?"))</f>
        <v>French company</v>
      </c>
      <c r="T1656" t="s">
        <v>5692</v>
      </c>
      <c r="U1656">
        <f>IF(OR(B1656="",C1656="",T1656="Retracted",LEFT(D1656,8)="Negative"),0,IF(COUNTIFS($B$2:B1656,B1656,$C$2:C1656,C1656,$D$2:D1656,"&lt;&gt;Negative*",$T$2:T1656,"&lt;&gt;Retracted")=1,1,0))</f>
        <v>1</v>
      </c>
    </row>
    <row r="1657" spans="1:21" x14ac:dyDescent="0.2">
      <c r="A1657" t="s">
        <v>3751</v>
      </c>
      <c r="B1657" t="s">
        <v>265</v>
      </c>
      <c r="C1657" t="s">
        <v>1490</v>
      </c>
      <c r="D1657" t="s">
        <v>1575</v>
      </c>
      <c r="E1657" t="s">
        <v>3432</v>
      </c>
      <c r="F1657" t="s">
        <v>2423</v>
      </c>
      <c r="K1657" t="s">
        <v>1493</v>
      </c>
      <c r="L1657" t="s">
        <v>1493</v>
      </c>
      <c r="M1657" t="s">
        <v>203</v>
      </c>
      <c r="N1657" t="s">
        <v>203</v>
      </c>
      <c r="Q1657" s="2" t="str">
        <f>IF($C1657="","",IFERROR(VLOOKUP($C1657,sources!$A$2:$N$200,2,FALSE()),"?"))</f>
        <v>Map</v>
      </c>
      <c r="R1657" s="2" t="str">
        <f t="shared" si="25"/>
        <v>Map</v>
      </c>
      <c r="S1657" s="2" t="str">
        <f>IF($C1657="","",IFERROR(VLOOKUP($C1657,sources!$A$2:$N$200,9,FALSE()),"?"))</f>
        <v>French company</v>
      </c>
      <c r="T1657" t="s">
        <v>5692</v>
      </c>
      <c r="U1657">
        <f>IF(OR(B1657="",C1657="",T1657="Retracted",LEFT(D1657,8)="Negative"),0,IF(COUNTIFS($B$2:B1657,B1657,$C$2:C1657,C1657,$D$2:D1657,"&lt;&gt;Negative*",$T$2:T1657,"&lt;&gt;Retracted")=1,1,0))</f>
        <v>1</v>
      </c>
    </row>
    <row r="1658" spans="1:21" x14ac:dyDescent="0.2">
      <c r="A1658" t="s">
        <v>3752</v>
      </c>
      <c r="B1658" t="s">
        <v>360</v>
      </c>
      <c r="C1658" t="s">
        <v>1490</v>
      </c>
      <c r="D1658" t="s">
        <v>1575</v>
      </c>
      <c r="E1658" t="s">
        <v>3423</v>
      </c>
      <c r="F1658" t="s">
        <v>2423</v>
      </c>
      <c r="K1658" t="s">
        <v>1493</v>
      </c>
      <c r="L1658" t="s">
        <v>1493</v>
      </c>
      <c r="M1658" t="s">
        <v>203</v>
      </c>
      <c r="N1658" t="s">
        <v>203</v>
      </c>
      <c r="Q1658" s="2" t="str">
        <f>IF($C1658="","",IFERROR(VLOOKUP($C1658,sources!$A$2:$N$200,2,FALSE()),"?"))</f>
        <v>Map</v>
      </c>
      <c r="R1658" s="2" t="str">
        <f t="shared" si="25"/>
        <v>Map</v>
      </c>
      <c r="S1658" s="2" t="str">
        <f>IF($C1658="","",IFERROR(VLOOKUP($C1658,sources!$A$2:$N$200,9,FALSE()),"?"))</f>
        <v>French company</v>
      </c>
      <c r="T1658" t="s">
        <v>5692</v>
      </c>
      <c r="U1658">
        <f>IF(OR(B1658="",C1658="",T1658="Retracted",LEFT(D1658,8)="Negative"),0,IF(COUNTIFS($B$2:B1658,B1658,$C$2:C1658,C1658,$D$2:D1658,"&lt;&gt;Negative*",$T$2:T1658,"&lt;&gt;Retracted")=1,1,0))</f>
        <v>1</v>
      </c>
    </row>
    <row r="1659" spans="1:21" x14ac:dyDescent="0.2">
      <c r="A1659" t="s">
        <v>3753</v>
      </c>
      <c r="B1659" t="s">
        <v>194</v>
      </c>
      <c r="C1659" t="s">
        <v>1490</v>
      </c>
      <c r="D1659" t="s">
        <v>1575</v>
      </c>
      <c r="E1659" t="s">
        <v>3754</v>
      </c>
      <c r="F1659" t="s">
        <v>2423</v>
      </c>
      <c r="K1659" t="s">
        <v>1493</v>
      </c>
      <c r="L1659" t="s">
        <v>1493</v>
      </c>
      <c r="M1659" t="s">
        <v>203</v>
      </c>
      <c r="N1659" t="s">
        <v>203</v>
      </c>
      <c r="Q1659" s="2" t="str">
        <f>IF($C1659="","",IFERROR(VLOOKUP($C1659,sources!$A$2:$N$200,2,FALSE()),"?"))</f>
        <v>Map</v>
      </c>
      <c r="R1659" s="2" t="str">
        <f t="shared" si="25"/>
        <v>Map</v>
      </c>
      <c r="S1659" s="2" t="str">
        <f>IF($C1659="","",IFERROR(VLOOKUP($C1659,sources!$A$2:$N$200,9,FALSE()),"?"))</f>
        <v>French company</v>
      </c>
      <c r="T1659" t="s">
        <v>5692</v>
      </c>
      <c r="U1659">
        <f>IF(OR(B1659="",C1659="",T1659="Retracted",LEFT(D1659,8)="Negative"),0,IF(COUNTIFS($B$2:B1659,B1659,$C$2:C1659,C1659,$D$2:D1659,"&lt;&gt;Negative*",$T$2:T1659,"&lt;&gt;Retracted")=1,1,0))</f>
        <v>1</v>
      </c>
    </row>
    <row r="1660" spans="1:21" x14ac:dyDescent="0.2">
      <c r="A1660" t="s">
        <v>3755</v>
      </c>
      <c r="B1660" t="s">
        <v>215</v>
      </c>
      <c r="C1660" t="s">
        <v>1490</v>
      </c>
      <c r="D1660" t="s">
        <v>1575</v>
      </c>
      <c r="E1660" t="s">
        <v>3756</v>
      </c>
      <c r="F1660" t="s">
        <v>2423</v>
      </c>
      <c r="K1660" t="s">
        <v>1493</v>
      </c>
      <c r="L1660" t="s">
        <v>1493</v>
      </c>
      <c r="M1660" t="s">
        <v>203</v>
      </c>
      <c r="N1660" t="s">
        <v>203</v>
      </c>
      <c r="Q1660" s="2" t="str">
        <f>IF($C1660="","",IFERROR(VLOOKUP($C1660,sources!$A$2:$N$200,2,FALSE()),"?"))</f>
        <v>Map</v>
      </c>
      <c r="R1660" s="2" t="str">
        <f t="shared" si="25"/>
        <v>Map</v>
      </c>
      <c r="S1660" s="2" t="str">
        <f>IF($C1660="","",IFERROR(VLOOKUP($C1660,sources!$A$2:$N$200,9,FALSE()),"?"))</f>
        <v>French company</v>
      </c>
      <c r="T1660" t="s">
        <v>5692</v>
      </c>
      <c r="U1660">
        <f>IF(OR(B1660="",C1660="",T1660="Retracted",LEFT(D1660,8)="Negative"),0,IF(COUNTIFS($B$2:B1660,B1660,$C$2:C1660,C1660,$D$2:D1660,"&lt;&gt;Negative*",$T$2:T1660,"&lt;&gt;Retracted")=1,1,0))</f>
        <v>1</v>
      </c>
    </row>
    <row r="1661" spans="1:21" x14ac:dyDescent="0.2">
      <c r="A1661" t="s">
        <v>3757</v>
      </c>
      <c r="B1661" t="s">
        <v>242</v>
      </c>
      <c r="C1661" t="s">
        <v>1490</v>
      </c>
      <c r="D1661" t="s">
        <v>1575</v>
      </c>
      <c r="E1661" t="s">
        <v>243</v>
      </c>
      <c r="F1661" t="s">
        <v>2423</v>
      </c>
      <c r="K1661" t="s">
        <v>1493</v>
      </c>
      <c r="L1661" t="s">
        <v>1493</v>
      </c>
      <c r="M1661" t="s">
        <v>203</v>
      </c>
      <c r="N1661" t="s">
        <v>203</v>
      </c>
      <c r="Q1661" s="2" t="str">
        <f>IF($C1661="","",IFERROR(VLOOKUP($C1661,sources!$A$2:$N$200,2,FALSE()),"?"))</f>
        <v>Map</v>
      </c>
      <c r="R1661" s="2" t="str">
        <f t="shared" si="25"/>
        <v>Map</v>
      </c>
      <c r="S1661" s="2" t="str">
        <f>IF($C1661="","",IFERROR(VLOOKUP($C1661,sources!$A$2:$N$200,9,FALSE()),"?"))</f>
        <v>French company</v>
      </c>
      <c r="T1661" t="s">
        <v>5692</v>
      </c>
      <c r="U1661">
        <f>IF(OR(B1661="",C1661="",T1661="Retracted",LEFT(D1661,8)="Negative"),0,IF(COUNTIFS($B$2:B1661,B1661,$C$2:C1661,C1661,$D$2:D1661,"&lt;&gt;Negative*",$T$2:T1661,"&lt;&gt;Retracted")=1,1,0))</f>
        <v>1</v>
      </c>
    </row>
    <row r="1662" spans="1:21" x14ac:dyDescent="0.2">
      <c r="A1662" t="s">
        <v>3758</v>
      </c>
      <c r="B1662" t="s">
        <v>179</v>
      </c>
      <c r="C1662" t="s">
        <v>1490</v>
      </c>
      <c r="D1662" t="s">
        <v>1575</v>
      </c>
      <c r="E1662" t="s">
        <v>180</v>
      </c>
      <c r="F1662" t="s">
        <v>2423</v>
      </c>
      <c r="K1662" t="s">
        <v>1493</v>
      </c>
      <c r="L1662" t="s">
        <v>1493</v>
      </c>
      <c r="M1662" t="s">
        <v>203</v>
      </c>
      <c r="N1662" t="s">
        <v>203</v>
      </c>
      <c r="Q1662" s="2" t="str">
        <f>IF($C1662="","",IFERROR(VLOOKUP($C1662,sources!$A$2:$N$200,2,FALSE()),"?"))</f>
        <v>Map</v>
      </c>
      <c r="R1662" s="2" t="str">
        <f t="shared" si="25"/>
        <v>Map</v>
      </c>
      <c r="S1662" s="2" t="str">
        <f>IF($C1662="","",IFERROR(VLOOKUP($C1662,sources!$A$2:$N$200,9,FALSE()),"?"))</f>
        <v>French company</v>
      </c>
      <c r="T1662" t="s">
        <v>5692</v>
      </c>
      <c r="U1662">
        <f>IF(OR(B1662="",C1662="",T1662="Retracted",LEFT(D1662,8)="Negative"),0,IF(COUNTIFS($B$2:B1662,B1662,$C$2:C1662,C1662,$D$2:D1662,"&lt;&gt;Negative*",$T$2:T1662,"&lt;&gt;Retracted")=1,1,0))</f>
        <v>1</v>
      </c>
    </row>
    <row r="1663" spans="1:21" x14ac:dyDescent="0.2">
      <c r="A1663" t="s">
        <v>3759</v>
      </c>
      <c r="B1663" t="s">
        <v>253</v>
      </c>
      <c r="C1663" t="s">
        <v>1490</v>
      </c>
      <c r="D1663" t="s">
        <v>1575</v>
      </c>
      <c r="E1663" t="s">
        <v>3760</v>
      </c>
      <c r="F1663" t="s">
        <v>2423</v>
      </c>
      <c r="K1663" t="s">
        <v>1493</v>
      </c>
      <c r="L1663" t="s">
        <v>1493</v>
      </c>
      <c r="M1663" t="s">
        <v>203</v>
      </c>
      <c r="N1663" t="s">
        <v>203</v>
      </c>
      <c r="Q1663" s="2" t="str">
        <f>IF($C1663="","",IFERROR(VLOOKUP($C1663,sources!$A$2:$N$200,2,FALSE()),"?"))</f>
        <v>Map</v>
      </c>
      <c r="R1663" s="2" t="str">
        <f t="shared" si="25"/>
        <v>Map</v>
      </c>
      <c r="S1663" s="2" t="str">
        <f>IF($C1663="","",IFERROR(VLOOKUP($C1663,sources!$A$2:$N$200,9,FALSE()),"?"))</f>
        <v>French company</v>
      </c>
      <c r="T1663" t="s">
        <v>5692</v>
      </c>
      <c r="U1663">
        <f>IF(OR(B1663="",C1663="",T1663="Retracted",LEFT(D1663,8)="Negative"),0,IF(COUNTIFS($B$2:B1663,B1663,$C$2:C1663,C1663,$D$2:D1663,"&lt;&gt;Negative*",$T$2:T1663,"&lt;&gt;Retracted")=1,1,0))</f>
        <v>1</v>
      </c>
    </row>
    <row r="1664" spans="1:21" x14ac:dyDescent="0.2">
      <c r="A1664" t="s">
        <v>3761</v>
      </c>
      <c r="B1664" t="s">
        <v>575</v>
      </c>
      <c r="C1664" t="s">
        <v>1490</v>
      </c>
      <c r="D1664" t="s">
        <v>1564</v>
      </c>
      <c r="E1664" t="s">
        <v>3762</v>
      </c>
      <c r="F1664" t="s">
        <v>2423</v>
      </c>
      <c r="M1664" t="s">
        <v>203</v>
      </c>
      <c r="N1664" t="s">
        <v>203</v>
      </c>
      <c r="Q1664" s="2" t="str">
        <f>IF($C1664="","",IFERROR(VLOOKUP($C1664,sources!$A$2:$N$200,2,FALSE()),"?"))</f>
        <v>Map</v>
      </c>
      <c r="R1664" s="2" t="str">
        <f t="shared" si="25"/>
        <v>Map</v>
      </c>
      <c r="S1664" s="2" t="str">
        <f>IF($C1664="","",IFERROR(VLOOKUP($C1664,sources!$A$2:$N$200,9,FALSE()),"?"))</f>
        <v>French company</v>
      </c>
      <c r="T1664" t="s">
        <v>5692</v>
      </c>
      <c r="U1664">
        <f>IF(OR(B1664="",C1664="",T1664="Retracted",LEFT(D1664,8)="Negative"),0,IF(COUNTIFS($B$2:B1664,B1664,$C$2:C1664,C1664,$D$2:D1664,"&lt;&gt;Negative*",$T$2:T1664,"&lt;&gt;Retracted")=1,1,0))</f>
        <v>1</v>
      </c>
    </row>
    <row r="1665" spans="1:21" x14ac:dyDescent="0.2">
      <c r="A1665" t="s">
        <v>3763</v>
      </c>
      <c r="B1665" t="s">
        <v>233</v>
      </c>
      <c r="C1665" t="s">
        <v>1490</v>
      </c>
      <c r="D1665" t="s">
        <v>1575</v>
      </c>
      <c r="E1665" t="s">
        <v>305</v>
      </c>
      <c r="F1665" t="s">
        <v>2423</v>
      </c>
      <c r="K1665" t="s">
        <v>1493</v>
      </c>
      <c r="L1665" t="s">
        <v>1493</v>
      </c>
      <c r="M1665" t="s">
        <v>203</v>
      </c>
      <c r="N1665" t="s">
        <v>203</v>
      </c>
      <c r="Q1665" s="2" t="str">
        <f>IF($C1665="","",IFERROR(VLOOKUP($C1665,sources!$A$2:$N$200,2,FALSE()),"?"))</f>
        <v>Map</v>
      </c>
      <c r="R1665" s="2" t="str">
        <f t="shared" si="25"/>
        <v>Map</v>
      </c>
      <c r="S1665" s="2" t="str">
        <f>IF($C1665="","",IFERROR(VLOOKUP($C1665,sources!$A$2:$N$200,9,FALSE()),"?"))</f>
        <v>French company</v>
      </c>
      <c r="T1665" t="s">
        <v>5692</v>
      </c>
      <c r="U1665">
        <f>IF(OR(B1665="",C1665="",T1665="Retracted",LEFT(D1665,8)="Negative"),0,IF(COUNTIFS($B$2:B1665,B1665,$C$2:C1665,C1665,$D$2:D1665,"&lt;&gt;Negative*",$T$2:T1665,"&lt;&gt;Retracted")=1,1,0))</f>
        <v>1</v>
      </c>
    </row>
    <row r="1666" spans="1:21" x14ac:dyDescent="0.2">
      <c r="A1666" t="s">
        <v>3764</v>
      </c>
      <c r="B1666" t="s">
        <v>247</v>
      </c>
      <c r="C1666" t="s">
        <v>1490</v>
      </c>
      <c r="D1666" t="s">
        <v>1575</v>
      </c>
      <c r="E1666" t="s">
        <v>248</v>
      </c>
      <c r="F1666" t="s">
        <v>2423</v>
      </c>
      <c r="K1666" t="s">
        <v>1493</v>
      </c>
      <c r="L1666" t="s">
        <v>1493</v>
      </c>
      <c r="M1666" t="s">
        <v>203</v>
      </c>
      <c r="N1666" t="s">
        <v>203</v>
      </c>
      <c r="Q1666" s="2" t="str">
        <f>IF($C1666="","",IFERROR(VLOOKUP($C1666,sources!$A$2:$N$200,2,FALSE()),"?"))</f>
        <v>Map</v>
      </c>
      <c r="R1666" s="2" t="str">
        <f t="shared" ref="R1666:R1729" si="26">IF($Q1666="","",IF($Q1666="Map","Map",IF(OR($Q1666="Photograph",$Q1666="Postcard"),"Image",IF(OR($Q1666="Census or roll",$Q1666="Report",$Q1666="Newspaper",$Q1666="Letter",$Q1666="Memoir",$Q1666="Administrative",$Q1666="Web compilation"),"Textual",IF($Q1666="Legal claim","Legal/admin",IF($Q1666="Secondary","Secondary","Other"))))))</f>
        <v>Map</v>
      </c>
      <c r="S1666" s="2" t="str">
        <f>IF($C1666="","",IFERROR(VLOOKUP($C1666,sources!$A$2:$N$200,9,FALSE()),"?"))</f>
        <v>French company</v>
      </c>
      <c r="T1666" t="s">
        <v>5692</v>
      </c>
      <c r="U1666">
        <f>IF(OR(B1666="",C1666="",T1666="Retracted",LEFT(D1666,8)="Negative"),0,IF(COUNTIFS($B$2:B1666,B1666,$C$2:C1666,C1666,$D$2:D1666,"&lt;&gt;Negative*",$T$2:T1666,"&lt;&gt;Retracted")=1,1,0))</f>
        <v>1</v>
      </c>
    </row>
    <row r="1667" spans="1:21" x14ac:dyDescent="0.2">
      <c r="A1667" t="s">
        <v>3765</v>
      </c>
      <c r="B1667" t="s">
        <v>588</v>
      </c>
      <c r="C1667" t="s">
        <v>1490</v>
      </c>
      <c r="D1667" t="s">
        <v>1564</v>
      </c>
      <c r="E1667" t="s">
        <v>3766</v>
      </c>
      <c r="F1667" t="s">
        <v>2423</v>
      </c>
      <c r="M1667" t="s">
        <v>203</v>
      </c>
      <c r="N1667" t="s">
        <v>203</v>
      </c>
      <c r="Q1667" s="2" t="str">
        <f>IF($C1667="","",IFERROR(VLOOKUP($C1667,sources!$A$2:$N$200,2,FALSE()),"?"))</f>
        <v>Map</v>
      </c>
      <c r="R1667" s="2" t="str">
        <f t="shared" si="26"/>
        <v>Map</v>
      </c>
      <c r="S1667" s="2" t="str">
        <f>IF($C1667="","",IFERROR(VLOOKUP($C1667,sources!$A$2:$N$200,9,FALSE()),"?"))</f>
        <v>French company</v>
      </c>
      <c r="T1667" t="s">
        <v>5692</v>
      </c>
      <c r="U1667">
        <f>IF(OR(B1667="",C1667="",T1667="Retracted",LEFT(D1667,8)="Negative"),0,IF(COUNTIFS($B$2:B1667,B1667,$C$2:C1667,C1667,$D$2:D1667,"&lt;&gt;Negative*",$T$2:T1667,"&lt;&gt;Retracted")=1,1,0))</f>
        <v>1</v>
      </c>
    </row>
    <row r="1668" spans="1:21" ht="26" x14ac:dyDescent="0.2">
      <c r="A1668" t="s">
        <v>3767</v>
      </c>
      <c r="B1668" t="s">
        <v>1008</v>
      </c>
      <c r="C1668" t="s">
        <v>1393</v>
      </c>
      <c r="D1668" t="s">
        <v>1575</v>
      </c>
      <c r="E1668" t="s">
        <v>3768</v>
      </c>
      <c r="F1668" t="s">
        <v>1583</v>
      </c>
      <c r="N1668" t="s">
        <v>203</v>
      </c>
      <c r="Q1668" s="2" t="str">
        <f>IF($C1668="","",IFERROR(VLOOKUP($C1668,sources!$A$2:$N$200,2,FALSE()),"?"))</f>
        <v>Web compilation</v>
      </c>
      <c r="R1668" s="2" t="str">
        <f t="shared" si="26"/>
        <v>Textual</v>
      </c>
      <c r="S1668" s="2" t="str">
        <f>IF($C1668="","",IFERROR(VLOOKUP($C1668,sources!$A$2:$N$200,9,FALSE()),"?"))</f>
        <v>Caribbean community</v>
      </c>
      <c r="T1668" t="s">
        <v>5692</v>
      </c>
      <c r="U1668">
        <f>IF(OR(B1668="",C1668="",T1668="Retracted",LEFT(D1668,8)="Negative"),0,IF(COUNTIFS($B$2:B1668,B1668,$C$2:C1668,C1668,$D$2:D1668,"&lt;&gt;Negative*",$T$2:T1668,"&lt;&gt;Retracted")=1,1,0))</f>
        <v>1</v>
      </c>
    </row>
    <row r="1669" spans="1:21" ht="26" x14ac:dyDescent="0.2">
      <c r="A1669" t="s">
        <v>3769</v>
      </c>
      <c r="B1669" t="s">
        <v>1008</v>
      </c>
      <c r="C1669" t="s">
        <v>1393</v>
      </c>
      <c r="D1669" t="s">
        <v>1575</v>
      </c>
      <c r="E1669" t="s">
        <v>854</v>
      </c>
      <c r="F1669" t="s">
        <v>1583</v>
      </c>
      <c r="N1669" t="s">
        <v>203</v>
      </c>
      <c r="Q1669" s="2" t="str">
        <f>IF($C1669="","",IFERROR(VLOOKUP($C1669,sources!$A$2:$N$200,2,FALSE()),"?"))</f>
        <v>Web compilation</v>
      </c>
      <c r="R1669" s="2" t="str">
        <f t="shared" si="26"/>
        <v>Textual</v>
      </c>
      <c r="S1669" s="2" t="str">
        <f>IF($C1669="","",IFERROR(VLOOKUP($C1669,sources!$A$2:$N$200,9,FALSE()),"?"))</f>
        <v>Caribbean community</v>
      </c>
      <c r="T1669" t="s">
        <v>5692</v>
      </c>
      <c r="U1669">
        <f>IF(OR(B1669="",C1669="",T1669="Retracted",LEFT(D1669,8)="Negative"),0,IF(COUNTIFS($B$2:B1669,B1669,$C$2:C1669,C1669,$D$2:D1669,"&lt;&gt;Negative*",$T$2:T1669,"&lt;&gt;Retracted")=1,1,0))</f>
        <v>0</v>
      </c>
    </row>
    <row r="1670" spans="1:21" x14ac:dyDescent="0.2">
      <c r="A1670" t="s">
        <v>3770</v>
      </c>
      <c r="B1670" t="s">
        <v>335</v>
      </c>
      <c r="C1670" t="s">
        <v>1445</v>
      </c>
      <c r="D1670" t="s">
        <v>1575</v>
      </c>
      <c r="E1670" t="s">
        <v>336</v>
      </c>
      <c r="F1670" t="s">
        <v>1566</v>
      </c>
      <c r="N1670" t="s">
        <v>190</v>
      </c>
      <c r="Q1670" s="2" t="str">
        <f>IF($C1670="","",IFERROR(VLOOKUP($C1670,sources!$A$2:$N$200,2,FALSE()),"?"))</f>
        <v>Newspaper</v>
      </c>
      <c r="R1670" s="2" t="str">
        <f t="shared" si="26"/>
        <v>Textual</v>
      </c>
      <c r="S1670" s="2" t="str">
        <f>IF($C1670="","",IFERROR(VLOOKUP($C1670,sources!$A$2:$N$200,9,FALSE()),"?"))</f>
        <v>Panamanian</v>
      </c>
      <c r="T1670" t="s">
        <v>5692</v>
      </c>
      <c r="U1670">
        <f>IF(OR(B1670="",C1670="",T1670="Retracted",LEFT(D1670,8)="Negative"),0,IF(COUNTIFS($B$2:B1670,B1670,$C$2:C1670,C1670,$D$2:D1670,"&lt;&gt;Negative*",$T$2:T1670,"&lt;&gt;Retracted")=1,1,0))</f>
        <v>1</v>
      </c>
    </row>
    <row r="1671" spans="1:21" x14ac:dyDescent="0.2">
      <c r="A1671" t="s">
        <v>3771</v>
      </c>
      <c r="B1671" t="s">
        <v>592</v>
      </c>
      <c r="C1671" t="s">
        <v>1445</v>
      </c>
      <c r="D1671" t="s">
        <v>1613</v>
      </c>
      <c r="E1671" t="s">
        <v>593</v>
      </c>
      <c r="F1671" t="s">
        <v>1566</v>
      </c>
      <c r="N1671" t="s">
        <v>209</v>
      </c>
      <c r="Q1671" s="2" t="str">
        <f>IF($C1671="","",IFERROR(VLOOKUP($C1671,sources!$A$2:$N$200,2,FALSE()),"?"))</f>
        <v>Newspaper</v>
      </c>
      <c r="R1671" s="2" t="str">
        <f t="shared" si="26"/>
        <v>Textual</v>
      </c>
      <c r="S1671" s="2" t="str">
        <f>IF($C1671="","",IFERROR(VLOOKUP($C1671,sources!$A$2:$N$200,9,FALSE()),"?"))</f>
        <v>Panamanian</v>
      </c>
      <c r="T1671" t="s">
        <v>5692</v>
      </c>
      <c r="U1671">
        <f>IF(OR(B1671="",C1671="",T1671="Retracted",LEFT(D1671,8)="Negative"),0,IF(COUNTIFS($B$2:B1671,B1671,$C$2:C1671,C1671,$D$2:D1671,"&lt;&gt;Negative*",$T$2:T1671,"&lt;&gt;Retracted")=1,1,0))</f>
        <v>0</v>
      </c>
    </row>
    <row r="1672" spans="1:21" x14ac:dyDescent="0.2">
      <c r="A1672" t="s">
        <v>3772</v>
      </c>
      <c r="B1672" t="s">
        <v>630</v>
      </c>
      <c r="C1672" t="s">
        <v>1445</v>
      </c>
      <c r="D1672" t="s">
        <v>1575</v>
      </c>
      <c r="E1672" t="s">
        <v>631</v>
      </c>
      <c r="F1672" t="s">
        <v>1566</v>
      </c>
      <c r="N1672" t="s">
        <v>190</v>
      </c>
      <c r="Q1672" s="2" t="str">
        <f>IF($C1672="","",IFERROR(VLOOKUP($C1672,sources!$A$2:$N$200,2,FALSE()),"?"))</f>
        <v>Newspaper</v>
      </c>
      <c r="R1672" s="2" t="str">
        <f t="shared" si="26"/>
        <v>Textual</v>
      </c>
      <c r="S1672" s="2" t="str">
        <f>IF($C1672="","",IFERROR(VLOOKUP($C1672,sources!$A$2:$N$200,9,FALSE()),"?"))</f>
        <v>Panamanian</v>
      </c>
      <c r="T1672" t="s">
        <v>5692</v>
      </c>
      <c r="U1672">
        <f>IF(OR(B1672="",C1672="",T1672="Retracted",LEFT(D1672,8)="Negative"),0,IF(COUNTIFS($B$2:B1672,B1672,$C$2:C1672,C1672,$D$2:D1672,"&lt;&gt;Negative*",$T$2:T1672,"&lt;&gt;Retracted")=1,1,0))</f>
        <v>1</v>
      </c>
    </row>
    <row r="1673" spans="1:21" x14ac:dyDescent="0.2">
      <c r="A1673" t="s">
        <v>3773</v>
      </c>
      <c r="B1673" t="s">
        <v>595</v>
      </c>
      <c r="C1673" t="s">
        <v>1445</v>
      </c>
      <c r="D1673" t="s">
        <v>1613</v>
      </c>
      <c r="E1673" t="s">
        <v>596</v>
      </c>
      <c r="F1673" t="s">
        <v>1566</v>
      </c>
      <c r="N1673" t="s">
        <v>209</v>
      </c>
      <c r="Q1673" s="2" t="str">
        <f>IF($C1673="","",IFERROR(VLOOKUP($C1673,sources!$A$2:$N$200,2,FALSE()),"?"))</f>
        <v>Newspaper</v>
      </c>
      <c r="R1673" s="2" t="str">
        <f t="shared" si="26"/>
        <v>Textual</v>
      </c>
      <c r="S1673" s="2" t="str">
        <f>IF($C1673="","",IFERROR(VLOOKUP($C1673,sources!$A$2:$N$200,9,FALSE()),"?"))</f>
        <v>Panamanian</v>
      </c>
      <c r="T1673" t="s">
        <v>5692</v>
      </c>
      <c r="U1673">
        <f>IF(OR(B1673="",C1673="",T1673="Retracted",LEFT(D1673,8)="Negative"),0,IF(COUNTIFS($B$2:B1673,B1673,$C$2:C1673,C1673,$D$2:D1673,"&lt;&gt;Negative*",$T$2:T1673,"&lt;&gt;Retracted")=1,1,0))</f>
        <v>0</v>
      </c>
    </row>
    <row r="1674" spans="1:21" x14ac:dyDescent="0.2">
      <c r="A1674" t="s">
        <v>3774</v>
      </c>
      <c r="B1674" t="s">
        <v>330</v>
      </c>
      <c r="C1674" t="s">
        <v>1445</v>
      </c>
      <c r="D1674" t="s">
        <v>1575</v>
      </c>
      <c r="E1674" t="s">
        <v>331</v>
      </c>
      <c r="F1674" t="s">
        <v>1566</v>
      </c>
      <c r="N1674" t="s">
        <v>190</v>
      </c>
      <c r="Q1674" s="2" t="str">
        <f>IF($C1674="","",IFERROR(VLOOKUP($C1674,sources!$A$2:$N$200,2,FALSE()),"?"))</f>
        <v>Newspaper</v>
      </c>
      <c r="R1674" s="2" t="str">
        <f t="shared" si="26"/>
        <v>Textual</v>
      </c>
      <c r="S1674" s="2" t="str">
        <f>IF($C1674="","",IFERROR(VLOOKUP($C1674,sources!$A$2:$N$200,9,FALSE()),"?"))</f>
        <v>Panamanian</v>
      </c>
      <c r="T1674" t="s">
        <v>5692</v>
      </c>
      <c r="U1674">
        <f>IF(OR(B1674="",C1674="",T1674="Retracted",LEFT(D1674,8)="Negative"),0,IF(COUNTIFS($B$2:B1674,B1674,$C$2:C1674,C1674,$D$2:D1674,"&lt;&gt;Negative*",$T$2:T1674,"&lt;&gt;Retracted")=1,1,0))</f>
        <v>1</v>
      </c>
    </row>
    <row r="1675" spans="1:21" x14ac:dyDescent="0.2">
      <c r="A1675" t="s">
        <v>3775</v>
      </c>
      <c r="B1675" t="s">
        <v>475</v>
      </c>
      <c r="C1675" t="s">
        <v>1445</v>
      </c>
      <c r="D1675" t="s">
        <v>1575</v>
      </c>
      <c r="E1675" t="s">
        <v>476</v>
      </c>
      <c r="F1675" t="s">
        <v>1566</v>
      </c>
      <c r="N1675" t="s">
        <v>190</v>
      </c>
      <c r="Q1675" s="2" t="str">
        <f>IF($C1675="","",IFERROR(VLOOKUP($C1675,sources!$A$2:$N$200,2,FALSE()),"?"))</f>
        <v>Newspaper</v>
      </c>
      <c r="R1675" s="2" t="str">
        <f t="shared" si="26"/>
        <v>Textual</v>
      </c>
      <c r="S1675" s="2" t="str">
        <f>IF($C1675="","",IFERROR(VLOOKUP($C1675,sources!$A$2:$N$200,9,FALSE()),"?"))</f>
        <v>Panamanian</v>
      </c>
      <c r="T1675" t="s">
        <v>5692</v>
      </c>
      <c r="U1675">
        <f>IF(OR(B1675="",C1675="",T1675="Retracted",LEFT(D1675,8)="Negative"),0,IF(COUNTIFS($B$2:B1675,B1675,$C$2:C1675,C1675,$D$2:D1675,"&lt;&gt;Negative*",$T$2:T1675,"&lt;&gt;Retracted")=1,1,0))</f>
        <v>1</v>
      </c>
    </row>
    <row r="1676" spans="1:21" x14ac:dyDescent="0.2">
      <c r="A1676" t="s">
        <v>3776</v>
      </c>
      <c r="B1676" t="s">
        <v>689</v>
      </c>
      <c r="C1676" t="s">
        <v>1445</v>
      </c>
      <c r="D1676" t="s">
        <v>1575</v>
      </c>
      <c r="E1676" t="s">
        <v>690</v>
      </c>
      <c r="F1676" t="s">
        <v>1566</v>
      </c>
      <c r="K1676">
        <v>1908</v>
      </c>
      <c r="L1676">
        <v>1908</v>
      </c>
      <c r="M1676" t="s">
        <v>203</v>
      </c>
      <c r="N1676" t="s">
        <v>190</v>
      </c>
      <c r="Q1676" s="2" t="str">
        <f>IF($C1676="","",IFERROR(VLOOKUP($C1676,sources!$A$2:$N$200,2,FALSE()),"?"))</f>
        <v>Newspaper</v>
      </c>
      <c r="R1676" s="2" t="str">
        <f t="shared" si="26"/>
        <v>Textual</v>
      </c>
      <c r="S1676" s="2" t="str">
        <f>IF($C1676="","",IFERROR(VLOOKUP($C1676,sources!$A$2:$N$200,9,FALSE()),"?"))</f>
        <v>Panamanian</v>
      </c>
      <c r="T1676" t="s">
        <v>5692</v>
      </c>
      <c r="U1676">
        <f>IF(OR(B1676="",C1676="",T1676="Retracted",LEFT(D1676,8)="Negative"),0,IF(COUNTIFS($B$2:B1676,B1676,$C$2:C1676,C1676,$D$2:D1676,"&lt;&gt;Negative*",$T$2:T1676,"&lt;&gt;Retracted")=1,1,0))</f>
        <v>1</v>
      </c>
    </row>
    <row r="1677" spans="1:21" x14ac:dyDescent="0.2">
      <c r="A1677" t="s">
        <v>3777</v>
      </c>
      <c r="B1677" t="s">
        <v>354</v>
      </c>
      <c r="C1677" t="s">
        <v>1445</v>
      </c>
      <c r="D1677" t="s">
        <v>1575</v>
      </c>
      <c r="E1677" t="s">
        <v>355</v>
      </c>
      <c r="F1677" t="s">
        <v>1566</v>
      </c>
      <c r="N1677" t="s">
        <v>190</v>
      </c>
      <c r="Q1677" s="2" t="str">
        <f>IF($C1677="","",IFERROR(VLOOKUP($C1677,sources!$A$2:$N$200,2,FALSE()),"?"))</f>
        <v>Newspaper</v>
      </c>
      <c r="R1677" s="2" t="str">
        <f t="shared" si="26"/>
        <v>Textual</v>
      </c>
      <c r="S1677" s="2" t="str">
        <f>IF($C1677="","",IFERROR(VLOOKUP($C1677,sources!$A$2:$N$200,9,FALSE()),"?"))</f>
        <v>Panamanian</v>
      </c>
      <c r="T1677" t="s">
        <v>5692</v>
      </c>
      <c r="U1677">
        <f>IF(OR(B1677="",C1677="",T1677="Retracted",LEFT(D1677,8)="Negative"),0,IF(COUNTIFS($B$2:B1677,B1677,$C$2:C1677,C1677,$D$2:D1677,"&lt;&gt;Negative*",$T$2:T1677,"&lt;&gt;Retracted")=1,1,0))</f>
        <v>1</v>
      </c>
    </row>
    <row r="1678" spans="1:21" x14ac:dyDescent="0.2">
      <c r="A1678" t="s">
        <v>3778</v>
      </c>
      <c r="B1678" t="s">
        <v>625</v>
      </c>
      <c r="C1678" t="s">
        <v>1445</v>
      </c>
      <c r="D1678" t="s">
        <v>1575</v>
      </c>
      <c r="E1678" t="s">
        <v>626</v>
      </c>
      <c r="F1678" t="s">
        <v>1566</v>
      </c>
      <c r="K1678">
        <v>1910</v>
      </c>
      <c r="L1678">
        <v>1911</v>
      </c>
      <c r="M1678" t="s">
        <v>203</v>
      </c>
      <c r="N1678" t="s">
        <v>209</v>
      </c>
      <c r="Q1678" s="2" t="str">
        <f>IF($C1678="","",IFERROR(VLOOKUP($C1678,sources!$A$2:$N$200,2,FALSE()),"?"))</f>
        <v>Newspaper</v>
      </c>
      <c r="R1678" s="2" t="str">
        <f t="shared" si="26"/>
        <v>Textual</v>
      </c>
      <c r="S1678" s="2" t="str">
        <f>IF($C1678="","",IFERROR(VLOOKUP($C1678,sources!$A$2:$N$200,9,FALSE()),"?"))</f>
        <v>Panamanian</v>
      </c>
      <c r="T1678" t="s">
        <v>5692</v>
      </c>
      <c r="U1678">
        <f>IF(OR(B1678="",C1678="",T1678="Retracted",LEFT(D1678,8)="Negative"),0,IF(COUNTIFS($B$2:B1678,B1678,$C$2:C1678,C1678,$D$2:D1678,"&lt;&gt;Negative*",$T$2:T1678,"&lt;&gt;Retracted")=1,1,0))</f>
        <v>1</v>
      </c>
    </row>
    <row r="1679" spans="1:21" x14ac:dyDescent="0.2">
      <c r="A1679" t="s">
        <v>3779</v>
      </c>
      <c r="B1679" t="s">
        <v>588</v>
      </c>
      <c r="C1679" t="s">
        <v>1445</v>
      </c>
      <c r="D1679" t="s">
        <v>1575</v>
      </c>
      <c r="E1679" t="s">
        <v>589</v>
      </c>
      <c r="F1679" t="s">
        <v>1566</v>
      </c>
      <c r="N1679" t="s">
        <v>190</v>
      </c>
      <c r="Q1679" s="2" t="str">
        <f>IF($C1679="","",IFERROR(VLOOKUP($C1679,sources!$A$2:$N$200,2,FALSE()),"?"))</f>
        <v>Newspaper</v>
      </c>
      <c r="R1679" s="2" t="str">
        <f t="shared" si="26"/>
        <v>Textual</v>
      </c>
      <c r="S1679" s="2" t="str">
        <f>IF($C1679="","",IFERROR(VLOOKUP($C1679,sources!$A$2:$N$200,9,FALSE()),"?"))</f>
        <v>Panamanian</v>
      </c>
      <c r="T1679" t="s">
        <v>5692</v>
      </c>
      <c r="U1679">
        <f>IF(OR(B1679="",C1679="",T1679="Retracted",LEFT(D1679,8)="Negative"),0,IF(COUNTIFS($B$2:B1679,B1679,$C$2:C1679,C1679,$D$2:D1679,"&lt;&gt;Negative*",$T$2:T1679,"&lt;&gt;Retracted")=1,1,0))</f>
        <v>1</v>
      </c>
    </row>
    <row r="1680" spans="1:21" x14ac:dyDescent="0.2">
      <c r="A1680" t="s">
        <v>3780</v>
      </c>
      <c r="B1680" t="s">
        <v>515</v>
      </c>
      <c r="C1680" t="s">
        <v>1445</v>
      </c>
      <c r="D1680" t="s">
        <v>1575</v>
      </c>
      <c r="E1680" t="s">
        <v>516</v>
      </c>
      <c r="F1680" t="s">
        <v>1566</v>
      </c>
      <c r="N1680" t="s">
        <v>190</v>
      </c>
      <c r="Q1680" s="2" t="str">
        <f>IF($C1680="","",IFERROR(VLOOKUP($C1680,sources!$A$2:$N$200,2,FALSE()),"?"))</f>
        <v>Newspaper</v>
      </c>
      <c r="R1680" s="2" t="str">
        <f t="shared" si="26"/>
        <v>Textual</v>
      </c>
      <c r="S1680" s="2" t="str">
        <f>IF($C1680="","",IFERROR(VLOOKUP($C1680,sources!$A$2:$N$200,9,FALSE()),"?"))</f>
        <v>Panamanian</v>
      </c>
      <c r="T1680" t="s">
        <v>5692</v>
      </c>
      <c r="U1680">
        <f>IF(OR(B1680="",C1680="",T1680="Retracted",LEFT(D1680,8)="Negative"),0,IF(COUNTIFS($B$2:B1680,B1680,$C$2:C1680,C1680,$D$2:D1680,"&lt;&gt;Negative*",$T$2:T1680,"&lt;&gt;Retracted")=1,1,0))</f>
        <v>1</v>
      </c>
    </row>
    <row r="1681" spans="1:21" x14ac:dyDescent="0.2">
      <c r="A1681" t="s">
        <v>3781</v>
      </c>
      <c r="B1681" t="s">
        <v>179</v>
      </c>
      <c r="C1681" t="s">
        <v>1445</v>
      </c>
      <c r="D1681" t="s">
        <v>1575</v>
      </c>
      <c r="E1681" t="s">
        <v>180</v>
      </c>
      <c r="F1681" t="s">
        <v>1566</v>
      </c>
      <c r="N1681" t="s">
        <v>190</v>
      </c>
      <c r="Q1681" s="2" t="str">
        <f>IF($C1681="","",IFERROR(VLOOKUP($C1681,sources!$A$2:$N$200,2,FALSE()),"?"))</f>
        <v>Newspaper</v>
      </c>
      <c r="R1681" s="2" t="str">
        <f t="shared" si="26"/>
        <v>Textual</v>
      </c>
      <c r="S1681" s="2" t="str">
        <f>IF($C1681="","",IFERROR(VLOOKUP($C1681,sources!$A$2:$N$200,9,FALSE()),"?"))</f>
        <v>Panamanian</v>
      </c>
      <c r="T1681" t="s">
        <v>5692</v>
      </c>
      <c r="U1681">
        <f>IF(OR(B1681="",C1681="",T1681="Retracted",LEFT(D1681,8)="Negative"),0,IF(COUNTIFS($B$2:B1681,B1681,$C$2:C1681,C1681,$D$2:D1681,"&lt;&gt;Negative*",$T$2:T1681,"&lt;&gt;Retracted")=1,1,0))</f>
        <v>1</v>
      </c>
    </row>
    <row r="1682" spans="1:21" x14ac:dyDescent="0.2">
      <c r="A1682" t="s">
        <v>3782</v>
      </c>
      <c r="B1682" t="s">
        <v>383</v>
      </c>
      <c r="C1682" t="s">
        <v>1445</v>
      </c>
      <c r="D1682" t="s">
        <v>1575</v>
      </c>
      <c r="E1682" t="s">
        <v>384</v>
      </c>
      <c r="F1682" t="s">
        <v>1566</v>
      </c>
      <c r="N1682" t="s">
        <v>190</v>
      </c>
      <c r="Q1682" s="2" t="str">
        <f>IF($C1682="","",IFERROR(VLOOKUP($C1682,sources!$A$2:$N$200,2,FALSE()),"?"))</f>
        <v>Newspaper</v>
      </c>
      <c r="R1682" s="2" t="str">
        <f t="shared" si="26"/>
        <v>Textual</v>
      </c>
      <c r="S1682" s="2" t="str">
        <f>IF($C1682="","",IFERROR(VLOOKUP($C1682,sources!$A$2:$N$200,9,FALSE()),"?"))</f>
        <v>Panamanian</v>
      </c>
      <c r="T1682" t="s">
        <v>5692</v>
      </c>
      <c r="U1682">
        <f>IF(OR(B1682="",C1682="",T1682="Retracted",LEFT(D1682,8)="Negative"),0,IF(COUNTIFS($B$2:B1682,B1682,$C$2:C1682,C1682,$D$2:D1682,"&lt;&gt;Negative*",$T$2:T1682,"&lt;&gt;Retracted")=1,1,0))</f>
        <v>1</v>
      </c>
    </row>
    <row r="1683" spans="1:21" x14ac:dyDescent="0.2">
      <c r="A1683" t="s">
        <v>3783</v>
      </c>
      <c r="B1683" t="s">
        <v>599</v>
      </c>
      <c r="C1683" t="s">
        <v>1445</v>
      </c>
      <c r="D1683" t="s">
        <v>1575</v>
      </c>
      <c r="E1683" t="s">
        <v>600</v>
      </c>
      <c r="F1683" t="s">
        <v>1566</v>
      </c>
      <c r="N1683" t="s">
        <v>190</v>
      </c>
      <c r="Q1683" s="2" t="str">
        <f>IF($C1683="","",IFERROR(VLOOKUP($C1683,sources!$A$2:$N$200,2,FALSE()),"?"))</f>
        <v>Newspaper</v>
      </c>
      <c r="R1683" s="2" t="str">
        <f t="shared" si="26"/>
        <v>Textual</v>
      </c>
      <c r="S1683" s="2" t="str">
        <f>IF($C1683="","",IFERROR(VLOOKUP($C1683,sources!$A$2:$N$200,9,FALSE()),"?"))</f>
        <v>Panamanian</v>
      </c>
      <c r="T1683" t="s">
        <v>5692</v>
      </c>
      <c r="U1683">
        <f>IF(OR(B1683="",C1683="",T1683="Retracted",LEFT(D1683,8)="Negative"),0,IF(COUNTIFS($B$2:B1683,B1683,$C$2:C1683,C1683,$D$2:D1683,"&lt;&gt;Negative*",$T$2:T1683,"&lt;&gt;Retracted")=1,1,0))</f>
        <v>1</v>
      </c>
    </row>
    <row r="1684" spans="1:21" x14ac:dyDescent="0.2">
      <c r="A1684" t="s">
        <v>3784</v>
      </c>
      <c r="B1684" t="s">
        <v>447</v>
      </c>
      <c r="C1684" t="s">
        <v>1445</v>
      </c>
      <c r="D1684" t="s">
        <v>1575</v>
      </c>
      <c r="E1684" t="s">
        <v>448</v>
      </c>
      <c r="F1684" t="s">
        <v>1566</v>
      </c>
      <c r="N1684" t="s">
        <v>190</v>
      </c>
      <c r="Q1684" s="2" t="str">
        <f>IF($C1684="","",IFERROR(VLOOKUP($C1684,sources!$A$2:$N$200,2,FALSE()),"?"))</f>
        <v>Newspaper</v>
      </c>
      <c r="R1684" s="2" t="str">
        <f t="shared" si="26"/>
        <v>Textual</v>
      </c>
      <c r="S1684" s="2" t="str">
        <f>IF($C1684="","",IFERROR(VLOOKUP($C1684,sources!$A$2:$N$200,9,FALSE()),"?"))</f>
        <v>Panamanian</v>
      </c>
      <c r="T1684" t="s">
        <v>5692</v>
      </c>
      <c r="U1684">
        <f>IF(OR(B1684="",C1684="",T1684="Retracted",LEFT(D1684,8)="Negative"),0,IF(COUNTIFS($B$2:B1684,B1684,$C$2:C1684,C1684,$D$2:D1684,"&lt;&gt;Negative*",$T$2:T1684,"&lt;&gt;Retracted")=1,1,0))</f>
        <v>1</v>
      </c>
    </row>
    <row r="1685" spans="1:21" x14ac:dyDescent="0.2">
      <c r="A1685" t="s">
        <v>3785</v>
      </c>
      <c r="B1685" t="s">
        <v>344</v>
      </c>
      <c r="C1685" t="s">
        <v>1445</v>
      </c>
      <c r="D1685" t="s">
        <v>1575</v>
      </c>
      <c r="E1685" t="s">
        <v>345</v>
      </c>
      <c r="F1685" t="s">
        <v>1566</v>
      </c>
      <c r="K1685">
        <v>1904</v>
      </c>
      <c r="M1685" t="s">
        <v>203</v>
      </c>
      <c r="N1685" t="s">
        <v>209</v>
      </c>
      <c r="Q1685" s="2" t="str">
        <f>IF($C1685="","",IFERROR(VLOOKUP($C1685,sources!$A$2:$N$200,2,FALSE()),"?"))</f>
        <v>Newspaper</v>
      </c>
      <c r="R1685" s="2" t="str">
        <f t="shared" si="26"/>
        <v>Textual</v>
      </c>
      <c r="S1685" s="2" t="str">
        <f>IF($C1685="","",IFERROR(VLOOKUP($C1685,sources!$A$2:$N$200,9,FALSE()),"?"))</f>
        <v>Panamanian</v>
      </c>
      <c r="T1685" t="s">
        <v>5692</v>
      </c>
      <c r="U1685">
        <f>IF(OR(B1685="",C1685="",T1685="Retracted",LEFT(D1685,8)="Negative"),0,IF(COUNTIFS($B$2:B1685,B1685,$C$2:C1685,C1685,$D$2:D1685,"&lt;&gt;Negative*",$T$2:T1685,"&lt;&gt;Retracted")=1,1,0))</f>
        <v>1</v>
      </c>
    </row>
    <row r="1686" spans="1:21" x14ac:dyDescent="0.2">
      <c r="A1686" t="s">
        <v>3786</v>
      </c>
      <c r="B1686" t="s">
        <v>639</v>
      </c>
      <c r="C1686" t="s">
        <v>1445</v>
      </c>
      <c r="D1686" t="s">
        <v>1575</v>
      </c>
      <c r="E1686" t="s">
        <v>640</v>
      </c>
      <c r="F1686" t="s">
        <v>1566</v>
      </c>
      <c r="N1686" t="s">
        <v>190</v>
      </c>
      <c r="Q1686" s="2" t="str">
        <f>IF($C1686="","",IFERROR(VLOOKUP($C1686,sources!$A$2:$N$200,2,FALSE()),"?"))</f>
        <v>Newspaper</v>
      </c>
      <c r="R1686" s="2" t="str">
        <f t="shared" si="26"/>
        <v>Textual</v>
      </c>
      <c r="S1686" s="2" t="str">
        <f>IF($C1686="","",IFERROR(VLOOKUP($C1686,sources!$A$2:$N$200,9,FALSE()),"?"))</f>
        <v>Panamanian</v>
      </c>
      <c r="T1686" t="s">
        <v>5692</v>
      </c>
      <c r="U1686">
        <f>IF(OR(B1686="",C1686="",T1686="Retracted",LEFT(D1686,8)="Negative"),0,IF(COUNTIFS($B$2:B1686,B1686,$C$2:C1686,C1686,$D$2:D1686,"&lt;&gt;Negative*",$T$2:T1686,"&lt;&gt;Retracted")=1,1,0))</f>
        <v>1</v>
      </c>
    </row>
    <row r="1687" spans="1:21" x14ac:dyDescent="0.2">
      <c r="A1687" t="s">
        <v>3787</v>
      </c>
      <c r="B1687" t="s">
        <v>392</v>
      </c>
      <c r="C1687" t="s">
        <v>1445</v>
      </c>
      <c r="D1687" t="s">
        <v>1575</v>
      </c>
      <c r="E1687" t="s">
        <v>393</v>
      </c>
      <c r="F1687" t="s">
        <v>1566</v>
      </c>
      <c r="K1687">
        <v>1904</v>
      </c>
      <c r="L1687">
        <v>1904</v>
      </c>
      <c r="M1687" t="s">
        <v>203</v>
      </c>
      <c r="N1687" t="s">
        <v>190</v>
      </c>
      <c r="Q1687" s="2" t="str">
        <f>IF($C1687="","",IFERROR(VLOOKUP($C1687,sources!$A$2:$N$200,2,FALSE()),"?"))</f>
        <v>Newspaper</v>
      </c>
      <c r="R1687" s="2" t="str">
        <f t="shared" si="26"/>
        <v>Textual</v>
      </c>
      <c r="S1687" s="2" t="str">
        <f>IF($C1687="","",IFERROR(VLOOKUP($C1687,sources!$A$2:$N$200,9,FALSE()),"?"))</f>
        <v>Panamanian</v>
      </c>
      <c r="T1687" t="s">
        <v>5692</v>
      </c>
      <c r="U1687">
        <f>IF(OR(B1687="",C1687="",T1687="Retracted",LEFT(D1687,8)="Negative"),0,IF(COUNTIFS($B$2:B1687,B1687,$C$2:C1687,C1687,$D$2:D1687,"&lt;&gt;Negative*",$T$2:T1687,"&lt;&gt;Retracted")=1,1,0))</f>
        <v>1</v>
      </c>
    </row>
    <row r="1688" spans="1:21" x14ac:dyDescent="0.2">
      <c r="A1688" t="s">
        <v>3788</v>
      </c>
      <c r="B1688" t="s">
        <v>415</v>
      </c>
      <c r="C1688" t="s">
        <v>1497</v>
      </c>
      <c r="D1688" t="s">
        <v>1575</v>
      </c>
      <c r="E1688" t="s">
        <v>3428</v>
      </c>
      <c r="F1688" t="s">
        <v>2423</v>
      </c>
      <c r="K1688" t="s">
        <v>1431</v>
      </c>
      <c r="L1688" t="s">
        <v>1431</v>
      </c>
      <c r="M1688" t="s">
        <v>203</v>
      </c>
      <c r="N1688" t="s">
        <v>203</v>
      </c>
      <c r="Q1688" s="2" t="str">
        <f>IF($C1688="","",IFERROR(VLOOKUP($C1688,sources!$A$2:$N$200,2,FALSE()),"?"))</f>
        <v>Map</v>
      </c>
      <c r="R1688" s="2" t="str">
        <f t="shared" si="26"/>
        <v>Map</v>
      </c>
      <c r="S1688" s="2" t="str">
        <f>IF($C1688="","",IFERROR(VLOOKUP($C1688,sources!$A$2:$N$200,9,FALSE()),"?"))</f>
        <v>French company</v>
      </c>
      <c r="T1688" t="s">
        <v>5692</v>
      </c>
      <c r="U1688">
        <f>IF(OR(B1688="",C1688="",T1688="Retracted",LEFT(D1688,8)="Negative"),0,IF(COUNTIFS($B$2:B1688,B1688,$C$2:C1688,C1688,$D$2:D1688,"&lt;&gt;Negative*",$T$2:T1688,"&lt;&gt;Retracted")=1,1,0))</f>
        <v>1</v>
      </c>
    </row>
    <row r="1689" spans="1:21" x14ac:dyDescent="0.2">
      <c r="A1689" t="s">
        <v>3789</v>
      </c>
      <c r="B1689" t="s">
        <v>383</v>
      </c>
      <c r="C1689" t="s">
        <v>1497</v>
      </c>
      <c r="D1689" t="s">
        <v>1575</v>
      </c>
      <c r="E1689" t="s">
        <v>384</v>
      </c>
      <c r="F1689" t="s">
        <v>2423</v>
      </c>
      <c r="K1689" t="s">
        <v>1431</v>
      </c>
      <c r="L1689" t="s">
        <v>1431</v>
      </c>
      <c r="M1689" t="s">
        <v>203</v>
      </c>
      <c r="N1689" t="s">
        <v>203</v>
      </c>
      <c r="Q1689" s="2" t="str">
        <f>IF($C1689="","",IFERROR(VLOOKUP($C1689,sources!$A$2:$N$200,2,FALSE()),"?"))</f>
        <v>Map</v>
      </c>
      <c r="R1689" s="2" t="str">
        <f t="shared" si="26"/>
        <v>Map</v>
      </c>
      <c r="S1689" s="2" t="str">
        <f>IF($C1689="","",IFERROR(VLOOKUP($C1689,sources!$A$2:$N$200,9,FALSE()),"?"))</f>
        <v>French company</v>
      </c>
      <c r="T1689" t="s">
        <v>5692</v>
      </c>
      <c r="U1689">
        <f>IF(OR(B1689="",C1689="",T1689="Retracted",LEFT(D1689,8)="Negative"),0,IF(COUNTIFS($B$2:B1689,B1689,$C$2:C1689,C1689,$D$2:D1689,"&lt;&gt;Negative*",$T$2:T1689,"&lt;&gt;Retracted")=1,1,0))</f>
        <v>1</v>
      </c>
    </row>
    <row r="1690" spans="1:21" x14ac:dyDescent="0.2">
      <c r="A1690" t="s">
        <v>3790</v>
      </c>
      <c r="B1690" t="s">
        <v>219</v>
      </c>
      <c r="C1690" t="s">
        <v>1497</v>
      </c>
      <c r="D1690" t="s">
        <v>1575</v>
      </c>
      <c r="E1690" t="s">
        <v>1580</v>
      </c>
      <c r="F1690" t="s">
        <v>2423</v>
      </c>
      <c r="K1690" t="s">
        <v>1431</v>
      </c>
      <c r="L1690" t="s">
        <v>1431</v>
      </c>
      <c r="M1690" t="s">
        <v>203</v>
      </c>
      <c r="N1690" t="s">
        <v>203</v>
      </c>
      <c r="Q1690" s="2" t="str">
        <f>IF($C1690="","",IFERROR(VLOOKUP($C1690,sources!$A$2:$N$200,2,FALSE()),"?"))</f>
        <v>Map</v>
      </c>
      <c r="R1690" s="2" t="str">
        <f t="shared" si="26"/>
        <v>Map</v>
      </c>
      <c r="S1690" s="2" t="str">
        <f>IF($C1690="","",IFERROR(VLOOKUP($C1690,sources!$A$2:$N$200,9,FALSE()),"?"))</f>
        <v>French company</v>
      </c>
      <c r="T1690" t="s">
        <v>5692</v>
      </c>
      <c r="U1690">
        <f>IF(OR(B1690="",C1690="",T1690="Retracted",LEFT(D1690,8)="Negative"),0,IF(COUNTIFS($B$2:B1690,B1690,$C$2:C1690,C1690,$D$2:D1690,"&lt;&gt;Negative*",$T$2:T1690,"&lt;&gt;Retracted")=1,1,0))</f>
        <v>1</v>
      </c>
    </row>
    <row r="1691" spans="1:21" x14ac:dyDescent="0.2">
      <c r="A1691" t="s">
        <v>3791</v>
      </c>
      <c r="B1691" t="s">
        <v>392</v>
      </c>
      <c r="C1691" t="s">
        <v>1497</v>
      </c>
      <c r="D1691" t="s">
        <v>1575</v>
      </c>
      <c r="E1691" t="s">
        <v>3792</v>
      </c>
      <c r="F1691" t="s">
        <v>2423</v>
      </c>
      <c r="K1691" t="s">
        <v>1431</v>
      </c>
      <c r="L1691" t="s">
        <v>1431</v>
      </c>
      <c r="M1691" t="s">
        <v>203</v>
      </c>
      <c r="N1691" t="s">
        <v>203</v>
      </c>
      <c r="Q1691" s="2" t="str">
        <f>IF($C1691="","",IFERROR(VLOOKUP($C1691,sources!$A$2:$N$200,2,FALSE()),"?"))</f>
        <v>Map</v>
      </c>
      <c r="R1691" s="2" t="str">
        <f t="shared" si="26"/>
        <v>Map</v>
      </c>
      <c r="S1691" s="2" t="str">
        <f>IF($C1691="","",IFERROR(VLOOKUP($C1691,sources!$A$2:$N$200,9,FALSE()),"?"))</f>
        <v>French company</v>
      </c>
      <c r="T1691" t="s">
        <v>5692</v>
      </c>
      <c r="U1691">
        <f>IF(OR(B1691="",C1691="",T1691="Retracted",LEFT(D1691,8)="Negative"),0,IF(COUNTIFS($B$2:B1691,B1691,$C$2:C1691,C1691,$D$2:D1691,"&lt;&gt;Negative*",$T$2:T1691,"&lt;&gt;Retracted")=1,1,0))</f>
        <v>1</v>
      </c>
    </row>
    <row r="1692" spans="1:21" x14ac:dyDescent="0.2">
      <c r="A1692" t="s">
        <v>3793</v>
      </c>
      <c r="B1692" t="s">
        <v>1012</v>
      </c>
      <c r="C1692" t="s">
        <v>1497</v>
      </c>
      <c r="D1692" t="s">
        <v>1575</v>
      </c>
      <c r="E1692" t="s">
        <v>1013</v>
      </c>
      <c r="F1692" t="s">
        <v>2423</v>
      </c>
      <c r="K1692" t="s">
        <v>1431</v>
      </c>
      <c r="L1692" t="s">
        <v>1431</v>
      </c>
      <c r="M1692" t="s">
        <v>203</v>
      </c>
      <c r="N1692" t="s">
        <v>203</v>
      </c>
      <c r="Q1692" s="2" t="str">
        <f>IF($C1692="","",IFERROR(VLOOKUP($C1692,sources!$A$2:$N$200,2,FALSE()),"?"))</f>
        <v>Map</v>
      </c>
      <c r="R1692" s="2" t="str">
        <f t="shared" si="26"/>
        <v>Map</v>
      </c>
      <c r="S1692" s="2" t="str">
        <f>IF($C1692="","",IFERROR(VLOOKUP($C1692,sources!$A$2:$N$200,9,FALSE()),"?"))</f>
        <v>French company</v>
      </c>
      <c r="T1692" t="s">
        <v>5692</v>
      </c>
      <c r="U1692">
        <f>IF(OR(B1692="",C1692="",T1692="Retracted",LEFT(D1692,8)="Negative"),0,IF(COUNTIFS($B$2:B1692,B1692,$C$2:C1692,C1692,$D$2:D1692,"&lt;&gt;Negative*",$T$2:T1692,"&lt;&gt;Retracted")=1,1,0))</f>
        <v>1</v>
      </c>
    </row>
    <row r="1693" spans="1:21" x14ac:dyDescent="0.2">
      <c r="A1693" t="s">
        <v>3794</v>
      </c>
      <c r="B1693" t="s">
        <v>899</v>
      </c>
      <c r="C1693" t="s">
        <v>1497</v>
      </c>
      <c r="D1693" t="s">
        <v>1575</v>
      </c>
      <c r="E1693" t="s">
        <v>900</v>
      </c>
      <c r="F1693" t="s">
        <v>2423</v>
      </c>
      <c r="K1693" t="s">
        <v>1431</v>
      </c>
      <c r="L1693" t="s">
        <v>1431</v>
      </c>
      <c r="M1693" t="s">
        <v>203</v>
      </c>
      <c r="N1693" t="s">
        <v>203</v>
      </c>
      <c r="Q1693" s="2" t="str">
        <f>IF($C1693="","",IFERROR(VLOOKUP($C1693,sources!$A$2:$N$200,2,FALSE()),"?"))</f>
        <v>Map</v>
      </c>
      <c r="R1693" s="2" t="str">
        <f t="shared" si="26"/>
        <v>Map</v>
      </c>
      <c r="S1693" s="2" t="str">
        <f>IF($C1693="","",IFERROR(VLOOKUP($C1693,sources!$A$2:$N$200,9,FALSE()),"?"))</f>
        <v>French company</v>
      </c>
      <c r="T1693" t="s">
        <v>5692</v>
      </c>
      <c r="U1693">
        <f>IF(OR(B1693="",C1693="",T1693="Retracted",LEFT(D1693,8)="Negative"),0,IF(COUNTIFS($B$2:B1693,B1693,$C$2:C1693,C1693,$D$2:D1693,"&lt;&gt;Negative*",$T$2:T1693,"&lt;&gt;Retracted")=1,1,0))</f>
        <v>1</v>
      </c>
    </row>
    <row r="1694" spans="1:21" x14ac:dyDescent="0.2">
      <c r="A1694" t="s">
        <v>3795</v>
      </c>
      <c r="B1694" t="s">
        <v>607</v>
      </c>
      <c r="C1694" t="s">
        <v>1497</v>
      </c>
      <c r="D1694" t="s">
        <v>1575</v>
      </c>
      <c r="E1694" t="s">
        <v>609</v>
      </c>
      <c r="F1694" t="s">
        <v>2423</v>
      </c>
      <c r="K1694" t="s">
        <v>1431</v>
      </c>
      <c r="L1694" t="s">
        <v>1431</v>
      </c>
      <c r="M1694" t="s">
        <v>203</v>
      </c>
      <c r="N1694" t="s">
        <v>203</v>
      </c>
      <c r="Q1694" s="2" t="str">
        <f>IF($C1694="","",IFERROR(VLOOKUP($C1694,sources!$A$2:$N$200,2,FALSE()),"?"))</f>
        <v>Map</v>
      </c>
      <c r="R1694" s="2" t="str">
        <f t="shared" si="26"/>
        <v>Map</v>
      </c>
      <c r="S1694" s="2" t="str">
        <f>IF($C1694="","",IFERROR(VLOOKUP($C1694,sources!$A$2:$N$200,9,FALSE()),"?"))</f>
        <v>French company</v>
      </c>
      <c r="T1694" t="s">
        <v>5692</v>
      </c>
      <c r="U1694">
        <f>IF(OR(B1694="",C1694="",T1694="Retracted",LEFT(D1694,8)="Negative"),0,IF(COUNTIFS($B$2:B1694,B1694,$C$2:C1694,C1694,$D$2:D1694,"&lt;&gt;Negative*",$T$2:T1694,"&lt;&gt;Retracted")=1,1,0))</f>
        <v>1</v>
      </c>
    </row>
    <row r="1695" spans="1:21" x14ac:dyDescent="0.2">
      <c r="A1695" t="s">
        <v>3796</v>
      </c>
      <c r="B1695" t="s">
        <v>205</v>
      </c>
      <c r="C1695" t="s">
        <v>1497</v>
      </c>
      <c r="D1695" t="s">
        <v>1575</v>
      </c>
      <c r="E1695" t="s">
        <v>206</v>
      </c>
      <c r="F1695" t="s">
        <v>2423</v>
      </c>
      <c r="K1695" t="s">
        <v>1431</v>
      </c>
      <c r="L1695" t="s">
        <v>1431</v>
      </c>
      <c r="M1695" t="s">
        <v>203</v>
      </c>
      <c r="N1695" t="s">
        <v>203</v>
      </c>
      <c r="Q1695" s="2" t="str">
        <f>IF($C1695="","",IFERROR(VLOOKUP($C1695,sources!$A$2:$N$200,2,FALSE()),"?"))</f>
        <v>Map</v>
      </c>
      <c r="R1695" s="2" t="str">
        <f t="shared" si="26"/>
        <v>Map</v>
      </c>
      <c r="S1695" s="2" t="str">
        <f>IF($C1695="","",IFERROR(VLOOKUP($C1695,sources!$A$2:$N$200,9,FALSE()),"?"))</f>
        <v>French company</v>
      </c>
      <c r="T1695" t="s">
        <v>5692</v>
      </c>
      <c r="U1695">
        <f>IF(OR(B1695="",C1695="",T1695="Retracted",LEFT(D1695,8)="Negative"),0,IF(COUNTIFS($B$2:B1695,B1695,$C$2:C1695,C1695,$D$2:D1695,"&lt;&gt;Negative*",$T$2:T1695,"&lt;&gt;Retracted")=1,1,0))</f>
        <v>1</v>
      </c>
    </row>
    <row r="1696" spans="1:21" x14ac:dyDescent="0.2">
      <c r="A1696" t="s">
        <v>3797</v>
      </c>
      <c r="B1696" t="s">
        <v>495</v>
      </c>
      <c r="C1696" t="s">
        <v>1497</v>
      </c>
      <c r="D1696" t="s">
        <v>1575</v>
      </c>
      <c r="E1696" t="s">
        <v>496</v>
      </c>
      <c r="F1696" t="s">
        <v>2423</v>
      </c>
      <c r="K1696" t="s">
        <v>1431</v>
      </c>
      <c r="L1696" t="s">
        <v>1431</v>
      </c>
      <c r="M1696" t="s">
        <v>203</v>
      </c>
      <c r="N1696" t="s">
        <v>203</v>
      </c>
      <c r="Q1696" s="2" t="str">
        <f>IF($C1696="","",IFERROR(VLOOKUP($C1696,sources!$A$2:$N$200,2,FALSE()),"?"))</f>
        <v>Map</v>
      </c>
      <c r="R1696" s="2" t="str">
        <f t="shared" si="26"/>
        <v>Map</v>
      </c>
      <c r="S1696" s="2" t="str">
        <f>IF($C1696="","",IFERROR(VLOOKUP($C1696,sources!$A$2:$N$200,9,FALSE()),"?"))</f>
        <v>French company</v>
      </c>
      <c r="T1696" t="s">
        <v>5692</v>
      </c>
      <c r="U1696">
        <f>IF(OR(B1696="",C1696="",T1696="Retracted",LEFT(D1696,8)="Negative"),0,IF(COUNTIFS($B$2:B1696,B1696,$C$2:C1696,C1696,$D$2:D1696,"&lt;&gt;Negative*",$T$2:T1696,"&lt;&gt;Retracted")=1,1,0))</f>
        <v>1</v>
      </c>
    </row>
    <row r="1697" spans="1:21" x14ac:dyDescent="0.2">
      <c r="A1697" t="s">
        <v>3798</v>
      </c>
      <c r="B1697" t="s">
        <v>498</v>
      </c>
      <c r="C1697" t="s">
        <v>1497</v>
      </c>
      <c r="D1697" t="s">
        <v>1575</v>
      </c>
      <c r="E1697" t="s">
        <v>499</v>
      </c>
      <c r="F1697" t="s">
        <v>2423</v>
      </c>
      <c r="K1697" t="s">
        <v>1431</v>
      </c>
      <c r="L1697" t="s">
        <v>1431</v>
      </c>
      <c r="M1697" t="s">
        <v>203</v>
      </c>
      <c r="N1697" t="s">
        <v>203</v>
      </c>
      <c r="Q1697" s="2" t="str">
        <f>IF($C1697="","",IFERROR(VLOOKUP($C1697,sources!$A$2:$N$200,2,FALSE()),"?"))</f>
        <v>Map</v>
      </c>
      <c r="R1697" s="2" t="str">
        <f t="shared" si="26"/>
        <v>Map</v>
      </c>
      <c r="S1697" s="2" t="str">
        <f>IF($C1697="","",IFERROR(VLOOKUP($C1697,sources!$A$2:$N$200,9,FALSE()),"?"))</f>
        <v>French company</v>
      </c>
      <c r="T1697" t="s">
        <v>5692</v>
      </c>
      <c r="U1697">
        <f>IF(OR(B1697="",C1697="",T1697="Retracted",LEFT(D1697,8)="Negative"),0,IF(COUNTIFS($B$2:B1697,B1697,$C$2:C1697,C1697,$D$2:D1697,"&lt;&gt;Negative*",$T$2:T1697,"&lt;&gt;Retracted")=1,1,0))</f>
        <v>1</v>
      </c>
    </row>
    <row r="1698" spans="1:21" x14ac:dyDescent="0.2">
      <c r="A1698" t="s">
        <v>3799</v>
      </c>
      <c r="B1698" t="s">
        <v>265</v>
      </c>
      <c r="C1698" t="s">
        <v>1497</v>
      </c>
      <c r="D1698" t="s">
        <v>1575</v>
      </c>
      <c r="E1698" t="s">
        <v>3432</v>
      </c>
      <c r="F1698" t="s">
        <v>2423</v>
      </c>
      <c r="K1698" t="s">
        <v>1431</v>
      </c>
      <c r="L1698" t="s">
        <v>1431</v>
      </c>
      <c r="M1698" t="s">
        <v>203</v>
      </c>
      <c r="N1698" t="s">
        <v>203</v>
      </c>
      <c r="Q1698" s="2" t="str">
        <f>IF($C1698="","",IFERROR(VLOOKUP($C1698,sources!$A$2:$N$200,2,FALSE()),"?"))</f>
        <v>Map</v>
      </c>
      <c r="R1698" s="2" t="str">
        <f t="shared" si="26"/>
        <v>Map</v>
      </c>
      <c r="S1698" s="2" t="str">
        <f>IF($C1698="","",IFERROR(VLOOKUP($C1698,sources!$A$2:$N$200,9,FALSE()),"?"))</f>
        <v>French company</v>
      </c>
      <c r="T1698" t="s">
        <v>5692</v>
      </c>
      <c r="U1698">
        <f>IF(OR(B1698="",C1698="",T1698="Retracted",LEFT(D1698,8)="Negative"),0,IF(COUNTIFS($B$2:B1698,B1698,$C$2:C1698,C1698,$D$2:D1698,"&lt;&gt;Negative*",$T$2:T1698,"&lt;&gt;Retracted")=1,1,0))</f>
        <v>1</v>
      </c>
    </row>
    <row r="1699" spans="1:21" x14ac:dyDescent="0.2">
      <c r="A1699" t="s">
        <v>3800</v>
      </c>
      <c r="B1699" t="s">
        <v>386</v>
      </c>
      <c r="C1699" t="s">
        <v>1497</v>
      </c>
      <c r="D1699" t="s">
        <v>1575</v>
      </c>
      <c r="E1699" t="s">
        <v>3801</v>
      </c>
      <c r="F1699" t="s">
        <v>2423</v>
      </c>
      <c r="K1699" t="s">
        <v>1431</v>
      </c>
      <c r="L1699" t="s">
        <v>1431</v>
      </c>
      <c r="M1699" t="s">
        <v>203</v>
      </c>
      <c r="N1699" t="s">
        <v>203</v>
      </c>
      <c r="Q1699" s="2" t="str">
        <f>IF($C1699="","",IFERROR(VLOOKUP($C1699,sources!$A$2:$N$200,2,FALSE()),"?"))</f>
        <v>Map</v>
      </c>
      <c r="R1699" s="2" t="str">
        <f t="shared" si="26"/>
        <v>Map</v>
      </c>
      <c r="S1699" s="2" t="str">
        <f>IF($C1699="","",IFERROR(VLOOKUP($C1699,sources!$A$2:$N$200,9,FALSE()),"?"))</f>
        <v>French company</v>
      </c>
      <c r="T1699" t="s">
        <v>5692</v>
      </c>
      <c r="U1699">
        <f>IF(OR(B1699="",C1699="",T1699="Retracted",LEFT(D1699,8)="Negative"),0,IF(COUNTIFS($B$2:B1699,B1699,$C$2:C1699,C1699,$D$2:D1699,"&lt;&gt;Negative*",$T$2:T1699,"&lt;&gt;Retracted")=1,1,0))</f>
        <v>1</v>
      </c>
    </row>
    <row r="1700" spans="1:21" x14ac:dyDescent="0.2">
      <c r="A1700" t="s">
        <v>3802</v>
      </c>
      <c r="B1700" t="s">
        <v>354</v>
      </c>
      <c r="C1700" t="s">
        <v>1497</v>
      </c>
      <c r="D1700" t="s">
        <v>1575</v>
      </c>
      <c r="E1700" t="s">
        <v>355</v>
      </c>
      <c r="F1700" t="s">
        <v>2423</v>
      </c>
      <c r="K1700" t="s">
        <v>1431</v>
      </c>
      <c r="L1700" t="s">
        <v>1431</v>
      </c>
      <c r="M1700" t="s">
        <v>203</v>
      </c>
      <c r="N1700" t="s">
        <v>203</v>
      </c>
      <c r="Q1700" s="2" t="str">
        <f>IF($C1700="","",IFERROR(VLOOKUP($C1700,sources!$A$2:$N$200,2,FALSE()),"?"))</f>
        <v>Map</v>
      </c>
      <c r="R1700" s="2" t="str">
        <f t="shared" si="26"/>
        <v>Map</v>
      </c>
      <c r="S1700" s="2" t="str">
        <f>IF($C1700="","",IFERROR(VLOOKUP($C1700,sources!$A$2:$N$200,9,FALSE()),"?"))</f>
        <v>French company</v>
      </c>
      <c r="T1700" t="s">
        <v>5692</v>
      </c>
      <c r="U1700">
        <f>IF(OR(B1700="",C1700="",T1700="Retracted",LEFT(D1700,8)="Negative"),0,IF(COUNTIFS($B$2:B1700,B1700,$C$2:C1700,C1700,$D$2:D1700,"&lt;&gt;Negative*",$T$2:T1700,"&lt;&gt;Retracted")=1,1,0))</f>
        <v>1</v>
      </c>
    </row>
    <row r="1701" spans="1:21" x14ac:dyDescent="0.2">
      <c r="A1701" t="s">
        <v>3803</v>
      </c>
      <c r="B1701" t="s">
        <v>902</v>
      </c>
      <c r="C1701" t="s">
        <v>1497</v>
      </c>
      <c r="D1701" t="s">
        <v>1575</v>
      </c>
      <c r="E1701" t="s">
        <v>904</v>
      </c>
      <c r="F1701" t="s">
        <v>2423</v>
      </c>
      <c r="K1701" t="s">
        <v>1431</v>
      </c>
      <c r="L1701" t="s">
        <v>1431</v>
      </c>
      <c r="M1701" t="s">
        <v>203</v>
      </c>
      <c r="N1701" t="s">
        <v>203</v>
      </c>
      <c r="Q1701" s="2" t="str">
        <f>IF($C1701="","",IFERROR(VLOOKUP($C1701,sources!$A$2:$N$200,2,FALSE()),"?"))</f>
        <v>Map</v>
      </c>
      <c r="R1701" s="2" t="str">
        <f t="shared" si="26"/>
        <v>Map</v>
      </c>
      <c r="S1701" s="2" t="str">
        <f>IF($C1701="","",IFERROR(VLOOKUP($C1701,sources!$A$2:$N$200,9,FALSE()),"?"))</f>
        <v>French company</v>
      </c>
      <c r="T1701" t="s">
        <v>5692</v>
      </c>
      <c r="U1701">
        <f>IF(OR(B1701="",C1701="",T1701="Retracted",LEFT(D1701,8)="Negative"),0,IF(COUNTIFS($B$2:B1701,B1701,$C$2:C1701,C1701,$D$2:D1701,"&lt;&gt;Negative*",$T$2:T1701,"&lt;&gt;Retracted")=1,1,0))</f>
        <v>1</v>
      </c>
    </row>
    <row r="1702" spans="1:21" x14ac:dyDescent="0.2">
      <c r="A1702" t="s">
        <v>3804</v>
      </c>
      <c r="B1702" t="s">
        <v>1017</v>
      </c>
      <c r="C1702" t="s">
        <v>1497</v>
      </c>
      <c r="D1702" t="s">
        <v>1575</v>
      </c>
      <c r="E1702" t="s">
        <v>1018</v>
      </c>
      <c r="F1702" t="s">
        <v>2423</v>
      </c>
      <c r="K1702" t="s">
        <v>1431</v>
      </c>
      <c r="L1702" t="s">
        <v>1431</v>
      </c>
      <c r="M1702" t="s">
        <v>203</v>
      </c>
      <c r="N1702" t="s">
        <v>203</v>
      </c>
      <c r="Q1702" s="2" t="str">
        <f>IF($C1702="","",IFERROR(VLOOKUP($C1702,sources!$A$2:$N$200,2,FALSE()),"?"))</f>
        <v>Map</v>
      </c>
      <c r="R1702" s="2" t="str">
        <f t="shared" si="26"/>
        <v>Map</v>
      </c>
      <c r="S1702" s="2" t="str">
        <f>IF($C1702="","",IFERROR(VLOOKUP($C1702,sources!$A$2:$N$200,9,FALSE()),"?"))</f>
        <v>French company</v>
      </c>
      <c r="T1702" t="s">
        <v>5692</v>
      </c>
      <c r="U1702">
        <f>IF(OR(B1702="",C1702="",T1702="Retracted",LEFT(D1702,8)="Negative"),0,IF(COUNTIFS($B$2:B1702,B1702,$C$2:C1702,C1702,$D$2:D1702,"&lt;&gt;Negative*",$T$2:T1702,"&lt;&gt;Retracted")=1,1,0))</f>
        <v>1</v>
      </c>
    </row>
    <row r="1703" spans="1:21" x14ac:dyDescent="0.2">
      <c r="A1703" t="s">
        <v>3805</v>
      </c>
      <c r="B1703" t="s">
        <v>906</v>
      </c>
      <c r="C1703" t="s">
        <v>1497</v>
      </c>
      <c r="D1703" t="s">
        <v>1575</v>
      </c>
      <c r="E1703" t="s">
        <v>908</v>
      </c>
      <c r="F1703" t="s">
        <v>2423</v>
      </c>
      <c r="K1703" t="s">
        <v>1431</v>
      </c>
      <c r="L1703" t="s">
        <v>1431</v>
      </c>
      <c r="M1703" t="s">
        <v>203</v>
      </c>
      <c r="N1703" t="s">
        <v>203</v>
      </c>
      <c r="Q1703" s="2" t="str">
        <f>IF($C1703="","",IFERROR(VLOOKUP($C1703,sources!$A$2:$N$200,2,FALSE()),"?"))</f>
        <v>Map</v>
      </c>
      <c r="R1703" s="2" t="str">
        <f t="shared" si="26"/>
        <v>Map</v>
      </c>
      <c r="S1703" s="2" t="str">
        <f>IF($C1703="","",IFERROR(VLOOKUP($C1703,sources!$A$2:$N$200,9,FALSE()),"?"))</f>
        <v>French company</v>
      </c>
      <c r="T1703" t="s">
        <v>5692</v>
      </c>
      <c r="U1703">
        <f>IF(OR(B1703="",C1703="",T1703="Retracted",LEFT(D1703,8)="Negative"),0,IF(COUNTIFS($B$2:B1703,B1703,$C$2:C1703,C1703,$D$2:D1703,"&lt;&gt;Negative*",$T$2:T1703,"&lt;&gt;Retracted")=1,1,0))</f>
        <v>1</v>
      </c>
    </row>
    <row r="1704" spans="1:21" x14ac:dyDescent="0.2">
      <c r="A1704" t="s">
        <v>3806</v>
      </c>
      <c r="B1704" t="s">
        <v>363</v>
      </c>
      <c r="C1704" t="s">
        <v>1497</v>
      </c>
      <c r="D1704" t="s">
        <v>1575</v>
      </c>
      <c r="E1704" t="s">
        <v>364</v>
      </c>
      <c r="F1704" t="s">
        <v>2423</v>
      </c>
      <c r="K1704" t="s">
        <v>1431</v>
      </c>
      <c r="L1704" t="s">
        <v>1431</v>
      </c>
      <c r="M1704" t="s">
        <v>203</v>
      </c>
      <c r="N1704" t="s">
        <v>203</v>
      </c>
      <c r="Q1704" s="2" t="str">
        <f>IF($C1704="","",IFERROR(VLOOKUP($C1704,sources!$A$2:$N$200,2,FALSE()),"?"))</f>
        <v>Map</v>
      </c>
      <c r="R1704" s="2" t="str">
        <f t="shared" si="26"/>
        <v>Map</v>
      </c>
      <c r="S1704" s="2" t="str">
        <f>IF($C1704="","",IFERROR(VLOOKUP($C1704,sources!$A$2:$N$200,9,FALSE()),"?"))</f>
        <v>French company</v>
      </c>
      <c r="T1704" t="s">
        <v>5692</v>
      </c>
      <c r="U1704">
        <f>IF(OR(B1704="",C1704="",T1704="Retracted",LEFT(D1704,8)="Negative"),0,IF(COUNTIFS($B$2:B1704,B1704,$C$2:C1704,C1704,$D$2:D1704,"&lt;&gt;Negative*",$T$2:T1704,"&lt;&gt;Retracted")=1,1,0))</f>
        <v>1</v>
      </c>
    </row>
    <row r="1705" spans="1:21" x14ac:dyDescent="0.2">
      <c r="A1705" t="s">
        <v>3807</v>
      </c>
      <c r="B1705" t="s">
        <v>1021</v>
      </c>
      <c r="C1705" t="s">
        <v>1497</v>
      </c>
      <c r="D1705" t="s">
        <v>1575</v>
      </c>
      <c r="E1705" t="s">
        <v>1022</v>
      </c>
      <c r="F1705" t="s">
        <v>2423</v>
      </c>
      <c r="K1705" t="s">
        <v>1431</v>
      </c>
      <c r="L1705" t="s">
        <v>1431</v>
      </c>
      <c r="M1705" t="s">
        <v>203</v>
      </c>
      <c r="N1705" t="s">
        <v>203</v>
      </c>
      <c r="Q1705" s="2" t="str">
        <f>IF($C1705="","",IFERROR(VLOOKUP($C1705,sources!$A$2:$N$200,2,FALSE()),"?"))</f>
        <v>Map</v>
      </c>
      <c r="R1705" s="2" t="str">
        <f t="shared" si="26"/>
        <v>Map</v>
      </c>
      <c r="S1705" s="2" t="str">
        <f>IF($C1705="","",IFERROR(VLOOKUP($C1705,sources!$A$2:$N$200,9,FALSE()),"?"))</f>
        <v>French company</v>
      </c>
      <c r="T1705" t="s">
        <v>5692</v>
      </c>
      <c r="U1705">
        <f>IF(OR(B1705="",C1705="",T1705="Retracted",LEFT(D1705,8)="Negative"),0,IF(COUNTIFS($B$2:B1705,B1705,$C$2:C1705,C1705,$D$2:D1705,"&lt;&gt;Negative*",$T$2:T1705,"&lt;&gt;Retracted")=1,1,0))</f>
        <v>1</v>
      </c>
    </row>
    <row r="1706" spans="1:21" x14ac:dyDescent="0.2">
      <c r="A1706" t="s">
        <v>3808</v>
      </c>
      <c r="B1706" t="s">
        <v>360</v>
      </c>
      <c r="C1706" t="s">
        <v>1497</v>
      </c>
      <c r="D1706" t="s">
        <v>1575</v>
      </c>
      <c r="E1706" t="s">
        <v>361</v>
      </c>
      <c r="F1706" t="s">
        <v>2423</v>
      </c>
      <c r="K1706" t="s">
        <v>1431</v>
      </c>
      <c r="L1706" t="s">
        <v>1431</v>
      </c>
      <c r="M1706" t="s">
        <v>203</v>
      </c>
      <c r="N1706" t="s">
        <v>203</v>
      </c>
      <c r="Q1706" s="2" t="str">
        <f>IF($C1706="","",IFERROR(VLOOKUP($C1706,sources!$A$2:$N$200,2,FALSE()),"?"))</f>
        <v>Map</v>
      </c>
      <c r="R1706" s="2" t="str">
        <f t="shared" si="26"/>
        <v>Map</v>
      </c>
      <c r="S1706" s="2" t="str">
        <f>IF($C1706="","",IFERROR(VLOOKUP($C1706,sources!$A$2:$N$200,9,FALSE()),"?"))</f>
        <v>French company</v>
      </c>
      <c r="T1706" t="s">
        <v>5692</v>
      </c>
      <c r="U1706">
        <f>IF(OR(B1706="",C1706="",T1706="Retracted",LEFT(D1706,8)="Negative"),0,IF(COUNTIFS($B$2:B1706,B1706,$C$2:C1706,C1706,$D$2:D1706,"&lt;&gt;Negative*",$T$2:T1706,"&lt;&gt;Retracted")=1,1,0))</f>
        <v>1</v>
      </c>
    </row>
    <row r="1707" spans="1:21" x14ac:dyDescent="0.2">
      <c r="A1707" t="s">
        <v>3809</v>
      </c>
      <c r="B1707" t="s">
        <v>215</v>
      </c>
      <c r="C1707" t="s">
        <v>1497</v>
      </c>
      <c r="D1707" t="s">
        <v>1575</v>
      </c>
      <c r="E1707" t="s">
        <v>2094</v>
      </c>
      <c r="F1707" t="s">
        <v>2423</v>
      </c>
      <c r="K1707" t="s">
        <v>1431</v>
      </c>
      <c r="L1707" t="s">
        <v>1431</v>
      </c>
      <c r="M1707" t="s">
        <v>203</v>
      </c>
      <c r="N1707" t="s">
        <v>203</v>
      </c>
      <c r="Q1707" s="2" t="str">
        <f>IF($C1707="","",IFERROR(VLOOKUP($C1707,sources!$A$2:$N$200,2,FALSE()),"?"))</f>
        <v>Map</v>
      </c>
      <c r="R1707" s="2" t="str">
        <f t="shared" si="26"/>
        <v>Map</v>
      </c>
      <c r="S1707" s="2" t="str">
        <f>IF($C1707="","",IFERROR(VLOOKUP($C1707,sources!$A$2:$N$200,9,FALSE()),"?"))</f>
        <v>French company</v>
      </c>
      <c r="T1707" t="s">
        <v>5692</v>
      </c>
      <c r="U1707">
        <f>IF(OR(B1707="",C1707="",T1707="Retracted",LEFT(D1707,8)="Negative"),0,IF(COUNTIFS($B$2:B1707,B1707,$C$2:C1707,C1707,$D$2:D1707,"&lt;&gt;Negative*",$T$2:T1707,"&lt;&gt;Retracted")=1,1,0))</f>
        <v>1</v>
      </c>
    </row>
    <row r="1708" spans="1:21" x14ac:dyDescent="0.2">
      <c r="A1708" t="s">
        <v>3810</v>
      </c>
      <c r="B1708" t="s">
        <v>395</v>
      </c>
      <c r="C1708" t="s">
        <v>1497</v>
      </c>
      <c r="D1708" t="s">
        <v>1575</v>
      </c>
      <c r="E1708" t="s">
        <v>396</v>
      </c>
      <c r="F1708" t="s">
        <v>2423</v>
      </c>
      <c r="K1708" t="s">
        <v>1431</v>
      </c>
      <c r="L1708" t="s">
        <v>1431</v>
      </c>
      <c r="M1708" t="s">
        <v>203</v>
      </c>
      <c r="N1708" t="s">
        <v>203</v>
      </c>
      <c r="Q1708" s="2" t="str">
        <f>IF($C1708="","",IFERROR(VLOOKUP($C1708,sources!$A$2:$N$200,2,FALSE()),"?"))</f>
        <v>Map</v>
      </c>
      <c r="R1708" s="2" t="str">
        <f t="shared" si="26"/>
        <v>Map</v>
      </c>
      <c r="S1708" s="2" t="str">
        <f>IF($C1708="","",IFERROR(VLOOKUP($C1708,sources!$A$2:$N$200,9,FALSE()),"?"))</f>
        <v>French company</v>
      </c>
      <c r="T1708" t="s">
        <v>5692</v>
      </c>
      <c r="U1708">
        <f>IF(OR(B1708="",C1708="",T1708="Retracted",LEFT(D1708,8)="Negative"),0,IF(COUNTIFS($B$2:B1708,B1708,$C$2:C1708,C1708,$D$2:D1708,"&lt;&gt;Negative*",$T$2:T1708,"&lt;&gt;Retracted")=1,1,0))</f>
        <v>1</v>
      </c>
    </row>
    <row r="1709" spans="1:21" x14ac:dyDescent="0.2">
      <c r="A1709" t="s">
        <v>3811</v>
      </c>
      <c r="B1709" t="s">
        <v>433</v>
      </c>
      <c r="C1709" t="s">
        <v>1497</v>
      </c>
      <c r="D1709" t="s">
        <v>1575</v>
      </c>
      <c r="E1709" t="s">
        <v>434</v>
      </c>
      <c r="F1709" t="s">
        <v>2423</v>
      </c>
      <c r="K1709" t="s">
        <v>1431</v>
      </c>
      <c r="L1709" t="s">
        <v>1431</v>
      </c>
      <c r="M1709" t="s">
        <v>203</v>
      </c>
      <c r="N1709" t="s">
        <v>203</v>
      </c>
      <c r="Q1709" s="2" t="str">
        <f>IF($C1709="","",IFERROR(VLOOKUP($C1709,sources!$A$2:$N$200,2,FALSE()),"?"))</f>
        <v>Map</v>
      </c>
      <c r="R1709" s="2" t="str">
        <f t="shared" si="26"/>
        <v>Map</v>
      </c>
      <c r="S1709" s="2" t="str">
        <f>IF($C1709="","",IFERROR(VLOOKUP($C1709,sources!$A$2:$N$200,9,FALSE()),"?"))</f>
        <v>French company</v>
      </c>
      <c r="T1709" t="s">
        <v>5692</v>
      </c>
      <c r="U1709">
        <f>IF(OR(B1709="",C1709="",T1709="Retracted",LEFT(D1709,8)="Negative"),0,IF(COUNTIFS($B$2:B1709,B1709,$C$2:C1709,C1709,$D$2:D1709,"&lt;&gt;Negative*",$T$2:T1709,"&lt;&gt;Retracted")=1,1,0))</f>
        <v>1</v>
      </c>
    </row>
    <row r="1710" spans="1:21" x14ac:dyDescent="0.2">
      <c r="A1710" t="s">
        <v>3812</v>
      </c>
      <c r="B1710" t="s">
        <v>242</v>
      </c>
      <c r="C1710" t="s">
        <v>1497</v>
      </c>
      <c r="D1710" t="s">
        <v>1575</v>
      </c>
      <c r="E1710" t="s">
        <v>243</v>
      </c>
      <c r="F1710" t="s">
        <v>2423</v>
      </c>
      <c r="K1710" t="s">
        <v>1431</v>
      </c>
      <c r="L1710" t="s">
        <v>1431</v>
      </c>
      <c r="M1710" t="s">
        <v>203</v>
      </c>
      <c r="N1710" t="s">
        <v>203</v>
      </c>
      <c r="Q1710" s="2" t="str">
        <f>IF($C1710="","",IFERROR(VLOOKUP($C1710,sources!$A$2:$N$200,2,FALSE()),"?"))</f>
        <v>Map</v>
      </c>
      <c r="R1710" s="2" t="str">
        <f t="shared" si="26"/>
        <v>Map</v>
      </c>
      <c r="S1710" s="2" t="str">
        <f>IF($C1710="","",IFERROR(VLOOKUP($C1710,sources!$A$2:$N$200,9,FALSE()),"?"))</f>
        <v>French company</v>
      </c>
      <c r="T1710" t="s">
        <v>5692</v>
      </c>
      <c r="U1710">
        <f>IF(OR(B1710="",C1710="",T1710="Retracted",LEFT(D1710,8)="Negative"),0,IF(COUNTIFS($B$2:B1710,B1710,$C$2:C1710,C1710,$D$2:D1710,"&lt;&gt;Negative*",$T$2:T1710,"&lt;&gt;Retracted")=1,1,0))</f>
        <v>1</v>
      </c>
    </row>
    <row r="1711" spans="1:21" x14ac:dyDescent="0.2">
      <c r="A1711" t="s">
        <v>3813</v>
      </c>
      <c r="B1711" t="s">
        <v>179</v>
      </c>
      <c r="C1711" t="s">
        <v>1497</v>
      </c>
      <c r="D1711" t="s">
        <v>1575</v>
      </c>
      <c r="E1711" t="s">
        <v>180</v>
      </c>
      <c r="F1711" t="s">
        <v>2423</v>
      </c>
      <c r="K1711" t="s">
        <v>1431</v>
      </c>
      <c r="L1711" t="s">
        <v>1431</v>
      </c>
      <c r="M1711" t="s">
        <v>203</v>
      </c>
      <c r="N1711" t="s">
        <v>203</v>
      </c>
      <c r="Q1711" s="2" t="str">
        <f>IF($C1711="","",IFERROR(VLOOKUP($C1711,sources!$A$2:$N$200,2,FALSE()),"?"))</f>
        <v>Map</v>
      </c>
      <c r="R1711" s="2" t="str">
        <f t="shared" si="26"/>
        <v>Map</v>
      </c>
      <c r="S1711" s="2" t="str">
        <f>IF($C1711="","",IFERROR(VLOOKUP($C1711,sources!$A$2:$N$200,9,FALSE()),"?"))</f>
        <v>French company</v>
      </c>
      <c r="T1711" t="s">
        <v>5692</v>
      </c>
      <c r="U1711">
        <f>IF(OR(B1711="",C1711="",T1711="Retracted",LEFT(D1711,8)="Negative"),0,IF(COUNTIFS($B$2:B1711,B1711,$C$2:C1711,C1711,$D$2:D1711,"&lt;&gt;Negative*",$T$2:T1711,"&lt;&gt;Retracted")=1,1,0))</f>
        <v>1</v>
      </c>
    </row>
    <row r="1712" spans="1:21" x14ac:dyDescent="0.2">
      <c r="A1712" t="s">
        <v>3814</v>
      </c>
      <c r="B1712" t="s">
        <v>253</v>
      </c>
      <c r="C1712" t="s">
        <v>1497</v>
      </c>
      <c r="D1712" t="s">
        <v>1575</v>
      </c>
      <c r="E1712" t="s">
        <v>254</v>
      </c>
      <c r="F1712" t="s">
        <v>2423</v>
      </c>
      <c r="K1712" t="s">
        <v>1431</v>
      </c>
      <c r="L1712" t="s">
        <v>1431</v>
      </c>
      <c r="M1712" t="s">
        <v>203</v>
      </c>
      <c r="N1712" t="s">
        <v>203</v>
      </c>
      <c r="Q1712" s="2" t="str">
        <f>IF($C1712="","",IFERROR(VLOOKUP($C1712,sources!$A$2:$N$200,2,FALSE()),"?"))</f>
        <v>Map</v>
      </c>
      <c r="R1712" s="2" t="str">
        <f t="shared" si="26"/>
        <v>Map</v>
      </c>
      <c r="S1712" s="2" t="str">
        <f>IF($C1712="","",IFERROR(VLOOKUP($C1712,sources!$A$2:$N$200,9,FALSE()),"?"))</f>
        <v>French company</v>
      </c>
      <c r="T1712" t="s">
        <v>5692</v>
      </c>
      <c r="U1712">
        <f>IF(OR(B1712="",C1712="",T1712="Retracted",LEFT(D1712,8)="Negative"),0,IF(COUNTIFS($B$2:B1712,B1712,$C$2:C1712,C1712,$D$2:D1712,"&lt;&gt;Negative*",$T$2:T1712,"&lt;&gt;Retracted")=1,1,0))</f>
        <v>1</v>
      </c>
    </row>
    <row r="1713" spans="1:21" x14ac:dyDescent="0.2">
      <c r="A1713" t="s">
        <v>3815</v>
      </c>
      <c r="B1713" t="s">
        <v>253</v>
      </c>
      <c r="C1713" t="s">
        <v>1497</v>
      </c>
      <c r="D1713" t="s">
        <v>1575</v>
      </c>
      <c r="E1713" t="s">
        <v>566</v>
      </c>
      <c r="F1713" t="s">
        <v>2423</v>
      </c>
      <c r="K1713" t="s">
        <v>1431</v>
      </c>
      <c r="L1713" t="s">
        <v>1431</v>
      </c>
      <c r="M1713" t="s">
        <v>203</v>
      </c>
      <c r="N1713" t="s">
        <v>203</v>
      </c>
      <c r="Q1713" s="2" t="str">
        <f>IF($C1713="","",IFERROR(VLOOKUP($C1713,sources!$A$2:$N$200,2,FALSE()),"?"))</f>
        <v>Map</v>
      </c>
      <c r="R1713" s="2" t="str">
        <f t="shared" si="26"/>
        <v>Map</v>
      </c>
      <c r="S1713" s="2" t="str">
        <f>IF($C1713="","",IFERROR(VLOOKUP($C1713,sources!$A$2:$N$200,9,FALSE()),"?"))</f>
        <v>French company</v>
      </c>
      <c r="T1713" t="s">
        <v>5692</v>
      </c>
      <c r="U1713">
        <f>IF(OR(B1713="",C1713="",T1713="Retracted",LEFT(D1713,8)="Negative"),0,IF(COUNTIFS($B$2:B1713,B1713,$C$2:C1713,C1713,$D$2:D1713,"&lt;&gt;Negative*",$T$2:T1713,"&lt;&gt;Retracted")=1,1,0))</f>
        <v>0</v>
      </c>
    </row>
    <row r="1714" spans="1:21" x14ac:dyDescent="0.2">
      <c r="A1714" t="s">
        <v>3816</v>
      </c>
      <c r="B1714" t="s">
        <v>261</v>
      </c>
      <c r="C1714" t="s">
        <v>1497</v>
      </c>
      <c r="D1714" t="s">
        <v>1564</v>
      </c>
      <c r="E1714" t="s">
        <v>262</v>
      </c>
      <c r="F1714" t="s">
        <v>2423</v>
      </c>
      <c r="M1714" t="s">
        <v>203</v>
      </c>
      <c r="N1714" t="s">
        <v>203</v>
      </c>
      <c r="Q1714" s="2" t="str">
        <f>IF($C1714="","",IFERROR(VLOOKUP($C1714,sources!$A$2:$N$200,2,FALSE()),"?"))</f>
        <v>Map</v>
      </c>
      <c r="R1714" s="2" t="str">
        <f t="shared" si="26"/>
        <v>Map</v>
      </c>
      <c r="S1714" s="2" t="str">
        <f>IF($C1714="","",IFERROR(VLOOKUP($C1714,sources!$A$2:$N$200,9,FALSE()),"?"))</f>
        <v>French company</v>
      </c>
      <c r="T1714" t="s">
        <v>5692</v>
      </c>
      <c r="U1714">
        <f>IF(OR(B1714="",C1714="",T1714="Retracted",LEFT(D1714,8)="Negative"),0,IF(COUNTIFS($B$2:B1714,B1714,$C$2:C1714,C1714,$D$2:D1714,"&lt;&gt;Negative*",$T$2:T1714,"&lt;&gt;Retracted")=1,1,0))</f>
        <v>1</v>
      </c>
    </row>
    <row r="1715" spans="1:21" x14ac:dyDescent="0.2">
      <c r="A1715" t="s">
        <v>3817</v>
      </c>
      <c r="B1715" t="s">
        <v>233</v>
      </c>
      <c r="C1715" t="s">
        <v>1497</v>
      </c>
      <c r="D1715" t="s">
        <v>1575</v>
      </c>
      <c r="E1715" t="s">
        <v>305</v>
      </c>
      <c r="F1715" t="s">
        <v>2423</v>
      </c>
      <c r="K1715" t="s">
        <v>1431</v>
      </c>
      <c r="L1715" t="s">
        <v>1431</v>
      </c>
      <c r="M1715" t="s">
        <v>203</v>
      </c>
      <c r="N1715" t="s">
        <v>203</v>
      </c>
      <c r="Q1715" s="2" t="str">
        <f>IF($C1715="","",IFERROR(VLOOKUP($C1715,sources!$A$2:$N$200,2,FALSE()),"?"))</f>
        <v>Map</v>
      </c>
      <c r="R1715" s="2" t="str">
        <f t="shared" si="26"/>
        <v>Map</v>
      </c>
      <c r="S1715" s="2" t="str">
        <f>IF($C1715="","",IFERROR(VLOOKUP($C1715,sources!$A$2:$N$200,9,FALSE()),"?"))</f>
        <v>French company</v>
      </c>
      <c r="T1715" t="s">
        <v>5692</v>
      </c>
      <c r="U1715">
        <f>IF(OR(B1715="",C1715="",T1715="Retracted",LEFT(D1715,8)="Negative"),0,IF(COUNTIFS($B$2:B1715,B1715,$C$2:C1715,C1715,$D$2:D1715,"&lt;&gt;Negative*",$T$2:T1715,"&lt;&gt;Retracted")=1,1,0))</f>
        <v>1</v>
      </c>
    </row>
    <row r="1716" spans="1:21" x14ac:dyDescent="0.2">
      <c r="A1716" t="s">
        <v>3818</v>
      </c>
      <c r="B1716" t="s">
        <v>247</v>
      </c>
      <c r="C1716" t="s">
        <v>1497</v>
      </c>
      <c r="D1716" t="s">
        <v>1575</v>
      </c>
      <c r="E1716" t="s">
        <v>248</v>
      </c>
      <c r="F1716" t="s">
        <v>2423</v>
      </c>
      <c r="K1716" t="s">
        <v>1431</v>
      </c>
      <c r="L1716" t="s">
        <v>1431</v>
      </c>
      <c r="M1716" t="s">
        <v>203</v>
      </c>
      <c r="N1716" t="s">
        <v>203</v>
      </c>
      <c r="Q1716" s="2" t="str">
        <f>IF($C1716="","",IFERROR(VLOOKUP($C1716,sources!$A$2:$N$200,2,FALSE()),"?"))</f>
        <v>Map</v>
      </c>
      <c r="R1716" s="2" t="str">
        <f t="shared" si="26"/>
        <v>Map</v>
      </c>
      <c r="S1716" s="2" t="str">
        <f>IF($C1716="","",IFERROR(VLOOKUP($C1716,sources!$A$2:$N$200,9,FALSE()),"?"))</f>
        <v>French company</v>
      </c>
      <c r="T1716" t="s">
        <v>5692</v>
      </c>
      <c r="U1716">
        <f>IF(OR(B1716="",C1716="",T1716="Retracted",LEFT(D1716,8)="Negative"),0,IF(COUNTIFS($B$2:B1716,B1716,$C$2:C1716,C1716,$D$2:D1716,"&lt;&gt;Negative*",$T$2:T1716,"&lt;&gt;Retracted")=1,1,0))</f>
        <v>1</v>
      </c>
    </row>
    <row r="1717" spans="1:21" x14ac:dyDescent="0.2">
      <c r="A1717" t="s">
        <v>3819</v>
      </c>
      <c r="B1717" t="s">
        <v>357</v>
      </c>
      <c r="C1717" t="s">
        <v>1497</v>
      </c>
      <c r="D1717" t="s">
        <v>1575</v>
      </c>
      <c r="E1717" t="s">
        <v>358</v>
      </c>
      <c r="F1717" t="s">
        <v>2423</v>
      </c>
      <c r="K1717" t="s">
        <v>1431</v>
      </c>
      <c r="L1717" t="s">
        <v>1431</v>
      </c>
      <c r="M1717" t="s">
        <v>203</v>
      </c>
      <c r="N1717" t="s">
        <v>203</v>
      </c>
      <c r="Q1717" s="2" t="str">
        <f>IF($C1717="","",IFERROR(VLOOKUP($C1717,sources!$A$2:$N$200,2,FALSE()),"?"))</f>
        <v>Map</v>
      </c>
      <c r="R1717" s="2" t="str">
        <f t="shared" si="26"/>
        <v>Map</v>
      </c>
      <c r="S1717" s="2" t="str">
        <f>IF($C1717="","",IFERROR(VLOOKUP($C1717,sources!$A$2:$N$200,9,FALSE()),"?"))</f>
        <v>French company</v>
      </c>
      <c r="T1717" t="s">
        <v>5692</v>
      </c>
      <c r="U1717">
        <f>IF(OR(B1717="",C1717="",T1717="Retracted",LEFT(D1717,8)="Negative"),0,IF(COUNTIFS($B$2:B1717,B1717,$C$2:C1717,C1717,$D$2:D1717,"&lt;&gt;Negative*",$T$2:T1717,"&lt;&gt;Retracted")=1,1,0))</f>
        <v>1</v>
      </c>
    </row>
    <row r="1718" spans="1:21" x14ac:dyDescent="0.2">
      <c r="A1718" t="s">
        <v>3820</v>
      </c>
      <c r="B1718" t="s">
        <v>344</v>
      </c>
      <c r="C1718" t="s">
        <v>1497</v>
      </c>
      <c r="D1718" t="s">
        <v>1575</v>
      </c>
      <c r="E1718" t="s">
        <v>345</v>
      </c>
      <c r="F1718" t="s">
        <v>2423</v>
      </c>
      <c r="K1718" t="s">
        <v>1431</v>
      </c>
      <c r="L1718" t="s">
        <v>1431</v>
      </c>
      <c r="M1718" t="s">
        <v>203</v>
      </c>
      <c r="N1718" t="s">
        <v>203</v>
      </c>
      <c r="Q1718" s="2" t="str">
        <f>IF($C1718="","",IFERROR(VLOOKUP($C1718,sources!$A$2:$N$200,2,FALSE()),"?"))</f>
        <v>Map</v>
      </c>
      <c r="R1718" s="2" t="str">
        <f t="shared" si="26"/>
        <v>Map</v>
      </c>
      <c r="S1718" s="2" t="str">
        <f>IF($C1718="","",IFERROR(VLOOKUP($C1718,sources!$A$2:$N$200,9,FALSE()),"?"))</f>
        <v>French company</v>
      </c>
      <c r="T1718" t="s">
        <v>5692</v>
      </c>
      <c r="U1718">
        <f>IF(OR(B1718="",C1718="",T1718="Retracted",LEFT(D1718,8)="Negative"),0,IF(COUNTIFS($B$2:B1718,B1718,$C$2:C1718,C1718,$D$2:D1718,"&lt;&gt;Negative*",$T$2:T1718,"&lt;&gt;Retracted")=1,1,0))</f>
        <v>1</v>
      </c>
    </row>
    <row r="1719" spans="1:21" x14ac:dyDescent="0.2">
      <c r="A1719" t="s">
        <v>3821</v>
      </c>
      <c r="B1719" t="s">
        <v>340</v>
      </c>
      <c r="C1719" t="s">
        <v>1497</v>
      </c>
      <c r="D1719" t="s">
        <v>1575</v>
      </c>
      <c r="E1719" t="s">
        <v>341</v>
      </c>
      <c r="F1719" t="s">
        <v>2423</v>
      </c>
      <c r="K1719" t="s">
        <v>1431</v>
      </c>
      <c r="L1719" t="s">
        <v>1431</v>
      </c>
      <c r="M1719" t="s">
        <v>203</v>
      </c>
      <c r="N1719" t="s">
        <v>203</v>
      </c>
      <c r="Q1719" s="2" t="str">
        <f>IF($C1719="","",IFERROR(VLOOKUP($C1719,sources!$A$2:$N$200,2,FALSE()),"?"))</f>
        <v>Map</v>
      </c>
      <c r="R1719" s="2" t="str">
        <f t="shared" si="26"/>
        <v>Map</v>
      </c>
      <c r="S1719" s="2" t="str">
        <f>IF($C1719="","",IFERROR(VLOOKUP($C1719,sources!$A$2:$N$200,9,FALSE()),"?"))</f>
        <v>French company</v>
      </c>
      <c r="T1719" t="s">
        <v>5692</v>
      </c>
      <c r="U1719">
        <f>IF(OR(B1719="",C1719="",T1719="Retracted",LEFT(D1719,8)="Negative"),0,IF(COUNTIFS($B$2:B1719,B1719,$C$2:C1719,C1719,$D$2:D1719,"&lt;&gt;Negative*",$T$2:T1719,"&lt;&gt;Retracted")=1,1,0))</f>
        <v>1</v>
      </c>
    </row>
    <row r="1720" spans="1:21" x14ac:dyDescent="0.2">
      <c r="A1720" t="s">
        <v>3822</v>
      </c>
      <c r="B1720" t="s">
        <v>351</v>
      </c>
      <c r="C1720" t="s">
        <v>1497</v>
      </c>
      <c r="D1720" t="s">
        <v>1575</v>
      </c>
      <c r="E1720" t="s">
        <v>352</v>
      </c>
      <c r="F1720" t="s">
        <v>2423</v>
      </c>
      <c r="K1720" t="s">
        <v>1431</v>
      </c>
      <c r="L1720" t="s">
        <v>1431</v>
      </c>
      <c r="M1720" t="s">
        <v>203</v>
      </c>
      <c r="N1720" t="s">
        <v>203</v>
      </c>
      <c r="Q1720" s="2" t="str">
        <f>IF($C1720="","",IFERROR(VLOOKUP($C1720,sources!$A$2:$N$200,2,FALSE()),"?"))</f>
        <v>Map</v>
      </c>
      <c r="R1720" s="2" t="str">
        <f t="shared" si="26"/>
        <v>Map</v>
      </c>
      <c r="S1720" s="2" t="str">
        <f>IF($C1720="","",IFERROR(VLOOKUP($C1720,sources!$A$2:$N$200,9,FALSE()),"?"))</f>
        <v>French company</v>
      </c>
      <c r="T1720" t="s">
        <v>5692</v>
      </c>
      <c r="U1720">
        <f>IF(OR(B1720="",C1720="",T1720="Retracted",LEFT(D1720,8)="Negative"),0,IF(COUNTIFS($B$2:B1720,B1720,$C$2:C1720,C1720,$D$2:D1720,"&lt;&gt;Negative*",$T$2:T1720,"&lt;&gt;Retracted")=1,1,0))</f>
        <v>1</v>
      </c>
    </row>
    <row r="1721" spans="1:21" x14ac:dyDescent="0.2">
      <c r="A1721" t="s">
        <v>3823</v>
      </c>
      <c r="B1721" t="s">
        <v>348</v>
      </c>
      <c r="C1721" t="s">
        <v>1497</v>
      </c>
      <c r="D1721" t="s">
        <v>1575</v>
      </c>
      <c r="E1721" t="s">
        <v>349</v>
      </c>
      <c r="F1721" t="s">
        <v>2423</v>
      </c>
      <c r="K1721" t="s">
        <v>1431</v>
      </c>
      <c r="L1721" t="s">
        <v>1431</v>
      </c>
      <c r="M1721" t="s">
        <v>203</v>
      </c>
      <c r="N1721" t="s">
        <v>203</v>
      </c>
      <c r="Q1721" s="2" t="str">
        <f>IF($C1721="","",IFERROR(VLOOKUP($C1721,sources!$A$2:$N$200,2,FALSE()),"?"))</f>
        <v>Map</v>
      </c>
      <c r="R1721" s="2" t="str">
        <f t="shared" si="26"/>
        <v>Map</v>
      </c>
      <c r="S1721" s="2" t="str">
        <f>IF($C1721="","",IFERROR(VLOOKUP($C1721,sources!$A$2:$N$200,9,FALSE()),"?"))</f>
        <v>French company</v>
      </c>
      <c r="T1721" t="s">
        <v>5692</v>
      </c>
      <c r="U1721">
        <f>IF(OR(B1721="",C1721="",T1721="Retracted",LEFT(D1721,8)="Negative"),0,IF(COUNTIFS($B$2:B1721,B1721,$C$2:C1721,C1721,$D$2:D1721,"&lt;&gt;Negative*",$T$2:T1721,"&lt;&gt;Retracted")=1,1,0))</f>
        <v>1</v>
      </c>
    </row>
    <row r="1722" spans="1:21" x14ac:dyDescent="0.2">
      <c r="A1722" t="s">
        <v>3824</v>
      </c>
      <c r="B1722" t="s">
        <v>330</v>
      </c>
      <c r="C1722" t="s">
        <v>1502</v>
      </c>
      <c r="D1722" t="s">
        <v>1575</v>
      </c>
      <c r="E1722" t="s">
        <v>3825</v>
      </c>
      <c r="F1722" t="s">
        <v>1583</v>
      </c>
      <c r="I1722" t="s">
        <v>1058</v>
      </c>
      <c r="K1722">
        <v>1927</v>
      </c>
      <c r="L1722">
        <v>1927</v>
      </c>
      <c r="M1722" t="s">
        <v>203</v>
      </c>
      <c r="N1722" t="s">
        <v>203</v>
      </c>
      <c r="Q1722" s="2" t="str">
        <f>IF($C1722="","",IFERROR(VLOOKUP($C1722,sources!$A$2:$N$200,2,FALSE()),"?"))</f>
        <v>Map</v>
      </c>
      <c r="R1722" s="2" t="str">
        <f t="shared" si="26"/>
        <v>Map</v>
      </c>
      <c r="S1722" s="2" t="str">
        <f>IF($C1722="","",IFERROR(VLOOKUP($C1722,sources!$A$2:$N$200,9,FALSE()),"?"))</f>
        <v>US official</v>
      </c>
      <c r="T1722" t="s">
        <v>5692</v>
      </c>
      <c r="U1722">
        <f>IF(OR(B1722="",C1722="",T1722="Retracted",LEFT(D1722,8)="Negative"),0,IF(COUNTIFS($B$2:B1722,B1722,$C$2:C1722,C1722,$D$2:D1722,"&lt;&gt;Negative*",$T$2:T1722,"&lt;&gt;Retracted")=1,1,0))</f>
        <v>1</v>
      </c>
    </row>
    <row r="1723" spans="1:21" x14ac:dyDescent="0.2">
      <c r="A1723" t="s">
        <v>3826</v>
      </c>
      <c r="B1723" t="s">
        <v>415</v>
      </c>
      <c r="C1723" t="s">
        <v>1502</v>
      </c>
      <c r="D1723" t="s">
        <v>1575</v>
      </c>
      <c r="E1723" t="s">
        <v>2551</v>
      </c>
      <c r="F1723" t="s">
        <v>1583</v>
      </c>
      <c r="I1723" t="s">
        <v>1058</v>
      </c>
      <c r="K1723">
        <v>1927</v>
      </c>
      <c r="L1723">
        <v>1927</v>
      </c>
      <c r="M1723" t="s">
        <v>203</v>
      </c>
      <c r="N1723" t="s">
        <v>209</v>
      </c>
      <c r="Q1723" s="2" t="str">
        <f>IF($C1723="","",IFERROR(VLOOKUP($C1723,sources!$A$2:$N$200,2,FALSE()),"?"))</f>
        <v>Map</v>
      </c>
      <c r="R1723" s="2" t="str">
        <f t="shared" si="26"/>
        <v>Map</v>
      </c>
      <c r="S1723" s="2" t="str">
        <f>IF($C1723="","",IFERROR(VLOOKUP($C1723,sources!$A$2:$N$200,9,FALSE()),"?"))</f>
        <v>US official</v>
      </c>
      <c r="T1723" t="s">
        <v>5692</v>
      </c>
      <c r="U1723">
        <f>IF(OR(B1723="",C1723="",T1723="Retracted",LEFT(D1723,8)="Negative"),0,IF(COUNTIFS($B$2:B1723,B1723,$C$2:C1723,C1723,$D$2:D1723,"&lt;&gt;Negative*",$T$2:T1723,"&lt;&gt;Retracted")=1,1,0))</f>
        <v>1</v>
      </c>
    </row>
    <row r="1724" spans="1:21" x14ac:dyDescent="0.2">
      <c r="A1724" t="s">
        <v>3827</v>
      </c>
      <c r="B1724" t="s">
        <v>261</v>
      </c>
      <c r="C1724" t="s">
        <v>1502</v>
      </c>
      <c r="D1724" t="s">
        <v>1575</v>
      </c>
      <c r="E1724" t="s">
        <v>2693</v>
      </c>
      <c r="F1724" t="s">
        <v>1583</v>
      </c>
      <c r="I1724" t="s">
        <v>1058</v>
      </c>
      <c r="K1724">
        <v>1927</v>
      </c>
      <c r="L1724">
        <v>1927</v>
      </c>
      <c r="M1724" t="s">
        <v>203</v>
      </c>
      <c r="N1724" t="s">
        <v>203</v>
      </c>
      <c r="Q1724" s="2" t="str">
        <f>IF($C1724="","",IFERROR(VLOOKUP($C1724,sources!$A$2:$N$200,2,FALSE()),"?"))</f>
        <v>Map</v>
      </c>
      <c r="R1724" s="2" t="str">
        <f t="shared" si="26"/>
        <v>Map</v>
      </c>
      <c r="S1724" s="2" t="str">
        <f>IF($C1724="","",IFERROR(VLOOKUP($C1724,sources!$A$2:$N$200,9,FALSE()),"?"))</f>
        <v>US official</v>
      </c>
      <c r="T1724" t="s">
        <v>5692</v>
      </c>
      <c r="U1724">
        <f>IF(OR(B1724="",C1724="",T1724="Retracted",LEFT(D1724,8)="Negative"),0,IF(COUNTIFS($B$2:B1724,B1724,$C$2:C1724,C1724,$D$2:D1724,"&lt;&gt;Negative*",$T$2:T1724,"&lt;&gt;Retracted")=1,1,0))</f>
        <v>1</v>
      </c>
    </row>
    <row r="1725" spans="1:21" x14ac:dyDescent="0.2">
      <c r="A1725" t="s">
        <v>3828</v>
      </c>
      <c r="B1725" t="s">
        <v>233</v>
      </c>
      <c r="C1725" t="s">
        <v>1502</v>
      </c>
      <c r="D1725" t="s">
        <v>1575</v>
      </c>
      <c r="E1725" t="s">
        <v>2265</v>
      </c>
      <c r="F1725" t="s">
        <v>1583</v>
      </c>
      <c r="I1725" t="s">
        <v>1058</v>
      </c>
      <c r="M1725" t="s">
        <v>190</v>
      </c>
      <c r="N1725" t="s">
        <v>209</v>
      </c>
      <c r="Q1725" s="2" t="str">
        <f>IF($C1725="","",IFERROR(VLOOKUP($C1725,sources!$A$2:$N$200,2,FALSE()),"?"))</f>
        <v>Map</v>
      </c>
      <c r="R1725" s="2" t="str">
        <f t="shared" si="26"/>
        <v>Map</v>
      </c>
      <c r="S1725" s="2" t="str">
        <f>IF($C1725="","",IFERROR(VLOOKUP($C1725,sources!$A$2:$N$200,9,FALSE()),"?"))</f>
        <v>US official</v>
      </c>
      <c r="T1725" t="s">
        <v>5692</v>
      </c>
      <c r="U1725">
        <f>IF(OR(B1725="",C1725="",T1725="Retracted",LEFT(D1725,8)="Negative"),0,IF(COUNTIFS($B$2:B1725,B1725,$C$2:C1725,C1725,$D$2:D1725,"&lt;&gt;Negative*",$T$2:T1725,"&lt;&gt;Retracted")=1,1,0))</f>
        <v>1</v>
      </c>
    </row>
    <row r="1726" spans="1:21" x14ac:dyDescent="0.2">
      <c r="A1726" t="s">
        <v>3829</v>
      </c>
      <c r="B1726" t="s">
        <v>247</v>
      </c>
      <c r="C1726" t="s">
        <v>1502</v>
      </c>
      <c r="D1726" t="s">
        <v>1564</v>
      </c>
      <c r="E1726" t="s">
        <v>3830</v>
      </c>
      <c r="F1726" t="s">
        <v>1583</v>
      </c>
      <c r="I1726" t="s">
        <v>1058</v>
      </c>
      <c r="K1726">
        <v>1927</v>
      </c>
      <c r="L1726">
        <v>1927</v>
      </c>
      <c r="M1726" t="s">
        <v>203</v>
      </c>
      <c r="N1726" t="s">
        <v>203</v>
      </c>
      <c r="Q1726" s="2" t="str">
        <f>IF($C1726="","",IFERROR(VLOOKUP($C1726,sources!$A$2:$N$200,2,FALSE()),"?"))</f>
        <v>Map</v>
      </c>
      <c r="R1726" s="2" t="str">
        <f t="shared" si="26"/>
        <v>Map</v>
      </c>
      <c r="S1726" s="2" t="str">
        <f>IF($C1726="","",IFERROR(VLOOKUP($C1726,sources!$A$2:$N$200,9,FALSE()),"?"))</f>
        <v>US official</v>
      </c>
      <c r="T1726" t="s">
        <v>5692</v>
      </c>
      <c r="U1726">
        <f>IF(OR(B1726="",C1726="",T1726="Retracted",LEFT(D1726,8)="Negative"),0,IF(COUNTIFS($B$2:B1726,B1726,$C$2:C1726,C1726,$D$2:D1726,"&lt;&gt;Negative*",$T$2:T1726,"&lt;&gt;Retracted")=1,1,0))</f>
        <v>1</v>
      </c>
    </row>
    <row r="1727" spans="1:21" x14ac:dyDescent="0.2">
      <c r="A1727" t="s">
        <v>3831</v>
      </c>
      <c r="B1727" t="s">
        <v>357</v>
      </c>
      <c r="C1727" t="s">
        <v>1502</v>
      </c>
      <c r="D1727" t="s">
        <v>1575</v>
      </c>
      <c r="E1727" t="s">
        <v>358</v>
      </c>
      <c r="F1727" t="s">
        <v>1583</v>
      </c>
      <c r="I1727" t="s">
        <v>1058</v>
      </c>
      <c r="K1727">
        <v>1927</v>
      </c>
      <c r="L1727">
        <v>1927</v>
      </c>
      <c r="M1727" t="s">
        <v>203</v>
      </c>
      <c r="N1727" t="s">
        <v>203</v>
      </c>
      <c r="Q1727" s="2" t="str">
        <f>IF($C1727="","",IFERROR(VLOOKUP($C1727,sources!$A$2:$N$200,2,FALSE()),"?"))</f>
        <v>Map</v>
      </c>
      <c r="R1727" s="2" t="str">
        <f t="shared" si="26"/>
        <v>Map</v>
      </c>
      <c r="S1727" s="2" t="str">
        <f>IF($C1727="","",IFERROR(VLOOKUP($C1727,sources!$A$2:$N$200,9,FALSE()),"?"))</f>
        <v>US official</v>
      </c>
      <c r="T1727" t="s">
        <v>5692</v>
      </c>
      <c r="U1727">
        <f>IF(OR(B1727="",C1727="",T1727="Retracted",LEFT(D1727,8)="Negative"),0,IF(COUNTIFS($B$2:B1727,B1727,$C$2:C1727,C1727,$D$2:D1727,"&lt;&gt;Negative*",$T$2:T1727,"&lt;&gt;Retracted")=1,1,0))</f>
        <v>1</v>
      </c>
    </row>
    <row r="1728" spans="1:21" x14ac:dyDescent="0.2">
      <c r="A1728" t="s">
        <v>3832</v>
      </c>
      <c r="B1728" t="s">
        <v>374</v>
      </c>
      <c r="C1728" t="s">
        <v>1502</v>
      </c>
      <c r="D1728" t="s">
        <v>1575</v>
      </c>
      <c r="E1728" t="s">
        <v>375</v>
      </c>
      <c r="F1728" t="s">
        <v>1583</v>
      </c>
      <c r="I1728" t="s">
        <v>1058</v>
      </c>
      <c r="M1728" t="s">
        <v>190</v>
      </c>
      <c r="N1728" t="s">
        <v>203</v>
      </c>
      <c r="Q1728" s="2" t="str">
        <f>IF($C1728="","",IFERROR(VLOOKUP($C1728,sources!$A$2:$N$200,2,FALSE()),"?"))</f>
        <v>Map</v>
      </c>
      <c r="R1728" s="2" t="str">
        <f t="shared" si="26"/>
        <v>Map</v>
      </c>
      <c r="S1728" s="2" t="str">
        <f>IF($C1728="","",IFERROR(VLOOKUP($C1728,sources!$A$2:$N$200,9,FALSE()),"?"))</f>
        <v>US official</v>
      </c>
      <c r="T1728" t="s">
        <v>5692</v>
      </c>
      <c r="U1728">
        <f>IF(OR(B1728="",C1728="",T1728="Retracted",LEFT(D1728,8)="Negative"),0,IF(COUNTIFS($B$2:B1728,B1728,$C$2:C1728,C1728,$D$2:D1728,"&lt;&gt;Negative*",$T$2:T1728,"&lt;&gt;Retracted")=1,1,0))</f>
        <v>1</v>
      </c>
    </row>
    <row r="1729" spans="1:21" x14ac:dyDescent="0.2">
      <c r="A1729" t="s">
        <v>3833</v>
      </c>
      <c r="B1729" t="s">
        <v>351</v>
      </c>
      <c r="C1729" t="s">
        <v>1502</v>
      </c>
      <c r="D1729" t="s">
        <v>1575</v>
      </c>
      <c r="E1729" t="s">
        <v>352</v>
      </c>
      <c r="F1729" t="s">
        <v>1583</v>
      </c>
      <c r="I1729" t="s">
        <v>1058</v>
      </c>
      <c r="K1729">
        <v>1927</v>
      </c>
      <c r="L1729">
        <v>1927</v>
      </c>
      <c r="M1729" t="s">
        <v>203</v>
      </c>
      <c r="N1729" t="s">
        <v>203</v>
      </c>
      <c r="Q1729" s="2" t="str">
        <f>IF($C1729="","",IFERROR(VLOOKUP($C1729,sources!$A$2:$N$200,2,FALSE()),"?"))</f>
        <v>Map</v>
      </c>
      <c r="R1729" s="2" t="str">
        <f t="shared" si="26"/>
        <v>Map</v>
      </c>
      <c r="S1729" s="2" t="str">
        <f>IF($C1729="","",IFERROR(VLOOKUP($C1729,sources!$A$2:$N$200,9,FALSE()),"?"))</f>
        <v>US official</v>
      </c>
      <c r="T1729" t="s">
        <v>5692</v>
      </c>
      <c r="U1729">
        <f>IF(OR(B1729="",C1729="",T1729="Retracted",LEFT(D1729,8)="Negative"),0,IF(COUNTIFS($B$2:B1729,B1729,$C$2:C1729,C1729,$D$2:D1729,"&lt;&gt;Negative*",$T$2:T1729,"&lt;&gt;Retracted")=1,1,0))</f>
        <v>1</v>
      </c>
    </row>
    <row r="1730" spans="1:21" x14ac:dyDescent="0.2">
      <c r="A1730" t="s">
        <v>3834</v>
      </c>
      <c r="B1730" t="s">
        <v>525</v>
      </c>
      <c r="C1730" t="s">
        <v>1502</v>
      </c>
      <c r="D1730" t="s">
        <v>1575</v>
      </c>
      <c r="E1730" t="s">
        <v>3835</v>
      </c>
      <c r="F1730" t="s">
        <v>1583</v>
      </c>
      <c r="I1730" t="s">
        <v>1058</v>
      </c>
      <c r="K1730">
        <v>1927</v>
      </c>
      <c r="L1730">
        <v>1927</v>
      </c>
      <c r="M1730" t="s">
        <v>203</v>
      </c>
      <c r="N1730" t="s">
        <v>203</v>
      </c>
      <c r="Q1730" s="2" t="str">
        <f>IF($C1730="","",IFERROR(VLOOKUP($C1730,sources!$A$2:$N$200,2,FALSE()),"?"))</f>
        <v>Map</v>
      </c>
      <c r="R1730" s="2" t="str">
        <f t="shared" ref="R1730:R1793" si="27">IF($Q1730="","",IF($Q1730="Map","Map",IF(OR($Q1730="Photograph",$Q1730="Postcard"),"Image",IF(OR($Q1730="Census or roll",$Q1730="Report",$Q1730="Newspaper",$Q1730="Letter",$Q1730="Memoir",$Q1730="Administrative",$Q1730="Web compilation"),"Textual",IF($Q1730="Legal claim","Legal/admin",IF($Q1730="Secondary","Secondary","Other"))))))</f>
        <v>Map</v>
      </c>
      <c r="S1730" s="2" t="str">
        <f>IF($C1730="","",IFERROR(VLOOKUP($C1730,sources!$A$2:$N$200,9,FALSE()),"?"))</f>
        <v>US official</v>
      </c>
      <c r="T1730" t="s">
        <v>5692</v>
      </c>
      <c r="U1730">
        <f>IF(OR(B1730="",C1730="",T1730="Retracted",LEFT(D1730,8)="Negative"),0,IF(COUNTIFS($B$2:B1730,B1730,$C$2:C1730,C1730,$D$2:D1730,"&lt;&gt;Negative*",$T$2:T1730,"&lt;&gt;Retracted")=1,1,0))</f>
        <v>1</v>
      </c>
    </row>
    <row r="1731" spans="1:21" x14ac:dyDescent="0.2">
      <c r="A1731" t="s">
        <v>3836</v>
      </c>
      <c r="B1731" t="s">
        <v>538</v>
      </c>
      <c r="C1731" t="s">
        <v>1502</v>
      </c>
      <c r="D1731" t="s">
        <v>1575</v>
      </c>
      <c r="E1731" t="s">
        <v>3837</v>
      </c>
      <c r="F1731" t="s">
        <v>1583</v>
      </c>
      <c r="I1731" t="s">
        <v>1058</v>
      </c>
      <c r="K1731">
        <v>1927</v>
      </c>
      <c r="L1731">
        <v>1927</v>
      </c>
      <c r="M1731" t="s">
        <v>203</v>
      </c>
      <c r="N1731" t="s">
        <v>203</v>
      </c>
      <c r="Q1731" s="2" t="str">
        <f>IF($C1731="","",IFERROR(VLOOKUP($C1731,sources!$A$2:$N$200,2,FALSE()),"?"))</f>
        <v>Map</v>
      </c>
      <c r="R1731" s="2" t="str">
        <f t="shared" si="27"/>
        <v>Map</v>
      </c>
      <c r="S1731" s="2" t="str">
        <f>IF($C1731="","",IFERROR(VLOOKUP($C1731,sources!$A$2:$N$200,9,FALSE()),"?"))</f>
        <v>US official</v>
      </c>
      <c r="T1731" t="s">
        <v>5692</v>
      </c>
      <c r="U1731">
        <f>IF(OR(B1731="",C1731="",T1731="Retracted",LEFT(D1731,8)="Negative"),0,IF(COUNTIFS($B$2:B1731,B1731,$C$2:C1731,C1731,$D$2:D1731,"&lt;&gt;Negative*",$T$2:T1731,"&lt;&gt;Retracted")=1,1,0))</f>
        <v>1</v>
      </c>
    </row>
    <row r="1732" spans="1:21" x14ac:dyDescent="0.2">
      <c r="A1732" t="s">
        <v>3838</v>
      </c>
      <c r="B1732" t="s">
        <v>242</v>
      </c>
      <c r="C1732" t="s">
        <v>1502</v>
      </c>
      <c r="D1732" t="s">
        <v>1613</v>
      </c>
      <c r="E1732" t="s">
        <v>243</v>
      </c>
      <c r="F1732" t="s">
        <v>1583</v>
      </c>
      <c r="I1732" t="s">
        <v>1058</v>
      </c>
      <c r="K1732">
        <v>1927</v>
      </c>
      <c r="L1732">
        <v>1927</v>
      </c>
      <c r="M1732" t="s">
        <v>203</v>
      </c>
      <c r="N1732" t="s">
        <v>209</v>
      </c>
      <c r="Q1732" s="2" t="str">
        <f>IF($C1732="","",IFERROR(VLOOKUP($C1732,sources!$A$2:$N$200,2,FALSE()),"?"))</f>
        <v>Map</v>
      </c>
      <c r="R1732" s="2" t="str">
        <f t="shared" si="27"/>
        <v>Map</v>
      </c>
      <c r="S1732" s="2" t="str">
        <f>IF($C1732="","",IFERROR(VLOOKUP($C1732,sources!$A$2:$N$200,9,FALSE()),"?"))</f>
        <v>US official</v>
      </c>
      <c r="T1732" t="s">
        <v>5692</v>
      </c>
      <c r="U1732">
        <f>IF(OR(B1732="",C1732="",T1732="Retracted",LEFT(D1732,8)="Negative"),0,IF(COUNTIFS($B$2:B1732,B1732,$C$2:C1732,C1732,$D$2:D1732,"&lt;&gt;Negative*",$T$2:T1732,"&lt;&gt;Retracted")=1,1,0))</f>
        <v>0</v>
      </c>
    </row>
    <row r="1733" spans="1:21" x14ac:dyDescent="0.2">
      <c r="A1733" t="s">
        <v>3839</v>
      </c>
      <c r="B1733" t="s">
        <v>179</v>
      </c>
      <c r="C1733" t="s">
        <v>1502</v>
      </c>
      <c r="D1733" t="s">
        <v>1613</v>
      </c>
      <c r="E1733" t="s">
        <v>180</v>
      </c>
      <c r="F1733" t="s">
        <v>1583</v>
      </c>
      <c r="I1733" t="s">
        <v>1058</v>
      </c>
      <c r="K1733">
        <v>1927</v>
      </c>
      <c r="L1733">
        <v>1927</v>
      </c>
      <c r="M1733" t="s">
        <v>203</v>
      </c>
      <c r="N1733" t="s">
        <v>209</v>
      </c>
      <c r="Q1733" s="2" t="str">
        <f>IF($C1733="","",IFERROR(VLOOKUP($C1733,sources!$A$2:$N$200,2,FALSE()),"?"))</f>
        <v>Map</v>
      </c>
      <c r="R1733" s="2" t="str">
        <f t="shared" si="27"/>
        <v>Map</v>
      </c>
      <c r="S1733" s="2" t="str">
        <f>IF($C1733="","",IFERROR(VLOOKUP($C1733,sources!$A$2:$N$200,9,FALSE()),"?"))</f>
        <v>US official</v>
      </c>
      <c r="T1733" t="s">
        <v>5692</v>
      </c>
      <c r="U1733">
        <f>IF(OR(B1733="",C1733="",T1733="Retracted",LEFT(D1733,8)="Negative"),0,IF(COUNTIFS($B$2:B1733,B1733,$C$2:C1733,C1733,$D$2:D1733,"&lt;&gt;Negative*",$T$2:T1733,"&lt;&gt;Retracted")=1,1,0))</f>
        <v>0</v>
      </c>
    </row>
    <row r="1734" spans="1:21" x14ac:dyDescent="0.2">
      <c r="A1734" t="s">
        <v>3840</v>
      </c>
      <c r="B1734" t="s">
        <v>363</v>
      </c>
      <c r="C1734" t="s">
        <v>1502</v>
      </c>
      <c r="D1734" t="s">
        <v>1613</v>
      </c>
      <c r="E1734" t="s">
        <v>364</v>
      </c>
      <c r="F1734" t="s">
        <v>1583</v>
      </c>
      <c r="I1734" t="s">
        <v>1058</v>
      </c>
      <c r="K1734">
        <v>1927</v>
      </c>
      <c r="L1734">
        <v>1927</v>
      </c>
      <c r="M1734" t="s">
        <v>203</v>
      </c>
      <c r="N1734" t="s">
        <v>209</v>
      </c>
      <c r="Q1734" s="2" t="str">
        <f>IF($C1734="","",IFERROR(VLOOKUP($C1734,sources!$A$2:$N$200,2,FALSE()),"?"))</f>
        <v>Map</v>
      </c>
      <c r="R1734" s="2" t="str">
        <f t="shared" si="27"/>
        <v>Map</v>
      </c>
      <c r="S1734" s="2" t="str">
        <f>IF($C1734="","",IFERROR(VLOOKUP($C1734,sources!$A$2:$N$200,9,FALSE()),"?"))</f>
        <v>US official</v>
      </c>
      <c r="T1734" t="s">
        <v>5692</v>
      </c>
      <c r="U1734">
        <f>IF(OR(B1734="",C1734="",T1734="Retracted",LEFT(D1734,8)="Negative"),0,IF(COUNTIFS($B$2:B1734,B1734,$C$2:C1734,C1734,$D$2:D1734,"&lt;&gt;Negative*",$T$2:T1734,"&lt;&gt;Retracted")=1,1,0))</f>
        <v>0</v>
      </c>
    </row>
    <row r="1735" spans="1:21" x14ac:dyDescent="0.2">
      <c r="A1735" t="s">
        <v>3841</v>
      </c>
      <c r="B1735" t="s">
        <v>395</v>
      </c>
      <c r="C1735" t="s">
        <v>1502</v>
      </c>
      <c r="D1735" t="s">
        <v>1613</v>
      </c>
      <c r="E1735" t="s">
        <v>396</v>
      </c>
      <c r="F1735" t="s">
        <v>1583</v>
      </c>
      <c r="I1735" t="s">
        <v>1058</v>
      </c>
      <c r="K1735">
        <v>1927</v>
      </c>
      <c r="L1735">
        <v>1927</v>
      </c>
      <c r="M1735" t="s">
        <v>203</v>
      </c>
      <c r="N1735" t="s">
        <v>209</v>
      </c>
      <c r="Q1735" s="2" t="str">
        <f>IF($C1735="","",IFERROR(VLOOKUP($C1735,sources!$A$2:$N$200,2,FALSE()),"?"))</f>
        <v>Map</v>
      </c>
      <c r="R1735" s="2" t="str">
        <f t="shared" si="27"/>
        <v>Map</v>
      </c>
      <c r="S1735" s="2" t="str">
        <f>IF($C1735="","",IFERROR(VLOOKUP($C1735,sources!$A$2:$N$200,9,FALSE()),"?"))</f>
        <v>US official</v>
      </c>
      <c r="T1735" t="s">
        <v>5692</v>
      </c>
      <c r="U1735">
        <f>IF(OR(B1735="",C1735="",T1735="Retracted",LEFT(D1735,8)="Negative"),0,IF(COUNTIFS($B$2:B1735,B1735,$C$2:C1735,C1735,$D$2:D1735,"&lt;&gt;Negative*",$T$2:T1735,"&lt;&gt;Retracted")=1,1,0))</f>
        <v>0</v>
      </c>
    </row>
    <row r="1736" spans="1:21" x14ac:dyDescent="0.2">
      <c r="A1736" t="s">
        <v>3842</v>
      </c>
      <c r="B1736" t="s">
        <v>265</v>
      </c>
      <c r="C1736" t="s">
        <v>1502</v>
      </c>
      <c r="D1736" t="s">
        <v>1613</v>
      </c>
      <c r="E1736" t="s">
        <v>266</v>
      </c>
      <c r="F1736" t="s">
        <v>1583</v>
      </c>
      <c r="I1736" t="s">
        <v>1058</v>
      </c>
      <c r="K1736">
        <v>1927</v>
      </c>
      <c r="L1736">
        <v>1927</v>
      </c>
      <c r="M1736" t="s">
        <v>203</v>
      </c>
      <c r="N1736" t="s">
        <v>209</v>
      </c>
      <c r="Q1736" s="2" t="str">
        <f>IF($C1736="","",IFERROR(VLOOKUP($C1736,sources!$A$2:$N$200,2,FALSE()),"?"))</f>
        <v>Map</v>
      </c>
      <c r="R1736" s="2" t="str">
        <f t="shared" si="27"/>
        <v>Map</v>
      </c>
      <c r="S1736" s="2" t="str">
        <f>IF($C1736="","",IFERROR(VLOOKUP($C1736,sources!$A$2:$N$200,9,FALSE()),"?"))</f>
        <v>US official</v>
      </c>
      <c r="T1736" t="s">
        <v>5692</v>
      </c>
      <c r="U1736">
        <f>IF(OR(B1736="",C1736="",T1736="Retracted",LEFT(D1736,8)="Negative"),0,IF(COUNTIFS($B$2:B1736,B1736,$C$2:C1736,C1736,$D$2:D1736,"&lt;&gt;Negative*",$T$2:T1736,"&lt;&gt;Retracted")=1,1,0))</f>
        <v>0</v>
      </c>
    </row>
    <row r="1737" spans="1:21" x14ac:dyDescent="0.2">
      <c r="A1737" t="s">
        <v>3843</v>
      </c>
      <c r="B1737" t="s">
        <v>360</v>
      </c>
      <c r="C1737" t="s">
        <v>1502</v>
      </c>
      <c r="D1737" t="s">
        <v>1613</v>
      </c>
      <c r="E1737" t="s">
        <v>361</v>
      </c>
      <c r="F1737" t="s">
        <v>1583</v>
      </c>
      <c r="I1737" t="s">
        <v>1058</v>
      </c>
      <c r="K1737">
        <v>1927</v>
      </c>
      <c r="L1737">
        <v>1927</v>
      </c>
      <c r="M1737" t="s">
        <v>203</v>
      </c>
      <c r="N1737" t="s">
        <v>209</v>
      </c>
      <c r="Q1737" s="2" t="str">
        <f>IF($C1737="","",IFERROR(VLOOKUP($C1737,sources!$A$2:$N$200,2,FALSE()),"?"))</f>
        <v>Map</v>
      </c>
      <c r="R1737" s="2" t="str">
        <f t="shared" si="27"/>
        <v>Map</v>
      </c>
      <c r="S1737" s="2" t="str">
        <f>IF($C1737="","",IFERROR(VLOOKUP($C1737,sources!$A$2:$N$200,9,FALSE()),"?"))</f>
        <v>US official</v>
      </c>
      <c r="T1737" t="s">
        <v>5692</v>
      </c>
      <c r="U1737">
        <f>IF(OR(B1737="",C1737="",T1737="Retracted",LEFT(D1737,8)="Negative"),0,IF(COUNTIFS($B$2:B1737,B1737,$C$2:C1737,C1737,$D$2:D1737,"&lt;&gt;Negative*",$T$2:T1737,"&lt;&gt;Retracted")=1,1,0))</f>
        <v>0</v>
      </c>
    </row>
    <row r="1738" spans="1:21" x14ac:dyDescent="0.2">
      <c r="A1738" t="s">
        <v>3844</v>
      </c>
      <c r="B1738" t="s">
        <v>433</v>
      </c>
      <c r="C1738" t="s">
        <v>1502</v>
      </c>
      <c r="D1738" t="s">
        <v>1613</v>
      </c>
      <c r="E1738" t="s">
        <v>434</v>
      </c>
      <c r="F1738" t="s">
        <v>1583</v>
      </c>
      <c r="I1738" t="s">
        <v>1058</v>
      </c>
      <c r="K1738">
        <v>1927</v>
      </c>
      <c r="L1738">
        <v>1927</v>
      </c>
      <c r="M1738" t="s">
        <v>203</v>
      </c>
      <c r="N1738" t="s">
        <v>209</v>
      </c>
      <c r="Q1738" s="2" t="str">
        <f>IF($C1738="","",IFERROR(VLOOKUP($C1738,sources!$A$2:$N$200,2,FALSE()),"?"))</f>
        <v>Map</v>
      </c>
      <c r="R1738" s="2" t="str">
        <f t="shared" si="27"/>
        <v>Map</v>
      </c>
      <c r="S1738" s="2" t="str">
        <f>IF($C1738="","",IFERROR(VLOOKUP($C1738,sources!$A$2:$N$200,9,FALSE()),"?"))</f>
        <v>US official</v>
      </c>
      <c r="T1738" t="s">
        <v>5692</v>
      </c>
      <c r="U1738">
        <f>IF(OR(B1738="",C1738="",T1738="Retracted",LEFT(D1738,8)="Negative"),0,IF(COUNTIFS($B$2:B1738,B1738,$C$2:C1738,C1738,$D$2:D1738,"&lt;&gt;Negative*",$T$2:T1738,"&lt;&gt;Retracted")=1,1,0))</f>
        <v>0</v>
      </c>
    </row>
    <row r="1739" spans="1:21" x14ac:dyDescent="0.2">
      <c r="A1739" t="s">
        <v>3845</v>
      </c>
      <c r="B1739" t="s">
        <v>253</v>
      </c>
      <c r="C1739" t="s">
        <v>1502</v>
      </c>
      <c r="D1739" t="s">
        <v>1613</v>
      </c>
      <c r="E1739" t="s">
        <v>254</v>
      </c>
      <c r="F1739" t="s">
        <v>1583</v>
      </c>
      <c r="I1739" t="s">
        <v>1058</v>
      </c>
      <c r="K1739">
        <v>1927</v>
      </c>
      <c r="L1739">
        <v>1927</v>
      </c>
      <c r="M1739" t="s">
        <v>203</v>
      </c>
      <c r="N1739" t="s">
        <v>209</v>
      </c>
      <c r="Q1739" s="2" t="str">
        <f>IF($C1739="","",IFERROR(VLOOKUP($C1739,sources!$A$2:$N$200,2,FALSE()),"?"))</f>
        <v>Map</v>
      </c>
      <c r="R1739" s="2" t="str">
        <f t="shared" si="27"/>
        <v>Map</v>
      </c>
      <c r="S1739" s="2" t="str">
        <f>IF($C1739="","",IFERROR(VLOOKUP($C1739,sources!$A$2:$N$200,9,FALSE()),"?"))</f>
        <v>US official</v>
      </c>
      <c r="T1739" t="s">
        <v>5692</v>
      </c>
      <c r="U1739">
        <f>IF(OR(B1739="",C1739="",T1739="Retracted",LEFT(D1739,8)="Negative"),0,IF(COUNTIFS($B$2:B1739,B1739,$C$2:C1739,C1739,$D$2:D1739,"&lt;&gt;Negative*",$T$2:T1739,"&lt;&gt;Retracted")=1,1,0))</f>
        <v>0</v>
      </c>
    </row>
    <row r="1740" spans="1:21" x14ac:dyDescent="0.2">
      <c r="A1740" t="s">
        <v>3846</v>
      </c>
      <c r="B1740" t="s">
        <v>330</v>
      </c>
      <c r="C1740" t="s">
        <v>1497</v>
      </c>
      <c r="D1740" t="s">
        <v>1575</v>
      </c>
      <c r="E1740" t="s">
        <v>3750</v>
      </c>
      <c r="F1740" t="s">
        <v>1566</v>
      </c>
      <c r="K1740" t="s">
        <v>1431</v>
      </c>
      <c r="L1740" t="s">
        <v>1431</v>
      </c>
      <c r="M1740" t="s">
        <v>203</v>
      </c>
      <c r="N1740" t="s">
        <v>203</v>
      </c>
      <c r="Q1740" s="2" t="str">
        <f>IF($C1740="","",IFERROR(VLOOKUP($C1740,sources!$A$2:$N$200,2,FALSE()),"?"))</f>
        <v>Map</v>
      </c>
      <c r="R1740" s="2" t="str">
        <f t="shared" si="27"/>
        <v>Map</v>
      </c>
      <c r="S1740" s="2" t="str">
        <f>IF($C1740="","",IFERROR(VLOOKUP($C1740,sources!$A$2:$N$200,9,FALSE()),"?"))</f>
        <v>French company</v>
      </c>
      <c r="T1740" t="s">
        <v>5692</v>
      </c>
      <c r="U1740">
        <f>IF(OR(B1740="",C1740="",T1740="Retracted",LEFT(D1740,8)="Negative"),0,IF(COUNTIFS($B$2:B1740,B1740,$C$2:C1740,C1740,$D$2:D1740,"&lt;&gt;Negative*",$T$2:T1740,"&lt;&gt;Retracted")=1,1,0))</f>
        <v>1</v>
      </c>
    </row>
    <row r="1741" spans="1:21" x14ac:dyDescent="0.2">
      <c r="A1741" t="s">
        <v>3847</v>
      </c>
      <c r="B1741" t="s">
        <v>902</v>
      </c>
      <c r="C1741" t="s">
        <v>1148</v>
      </c>
      <c r="D1741" t="s">
        <v>1575</v>
      </c>
      <c r="E1741" t="s">
        <v>904</v>
      </c>
      <c r="F1741" t="s">
        <v>1566</v>
      </c>
      <c r="K1741" t="s">
        <v>1721</v>
      </c>
      <c r="L1741" t="s">
        <v>1721</v>
      </c>
      <c r="M1741" t="s">
        <v>203</v>
      </c>
      <c r="N1741" t="s">
        <v>209</v>
      </c>
      <c r="Q1741" s="2" t="str">
        <f>IF($C1741="","",IFERROR(VLOOKUP($C1741,sources!$A$2:$N$200,2,FALSE()),"?"))</f>
        <v>Report</v>
      </c>
      <c r="R1741" s="2" t="str">
        <f t="shared" si="27"/>
        <v>Textual</v>
      </c>
      <c r="S1741" s="2" t="str">
        <f>IF($C1741="","",IFERROR(VLOOKUP($C1741,sources!$A$2:$N$200,9,FALSE()),"?"))</f>
        <v>US official</v>
      </c>
      <c r="T1741" t="s">
        <v>5692</v>
      </c>
      <c r="U1741">
        <f>IF(OR(B1741="",C1741="",T1741="Retracted",LEFT(D1741,8)="Negative"),0,IF(COUNTIFS($B$2:B1741,B1741,$C$2:C1741,C1741,$D$2:D1741,"&lt;&gt;Negative*",$T$2:T1741,"&lt;&gt;Retracted")=1,1,0))</f>
        <v>1</v>
      </c>
    </row>
    <row r="1742" spans="1:21" x14ac:dyDescent="0.2">
      <c r="A1742" t="s">
        <v>3848</v>
      </c>
      <c r="B1742" t="s">
        <v>1017</v>
      </c>
      <c r="C1742" t="s">
        <v>1148</v>
      </c>
      <c r="D1742" t="s">
        <v>1575</v>
      </c>
      <c r="E1742" t="s">
        <v>1018</v>
      </c>
      <c r="F1742" t="s">
        <v>1566</v>
      </c>
      <c r="K1742" t="s">
        <v>1040</v>
      </c>
      <c r="L1742" t="s">
        <v>1040</v>
      </c>
      <c r="M1742" t="s">
        <v>203</v>
      </c>
      <c r="N1742" t="s">
        <v>209</v>
      </c>
      <c r="Q1742" s="2" t="str">
        <f>IF($C1742="","",IFERROR(VLOOKUP($C1742,sources!$A$2:$N$200,2,FALSE()),"?"))</f>
        <v>Report</v>
      </c>
      <c r="R1742" s="2" t="str">
        <f t="shared" si="27"/>
        <v>Textual</v>
      </c>
      <c r="S1742" s="2" t="str">
        <f>IF($C1742="","",IFERROR(VLOOKUP($C1742,sources!$A$2:$N$200,9,FALSE()),"?"))</f>
        <v>US official</v>
      </c>
      <c r="T1742" t="s">
        <v>5692</v>
      </c>
      <c r="U1742">
        <f>IF(OR(B1742="",C1742="",T1742="Retracted",LEFT(D1742,8)="Negative"),0,IF(COUNTIFS($B$2:B1742,B1742,$C$2:C1742,C1742,$D$2:D1742,"&lt;&gt;Negative*",$T$2:T1742,"&lt;&gt;Retracted")=1,1,0))</f>
        <v>1</v>
      </c>
    </row>
    <row r="1743" spans="1:21" x14ac:dyDescent="0.2">
      <c r="A1743" t="s">
        <v>3849</v>
      </c>
      <c r="B1743" t="s">
        <v>1012</v>
      </c>
      <c r="C1743" t="s">
        <v>1148</v>
      </c>
      <c r="D1743" t="s">
        <v>1613</v>
      </c>
      <c r="F1743" t="s">
        <v>1566</v>
      </c>
      <c r="N1743" t="s">
        <v>209</v>
      </c>
      <c r="Q1743" s="2" t="str">
        <f>IF($C1743="","",IFERROR(VLOOKUP($C1743,sources!$A$2:$N$200,2,FALSE()),"?"))</f>
        <v>Report</v>
      </c>
      <c r="R1743" s="2" t="str">
        <f t="shared" si="27"/>
        <v>Textual</v>
      </c>
      <c r="S1743" s="2" t="str">
        <f>IF($C1743="","",IFERROR(VLOOKUP($C1743,sources!$A$2:$N$200,9,FALSE()),"?"))</f>
        <v>US official</v>
      </c>
      <c r="T1743" t="s">
        <v>5692</v>
      </c>
      <c r="U1743">
        <f>IF(OR(B1743="",C1743="",T1743="Retracted",LEFT(D1743,8)="Negative"),0,IF(COUNTIFS($B$2:B1743,B1743,$C$2:C1743,C1743,$D$2:D1743,"&lt;&gt;Negative*",$T$2:T1743,"&lt;&gt;Retracted")=1,1,0))</f>
        <v>0</v>
      </c>
    </row>
    <row r="1744" spans="1:21" x14ac:dyDescent="0.2">
      <c r="A1744" t="s">
        <v>3850</v>
      </c>
      <c r="B1744" t="s">
        <v>1021</v>
      </c>
      <c r="C1744" t="s">
        <v>1148</v>
      </c>
      <c r="D1744" t="s">
        <v>1613</v>
      </c>
      <c r="F1744" t="s">
        <v>1566</v>
      </c>
      <c r="N1744" t="s">
        <v>209</v>
      </c>
      <c r="Q1744" s="2" t="str">
        <f>IF($C1744="","",IFERROR(VLOOKUP($C1744,sources!$A$2:$N$200,2,FALSE()),"?"))</f>
        <v>Report</v>
      </c>
      <c r="R1744" s="2" t="str">
        <f t="shared" si="27"/>
        <v>Textual</v>
      </c>
      <c r="S1744" s="2" t="str">
        <f>IF($C1744="","",IFERROR(VLOOKUP($C1744,sources!$A$2:$N$200,9,FALSE()),"?"))</f>
        <v>US official</v>
      </c>
      <c r="T1744" t="s">
        <v>5692</v>
      </c>
      <c r="U1744">
        <f>IF(OR(B1744="",C1744="",T1744="Retracted",LEFT(D1744,8)="Negative"),0,IF(COUNTIFS($B$2:B1744,B1744,$C$2:C1744,C1744,$D$2:D1744,"&lt;&gt;Negative*",$T$2:T1744,"&lt;&gt;Retracted")=1,1,0))</f>
        <v>0</v>
      </c>
    </row>
    <row r="1745" spans="1:21" x14ac:dyDescent="0.2">
      <c r="A1745" t="s">
        <v>3851</v>
      </c>
      <c r="B1745" t="s">
        <v>906</v>
      </c>
      <c r="C1745" t="s">
        <v>1148</v>
      </c>
      <c r="D1745" t="s">
        <v>1613</v>
      </c>
      <c r="F1745" t="s">
        <v>1566</v>
      </c>
      <c r="N1745" t="s">
        <v>209</v>
      </c>
      <c r="Q1745" s="2" t="str">
        <f>IF($C1745="","",IFERROR(VLOOKUP($C1745,sources!$A$2:$N$200,2,FALSE()),"?"))</f>
        <v>Report</v>
      </c>
      <c r="R1745" s="2" t="str">
        <f t="shared" si="27"/>
        <v>Textual</v>
      </c>
      <c r="S1745" s="2" t="str">
        <f>IF($C1745="","",IFERROR(VLOOKUP($C1745,sources!$A$2:$N$200,9,FALSE()),"?"))</f>
        <v>US official</v>
      </c>
      <c r="T1745" t="s">
        <v>5692</v>
      </c>
      <c r="U1745">
        <f>IF(OR(B1745="",C1745="",T1745="Retracted",LEFT(D1745,8)="Negative"),0,IF(COUNTIFS($B$2:B1745,B1745,$C$2:C1745,C1745,$D$2:D1745,"&lt;&gt;Negative*",$T$2:T1745,"&lt;&gt;Retracted")=1,1,0))</f>
        <v>0</v>
      </c>
    </row>
    <row r="1746" spans="1:21" x14ac:dyDescent="0.2">
      <c r="A1746" t="s">
        <v>3852</v>
      </c>
      <c r="B1746" t="s">
        <v>932</v>
      </c>
      <c r="C1746" t="s">
        <v>1179</v>
      </c>
      <c r="D1746" t="s">
        <v>1613</v>
      </c>
      <c r="E1746" t="s">
        <v>934</v>
      </c>
      <c r="F1746" t="s">
        <v>1583</v>
      </c>
      <c r="I1746" t="s">
        <v>1058</v>
      </c>
      <c r="K1746">
        <v>1909</v>
      </c>
      <c r="L1746">
        <v>1909</v>
      </c>
      <c r="M1746" t="s">
        <v>209</v>
      </c>
      <c r="N1746" t="s">
        <v>203</v>
      </c>
      <c r="Q1746" s="2" t="str">
        <f>IF($C1746="","",IFERROR(VLOOKUP($C1746,sources!$A$2:$N$200,2,FALSE()),"?"))</f>
        <v>Map</v>
      </c>
      <c r="R1746" s="2" t="str">
        <f t="shared" si="27"/>
        <v>Map</v>
      </c>
      <c r="S1746" s="2" t="str">
        <f>IF($C1746="","",IFERROR(VLOOKUP($C1746,sources!$A$2:$N$200,9,FALSE()),"?"))</f>
        <v>US official</v>
      </c>
      <c r="T1746" t="s">
        <v>5692</v>
      </c>
      <c r="U1746">
        <f>IF(OR(B1746="",C1746="",T1746="Retracted",LEFT(D1746,8)="Negative"),0,IF(COUNTIFS($B$2:B1746,B1746,$C$2:C1746,C1746,$D$2:D1746,"&lt;&gt;Negative*",$T$2:T1746,"&lt;&gt;Retracted")=1,1,0))</f>
        <v>0</v>
      </c>
    </row>
    <row r="1747" spans="1:21" ht="26" x14ac:dyDescent="0.2">
      <c r="A1747" t="s">
        <v>3853</v>
      </c>
      <c r="B1747" t="s">
        <v>420</v>
      </c>
      <c r="C1747" t="s">
        <v>1434</v>
      </c>
      <c r="D1747" t="s">
        <v>1564</v>
      </c>
      <c r="E1747" t="s">
        <v>421</v>
      </c>
      <c r="F1747" t="s">
        <v>1583</v>
      </c>
      <c r="I1747" t="s">
        <v>1058</v>
      </c>
      <c r="K1747">
        <v>1857</v>
      </c>
      <c r="L1747">
        <v>1857</v>
      </c>
      <c r="M1747" t="s">
        <v>209</v>
      </c>
      <c r="N1747" t="s">
        <v>209</v>
      </c>
      <c r="Q1747" s="2" t="str">
        <f>IF($C1747="","",IFERROR(VLOOKUP($C1747,sources!$A$2:$N$200,2,FALSE()),"?"))</f>
        <v>Map</v>
      </c>
      <c r="R1747" s="2" t="str">
        <f t="shared" si="27"/>
        <v>Map</v>
      </c>
      <c r="S1747" s="2" t="str">
        <f>IF($C1747="","",IFERROR(VLOOKUP($C1747,sources!$A$2:$N$200,9,FALSE()),"?"))</f>
        <v>US corporate (PRR)</v>
      </c>
      <c r="T1747" t="s">
        <v>5692</v>
      </c>
      <c r="U1747">
        <f>IF(OR(B1747="",C1747="",T1747="Retracted",LEFT(D1747,8)="Negative"),0,IF(COUNTIFS($B$2:B1747,B1747,$C$2:C1747,C1747,$D$2:D1747,"&lt;&gt;Negative*",$T$2:T1747,"&lt;&gt;Retracted")=1,1,0))</f>
        <v>1</v>
      </c>
    </row>
    <row r="1748" spans="1:21" ht="26" x14ac:dyDescent="0.2">
      <c r="A1748" t="s">
        <v>3854</v>
      </c>
      <c r="B1748" t="s">
        <v>443</v>
      </c>
      <c r="C1748" t="s">
        <v>1434</v>
      </c>
      <c r="D1748" t="s">
        <v>1575</v>
      </c>
      <c r="E1748" t="s">
        <v>3855</v>
      </c>
      <c r="F1748" t="s">
        <v>1583</v>
      </c>
      <c r="I1748" t="s">
        <v>1058</v>
      </c>
      <c r="K1748">
        <v>1857</v>
      </c>
      <c r="L1748">
        <v>1857</v>
      </c>
      <c r="M1748" t="s">
        <v>209</v>
      </c>
      <c r="N1748" t="s">
        <v>203</v>
      </c>
      <c r="Q1748" s="2" t="str">
        <f>IF($C1748="","",IFERROR(VLOOKUP($C1748,sources!$A$2:$N$200,2,FALSE()),"?"))</f>
        <v>Map</v>
      </c>
      <c r="R1748" s="2" t="str">
        <f t="shared" si="27"/>
        <v>Map</v>
      </c>
      <c r="S1748" s="2" t="str">
        <f>IF($C1748="","",IFERROR(VLOOKUP($C1748,sources!$A$2:$N$200,9,FALSE()),"?"))</f>
        <v>US corporate (PRR)</v>
      </c>
      <c r="T1748" t="s">
        <v>5692</v>
      </c>
      <c r="U1748">
        <f>IF(OR(B1748="",C1748="",T1748="Retracted",LEFT(D1748,8)="Negative"),0,IF(COUNTIFS($B$2:B1748,B1748,$C$2:C1748,C1748,$D$2:D1748,"&lt;&gt;Negative*",$T$2:T1748,"&lt;&gt;Retracted")=1,1,0))</f>
        <v>1</v>
      </c>
    </row>
    <row r="1749" spans="1:21" ht="26" x14ac:dyDescent="0.2">
      <c r="A1749" t="s">
        <v>3856</v>
      </c>
      <c r="B1749" t="s">
        <v>472</v>
      </c>
      <c r="C1749" t="s">
        <v>1434</v>
      </c>
      <c r="D1749" t="s">
        <v>1613</v>
      </c>
      <c r="E1749" t="s">
        <v>473</v>
      </c>
      <c r="F1749" t="s">
        <v>1583</v>
      </c>
      <c r="I1749" t="s">
        <v>1058</v>
      </c>
      <c r="K1749">
        <v>1857</v>
      </c>
      <c r="L1749">
        <v>1857</v>
      </c>
      <c r="M1749" t="s">
        <v>209</v>
      </c>
      <c r="N1749" t="s">
        <v>203</v>
      </c>
      <c r="Q1749" s="2" t="str">
        <f>IF($C1749="","",IFERROR(VLOOKUP($C1749,sources!$A$2:$N$200,2,FALSE()),"?"))</f>
        <v>Map</v>
      </c>
      <c r="R1749" s="2" t="str">
        <f t="shared" si="27"/>
        <v>Map</v>
      </c>
      <c r="S1749" s="2" t="str">
        <f>IF($C1749="","",IFERROR(VLOOKUP($C1749,sources!$A$2:$N$200,9,FALSE()),"?"))</f>
        <v>US corporate (PRR)</v>
      </c>
      <c r="T1749" t="s">
        <v>5692</v>
      </c>
      <c r="U1749">
        <f>IF(OR(B1749="",C1749="",T1749="Retracted",LEFT(D1749,8)="Negative"),0,IF(COUNTIFS($B$2:B1749,B1749,$C$2:C1749,C1749,$D$2:D1749,"&lt;&gt;Negative*",$T$2:T1749,"&lt;&gt;Retracted")=1,1,0))</f>
        <v>0</v>
      </c>
    </row>
    <row r="1750" spans="1:21" ht="26" x14ac:dyDescent="0.2">
      <c r="A1750" t="s">
        <v>3857</v>
      </c>
      <c r="B1750" t="s">
        <v>484</v>
      </c>
      <c r="C1750" t="s">
        <v>1434</v>
      </c>
      <c r="D1750" t="s">
        <v>1613</v>
      </c>
      <c r="E1750" t="s">
        <v>485</v>
      </c>
      <c r="F1750" t="s">
        <v>1583</v>
      </c>
      <c r="I1750" t="s">
        <v>1058</v>
      </c>
      <c r="K1750">
        <v>1857</v>
      </c>
      <c r="L1750">
        <v>1857</v>
      </c>
      <c r="M1750" t="s">
        <v>209</v>
      </c>
      <c r="N1750" t="s">
        <v>203</v>
      </c>
      <c r="Q1750" s="2" t="str">
        <f>IF($C1750="","",IFERROR(VLOOKUP($C1750,sources!$A$2:$N$200,2,FALSE()),"?"))</f>
        <v>Map</v>
      </c>
      <c r="R1750" s="2" t="str">
        <f t="shared" si="27"/>
        <v>Map</v>
      </c>
      <c r="S1750" s="2" t="str">
        <f>IF($C1750="","",IFERROR(VLOOKUP($C1750,sources!$A$2:$N$200,9,FALSE()),"?"))</f>
        <v>US corporate (PRR)</v>
      </c>
      <c r="T1750" t="s">
        <v>5692</v>
      </c>
      <c r="U1750">
        <f>IF(OR(B1750="",C1750="",T1750="Retracted",LEFT(D1750,8)="Negative"),0,IF(COUNTIFS($B$2:B1750,B1750,$C$2:C1750,C1750,$D$2:D1750,"&lt;&gt;Negative*",$T$2:T1750,"&lt;&gt;Retracted")=1,1,0))</f>
        <v>0</v>
      </c>
    </row>
    <row r="1751" spans="1:21" ht="26" x14ac:dyDescent="0.2">
      <c r="A1751" t="s">
        <v>3858</v>
      </c>
      <c r="B1751" t="s">
        <v>507</v>
      </c>
      <c r="C1751" t="s">
        <v>1434</v>
      </c>
      <c r="D1751" t="s">
        <v>1613</v>
      </c>
      <c r="E1751" t="s">
        <v>508</v>
      </c>
      <c r="F1751" t="s">
        <v>1583</v>
      </c>
      <c r="I1751" t="s">
        <v>1058</v>
      </c>
      <c r="K1751">
        <v>1857</v>
      </c>
      <c r="L1751">
        <v>1857</v>
      </c>
      <c r="M1751" t="s">
        <v>209</v>
      </c>
      <c r="N1751" t="s">
        <v>203</v>
      </c>
      <c r="Q1751" s="2" t="str">
        <f>IF($C1751="","",IFERROR(VLOOKUP($C1751,sources!$A$2:$N$200,2,FALSE()),"?"))</f>
        <v>Map</v>
      </c>
      <c r="R1751" s="2" t="str">
        <f t="shared" si="27"/>
        <v>Map</v>
      </c>
      <c r="S1751" s="2" t="str">
        <f>IF($C1751="","",IFERROR(VLOOKUP($C1751,sources!$A$2:$N$200,9,FALSE()),"?"))</f>
        <v>US corporate (PRR)</v>
      </c>
      <c r="T1751" t="s">
        <v>5692</v>
      </c>
      <c r="U1751">
        <f>IF(OR(B1751="",C1751="",T1751="Retracted",LEFT(D1751,8)="Negative"),0,IF(COUNTIFS($B$2:B1751,B1751,$C$2:C1751,C1751,$D$2:D1751,"&lt;&gt;Negative*",$T$2:T1751,"&lt;&gt;Retracted")=1,1,0))</f>
        <v>0</v>
      </c>
    </row>
    <row r="1752" spans="1:21" x14ac:dyDescent="0.2">
      <c r="A1752" t="s">
        <v>3859</v>
      </c>
      <c r="B1752" t="s">
        <v>392</v>
      </c>
      <c r="C1752" t="s">
        <v>1340</v>
      </c>
      <c r="D1752" t="s">
        <v>1613</v>
      </c>
      <c r="E1752" t="s">
        <v>393</v>
      </c>
      <c r="F1752" t="s">
        <v>1566</v>
      </c>
      <c r="I1752" t="s">
        <v>1058</v>
      </c>
      <c r="K1752">
        <v>1862</v>
      </c>
      <c r="L1752">
        <v>1862</v>
      </c>
      <c r="M1752" t="s">
        <v>209</v>
      </c>
      <c r="N1752" t="s">
        <v>203</v>
      </c>
      <c r="Q1752" s="2" t="str">
        <f>IF($C1752="","",IFERROR(VLOOKUP($C1752,sources!$A$2:$N$200,2,FALSE()),"?"))</f>
        <v>Map</v>
      </c>
      <c r="R1752" s="2" t="str">
        <f t="shared" si="27"/>
        <v>Map</v>
      </c>
      <c r="S1752" s="2" t="str">
        <f>IF($C1752="","",IFERROR(VLOOKUP($C1752,sources!$A$2:$N$200,9,FALSE()),"?"))</f>
        <v>PRR company</v>
      </c>
      <c r="T1752" t="s">
        <v>5692</v>
      </c>
      <c r="U1752">
        <f>IF(OR(B1752="",C1752="",T1752="Retracted",LEFT(D1752,8)="Negative"),0,IF(COUNTIFS($B$2:B1752,B1752,$C$2:C1752,C1752,$D$2:D1752,"&lt;&gt;Negative*",$T$2:T1752,"&lt;&gt;Retracted")=1,1,0))</f>
        <v>0</v>
      </c>
    </row>
    <row r="1753" spans="1:21" x14ac:dyDescent="0.2">
      <c r="A1753" t="s">
        <v>3860</v>
      </c>
      <c r="B1753" t="s">
        <v>565</v>
      </c>
      <c r="C1753" t="s">
        <v>1340</v>
      </c>
      <c r="D1753" t="s">
        <v>1575</v>
      </c>
      <c r="E1753" t="s">
        <v>2757</v>
      </c>
      <c r="F1753" t="s">
        <v>1566</v>
      </c>
      <c r="I1753" t="s">
        <v>1058</v>
      </c>
      <c r="K1753">
        <v>1862</v>
      </c>
      <c r="L1753">
        <v>1862</v>
      </c>
      <c r="M1753" t="s">
        <v>209</v>
      </c>
      <c r="N1753" t="s">
        <v>209</v>
      </c>
      <c r="Q1753" s="2" t="str">
        <f>IF($C1753="","",IFERROR(VLOOKUP($C1753,sources!$A$2:$N$200,2,FALSE()),"?"))</f>
        <v>Map</v>
      </c>
      <c r="R1753" s="2" t="str">
        <f t="shared" si="27"/>
        <v>Map</v>
      </c>
      <c r="S1753" s="2" t="str">
        <f>IF($C1753="","",IFERROR(VLOOKUP($C1753,sources!$A$2:$N$200,9,FALSE()),"?"))</f>
        <v>PRR company</v>
      </c>
      <c r="T1753" t="s">
        <v>5692</v>
      </c>
      <c r="U1753">
        <f>IF(OR(B1753="",C1753="",T1753="Retracted",LEFT(D1753,8)="Negative"),0,IF(COUNTIFS($B$2:B1753,B1753,$C$2:C1753,C1753,$D$2:D1753,"&lt;&gt;Negative*",$T$2:T1753,"&lt;&gt;Retracted")=1,1,0))</f>
        <v>1</v>
      </c>
    </row>
    <row r="1754" spans="1:21" x14ac:dyDescent="0.2">
      <c r="A1754" t="s">
        <v>3861</v>
      </c>
      <c r="B1754" t="s">
        <v>888</v>
      </c>
      <c r="C1754" t="s">
        <v>1340</v>
      </c>
      <c r="D1754" t="s">
        <v>1613</v>
      </c>
      <c r="E1754" t="s">
        <v>889</v>
      </c>
      <c r="F1754" t="s">
        <v>1566</v>
      </c>
      <c r="I1754" t="s">
        <v>1058</v>
      </c>
      <c r="K1754">
        <v>1862</v>
      </c>
      <c r="L1754">
        <v>1862</v>
      </c>
      <c r="M1754" t="s">
        <v>209</v>
      </c>
      <c r="N1754" t="s">
        <v>190</v>
      </c>
      <c r="Q1754" s="2" t="str">
        <f>IF($C1754="","",IFERROR(VLOOKUP($C1754,sources!$A$2:$N$200,2,FALSE()),"?"))</f>
        <v>Map</v>
      </c>
      <c r="R1754" s="2" t="str">
        <f t="shared" si="27"/>
        <v>Map</v>
      </c>
      <c r="S1754" s="2" t="str">
        <f>IF($C1754="","",IFERROR(VLOOKUP($C1754,sources!$A$2:$N$200,9,FALSE()),"?"))</f>
        <v>PRR company</v>
      </c>
      <c r="T1754" t="s">
        <v>5692</v>
      </c>
      <c r="U1754">
        <f>IF(OR(B1754="",C1754="",T1754="Retracted",LEFT(D1754,8)="Negative"),0,IF(COUNTIFS($B$2:B1754,B1754,$C$2:C1754,C1754,$D$2:D1754,"&lt;&gt;Negative*",$T$2:T1754,"&lt;&gt;Retracted")=1,1,0))</f>
        <v>0</v>
      </c>
    </row>
    <row r="1755" spans="1:21" x14ac:dyDescent="0.2">
      <c r="A1755" t="s">
        <v>3862</v>
      </c>
      <c r="B1755" t="s">
        <v>892</v>
      </c>
      <c r="C1755" t="s">
        <v>1340</v>
      </c>
      <c r="D1755" t="s">
        <v>1613</v>
      </c>
      <c r="E1755" t="s">
        <v>893</v>
      </c>
      <c r="F1755" t="s">
        <v>1566</v>
      </c>
      <c r="I1755" t="s">
        <v>1058</v>
      </c>
      <c r="K1755">
        <v>1862</v>
      </c>
      <c r="L1755">
        <v>1862</v>
      </c>
      <c r="M1755" t="s">
        <v>209</v>
      </c>
      <c r="N1755" t="s">
        <v>209</v>
      </c>
      <c r="Q1755" s="2" t="str">
        <f>IF($C1755="","",IFERROR(VLOOKUP($C1755,sources!$A$2:$N$200,2,FALSE()),"?"))</f>
        <v>Map</v>
      </c>
      <c r="R1755" s="2" t="str">
        <f t="shared" si="27"/>
        <v>Map</v>
      </c>
      <c r="S1755" s="2" t="str">
        <f>IF($C1755="","",IFERROR(VLOOKUP($C1755,sources!$A$2:$N$200,9,FALSE()),"?"))</f>
        <v>PRR company</v>
      </c>
      <c r="T1755" t="s">
        <v>5692</v>
      </c>
      <c r="U1755">
        <f>IF(OR(B1755="",C1755="",T1755="Retracted",LEFT(D1755,8)="Negative"),0,IF(COUNTIFS($B$2:B1755,B1755,$C$2:C1755,C1755,$D$2:D1755,"&lt;&gt;Negative*",$T$2:T1755,"&lt;&gt;Retracted")=1,1,0))</f>
        <v>0</v>
      </c>
    </row>
    <row r="1756" spans="1:21" x14ac:dyDescent="0.2">
      <c r="A1756" t="s">
        <v>3863</v>
      </c>
      <c r="B1756" t="s">
        <v>928</v>
      </c>
      <c r="C1756" t="s">
        <v>1340</v>
      </c>
      <c r="D1756" t="s">
        <v>1564</v>
      </c>
      <c r="E1756" t="s">
        <v>3864</v>
      </c>
      <c r="F1756" t="s">
        <v>1566</v>
      </c>
      <c r="I1756" t="s">
        <v>1058</v>
      </c>
      <c r="K1756">
        <v>1862</v>
      </c>
      <c r="L1756">
        <v>1862</v>
      </c>
      <c r="M1756" t="s">
        <v>209</v>
      </c>
      <c r="N1756" t="s">
        <v>190</v>
      </c>
      <c r="Q1756" s="2" t="str">
        <f>IF($C1756="","",IFERROR(VLOOKUP($C1756,sources!$A$2:$N$200,2,FALSE()),"?"))</f>
        <v>Map</v>
      </c>
      <c r="R1756" s="2" t="str">
        <f t="shared" si="27"/>
        <v>Map</v>
      </c>
      <c r="S1756" s="2" t="str">
        <f>IF($C1756="","",IFERROR(VLOOKUP($C1756,sources!$A$2:$N$200,9,FALSE()),"?"))</f>
        <v>PRR company</v>
      </c>
      <c r="T1756" t="s">
        <v>5692</v>
      </c>
      <c r="U1756">
        <f>IF(OR(B1756="",C1756="",T1756="Retracted",LEFT(D1756,8)="Negative"),0,IF(COUNTIFS($B$2:B1756,B1756,$C$2:C1756,C1756,$D$2:D1756,"&lt;&gt;Negative*",$T$2:T1756,"&lt;&gt;Retracted")=1,1,0))</f>
        <v>1</v>
      </c>
    </row>
    <row r="1757" spans="1:21" x14ac:dyDescent="0.2">
      <c r="A1757" t="s">
        <v>3865</v>
      </c>
      <c r="B1757" t="s">
        <v>928</v>
      </c>
      <c r="C1757" t="s">
        <v>1340</v>
      </c>
      <c r="D1757" t="s">
        <v>1564</v>
      </c>
      <c r="E1757" t="s">
        <v>3864</v>
      </c>
      <c r="F1757" t="s">
        <v>1566</v>
      </c>
      <c r="I1757" t="s">
        <v>1058</v>
      </c>
      <c r="K1757">
        <v>1862</v>
      </c>
      <c r="L1757">
        <v>1862</v>
      </c>
      <c r="M1757" t="s">
        <v>209</v>
      </c>
      <c r="N1757" t="s">
        <v>190</v>
      </c>
      <c r="Q1757" s="2" t="str">
        <f>IF($C1757="","",IFERROR(VLOOKUP($C1757,sources!$A$2:$N$200,2,FALSE()),"?"))</f>
        <v>Map</v>
      </c>
      <c r="R1757" s="2" t="str">
        <f t="shared" si="27"/>
        <v>Map</v>
      </c>
      <c r="S1757" s="2" t="str">
        <f>IF($C1757="","",IFERROR(VLOOKUP($C1757,sources!$A$2:$N$200,9,FALSE()),"?"))</f>
        <v>PRR company</v>
      </c>
      <c r="T1757" t="s">
        <v>5693</v>
      </c>
      <c r="U1757">
        <f>IF(OR(B1757="",C1757="",T1757="Retracted",LEFT(D1757,8)="Negative"),0,IF(COUNTIFS($B$2:B1757,B1757,$C$2:C1757,C1757,$D$2:D1757,"&lt;&gt;Negative*",$T$2:T1757,"&lt;&gt;Retracted")=1,1,0))</f>
        <v>0</v>
      </c>
    </row>
    <row r="1758" spans="1:21" x14ac:dyDescent="0.2">
      <c r="A1758" t="s">
        <v>3866</v>
      </c>
      <c r="B1758" t="s">
        <v>896</v>
      </c>
      <c r="C1758" t="s">
        <v>1340</v>
      </c>
      <c r="D1758" t="s">
        <v>1564</v>
      </c>
      <c r="E1758" t="s">
        <v>897</v>
      </c>
      <c r="F1758" t="s">
        <v>1566</v>
      </c>
      <c r="I1758" t="s">
        <v>1058</v>
      </c>
      <c r="K1758">
        <v>1862</v>
      </c>
      <c r="L1758">
        <v>1862</v>
      </c>
      <c r="M1758" t="s">
        <v>209</v>
      </c>
      <c r="N1758" t="s">
        <v>203</v>
      </c>
      <c r="Q1758" s="2" t="str">
        <f>IF($C1758="","",IFERROR(VLOOKUP($C1758,sources!$A$2:$N$200,2,FALSE()),"?"))</f>
        <v>Map</v>
      </c>
      <c r="R1758" s="2" t="str">
        <f t="shared" si="27"/>
        <v>Map</v>
      </c>
      <c r="S1758" s="2" t="str">
        <f>IF($C1758="","",IFERROR(VLOOKUP($C1758,sources!$A$2:$N$200,9,FALSE()),"?"))</f>
        <v>PRR company</v>
      </c>
      <c r="T1758" t="s">
        <v>5692</v>
      </c>
      <c r="U1758">
        <f>IF(OR(B1758="",C1758="",T1758="Retracted",LEFT(D1758,8)="Negative"),0,IF(COUNTIFS($B$2:B1758,B1758,$C$2:C1758,C1758,$D$2:D1758,"&lt;&gt;Negative*",$T$2:T1758,"&lt;&gt;Retracted")=1,1,0))</f>
        <v>1</v>
      </c>
    </row>
    <row r="1759" spans="1:21" x14ac:dyDescent="0.2">
      <c r="A1759" t="s">
        <v>3867</v>
      </c>
      <c r="B1759" t="s">
        <v>899</v>
      </c>
      <c r="C1759" t="s">
        <v>1340</v>
      </c>
      <c r="D1759" t="s">
        <v>1564</v>
      </c>
      <c r="E1759" t="s">
        <v>900</v>
      </c>
      <c r="F1759" t="s">
        <v>1566</v>
      </c>
      <c r="I1759" t="s">
        <v>1058</v>
      </c>
      <c r="K1759">
        <v>1862</v>
      </c>
      <c r="L1759">
        <v>1862</v>
      </c>
      <c r="M1759" t="s">
        <v>209</v>
      </c>
      <c r="N1759" t="s">
        <v>203</v>
      </c>
      <c r="Q1759" s="2" t="str">
        <f>IF($C1759="","",IFERROR(VLOOKUP($C1759,sources!$A$2:$N$200,2,FALSE()),"?"))</f>
        <v>Map</v>
      </c>
      <c r="R1759" s="2" t="str">
        <f t="shared" si="27"/>
        <v>Map</v>
      </c>
      <c r="S1759" s="2" t="str">
        <f>IF($C1759="","",IFERROR(VLOOKUP($C1759,sources!$A$2:$N$200,9,FALSE()),"?"))</f>
        <v>PRR company</v>
      </c>
      <c r="T1759" t="s">
        <v>5692</v>
      </c>
      <c r="U1759">
        <f>IF(OR(B1759="",C1759="",T1759="Retracted",LEFT(D1759,8)="Negative"),0,IF(COUNTIFS($B$2:B1759,B1759,$C$2:C1759,C1759,$D$2:D1759,"&lt;&gt;Negative*",$T$2:T1759,"&lt;&gt;Retracted")=1,1,0))</f>
        <v>1</v>
      </c>
    </row>
    <row r="1760" spans="1:21" x14ac:dyDescent="0.2">
      <c r="A1760" t="s">
        <v>3868</v>
      </c>
      <c r="B1760" t="s">
        <v>902</v>
      </c>
      <c r="C1760" t="s">
        <v>1340</v>
      </c>
      <c r="D1760" t="s">
        <v>1613</v>
      </c>
      <c r="E1760" t="s">
        <v>903</v>
      </c>
      <c r="F1760" t="s">
        <v>1566</v>
      </c>
      <c r="I1760" t="s">
        <v>1058</v>
      </c>
      <c r="K1760">
        <v>1862</v>
      </c>
      <c r="L1760">
        <v>1862</v>
      </c>
      <c r="M1760" t="s">
        <v>209</v>
      </c>
      <c r="N1760" t="s">
        <v>209</v>
      </c>
      <c r="Q1760" s="2" t="str">
        <f>IF($C1760="","",IFERROR(VLOOKUP($C1760,sources!$A$2:$N$200,2,FALSE()),"?"))</f>
        <v>Map</v>
      </c>
      <c r="R1760" s="2" t="str">
        <f t="shared" si="27"/>
        <v>Map</v>
      </c>
      <c r="S1760" s="2" t="str">
        <f>IF($C1760="","",IFERROR(VLOOKUP($C1760,sources!$A$2:$N$200,9,FALSE()),"?"))</f>
        <v>PRR company</v>
      </c>
      <c r="T1760" t="s">
        <v>5692</v>
      </c>
      <c r="U1760">
        <f>IF(OR(B1760="",C1760="",T1760="Retracted",LEFT(D1760,8)="Negative"),0,IF(COUNTIFS($B$2:B1760,B1760,$C$2:C1760,C1760,$D$2:D1760,"&lt;&gt;Negative*",$T$2:T1760,"&lt;&gt;Retracted")=1,1,0))</f>
        <v>0</v>
      </c>
    </row>
    <row r="1761" spans="1:21" x14ac:dyDescent="0.2">
      <c r="A1761" t="s">
        <v>3869</v>
      </c>
      <c r="B1761" t="s">
        <v>906</v>
      </c>
      <c r="C1761" t="s">
        <v>1340</v>
      </c>
      <c r="D1761" t="s">
        <v>1564</v>
      </c>
      <c r="E1761" t="s">
        <v>3870</v>
      </c>
      <c r="F1761" t="s">
        <v>1566</v>
      </c>
      <c r="I1761" t="s">
        <v>1058</v>
      </c>
      <c r="K1761">
        <v>1862</v>
      </c>
      <c r="L1761">
        <v>1862</v>
      </c>
      <c r="M1761" t="s">
        <v>209</v>
      </c>
      <c r="N1761" t="s">
        <v>203</v>
      </c>
      <c r="Q1761" s="2" t="str">
        <f>IF($C1761="","",IFERROR(VLOOKUP($C1761,sources!$A$2:$N$200,2,FALSE()),"?"))</f>
        <v>Map</v>
      </c>
      <c r="R1761" s="2" t="str">
        <f t="shared" si="27"/>
        <v>Map</v>
      </c>
      <c r="S1761" s="2" t="str">
        <f>IF($C1761="","",IFERROR(VLOOKUP($C1761,sources!$A$2:$N$200,9,FALSE()),"?"))</f>
        <v>PRR company</v>
      </c>
      <c r="T1761" t="s">
        <v>5692</v>
      </c>
      <c r="U1761">
        <f>IF(OR(B1761="",C1761="",T1761="Retracted",LEFT(D1761,8)="Negative"),0,IF(COUNTIFS($B$2:B1761,B1761,$C$2:C1761,C1761,$D$2:D1761,"&lt;&gt;Negative*",$T$2:T1761,"&lt;&gt;Retracted")=1,1,0))</f>
        <v>1</v>
      </c>
    </row>
    <row r="1762" spans="1:21" x14ac:dyDescent="0.2">
      <c r="A1762" t="s">
        <v>3871</v>
      </c>
      <c r="B1762" t="s">
        <v>910</v>
      </c>
      <c r="C1762" t="s">
        <v>1340</v>
      </c>
      <c r="D1762" t="s">
        <v>1613</v>
      </c>
      <c r="E1762" t="s">
        <v>911</v>
      </c>
      <c r="F1762" t="s">
        <v>1566</v>
      </c>
      <c r="I1762" t="s">
        <v>1058</v>
      </c>
      <c r="K1762">
        <v>1862</v>
      </c>
      <c r="L1762">
        <v>1862</v>
      </c>
      <c r="M1762" t="s">
        <v>209</v>
      </c>
      <c r="N1762" t="s">
        <v>209</v>
      </c>
      <c r="Q1762" s="2" t="str">
        <f>IF($C1762="","",IFERROR(VLOOKUP($C1762,sources!$A$2:$N$200,2,FALSE()),"?"))</f>
        <v>Map</v>
      </c>
      <c r="R1762" s="2" t="str">
        <f t="shared" si="27"/>
        <v>Map</v>
      </c>
      <c r="S1762" s="2" t="str">
        <f>IF($C1762="","",IFERROR(VLOOKUP($C1762,sources!$A$2:$N$200,9,FALSE()),"?"))</f>
        <v>PRR company</v>
      </c>
      <c r="T1762" t="s">
        <v>5692</v>
      </c>
      <c r="U1762">
        <f>IF(OR(B1762="",C1762="",T1762="Retracted",LEFT(D1762,8)="Negative"),0,IF(COUNTIFS($B$2:B1762,B1762,$C$2:C1762,C1762,$D$2:D1762,"&lt;&gt;Negative*",$T$2:T1762,"&lt;&gt;Retracted")=1,1,0))</f>
        <v>0</v>
      </c>
    </row>
    <row r="1763" spans="1:21" x14ac:dyDescent="0.2">
      <c r="A1763" t="s">
        <v>3872</v>
      </c>
      <c r="B1763" t="s">
        <v>914</v>
      </c>
      <c r="C1763" t="s">
        <v>1340</v>
      </c>
      <c r="D1763" t="s">
        <v>1613</v>
      </c>
      <c r="E1763" t="s">
        <v>915</v>
      </c>
      <c r="F1763" t="s">
        <v>1566</v>
      </c>
      <c r="I1763" t="s">
        <v>1058</v>
      </c>
      <c r="K1763">
        <v>1862</v>
      </c>
      <c r="L1763">
        <v>1862</v>
      </c>
      <c r="M1763" t="s">
        <v>209</v>
      </c>
      <c r="N1763" t="s">
        <v>190</v>
      </c>
      <c r="Q1763" s="2" t="str">
        <f>IF($C1763="","",IFERROR(VLOOKUP($C1763,sources!$A$2:$N$200,2,FALSE()),"?"))</f>
        <v>Map</v>
      </c>
      <c r="R1763" s="2" t="str">
        <f t="shared" si="27"/>
        <v>Map</v>
      </c>
      <c r="S1763" s="2" t="str">
        <f>IF($C1763="","",IFERROR(VLOOKUP($C1763,sources!$A$2:$N$200,9,FALSE()),"?"))</f>
        <v>PRR company</v>
      </c>
      <c r="T1763" t="s">
        <v>5692</v>
      </c>
      <c r="U1763">
        <f>IF(OR(B1763="",C1763="",T1763="Retracted",LEFT(D1763,8)="Negative"),0,IF(COUNTIFS($B$2:B1763,B1763,$C$2:C1763,C1763,$D$2:D1763,"&lt;&gt;Negative*",$T$2:T1763,"&lt;&gt;Retracted")=1,1,0))</f>
        <v>0</v>
      </c>
    </row>
    <row r="1764" spans="1:21" x14ac:dyDescent="0.2">
      <c r="A1764" t="s">
        <v>3873</v>
      </c>
      <c r="B1764" t="s">
        <v>689</v>
      </c>
      <c r="C1764" t="s">
        <v>1347</v>
      </c>
      <c r="D1764" t="s">
        <v>1613</v>
      </c>
      <c r="E1764" t="s">
        <v>690</v>
      </c>
      <c r="F1764" t="s">
        <v>2423</v>
      </c>
      <c r="I1764" t="s">
        <v>1058</v>
      </c>
      <c r="K1764">
        <v>1895</v>
      </c>
      <c r="L1764">
        <v>1895</v>
      </c>
      <c r="M1764" t="s">
        <v>209</v>
      </c>
      <c r="N1764" t="s">
        <v>203</v>
      </c>
      <c r="Q1764" s="2" t="str">
        <f>IF($C1764="","",IFERROR(VLOOKUP($C1764,sources!$A$2:$N$200,2,FALSE()),"?"))</f>
        <v>Map</v>
      </c>
      <c r="R1764" s="2" t="str">
        <f t="shared" si="27"/>
        <v>Map</v>
      </c>
      <c r="S1764" s="2" t="str">
        <f>IF($C1764="","",IFERROR(VLOOKUP($C1764,sources!$A$2:$N$200,9,FALSE()),"?"))</f>
        <v>French company</v>
      </c>
      <c r="T1764" t="s">
        <v>5692</v>
      </c>
      <c r="U1764">
        <f>IF(OR(B1764="",C1764="",T1764="Retracted",LEFT(D1764,8)="Negative"),0,IF(COUNTIFS($B$2:B1764,B1764,$C$2:C1764,C1764,$D$2:D1764,"&lt;&gt;Negative*",$T$2:T1764,"&lt;&gt;Retracted")=1,1,0))</f>
        <v>0</v>
      </c>
    </row>
    <row r="1765" spans="1:21" x14ac:dyDescent="0.2">
      <c r="A1765" t="s">
        <v>3874</v>
      </c>
      <c r="B1765" t="s">
        <v>701</v>
      </c>
      <c r="C1765" t="s">
        <v>1347</v>
      </c>
      <c r="D1765" t="s">
        <v>1613</v>
      </c>
      <c r="E1765" t="s">
        <v>702</v>
      </c>
      <c r="F1765" t="s">
        <v>2423</v>
      </c>
      <c r="I1765" t="s">
        <v>1058</v>
      </c>
      <c r="K1765">
        <v>1895</v>
      </c>
      <c r="L1765">
        <v>1895</v>
      </c>
      <c r="M1765" t="s">
        <v>209</v>
      </c>
      <c r="N1765" t="s">
        <v>203</v>
      </c>
      <c r="Q1765" s="2" t="str">
        <f>IF($C1765="","",IFERROR(VLOOKUP($C1765,sources!$A$2:$N$200,2,FALSE()),"?"))</f>
        <v>Map</v>
      </c>
      <c r="R1765" s="2" t="str">
        <f t="shared" si="27"/>
        <v>Map</v>
      </c>
      <c r="S1765" s="2" t="str">
        <f>IF($C1765="","",IFERROR(VLOOKUP($C1765,sources!$A$2:$N$200,9,FALSE()),"?"))</f>
        <v>French company</v>
      </c>
      <c r="T1765" t="s">
        <v>5692</v>
      </c>
      <c r="U1765">
        <f>IF(OR(B1765="",C1765="",T1765="Retracted",LEFT(D1765,8)="Negative"),0,IF(COUNTIFS($B$2:B1765,B1765,$C$2:C1765,C1765,$D$2:D1765,"&lt;&gt;Negative*",$T$2:T1765,"&lt;&gt;Retracted")=1,1,0))</f>
        <v>0</v>
      </c>
    </row>
    <row r="1766" spans="1:21" x14ac:dyDescent="0.2">
      <c r="A1766" t="s">
        <v>3875</v>
      </c>
      <c r="B1766" t="s">
        <v>783</v>
      </c>
      <c r="C1766" t="s">
        <v>1347</v>
      </c>
      <c r="D1766" t="s">
        <v>1613</v>
      </c>
      <c r="E1766" t="s">
        <v>784</v>
      </c>
      <c r="F1766" t="s">
        <v>2423</v>
      </c>
      <c r="I1766" t="s">
        <v>1058</v>
      </c>
      <c r="K1766">
        <v>1895</v>
      </c>
      <c r="L1766">
        <v>1895</v>
      </c>
      <c r="M1766" t="s">
        <v>209</v>
      </c>
      <c r="N1766" t="s">
        <v>209</v>
      </c>
      <c r="Q1766" s="2" t="str">
        <f>IF($C1766="","",IFERROR(VLOOKUP($C1766,sources!$A$2:$N$200,2,FALSE()),"?"))</f>
        <v>Map</v>
      </c>
      <c r="R1766" s="2" t="str">
        <f t="shared" si="27"/>
        <v>Map</v>
      </c>
      <c r="S1766" s="2" t="str">
        <f>IF($C1766="","",IFERROR(VLOOKUP($C1766,sources!$A$2:$N$200,9,FALSE()),"?"))</f>
        <v>French company</v>
      </c>
      <c r="T1766" t="s">
        <v>5692</v>
      </c>
      <c r="U1766">
        <f>IF(OR(B1766="",C1766="",T1766="Retracted",LEFT(D1766,8)="Negative"),0,IF(COUNTIFS($B$2:B1766,B1766,$C$2:C1766,C1766,$D$2:D1766,"&lt;&gt;Negative*",$T$2:T1766,"&lt;&gt;Retracted")=1,1,0))</f>
        <v>0</v>
      </c>
    </row>
    <row r="1767" spans="1:21" x14ac:dyDescent="0.2">
      <c r="A1767" t="s">
        <v>3876</v>
      </c>
      <c r="B1767" t="s">
        <v>910</v>
      </c>
      <c r="C1767" t="s">
        <v>1347</v>
      </c>
      <c r="D1767" t="s">
        <v>1564</v>
      </c>
      <c r="E1767" t="s">
        <v>3877</v>
      </c>
      <c r="F1767" t="s">
        <v>2423</v>
      </c>
      <c r="I1767" t="s">
        <v>1058</v>
      </c>
      <c r="K1767">
        <v>1895</v>
      </c>
      <c r="L1767">
        <v>1895</v>
      </c>
      <c r="M1767" t="s">
        <v>209</v>
      </c>
      <c r="N1767" t="s">
        <v>209</v>
      </c>
      <c r="Q1767" s="2" t="str">
        <f>IF($C1767="","",IFERROR(VLOOKUP($C1767,sources!$A$2:$N$200,2,FALSE()),"?"))</f>
        <v>Map</v>
      </c>
      <c r="R1767" s="2" t="str">
        <f t="shared" si="27"/>
        <v>Map</v>
      </c>
      <c r="S1767" s="2" t="str">
        <f>IF($C1767="","",IFERROR(VLOOKUP($C1767,sources!$A$2:$N$200,9,FALSE()),"?"))</f>
        <v>French company</v>
      </c>
      <c r="T1767" t="s">
        <v>5692</v>
      </c>
      <c r="U1767">
        <f>IF(OR(B1767="",C1767="",T1767="Retracted",LEFT(D1767,8)="Negative"),0,IF(COUNTIFS($B$2:B1767,B1767,$C$2:C1767,C1767,$D$2:D1767,"&lt;&gt;Negative*",$T$2:T1767,"&lt;&gt;Retracted")=1,1,0))</f>
        <v>1</v>
      </c>
    </row>
    <row r="1768" spans="1:21" x14ac:dyDescent="0.2">
      <c r="A1768" t="s">
        <v>3878</v>
      </c>
      <c r="B1768" t="s">
        <v>914</v>
      </c>
      <c r="C1768" t="s">
        <v>1347</v>
      </c>
      <c r="D1768" t="s">
        <v>1613</v>
      </c>
      <c r="E1768" t="s">
        <v>915</v>
      </c>
      <c r="F1768" t="s">
        <v>2423</v>
      </c>
      <c r="I1768" t="s">
        <v>1058</v>
      </c>
      <c r="K1768">
        <v>1895</v>
      </c>
      <c r="L1768">
        <v>1895</v>
      </c>
      <c r="M1768" t="s">
        <v>209</v>
      </c>
      <c r="N1768" t="s">
        <v>209</v>
      </c>
      <c r="Q1768" s="2" t="str">
        <f>IF($C1768="","",IFERROR(VLOOKUP($C1768,sources!$A$2:$N$200,2,FALSE()),"?"))</f>
        <v>Map</v>
      </c>
      <c r="R1768" s="2" t="str">
        <f t="shared" si="27"/>
        <v>Map</v>
      </c>
      <c r="S1768" s="2" t="str">
        <f>IF($C1768="","",IFERROR(VLOOKUP($C1768,sources!$A$2:$N$200,9,FALSE()),"?"))</f>
        <v>French company</v>
      </c>
      <c r="T1768" t="s">
        <v>5692</v>
      </c>
      <c r="U1768">
        <f>IF(OR(B1768="",C1768="",T1768="Retracted",LEFT(D1768,8)="Negative"),0,IF(COUNTIFS($B$2:B1768,B1768,$C$2:C1768,C1768,$D$2:D1768,"&lt;&gt;Negative*",$T$2:T1768,"&lt;&gt;Retracted")=1,1,0))</f>
        <v>0</v>
      </c>
    </row>
    <row r="1769" spans="1:21" x14ac:dyDescent="0.2">
      <c r="A1769" t="s">
        <v>3879</v>
      </c>
      <c r="B1769" t="s">
        <v>733</v>
      </c>
      <c r="C1769" t="s">
        <v>1347</v>
      </c>
      <c r="D1769" t="s">
        <v>1613</v>
      </c>
      <c r="E1769" t="s">
        <v>734</v>
      </c>
      <c r="F1769" t="s">
        <v>2423</v>
      </c>
      <c r="I1769" t="s">
        <v>1058</v>
      </c>
      <c r="K1769">
        <v>1895</v>
      </c>
      <c r="L1769">
        <v>1895</v>
      </c>
      <c r="M1769" t="s">
        <v>209</v>
      </c>
      <c r="N1769" t="s">
        <v>203</v>
      </c>
      <c r="Q1769" s="2" t="str">
        <f>IF($C1769="","",IFERROR(VLOOKUP($C1769,sources!$A$2:$N$200,2,FALSE()),"?"))</f>
        <v>Map</v>
      </c>
      <c r="R1769" s="2" t="str">
        <f t="shared" si="27"/>
        <v>Map</v>
      </c>
      <c r="S1769" s="2" t="str">
        <f>IF($C1769="","",IFERROR(VLOOKUP($C1769,sources!$A$2:$N$200,9,FALSE()),"?"))</f>
        <v>French company</v>
      </c>
      <c r="T1769" t="s">
        <v>5692</v>
      </c>
      <c r="U1769">
        <f>IF(OR(B1769="",C1769="",T1769="Retracted",LEFT(D1769,8)="Negative"),0,IF(COUNTIFS($B$2:B1769,B1769,$C$2:C1769,C1769,$D$2:D1769,"&lt;&gt;Negative*",$T$2:T1769,"&lt;&gt;Retracted")=1,1,0))</f>
        <v>0</v>
      </c>
    </row>
    <row r="1770" spans="1:21" x14ac:dyDescent="0.2">
      <c r="A1770" t="s">
        <v>3880</v>
      </c>
      <c r="B1770" t="s">
        <v>796</v>
      </c>
      <c r="C1770" t="s">
        <v>1347</v>
      </c>
      <c r="D1770" t="s">
        <v>1613</v>
      </c>
      <c r="E1770" t="s">
        <v>797</v>
      </c>
      <c r="F1770" t="s">
        <v>2423</v>
      </c>
      <c r="I1770" t="s">
        <v>1058</v>
      </c>
      <c r="K1770">
        <v>1895</v>
      </c>
      <c r="L1770">
        <v>1895</v>
      </c>
      <c r="M1770" t="s">
        <v>209</v>
      </c>
      <c r="N1770" t="s">
        <v>209</v>
      </c>
      <c r="Q1770" s="2" t="str">
        <f>IF($C1770="","",IFERROR(VLOOKUP($C1770,sources!$A$2:$N$200,2,FALSE()),"?"))</f>
        <v>Map</v>
      </c>
      <c r="R1770" s="2" t="str">
        <f t="shared" si="27"/>
        <v>Map</v>
      </c>
      <c r="S1770" s="2" t="str">
        <f>IF($C1770="","",IFERROR(VLOOKUP($C1770,sources!$A$2:$N$200,9,FALSE()),"?"))</f>
        <v>French company</v>
      </c>
      <c r="T1770" t="s">
        <v>5692</v>
      </c>
      <c r="U1770">
        <f>IF(OR(B1770="",C1770="",T1770="Retracted",LEFT(D1770,8)="Negative"),0,IF(COUNTIFS($B$2:B1770,B1770,$C$2:C1770,C1770,$D$2:D1770,"&lt;&gt;Negative*",$T$2:T1770,"&lt;&gt;Retracted")=1,1,0))</f>
        <v>0</v>
      </c>
    </row>
    <row r="1771" spans="1:21" x14ac:dyDescent="0.2">
      <c r="A1771" t="s">
        <v>3881</v>
      </c>
      <c r="B1771" t="s">
        <v>758</v>
      </c>
      <c r="C1771" t="s">
        <v>1347</v>
      </c>
      <c r="D1771" t="s">
        <v>1575</v>
      </c>
      <c r="E1771" t="s">
        <v>3882</v>
      </c>
      <c r="F1771" t="s">
        <v>2423</v>
      </c>
      <c r="I1771" t="s">
        <v>1058</v>
      </c>
      <c r="K1771">
        <v>1895</v>
      </c>
      <c r="L1771">
        <v>1895</v>
      </c>
      <c r="M1771" t="s">
        <v>209</v>
      </c>
      <c r="N1771" t="s">
        <v>209</v>
      </c>
      <c r="Q1771" s="2" t="str">
        <f>IF($C1771="","",IFERROR(VLOOKUP($C1771,sources!$A$2:$N$200,2,FALSE()),"?"))</f>
        <v>Map</v>
      </c>
      <c r="R1771" s="2" t="str">
        <f t="shared" si="27"/>
        <v>Map</v>
      </c>
      <c r="S1771" s="2" t="str">
        <f>IF($C1771="","",IFERROR(VLOOKUP($C1771,sources!$A$2:$N$200,9,FALSE()),"?"))</f>
        <v>French company</v>
      </c>
      <c r="T1771" t="s">
        <v>5692</v>
      </c>
      <c r="U1771">
        <f>IF(OR(B1771="",C1771="",T1771="Retracted",LEFT(D1771,8)="Negative"),0,IF(COUNTIFS($B$2:B1771,B1771,$C$2:C1771,C1771,$D$2:D1771,"&lt;&gt;Negative*",$T$2:T1771,"&lt;&gt;Retracted")=1,1,0))</f>
        <v>1</v>
      </c>
    </row>
    <row r="1772" spans="1:21" x14ac:dyDescent="0.2">
      <c r="A1772" t="s">
        <v>3883</v>
      </c>
      <c r="B1772" t="s">
        <v>917</v>
      </c>
      <c r="C1772" t="s">
        <v>1347</v>
      </c>
      <c r="D1772" t="s">
        <v>1613</v>
      </c>
      <c r="E1772" t="s">
        <v>918</v>
      </c>
      <c r="F1772" t="s">
        <v>2423</v>
      </c>
      <c r="I1772" t="s">
        <v>1058</v>
      </c>
      <c r="K1772">
        <v>1895</v>
      </c>
      <c r="L1772">
        <v>1895</v>
      </c>
      <c r="M1772" t="s">
        <v>209</v>
      </c>
      <c r="N1772" t="s">
        <v>190</v>
      </c>
      <c r="Q1772" s="2" t="str">
        <f>IF($C1772="","",IFERROR(VLOOKUP($C1772,sources!$A$2:$N$200,2,FALSE()),"?"))</f>
        <v>Map</v>
      </c>
      <c r="R1772" s="2" t="str">
        <f t="shared" si="27"/>
        <v>Map</v>
      </c>
      <c r="S1772" s="2" t="str">
        <f>IF($C1772="","",IFERROR(VLOOKUP($C1772,sources!$A$2:$N$200,9,FALSE()),"?"))</f>
        <v>French company</v>
      </c>
      <c r="T1772" t="s">
        <v>5692</v>
      </c>
      <c r="U1772">
        <f>IF(OR(B1772="",C1772="",T1772="Retracted",LEFT(D1772,8)="Negative"),0,IF(COUNTIFS($B$2:B1772,B1772,$C$2:C1772,C1772,$D$2:D1772,"&lt;&gt;Negative*",$T$2:T1772,"&lt;&gt;Retracted")=1,1,0))</f>
        <v>0</v>
      </c>
    </row>
    <row r="1773" spans="1:21" x14ac:dyDescent="0.2">
      <c r="A1773" t="s">
        <v>3884</v>
      </c>
      <c r="B1773" t="s">
        <v>924</v>
      </c>
      <c r="C1773" t="s">
        <v>1347</v>
      </c>
      <c r="D1773" t="s">
        <v>1613</v>
      </c>
      <c r="E1773" t="s">
        <v>925</v>
      </c>
      <c r="F1773" t="s">
        <v>2423</v>
      </c>
      <c r="I1773" t="s">
        <v>1058</v>
      </c>
      <c r="K1773">
        <v>1895</v>
      </c>
      <c r="L1773">
        <v>1895</v>
      </c>
      <c r="M1773" t="s">
        <v>209</v>
      </c>
      <c r="N1773" t="s">
        <v>209</v>
      </c>
      <c r="Q1773" s="2" t="str">
        <f>IF($C1773="","",IFERROR(VLOOKUP($C1773,sources!$A$2:$N$200,2,FALSE()),"?"))</f>
        <v>Map</v>
      </c>
      <c r="R1773" s="2" t="str">
        <f t="shared" si="27"/>
        <v>Map</v>
      </c>
      <c r="S1773" s="2" t="str">
        <f>IF($C1773="","",IFERROR(VLOOKUP($C1773,sources!$A$2:$N$200,9,FALSE()),"?"))</f>
        <v>French company</v>
      </c>
      <c r="T1773" t="s">
        <v>5692</v>
      </c>
      <c r="U1773">
        <f>IF(OR(B1773="",C1773="",T1773="Retracted",LEFT(D1773,8)="Negative"),0,IF(COUNTIFS($B$2:B1773,B1773,$C$2:C1773,C1773,$D$2:D1773,"&lt;&gt;Negative*",$T$2:T1773,"&lt;&gt;Retracted")=1,1,0))</f>
        <v>0</v>
      </c>
    </row>
    <row r="1774" spans="1:21" x14ac:dyDescent="0.2">
      <c r="A1774" t="s">
        <v>3885</v>
      </c>
      <c r="B1774" t="s">
        <v>801</v>
      </c>
      <c r="C1774" t="s">
        <v>1347</v>
      </c>
      <c r="D1774" t="s">
        <v>1575</v>
      </c>
      <c r="E1774" t="s">
        <v>3886</v>
      </c>
      <c r="F1774" t="s">
        <v>2423</v>
      </c>
      <c r="I1774" t="s">
        <v>1058</v>
      </c>
      <c r="K1774">
        <v>1895</v>
      </c>
      <c r="L1774">
        <v>1895</v>
      </c>
      <c r="M1774" t="s">
        <v>209</v>
      </c>
      <c r="N1774" t="s">
        <v>203</v>
      </c>
      <c r="Q1774" s="2" t="str">
        <f>IF($C1774="","",IFERROR(VLOOKUP($C1774,sources!$A$2:$N$200,2,FALSE()),"?"))</f>
        <v>Map</v>
      </c>
      <c r="R1774" s="2" t="str">
        <f t="shared" si="27"/>
        <v>Map</v>
      </c>
      <c r="S1774" s="2" t="str">
        <f>IF($C1774="","",IFERROR(VLOOKUP($C1774,sources!$A$2:$N$200,9,FALSE()),"?"))</f>
        <v>French company</v>
      </c>
      <c r="T1774" t="s">
        <v>5692</v>
      </c>
      <c r="U1774">
        <f>IF(OR(B1774="",C1774="",T1774="Retracted",LEFT(D1774,8)="Negative"),0,IF(COUNTIFS($B$2:B1774,B1774,$C$2:C1774,C1774,$D$2:D1774,"&lt;&gt;Negative*",$T$2:T1774,"&lt;&gt;Retracted")=1,1,0))</f>
        <v>1</v>
      </c>
    </row>
    <row r="1775" spans="1:21" x14ac:dyDescent="0.2">
      <c r="A1775" t="s">
        <v>3887</v>
      </c>
      <c r="B1775" t="s">
        <v>947</v>
      </c>
      <c r="C1775" t="s">
        <v>1347</v>
      </c>
      <c r="D1775" t="s">
        <v>1575</v>
      </c>
      <c r="E1775" t="s">
        <v>3888</v>
      </c>
      <c r="F1775" t="s">
        <v>2423</v>
      </c>
      <c r="I1775" t="s">
        <v>1058</v>
      </c>
      <c r="K1775">
        <v>1895</v>
      </c>
      <c r="L1775">
        <v>1895</v>
      </c>
      <c r="M1775" t="s">
        <v>209</v>
      </c>
      <c r="N1775" t="s">
        <v>209</v>
      </c>
      <c r="Q1775" s="2" t="str">
        <f>IF($C1775="","",IFERROR(VLOOKUP($C1775,sources!$A$2:$N$200,2,FALSE()),"?"))</f>
        <v>Map</v>
      </c>
      <c r="R1775" s="2" t="str">
        <f t="shared" si="27"/>
        <v>Map</v>
      </c>
      <c r="S1775" s="2" t="str">
        <f>IF($C1775="","",IFERROR(VLOOKUP($C1775,sources!$A$2:$N$200,9,FALSE()),"?"))</f>
        <v>French company</v>
      </c>
      <c r="T1775" t="s">
        <v>5692</v>
      </c>
      <c r="U1775">
        <f>IF(OR(B1775="",C1775="",T1775="Retracted",LEFT(D1775,8)="Negative"),0,IF(COUNTIFS($B$2:B1775,B1775,$C$2:C1775,C1775,$D$2:D1775,"&lt;&gt;Negative*",$T$2:T1775,"&lt;&gt;Retracted")=1,1,0))</f>
        <v>1</v>
      </c>
    </row>
    <row r="1776" spans="1:21" x14ac:dyDescent="0.2">
      <c r="A1776" t="s">
        <v>3889</v>
      </c>
      <c r="B1776" t="s">
        <v>808</v>
      </c>
      <c r="C1776" t="s">
        <v>1347</v>
      </c>
      <c r="D1776" t="s">
        <v>1575</v>
      </c>
      <c r="E1776" t="s">
        <v>3890</v>
      </c>
      <c r="F1776" t="s">
        <v>2423</v>
      </c>
      <c r="I1776" t="s">
        <v>1058</v>
      </c>
      <c r="K1776">
        <v>1895</v>
      </c>
      <c r="L1776">
        <v>1895</v>
      </c>
      <c r="M1776" t="s">
        <v>209</v>
      </c>
      <c r="N1776" t="s">
        <v>190</v>
      </c>
      <c r="Q1776" s="2" t="str">
        <f>IF($C1776="","",IFERROR(VLOOKUP($C1776,sources!$A$2:$N$200,2,FALSE()),"?"))</f>
        <v>Map</v>
      </c>
      <c r="R1776" s="2" t="str">
        <f t="shared" si="27"/>
        <v>Map</v>
      </c>
      <c r="S1776" s="2" t="str">
        <f>IF($C1776="","",IFERROR(VLOOKUP($C1776,sources!$A$2:$N$200,9,FALSE()),"?"))</f>
        <v>French company</v>
      </c>
      <c r="T1776" t="s">
        <v>5692</v>
      </c>
      <c r="U1776">
        <f>IF(OR(B1776="",C1776="",T1776="Retracted",LEFT(D1776,8)="Negative"),0,IF(COUNTIFS($B$2:B1776,B1776,$C$2:C1776,C1776,$D$2:D1776,"&lt;&gt;Negative*",$T$2:T1776,"&lt;&gt;Retracted")=1,1,0))</f>
        <v>1</v>
      </c>
    </row>
    <row r="1777" spans="1:21" x14ac:dyDescent="0.2">
      <c r="A1777" t="s">
        <v>3891</v>
      </c>
      <c r="B1777" t="s">
        <v>805</v>
      </c>
      <c r="C1777" t="s">
        <v>1347</v>
      </c>
      <c r="D1777" t="s">
        <v>1613</v>
      </c>
      <c r="E1777" t="s">
        <v>806</v>
      </c>
      <c r="F1777" t="s">
        <v>2423</v>
      </c>
      <c r="I1777" t="s">
        <v>1058</v>
      </c>
      <c r="K1777">
        <v>1895</v>
      </c>
      <c r="L1777">
        <v>1895</v>
      </c>
      <c r="M1777" t="s">
        <v>209</v>
      </c>
      <c r="N1777" t="s">
        <v>209</v>
      </c>
      <c r="Q1777" s="2" t="str">
        <f>IF($C1777="","",IFERROR(VLOOKUP($C1777,sources!$A$2:$N$200,2,FALSE()),"?"))</f>
        <v>Map</v>
      </c>
      <c r="R1777" s="2" t="str">
        <f t="shared" si="27"/>
        <v>Map</v>
      </c>
      <c r="S1777" s="2" t="str">
        <f>IF($C1777="","",IFERROR(VLOOKUP($C1777,sources!$A$2:$N$200,9,FALSE()),"?"))</f>
        <v>French company</v>
      </c>
      <c r="T1777" t="s">
        <v>5692</v>
      </c>
      <c r="U1777">
        <f>IF(OR(B1777="",C1777="",T1777="Retracted",LEFT(D1777,8)="Negative"),0,IF(COUNTIFS($B$2:B1777,B1777,$C$2:C1777,C1777,$D$2:D1777,"&lt;&gt;Negative*",$T$2:T1777,"&lt;&gt;Retracted")=1,1,0))</f>
        <v>0</v>
      </c>
    </row>
    <row r="1778" spans="1:21" x14ac:dyDescent="0.2">
      <c r="A1778" t="s">
        <v>3892</v>
      </c>
      <c r="B1778" t="s">
        <v>776</v>
      </c>
      <c r="C1778" t="s">
        <v>1347</v>
      </c>
      <c r="D1778" t="s">
        <v>1575</v>
      </c>
      <c r="E1778" t="s">
        <v>3893</v>
      </c>
      <c r="F1778" t="s">
        <v>2423</v>
      </c>
      <c r="I1778" t="s">
        <v>1058</v>
      </c>
      <c r="K1778">
        <v>1895</v>
      </c>
      <c r="L1778">
        <v>1895</v>
      </c>
      <c r="M1778" t="s">
        <v>209</v>
      </c>
      <c r="N1778" t="s">
        <v>209</v>
      </c>
      <c r="Q1778" s="2" t="str">
        <f>IF($C1778="","",IFERROR(VLOOKUP($C1778,sources!$A$2:$N$200,2,FALSE()),"?"))</f>
        <v>Map</v>
      </c>
      <c r="R1778" s="2" t="str">
        <f t="shared" si="27"/>
        <v>Map</v>
      </c>
      <c r="S1778" s="2" t="str">
        <f>IF($C1778="","",IFERROR(VLOOKUP($C1778,sources!$A$2:$N$200,9,FALSE()),"?"))</f>
        <v>French company</v>
      </c>
      <c r="T1778" t="s">
        <v>5692</v>
      </c>
      <c r="U1778">
        <f>IF(OR(B1778="",C1778="",T1778="Retracted",LEFT(D1778,8)="Negative"),0,IF(COUNTIFS($B$2:B1778,B1778,$C$2:C1778,C1778,$D$2:D1778,"&lt;&gt;Negative*",$T$2:T1778,"&lt;&gt;Retracted")=1,1,0))</f>
        <v>1</v>
      </c>
    </row>
    <row r="1779" spans="1:21" x14ac:dyDescent="0.2">
      <c r="A1779" t="s">
        <v>3894</v>
      </c>
      <c r="B1779" t="s">
        <v>932</v>
      </c>
      <c r="C1779" t="s">
        <v>1347</v>
      </c>
      <c r="D1779" t="s">
        <v>1613</v>
      </c>
      <c r="E1779" t="s">
        <v>934</v>
      </c>
      <c r="F1779" t="s">
        <v>2423</v>
      </c>
      <c r="I1779" t="s">
        <v>1058</v>
      </c>
      <c r="K1779">
        <v>1895</v>
      </c>
      <c r="L1779">
        <v>1895</v>
      </c>
      <c r="M1779" t="s">
        <v>209</v>
      </c>
      <c r="N1779" t="s">
        <v>209</v>
      </c>
      <c r="Q1779" s="2" t="str">
        <f>IF($C1779="","",IFERROR(VLOOKUP($C1779,sources!$A$2:$N$200,2,FALSE()),"?"))</f>
        <v>Map</v>
      </c>
      <c r="R1779" s="2" t="str">
        <f t="shared" si="27"/>
        <v>Map</v>
      </c>
      <c r="S1779" s="2" t="str">
        <f>IF($C1779="","",IFERROR(VLOOKUP($C1779,sources!$A$2:$N$200,9,FALSE()),"?"))</f>
        <v>French company</v>
      </c>
      <c r="T1779" t="s">
        <v>5692</v>
      </c>
      <c r="U1779">
        <f>IF(OR(B1779="",C1779="",T1779="Retracted",LEFT(D1779,8)="Negative"),0,IF(COUNTIFS($B$2:B1779,B1779,$C$2:C1779,C1779,$D$2:D1779,"&lt;&gt;Negative*",$T$2:T1779,"&lt;&gt;Retracted")=1,1,0))</f>
        <v>0</v>
      </c>
    </row>
    <row r="1780" spans="1:21" x14ac:dyDescent="0.2">
      <c r="A1780" t="s">
        <v>3895</v>
      </c>
      <c r="B1780" t="s">
        <v>936</v>
      </c>
      <c r="C1780" t="s">
        <v>1347</v>
      </c>
      <c r="D1780" t="s">
        <v>1575</v>
      </c>
      <c r="E1780" t="s">
        <v>3896</v>
      </c>
      <c r="F1780" t="s">
        <v>2423</v>
      </c>
      <c r="I1780" t="s">
        <v>1058</v>
      </c>
      <c r="K1780">
        <v>1895</v>
      </c>
      <c r="L1780">
        <v>1895</v>
      </c>
      <c r="M1780" t="s">
        <v>209</v>
      </c>
      <c r="N1780" t="s">
        <v>209</v>
      </c>
      <c r="Q1780" s="2" t="str">
        <f>IF($C1780="","",IFERROR(VLOOKUP($C1780,sources!$A$2:$N$200,2,FALSE()),"?"))</f>
        <v>Map</v>
      </c>
      <c r="R1780" s="2" t="str">
        <f t="shared" si="27"/>
        <v>Map</v>
      </c>
      <c r="S1780" s="2" t="str">
        <f>IF($C1780="","",IFERROR(VLOOKUP($C1780,sources!$A$2:$N$200,9,FALSE()),"?"))</f>
        <v>French company</v>
      </c>
      <c r="T1780" t="s">
        <v>5692</v>
      </c>
      <c r="U1780">
        <f>IF(OR(B1780="",C1780="",T1780="Retracted",LEFT(D1780,8)="Negative"),0,IF(COUNTIFS($B$2:B1780,B1780,$C$2:C1780,C1780,$D$2:D1780,"&lt;&gt;Negative*",$T$2:T1780,"&lt;&gt;Retracted")=1,1,0))</f>
        <v>1</v>
      </c>
    </row>
    <row r="1781" spans="1:21" x14ac:dyDescent="0.2">
      <c r="A1781" t="s">
        <v>3897</v>
      </c>
      <c r="B1781" t="s">
        <v>955</v>
      </c>
      <c r="C1781" t="s">
        <v>1347</v>
      </c>
      <c r="D1781" t="s">
        <v>1613</v>
      </c>
      <c r="E1781" t="s">
        <v>3898</v>
      </c>
      <c r="F1781" t="s">
        <v>2423</v>
      </c>
      <c r="I1781" t="s">
        <v>1058</v>
      </c>
      <c r="K1781">
        <v>1895</v>
      </c>
      <c r="L1781">
        <v>1895</v>
      </c>
      <c r="M1781" t="s">
        <v>209</v>
      </c>
      <c r="N1781" t="s">
        <v>209</v>
      </c>
      <c r="Q1781" s="2" t="str">
        <f>IF($C1781="","",IFERROR(VLOOKUP($C1781,sources!$A$2:$N$200,2,FALSE()),"?"))</f>
        <v>Map</v>
      </c>
      <c r="R1781" s="2" t="str">
        <f t="shared" si="27"/>
        <v>Map</v>
      </c>
      <c r="S1781" s="2" t="str">
        <f>IF($C1781="","",IFERROR(VLOOKUP($C1781,sources!$A$2:$N$200,9,FALSE()),"?"))</f>
        <v>French company</v>
      </c>
      <c r="T1781" t="s">
        <v>5692</v>
      </c>
      <c r="U1781">
        <f>IF(OR(B1781="",C1781="",T1781="Retracted",LEFT(D1781,8)="Negative"),0,IF(COUNTIFS($B$2:B1781,B1781,$C$2:C1781,C1781,$D$2:D1781,"&lt;&gt;Negative*",$T$2:T1781,"&lt;&gt;Retracted")=1,1,0))</f>
        <v>0</v>
      </c>
    </row>
    <row r="1782" spans="1:21" x14ac:dyDescent="0.2">
      <c r="A1782" t="s">
        <v>3899</v>
      </c>
      <c r="B1782" t="s">
        <v>959</v>
      </c>
      <c r="C1782" t="s">
        <v>1347</v>
      </c>
      <c r="D1782" t="s">
        <v>1613</v>
      </c>
      <c r="E1782" t="s">
        <v>960</v>
      </c>
      <c r="F1782" t="s">
        <v>2423</v>
      </c>
      <c r="I1782" t="s">
        <v>1058</v>
      </c>
      <c r="K1782">
        <v>1895</v>
      </c>
      <c r="L1782">
        <v>1895</v>
      </c>
      <c r="M1782" t="s">
        <v>209</v>
      </c>
      <c r="N1782" t="s">
        <v>209</v>
      </c>
      <c r="Q1782" s="2" t="str">
        <f>IF($C1782="","",IFERROR(VLOOKUP($C1782,sources!$A$2:$N$200,2,FALSE()),"?"))</f>
        <v>Map</v>
      </c>
      <c r="R1782" s="2" t="str">
        <f t="shared" si="27"/>
        <v>Map</v>
      </c>
      <c r="S1782" s="2" t="str">
        <f>IF($C1782="","",IFERROR(VLOOKUP($C1782,sources!$A$2:$N$200,9,FALSE()),"?"))</f>
        <v>French company</v>
      </c>
      <c r="T1782" t="s">
        <v>5692</v>
      </c>
      <c r="U1782">
        <f>IF(OR(B1782="",C1782="",T1782="Retracted",LEFT(D1782,8)="Negative"),0,IF(COUNTIFS($B$2:B1782,B1782,$C$2:C1782,C1782,$D$2:D1782,"&lt;&gt;Negative*",$T$2:T1782,"&lt;&gt;Retracted")=1,1,0))</f>
        <v>0</v>
      </c>
    </row>
    <row r="1783" spans="1:21" x14ac:dyDescent="0.2">
      <c r="A1783" t="s">
        <v>3900</v>
      </c>
      <c r="B1783" t="s">
        <v>962</v>
      </c>
      <c r="C1783" t="s">
        <v>1347</v>
      </c>
      <c r="D1783" t="s">
        <v>1613</v>
      </c>
      <c r="E1783" t="s">
        <v>963</v>
      </c>
      <c r="F1783" t="s">
        <v>2423</v>
      </c>
      <c r="I1783" t="s">
        <v>1058</v>
      </c>
      <c r="K1783">
        <v>1895</v>
      </c>
      <c r="L1783">
        <v>1895</v>
      </c>
      <c r="M1783" t="s">
        <v>209</v>
      </c>
      <c r="N1783" t="s">
        <v>209</v>
      </c>
      <c r="Q1783" s="2" t="str">
        <f>IF($C1783="","",IFERROR(VLOOKUP($C1783,sources!$A$2:$N$200,2,FALSE()),"?"))</f>
        <v>Map</v>
      </c>
      <c r="R1783" s="2" t="str">
        <f t="shared" si="27"/>
        <v>Map</v>
      </c>
      <c r="S1783" s="2" t="str">
        <f>IF($C1783="","",IFERROR(VLOOKUP($C1783,sources!$A$2:$N$200,9,FALSE()),"?"))</f>
        <v>French company</v>
      </c>
      <c r="T1783" t="s">
        <v>5692</v>
      </c>
      <c r="U1783">
        <f>IF(OR(B1783="",C1783="",T1783="Retracted",LEFT(D1783,8)="Negative"),0,IF(COUNTIFS($B$2:B1783,B1783,$C$2:C1783,C1783,$D$2:D1783,"&lt;&gt;Negative*",$T$2:T1783,"&lt;&gt;Retracted")=1,1,0))</f>
        <v>0</v>
      </c>
    </row>
    <row r="1784" spans="1:21" x14ac:dyDescent="0.2">
      <c r="A1784" t="s">
        <v>3901</v>
      </c>
      <c r="B1784" t="s">
        <v>966</v>
      </c>
      <c r="C1784" t="s">
        <v>1347</v>
      </c>
      <c r="D1784" t="s">
        <v>1613</v>
      </c>
      <c r="E1784" t="s">
        <v>967</v>
      </c>
      <c r="F1784" t="s">
        <v>2423</v>
      </c>
      <c r="I1784" t="s">
        <v>1058</v>
      </c>
      <c r="K1784">
        <v>1895</v>
      </c>
      <c r="L1784">
        <v>1895</v>
      </c>
      <c r="M1784" t="s">
        <v>209</v>
      </c>
      <c r="N1784" t="s">
        <v>190</v>
      </c>
      <c r="Q1784" s="2" t="str">
        <f>IF($C1784="","",IFERROR(VLOOKUP($C1784,sources!$A$2:$N$200,2,FALSE()),"?"))</f>
        <v>Map</v>
      </c>
      <c r="R1784" s="2" t="str">
        <f t="shared" si="27"/>
        <v>Map</v>
      </c>
      <c r="S1784" s="2" t="str">
        <f>IF($C1784="","",IFERROR(VLOOKUP($C1784,sources!$A$2:$N$200,9,FALSE()),"?"))</f>
        <v>French company</v>
      </c>
      <c r="T1784" t="s">
        <v>5693</v>
      </c>
      <c r="U1784">
        <f>IF(OR(B1784="",C1784="",T1784="Retracted",LEFT(D1784,8)="Negative"),0,IF(COUNTIFS($B$2:B1784,B1784,$C$2:C1784,C1784,$D$2:D1784,"&lt;&gt;Negative*",$T$2:T1784,"&lt;&gt;Retracted")=1,1,0))</f>
        <v>0</v>
      </c>
    </row>
    <row r="1785" spans="1:21" x14ac:dyDescent="0.2">
      <c r="A1785" t="s">
        <v>3902</v>
      </c>
      <c r="B1785" t="s">
        <v>938</v>
      </c>
      <c r="C1785" t="s">
        <v>1347</v>
      </c>
      <c r="D1785" t="s">
        <v>1613</v>
      </c>
      <c r="E1785" t="s">
        <v>939</v>
      </c>
      <c r="F1785" t="s">
        <v>2423</v>
      </c>
      <c r="I1785" t="s">
        <v>1058</v>
      </c>
      <c r="K1785">
        <v>1895</v>
      </c>
      <c r="L1785">
        <v>1895</v>
      </c>
      <c r="M1785" t="s">
        <v>209</v>
      </c>
      <c r="N1785" t="s">
        <v>209</v>
      </c>
      <c r="Q1785" s="2" t="str">
        <f>IF($C1785="","",IFERROR(VLOOKUP($C1785,sources!$A$2:$N$200,2,FALSE()),"?"))</f>
        <v>Map</v>
      </c>
      <c r="R1785" s="2" t="str">
        <f t="shared" si="27"/>
        <v>Map</v>
      </c>
      <c r="S1785" s="2" t="str">
        <f>IF($C1785="","",IFERROR(VLOOKUP($C1785,sources!$A$2:$N$200,9,FALSE()),"?"))</f>
        <v>French company</v>
      </c>
      <c r="T1785" t="s">
        <v>5692</v>
      </c>
      <c r="U1785">
        <f>IF(OR(B1785="",C1785="",T1785="Retracted",LEFT(D1785,8)="Negative"),0,IF(COUNTIFS($B$2:B1785,B1785,$C$2:C1785,C1785,$D$2:D1785,"&lt;&gt;Negative*",$T$2:T1785,"&lt;&gt;Retracted")=1,1,0))</f>
        <v>0</v>
      </c>
    </row>
    <row r="1786" spans="1:21" x14ac:dyDescent="0.2">
      <c r="A1786" t="s">
        <v>3903</v>
      </c>
      <c r="B1786" t="s">
        <v>943</v>
      </c>
      <c r="C1786" t="s">
        <v>1347</v>
      </c>
      <c r="D1786" t="s">
        <v>1613</v>
      </c>
      <c r="E1786" t="s">
        <v>944</v>
      </c>
      <c r="F1786" t="s">
        <v>2423</v>
      </c>
      <c r="I1786" t="s">
        <v>1058</v>
      </c>
      <c r="K1786">
        <v>1895</v>
      </c>
      <c r="L1786">
        <v>1895</v>
      </c>
      <c r="M1786" t="s">
        <v>209</v>
      </c>
      <c r="N1786" t="s">
        <v>209</v>
      </c>
      <c r="Q1786" s="2" t="str">
        <f>IF($C1786="","",IFERROR(VLOOKUP($C1786,sources!$A$2:$N$200,2,FALSE()),"?"))</f>
        <v>Map</v>
      </c>
      <c r="R1786" s="2" t="str">
        <f t="shared" si="27"/>
        <v>Map</v>
      </c>
      <c r="S1786" s="2" t="str">
        <f>IF($C1786="","",IFERROR(VLOOKUP($C1786,sources!$A$2:$N$200,9,FALSE()),"?"))</f>
        <v>French company</v>
      </c>
      <c r="T1786" t="s">
        <v>5692</v>
      </c>
      <c r="U1786">
        <f>IF(OR(B1786="",C1786="",T1786="Retracted",LEFT(D1786,8)="Negative"),0,IF(COUNTIFS($B$2:B1786,B1786,$C$2:C1786,C1786,$D$2:D1786,"&lt;&gt;Negative*",$T$2:T1786,"&lt;&gt;Retracted")=1,1,0))</f>
        <v>0</v>
      </c>
    </row>
    <row r="1787" spans="1:21" x14ac:dyDescent="0.2">
      <c r="A1787" t="s">
        <v>3904</v>
      </c>
      <c r="B1787" t="s">
        <v>776</v>
      </c>
      <c r="C1787" t="s">
        <v>1408</v>
      </c>
      <c r="D1787" t="s">
        <v>1572</v>
      </c>
      <c r="E1787" t="s">
        <v>3905</v>
      </c>
      <c r="F1787" t="s">
        <v>1566</v>
      </c>
      <c r="G1787">
        <v>8.9618350000000007</v>
      </c>
      <c r="H1787">
        <v>-79.542240000000007</v>
      </c>
      <c r="I1787" t="s">
        <v>1573</v>
      </c>
      <c r="J1787">
        <v>100</v>
      </c>
      <c r="K1787">
        <v>1904</v>
      </c>
      <c r="L1787">
        <v>1904</v>
      </c>
      <c r="M1787" t="s">
        <v>209</v>
      </c>
      <c r="N1787" t="s">
        <v>203</v>
      </c>
      <c r="Q1787" s="2" t="str">
        <f>IF($C1787="","",IFERROR(VLOOKUP($C1787,sources!$A$2:$N$200,2,FALSE()),"?"))</f>
        <v>Map</v>
      </c>
      <c r="R1787" s="2" t="str">
        <f t="shared" si="27"/>
        <v>Map</v>
      </c>
      <c r="S1787" s="2" t="str">
        <f>IF($C1787="","",IFERROR(VLOOKUP($C1787,sources!$A$2:$N$200,9,FALSE()),"?"))</f>
        <v>Panamanian</v>
      </c>
      <c r="T1787" t="s">
        <v>5692</v>
      </c>
      <c r="U1787">
        <f>IF(OR(B1787="",C1787="",T1787="Retracted",LEFT(D1787,8)="Negative"),0,IF(COUNTIFS($B$2:B1787,B1787,$C$2:C1787,C1787,$D$2:D1787,"&lt;&gt;Negative*",$T$2:T1787,"&lt;&gt;Retracted")=1,1,0))</f>
        <v>1</v>
      </c>
    </row>
    <row r="1788" spans="1:21" x14ac:dyDescent="0.2">
      <c r="A1788" t="s">
        <v>3906</v>
      </c>
      <c r="B1788" t="s">
        <v>971</v>
      </c>
      <c r="C1788" t="s">
        <v>1408</v>
      </c>
      <c r="D1788" t="s">
        <v>1613</v>
      </c>
      <c r="E1788" t="s">
        <v>972</v>
      </c>
      <c r="F1788" t="s">
        <v>1566</v>
      </c>
      <c r="I1788" t="s">
        <v>1058</v>
      </c>
      <c r="K1788">
        <v>1904</v>
      </c>
      <c r="L1788">
        <v>1904</v>
      </c>
      <c r="M1788" t="s">
        <v>209</v>
      </c>
      <c r="N1788" t="s">
        <v>203</v>
      </c>
      <c r="Q1788" s="2" t="str">
        <f>IF($C1788="","",IFERROR(VLOOKUP($C1788,sources!$A$2:$N$200,2,FALSE()),"?"))</f>
        <v>Map</v>
      </c>
      <c r="R1788" s="2" t="str">
        <f t="shared" si="27"/>
        <v>Map</v>
      </c>
      <c r="S1788" s="2" t="str">
        <f>IF($C1788="","",IFERROR(VLOOKUP($C1788,sources!$A$2:$N$200,9,FALSE()),"?"))</f>
        <v>Panamanian</v>
      </c>
      <c r="T1788" t="s">
        <v>5692</v>
      </c>
      <c r="U1788">
        <f>IF(OR(B1788="",C1788="",T1788="Retracted",LEFT(D1788,8)="Negative"),0,IF(COUNTIFS($B$2:B1788,B1788,$C$2:C1788,C1788,$D$2:D1788,"&lt;&gt;Negative*",$T$2:T1788,"&lt;&gt;Retracted")=1,1,0))</f>
        <v>0</v>
      </c>
    </row>
    <row r="1789" spans="1:21" x14ac:dyDescent="0.2">
      <c r="A1789" t="s">
        <v>3907</v>
      </c>
      <c r="B1789" t="s">
        <v>959</v>
      </c>
      <c r="C1789" t="s">
        <v>1408</v>
      </c>
      <c r="D1789" t="s">
        <v>1564</v>
      </c>
      <c r="E1789" t="s">
        <v>3908</v>
      </c>
      <c r="F1789" t="s">
        <v>1566</v>
      </c>
      <c r="I1789" t="s">
        <v>1058</v>
      </c>
      <c r="K1789">
        <v>1904</v>
      </c>
      <c r="L1789">
        <v>1904</v>
      </c>
      <c r="M1789" t="s">
        <v>209</v>
      </c>
      <c r="N1789" t="s">
        <v>203</v>
      </c>
      <c r="Q1789" s="2" t="str">
        <f>IF($C1789="","",IFERROR(VLOOKUP($C1789,sources!$A$2:$N$200,2,FALSE()),"?"))</f>
        <v>Map</v>
      </c>
      <c r="R1789" s="2" t="str">
        <f t="shared" si="27"/>
        <v>Map</v>
      </c>
      <c r="S1789" s="2" t="str">
        <f>IF($C1789="","",IFERROR(VLOOKUP($C1789,sources!$A$2:$N$200,9,FALSE()),"?"))</f>
        <v>Panamanian</v>
      </c>
      <c r="T1789" t="s">
        <v>5692</v>
      </c>
      <c r="U1789">
        <f>IF(OR(B1789="",C1789="",T1789="Retracted",LEFT(D1789,8)="Negative"),0,IF(COUNTIFS($B$2:B1789,B1789,$C$2:C1789,C1789,$D$2:D1789,"&lt;&gt;Negative*",$T$2:T1789,"&lt;&gt;Retracted")=1,1,0))</f>
        <v>1</v>
      </c>
    </row>
    <row r="1790" spans="1:21" x14ac:dyDescent="0.2">
      <c r="A1790" t="s">
        <v>3909</v>
      </c>
      <c r="B1790" t="s">
        <v>936</v>
      </c>
      <c r="C1790" t="s">
        <v>1408</v>
      </c>
      <c r="D1790" t="s">
        <v>1575</v>
      </c>
      <c r="E1790" t="s">
        <v>3910</v>
      </c>
      <c r="F1790" t="s">
        <v>1566</v>
      </c>
      <c r="I1790" t="s">
        <v>1058</v>
      </c>
      <c r="K1790">
        <v>1904</v>
      </c>
      <c r="L1790">
        <v>1904</v>
      </c>
      <c r="M1790" t="s">
        <v>209</v>
      </c>
      <c r="N1790" t="s">
        <v>209</v>
      </c>
      <c r="Q1790" s="2" t="str">
        <f>IF($C1790="","",IFERROR(VLOOKUP($C1790,sources!$A$2:$N$200,2,FALSE()),"?"))</f>
        <v>Map</v>
      </c>
      <c r="R1790" s="2" t="str">
        <f t="shared" si="27"/>
        <v>Map</v>
      </c>
      <c r="S1790" s="2" t="str">
        <f>IF($C1790="","",IFERROR(VLOOKUP($C1790,sources!$A$2:$N$200,9,FALSE()),"?"))</f>
        <v>Panamanian</v>
      </c>
      <c r="T1790" t="s">
        <v>5692</v>
      </c>
      <c r="U1790">
        <f>IF(OR(B1790="",C1790="",T1790="Retracted",LEFT(D1790,8)="Negative"),0,IF(COUNTIFS($B$2:B1790,B1790,$C$2:C1790,C1790,$D$2:D1790,"&lt;&gt;Negative*",$T$2:T1790,"&lt;&gt;Retracted")=1,1,0))</f>
        <v>1</v>
      </c>
    </row>
    <row r="1791" spans="1:21" x14ac:dyDescent="0.2">
      <c r="A1791" t="s">
        <v>3911</v>
      </c>
      <c r="B1791" t="s">
        <v>456</v>
      </c>
      <c r="C1791" t="s">
        <v>1179</v>
      </c>
      <c r="D1791" t="s">
        <v>1613</v>
      </c>
      <c r="E1791" t="s">
        <v>457</v>
      </c>
      <c r="F1791" t="s">
        <v>1583</v>
      </c>
      <c r="I1791" t="s">
        <v>1058</v>
      </c>
      <c r="K1791">
        <v>1909</v>
      </c>
      <c r="L1791">
        <v>1909</v>
      </c>
      <c r="M1791" t="s">
        <v>209</v>
      </c>
      <c r="N1791" t="s">
        <v>203</v>
      </c>
      <c r="Q1791" s="2" t="str">
        <f>IF($C1791="","",IFERROR(VLOOKUP($C1791,sources!$A$2:$N$200,2,FALSE()),"?"))</f>
        <v>Map</v>
      </c>
      <c r="R1791" s="2" t="str">
        <f t="shared" si="27"/>
        <v>Map</v>
      </c>
      <c r="S1791" s="2" t="str">
        <f>IF($C1791="","",IFERROR(VLOOKUP($C1791,sources!$A$2:$N$200,9,FALSE()),"?"))</f>
        <v>US official</v>
      </c>
      <c r="T1791" t="s">
        <v>5692</v>
      </c>
      <c r="U1791">
        <f>IF(OR(B1791="",C1791="",T1791="Retracted",LEFT(D1791,8)="Negative"),0,IF(COUNTIFS($B$2:B1791,B1791,$C$2:C1791,C1791,$D$2:D1791,"&lt;&gt;Negative*",$T$2:T1791,"&lt;&gt;Retracted")=1,1,0))</f>
        <v>0</v>
      </c>
    </row>
    <row r="1792" spans="1:21" x14ac:dyDescent="0.2">
      <c r="A1792" t="s">
        <v>3912</v>
      </c>
      <c r="B1792" t="s">
        <v>269</v>
      </c>
      <c r="C1792" t="s">
        <v>1179</v>
      </c>
      <c r="D1792" t="s">
        <v>1613</v>
      </c>
      <c r="E1792" t="s">
        <v>270</v>
      </c>
      <c r="F1792" t="s">
        <v>1583</v>
      </c>
      <c r="I1792" t="s">
        <v>1058</v>
      </c>
      <c r="K1792">
        <v>1909</v>
      </c>
      <c r="L1792">
        <v>1909</v>
      </c>
      <c r="M1792" t="s">
        <v>209</v>
      </c>
      <c r="N1792" t="s">
        <v>203</v>
      </c>
      <c r="Q1792" s="2" t="str">
        <f>IF($C1792="","",IFERROR(VLOOKUP($C1792,sources!$A$2:$N$200,2,FALSE()),"?"))</f>
        <v>Map</v>
      </c>
      <c r="R1792" s="2" t="str">
        <f t="shared" si="27"/>
        <v>Map</v>
      </c>
      <c r="S1792" s="2" t="str">
        <f>IF($C1792="","",IFERROR(VLOOKUP($C1792,sources!$A$2:$N$200,9,FALSE()),"?"))</f>
        <v>US official</v>
      </c>
      <c r="T1792" t="s">
        <v>5692</v>
      </c>
      <c r="U1792">
        <f>IF(OR(B1792="",C1792="",T1792="Retracted",LEFT(D1792,8)="Negative"),0,IF(COUNTIFS($B$2:B1792,B1792,$C$2:C1792,C1792,$D$2:D1792,"&lt;&gt;Negative*",$T$2:T1792,"&lt;&gt;Retracted")=1,1,0))</f>
        <v>0</v>
      </c>
    </row>
    <row r="1793" spans="1:21" x14ac:dyDescent="0.2">
      <c r="A1793" t="s">
        <v>3913</v>
      </c>
      <c r="B1793" t="s">
        <v>673</v>
      </c>
      <c r="C1793" t="s">
        <v>1179</v>
      </c>
      <c r="D1793" t="s">
        <v>1575</v>
      </c>
      <c r="E1793" t="s">
        <v>3914</v>
      </c>
      <c r="F1793" t="s">
        <v>1583</v>
      </c>
      <c r="I1793" t="s">
        <v>1058</v>
      </c>
      <c r="K1793">
        <v>1909</v>
      </c>
      <c r="L1793">
        <v>1909</v>
      </c>
      <c r="M1793" t="s">
        <v>209</v>
      </c>
      <c r="N1793" t="s">
        <v>209</v>
      </c>
      <c r="Q1793" s="2" t="str">
        <f>IF($C1793="","",IFERROR(VLOOKUP($C1793,sources!$A$2:$N$200,2,FALSE()),"?"))</f>
        <v>Map</v>
      </c>
      <c r="R1793" s="2" t="str">
        <f t="shared" si="27"/>
        <v>Map</v>
      </c>
      <c r="S1793" s="2" t="str">
        <f>IF($C1793="","",IFERROR(VLOOKUP($C1793,sources!$A$2:$N$200,9,FALSE()),"?"))</f>
        <v>US official</v>
      </c>
      <c r="T1793" t="s">
        <v>5692</v>
      </c>
      <c r="U1793">
        <f>IF(OR(B1793="",C1793="",T1793="Retracted",LEFT(D1793,8)="Negative"),0,IF(COUNTIFS($B$2:B1793,B1793,$C$2:C1793,C1793,$D$2:D1793,"&lt;&gt;Negative*",$T$2:T1793,"&lt;&gt;Retracted")=1,1,0))</f>
        <v>1</v>
      </c>
    </row>
    <row r="1794" spans="1:21" x14ac:dyDescent="0.2">
      <c r="A1794" t="s">
        <v>3915</v>
      </c>
      <c r="B1794" t="s">
        <v>660</v>
      </c>
      <c r="C1794" t="s">
        <v>1179</v>
      </c>
      <c r="D1794" t="s">
        <v>1613</v>
      </c>
      <c r="E1794" t="s">
        <v>661</v>
      </c>
      <c r="F1794" t="s">
        <v>1583</v>
      </c>
      <c r="I1794" t="s">
        <v>1058</v>
      </c>
      <c r="K1794">
        <v>1909</v>
      </c>
      <c r="L1794">
        <v>1909</v>
      </c>
      <c r="M1794" t="s">
        <v>209</v>
      </c>
      <c r="N1794" t="s">
        <v>203</v>
      </c>
      <c r="Q1794" s="2" t="str">
        <f>IF($C1794="","",IFERROR(VLOOKUP($C1794,sources!$A$2:$N$200,2,FALSE()),"?"))</f>
        <v>Map</v>
      </c>
      <c r="R1794" s="2" t="str">
        <f t="shared" ref="R1794:R1857" si="28">IF($Q1794="","",IF($Q1794="Map","Map",IF(OR($Q1794="Photograph",$Q1794="Postcard"),"Image",IF(OR($Q1794="Census or roll",$Q1794="Report",$Q1794="Newspaper",$Q1794="Letter",$Q1794="Memoir",$Q1794="Administrative",$Q1794="Web compilation"),"Textual",IF($Q1794="Legal claim","Legal/admin",IF($Q1794="Secondary","Secondary","Other"))))))</f>
        <v>Map</v>
      </c>
      <c r="S1794" s="2" t="str">
        <f>IF($C1794="","",IFERROR(VLOOKUP($C1794,sources!$A$2:$N$200,9,FALSE()),"?"))</f>
        <v>US official</v>
      </c>
      <c r="T1794" t="s">
        <v>5692</v>
      </c>
      <c r="U1794">
        <f>IF(OR(B1794="",C1794="",T1794="Retracted",LEFT(D1794,8)="Negative"),0,IF(COUNTIFS($B$2:B1794,B1794,$C$2:C1794,C1794,$D$2:D1794,"&lt;&gt;Negative*",$T$2:T1794,"&lt;&gt;Retracted")=1,1,0))</f>
        <v>0</v>
      </c>
    </row>
    <row r="1795" spans="1:21" x14ac:dyDescent="0.2">
      <c r="A1795" t="s">
        <v>3916</v>
      </c>
      <c r="B1795" t="s">
        <v>619</v>
      </c>
      <c r="C1795" t="s">
        <v>1179</v>
      </c>
      <c r="D1795" t="s">
        <v>1613</v>
      </c>
      <c r="E1795" t="s">
        <v>620</v>
      </c>
      <c r="F1795" t="s">
        <v>1583</v>
      </c>
      <c r="I1795" t="s">
        <v>1058</v>
      </c>
      <c r="K1795">
        <v>1909</v>
      </c>
      <c r="L1795">
        <v>1909</v>
      </c>
      <c r="M1795" t="s">
        <v>209</v>
      </c>
      <c r="N1795" t="s">
        <v>203</v>
      </c>
      <c r="Q1795" s="2" t="str">
        <f>IF($C1795="","",IFERROR(VLOOKUP($C1795,sources!$A$2:$N$200,2,FALSE()),"?"))</f>
        <v>Map</v>
      </c>
      <c r="R1795" s="2" t="str">
        <f t="shared" si="28"/>
        <v>Map</v>
      </c>
      <c r="S1795" s="2" t="str">
        <f>IF($C1795="","",IFERROR(VLOOKUP($C1795,sources!$A$2:$N$200,9,FALSE()),"?"))</f>
        <v>US official</v>
      </c>
      <c r="T1795" t="s">
        <v>5692</v>
      </c>
      <c r="U1795">
        <f>IF(OR(B1795="",C1795="",T1795="Retracted",LEFT(D1795,8)="Negative"),0,IF(COUNTIFS($B$2:B1795,B1795,$C$2:C1795,C1795,$D$2:D1795,"&lt;&gt;Negative*",$T$2:T1795,"&lt;&gt;Retracted")=1,1,0))</f>
        <v>0</v>
      </c>
    </row>
    <row r="1796" spans="1:21" x14ac:dyDescent="0.2">
      <c r="A1796" t="s">
        <v>3917</v>
      </c>
      <c r="B1796" t="s">
        <v>758</v>
      </c>
      <c r="C1796" t="s">
        <v>1179</v>
      </c>
      <c r="D1796" t="s">
        <v>1575</v>
      </c>
      <c r="E1796" t="s">
        <v>3918</v>
      </c>
      <c r="F1796" t="s">
        <v>1583</v>
      </c>
      <c r="I1796" t="s">
        <v>1058</v>
      </c>
      <c r="K1796">
        <v>1909</v>
      </c>
      <c r="L1796">
        <v>1909</v>
      </c>
      <c r="M1796" t="s">
        <v>209</v>
      </c>
      <c r="N1796" t="s">
        <v>190</v>
      </c>
      <c r="Q1796" s="2" t="str">
        <f>IF($C1796="","",IFERROR(VLOOKUP($C1796,sources!$A$2:$N$200,2,FALSE()),"?"))</f>
        <v>Map</v>
      </c>
      <c r="R1796" s="2" t="str">
        <f t="shared" si="28"/>
        <v>Map</v>
      </c>
      <c r="S1796" s="2" t="str">
        <f>IF($C1796="","",IFERROR(VLOOKUP($C1796,sources!$A$2:$N$200,9,FALSE()),"?"))</f>
        <v>US official</v>
      </c>
      <c r="T1796" t="s">
        <v>5692</v>
      </c>
      <c r="U1796">
        <f>IF(OR(B1796="",C1796="",T1796="Retracted",LEFT(D1796,8)="Negative"),0,IF(COUNTIFS($B$2:B1796,B1796,$C$2:C1796,C1796,$D$2:D1796,"&lt;&gt;Negative*",$T$2:T1796,"&lt;&gt;Retracted")=1,1,0))</f>
        <v>1</v>
      </c>
    </row>
    <row r="1797" spans="1:21" x14ac:dyDescent="0.2">
      <c r="A1797" t="s">
        <v>3919</v>
      </c>
      <c r="B1797" t="s">
        <v>764</v>
      </c>
      <c r="C1797" t="s">
        <v>1179</v>
      </c>
      <c r="D1797" t="s">
        <v>1575</v>
      </c>
      <c r="E1797" t="s">
        <v>3920</v>
      </c>
      <c r="F1797" t="s">
        <v>1583</v>
      </c>
      <c r="I1797" t="s">
        <v>1058</v>
      </c>
      <c r="K1797">
        <v>1909</v>
      </c>
      <c r="L1797">
        <v>1909</v>
      </c>
      <c r="M1797" t="s">
        <v>209</v>
      </c>
      <c r="N1797" t="s">
        <v>190</v>
      </c>
      <c r="Q1797" s="2" t="str">
        <f>IF($C1797="","",IFERROR(VLOOKUP($C1797,sources!$A$2:$N$200,2,FALSE()),"?"))</f>
        <v>Map</v>
      </c>
      <c r="R1797" s="2" t="str">
        <f t="shared" si="28"/>
        <v>Map</v>
      </c>
      <c r="S1797" s="2" t="str">
        <f>IF($C1797="","",IFERROR(VLOOKUP($C1797,sources!$A$2:$N$200,9,FALSE()),"?"))</f>
        <v>US official</v>
      </c>
      <c r="T1797" t="s">
        <v>5692</v>
      </c>
      <c r="U1797">
        <f>IF(OR(B1797="",C1797="",T1797="Retracted",LEFT(D1797,8)="Negative"),0,IF(COUNTIFS($B$2:B1797,B1797,$C$2:C1797,C1797,$D$2:D1797,"&lt;&gt;Negative*",$T$2:T1797,"&lt;&gt;Retracted")=1,1,0))</f>
        <v>1</v>
      </c>
    </row>
    <row r="1798" spans="1:21" x14ac:dyDescent="0.2">
      <c r="A1798" t="s">
        <v>3921</v>
      </c>
      <c r="B1798" t="s">
        <v>917</v>
      </c>
      <c r="C1798" t="s">
        <v>1179</v>
      </c>
      <c r="D1798" t="s">
        <v>1613</v>
      </c>
      <c r="E1798" t="s">
        <v>918</v>
      </c>
      <c r="F1798" t="s">
        <v>1583</v>
      </c>
      <c r="I1798" t="s">
        <v>1058</v>
      </c>
      <c r="K1798">
        <v>1909</v>
      </c>
      <c r="L1798">
        <v>1909</v>
      </c>
      <c r="M1798" t="s">
        <v>209</v>
      </c>
      <c r="N1798" t="s">
        <v>203</v>
      </c>
      <c r="Q1798" s="2" t="str">
        <f>IF($C1798="","",IFERROR(VLOOKUP($C1798,sources!$A$2:$N$200,2,FALSE()),"?"))</f>
        <v>Map</v>
      </c>
      <c r="R1798" s="2" t="str">
        <f t="shared" si="28"/>
        <v>Map</v>
      </c>
      <c r="S1798" s="2" t="str">
        <f>IF($C1798="","",IFERROR(VLOOKUP($C1798,sources!$A$2:$N$200,9,FALSE()),"?"))</f>
        <v>US official</v>
      </c>
      <c r="T1798" t="s">
        <v>5692</v>
      </c>
      <c r="U1798">
        <f>IF(OR(B1798="",C1798="",T1798="Retracted",LEFT(D1798,8)="Negative"),0,IF(COUNTIFS($B$2:B1798,B1798,$C$2:C1798,C1798,$D$2:D1798,"&lt;&gt;Negative*",$T$2:T1798,"&lt;&gt;Retracted")=1,1,0))</f>
        <v>0</v>
      </c>
    </row>
    <row r="1799" spans="1:21" x14ac:dyDescent="0.2">
      <c r="A1799" t="s">
        <v>3922</v>
      </c>
      <c r="B1799" t="s">
        <v>689</v>
      </c>
      <c r="C1799" t="s">
        <v>1179</v>
      </c>
      <c r="D1799" t="s">
        <v>1613</v>
      </c>
      <c r="E1799" t="s">
        <v>690</v>
      </c>
      <c r="F1799" t="s">
        <v>1583</v>
      </c>
      <c r="I1799" t="s">
        <v>1058</v>
      </c>
      <c r="K1799">
        <v>1909</v>
      </c>
      <c r="L1799">
        <v>1909</v>
      </c>
      <c r="M1799" t="s">
        <v>209</v>
      </c>
      <c r="N1799" t="s">
        <v>203</v>
      </c>
      <c r="Q1799" s="2" t="str">
        <f>IF($C1799="","",IFERROR(VLOOKUP($C1799,sources!$A$2:$N$200,2,FALSE()),"?"))</f>
        <v>Map</v>
      </c>
      <c r="R1799" s="2" t="str">
        <f t="shared" si="28"/>
        <v>Map</v>
      </c>
      <c r="S1799" s="2" t="str">
        <f>IF($C1799="","",IFERROR(VLOOKUP($C1799,sources!$A$2:$N$200,9,FALSE()),"?"))</f>
        <v>US official</v>
      </c>
      <c r="T1799" t="s">
        <v>5692</v>
      </c>
      <c r="U1799">
        <f>IF(OR(B1799="",C1799="",T1799="Retracted",LEFT(D1799,8)="Negative"),0,IF(COUNTIFS($B$2:B1799,B1799,$C$2:C1799,C1799,$D$2:D1799,"&lt;&gt;Negative*",$T$2:T1799,"&lt;&gt;Retracted")=1,1,0))</f>
        <v>0</v>
      </c>
    </row>
    <row r="1800" spans="1:21" x14ac:dyDescent="0.2">
      <c r="A1800" t="s">
        <v>3923</v>
      </c>
      <c r="B1800" t="s">
        <v>625</v>
      </c>
      <c r="C1800" t="s">
        <v>1179</v>
      </c>
      <c r="D1800" t="s">
        <v>1575</v>
      </c>
      <c r="E1800" t="s">
        <v>3924</v>
      </c>
      <c r="F1800" t="s">
        <v>1583</v>
      </c>
      <c r="I1800" t="s">
        <v>1058</v>
      </c>
      <c r="K1800">
        <v>1909</v>
      </c>
      <c r="L1800">
        <v>1909</v>
      </c>
      <c r="M1800" t="s">
        <v>209</v>
      </c>
      <c r="N1800" t="s">
        <v>209</v>
      </c>
      <c r="Q1800" s="2" t="str">
        <f>IF($C1800="","",IFERROR(VLOOKUP($C1800,sources!$A$2:$N$200,2,FALSE()),"?"))</f>
        <v>Map</v>
      </c>
      <c r="R1800" s="2" t="str">
        <f t="shared" si="28"/>
        <v>Map</v>
      </c>
      <c r="S1800" s="2" t="str">
        <f>IF($C1800="","",IFERROR(VLOOKUP($C1800,sources!$A$2:$N$200,9,FALSE()),"?"))</f>
        <v>US official</v>
      </c>
      <c r="T1800" t="s">
        <v>5692</v>
      </c>
      <c r="U1800">
        <f>IF(OR(B1800="",C1800="",T1800="Retracted",LEFT(D1800,8)="Negative"),0,IF(COUNTIFS($B$2:B1800,B1800,$C$2:C1800,C1800,$D$2:D1800,"&lt;&gt;Negative*",$T$2:T1800,"&lt;&gt;Retracted")=1,1,0))</f>
        <v>1</v>
      </c>
    </row>
    <row r="1801" spans="1:21" x14ac:dyDescent="0.2">
      <c r="A1801" t="s">
        <v>3925</v>
      </c>
      <c r="B1801" t="s">
        <v>733</v>
      </c>
      <c r="C1801" t="s">
        <v>1179</v>
      </c>
      <c r="D1801" t="s">
        <v>1613</v>
      </c>
      <c r="E1801" t="s">
        <v>734</v>
      </c>
      <c r="F1801" t="s">
        <v>1583</v>
      </c>
      <c r="I1801" t="s">
        <v>1058</v>
      </c>
      <c r="K1801">
        <v>1909</v>
      </c>
      <c r="L1801">
        <v>1909</v>
      </c>
      <c r="M1801" t="s">
        <v>209</v>
      </c>
      <c r="N1801" t="s">
        <v>203</v>
      </c>
      <c r="Q1801" s="2" t="str">
        <f>IF($C1801="","",IFERROR(VLOOKUP($C1801,sources!$A$2:$N$200,2,FALSE()),"?"))</f>
        <v>Map</v>
      </c>
      <c r="R1801" s="2" t="str">
        <f t="shared" si="28"/>
        <v>Map</v>
      </c>
      <c r="S1801" s="2" t="str">
        <f>IF($C1801="","",IFERROR(VLOOKUP($C1801,sources!$A$2:$N$200,9,FALSE()),"?"))</f>
        <v>US official</v>
      </c>
      <c r="T1801" t="s">
        <v>5692</v>
      </c>
      <c r="U1801">
        <f>IF(OR(B1801="",C1801="",T1801="Retracted",LEFT(D1801,8)="Negative"),0,IF(COUNTIFS($B$2:B1801,B1801,$C$2:C1801,C1801,$D$2:D1801,"&lt;&gt;Negative*",$T$2:T1801,"&lt;&gt;Retracted")=1,1,0))</f>
        <v>0</v>
      </c>
    </row>
    <row r="1802" spans="1:21" x14ac:dyDescent="0.2">
      <c r="A1802" t="s">
        <v>3926</v>
      </c>
      <c r="B1802" t="s">
        <v>796</v>
      </c>
      <c r="C1802" t="s">
        <v>1179</v>
      </c>
      <c r="D1802" t="s">
        <v>1613</v>
      </c>
      <c r="E1802" t="s">
        <v>797</v>
      </c>
      <c r="F1802" t="s">
        <v>1583</v>
      </c>
      <c r="I1802" t="s">
        <v>1058</v>
      </c>
      <c r="K1802">
        <v>1909</v>
      </c>
      <c r="L1802">
        <v>1909</v>
      </c>
      <c r="M1802" t="s">
        <v>209</v>
      </c>
      <c r="N1802" t="s">
        <v>203</v>
      </c>
      <c r="Q1802" s="2" t="str">
        <f>IF($C1802="","",IFERROR(VLOOKUP($C1802,sources!$A$2:$N$200,2,FALSE()),"?"))</f>
        <v>Map</v>
      </c>
      <c r="R1802" s="2" t="str">
        <f t="shared" si="28"/>
        <v>Map</v>
      </c>
      <c r="S1802" s="2" t="str">
        <f>IF($C1802="","",IFERROR(VLOOKUP($C1802,sources!$A$2:$N$200,9,FALSE()),"?"))</f>
        <v>US official</v>
      </c>
      <c r="T1802" t="s">
        <v>5692</v>
      </c>
      <c r="U1802">
        <f>IF(OR(B1802="",C1802="",T1802="Retracted",LEFT(D1802,8)="Negative"),0,IF(COUNTIFS($B$2:B1802,B1802,$C$2:C1802,C1802,$D$2:D1802,"&lt;&gt;Negative*",$T$2:T1802,"&lt;&gt;Retracted")=1,1,0))</f>
        <v>0</v>
      </c>
    </row>
    <row r="1803" spans="1:21" x14ac:dyDescent="0.2">
      <c r="A1803" t="s">
        <v>3927</v>
      </c>
      <c r="B1803" t="s">
        <v>630</v>
      </c>
      <c r="C1803" t="s">
        <v>1179</v>
      </c>
      <c r="D1803" t="s">
        <v>1564</v>
      </c>
      <c r="E1803" t="s">
        <v>3928</v>
      </c>
      <c r="F1803" t="s">
        <v>1583</v>
      </c>
      <c r="I1803" t="s">
        <v>1058</v>
      </c>
      <c r="K1803">
        <v>1909</v>
      </c>
      <c r="L1803">
        <v>1909</v>
      </c>
      <c r="M1803" t="s">
        <v>209</v>
      </c>
      <c r="N1803" t="s">
        <v>203</v>
      </c>
      <c r="Q1803" s="2" t="str">
        <f>IF($C1803="","",IFERROR(VLOOKUP($C1803,sources!$A$2:$N$200,2,FALSE()),"?"))</f>
        <v>Map</v>
      </c>
      <c r="R1803" s="2" t="str">
        <f t="shared" si="28"/>
        <v>Map</v>
      </c>
      <c r="S1803" s="2" t="str">
        <f>IF($C1803="","",IFERROR(VLOOKUP($C1803,sources!$A$2:$N$200,9,FALSE()),"?"))</f>
        <v>US official</v>
      </c>
      <c r="T1803" t="s">
        <v>5692</v>
      </c>
      <c r="U1803">
        <f>IF(OR(B1803="",C1803="",T1803="Retracted",LEFT(D1803,8)="Negative"),0,IF(COUNTIFS($B$2:B1803,B1803,$C$2:C1803,C1803,$D$2:D1803,"&lt;&gt;Negative*",$T$2:T1803,"&lt;&gt;Retracted")=1,1,0))</f>
        <v>1</v>
      </c>
    </row>
    <row r="1804" spans="1:21" x14ac:dyDescent="0.2">
      <c r="A1804" t="s">
        <v>3929</v>
      </c>
      <c r="B1804" t="s">
        <v>630</v>
      </c>
      <c r="C1804" t="s">
        <v>1179</v>
      </c>
      <c r="D1804" t="s">
        <v>1613</v>
      </c>
      <c r="E1804" t="s">
        <v>2803</v>
      </c>
      <c r="F1804" t="s">
        <v>1583</v>
      </c>
      <c r="I1804" t="s">
        <v>1058</v>
      </c>
      <c r="K1804">
        <v>1909</v>
      </c>
      <c r="L1804">
        <v>1909</v>
      </c>
      <c r="M1804" t="s">
        <v>209</v>
      </c>
      <c r="N1804" t="s">
        <v>203</v>
      </c>
      <c r="Q1804" s="2" t="str">
        <f>IF($C1804="","",IFERROR(VLOOKUP($C1804,sources!$A$2:$N$200,2,FALSE()),"?"))</f>
        <v>Map</v>
      </c>
      <c r="R1804" s="2" t="str">
        <f t="shared" si="28"/>
        <v>Map</v>
      </c>
      <c r="S1804" s="2" t="str">
        <f>IF($C1804="","",IFERROR(VLOOKUP($C1804,sources!$A$2:$N$200,9,FALSE()),"?"))</f>
        <v>US official</v>
      </c>
      <c r="T1804" t="s">
        <v>5692</v>
      </c>
      <c r="U1804">
        <f>IF(OR(B1804="",C1804="",T1804="Retracted",LEFT(D1804,8)="Negative"),0,IF(COUNTIFS($B$2:B1804,B1804,$C$2:C1804,C1804,$D$2:D1804,"&lt;&gt;Negative*",$T$2:T1804,"&lt;&gt;Retracted")=1,1,0))</f>
        <v>0</v>
      </c>
    </row>
    <row r="1805" spans="1:21" x14ac:dyDescent="0.2">
      <c r="A1805" t="s">
        <v>3930</v>
      </c>
      <c r="B1805" t="s">
        <v>783</v>
      </c>
      <c r="C1805" t="s">
        <v>1179</v>
      </c>
      <c r="D1805" t="s">
        <v>1613</v>
      </c>
      <c r="E1805" t="s">
        <v>784</v>
      </c>
      <c r="F1805" t="s">
        <v>1583</v>
      </c>
      <c r="I1805" t="s">
        <v>1058</v>
      </c>
      <c r="K1805">
        <v>1909</v>
      </c>
      <c r="L1805">
        <v>1909</v>
      </c>
      <c r="M1805" t="s">
        <v>209</v>
      </c>
      <c r="N1805" t="s">
        <v>203</v>
      </c>
      <c r="Q1805" s="2" t="str">
        <f>IF($C1805="","",IFERROR(VLOOKUP($C1805,sources!$A$2:$N$200,2,FALSE()),"?"))</f>
        <v>Map</v>
      </c>
      <c r="R1805" s="2" t="str">
        <f t="shared" si="28"/>
        <v>Map</v>
      </c>
      <c r="S1805" s="2" t="str">
        <f>IF($C1805="","",IFERROR(VLOOKUP($C1805,sources!$A$2:$N$200,9,FALSE()),"?"))</f>
        <v>US official</v>
      </c>
      <c r="T1805" t="s">
        <v>5692</v>
      </c>
      <c r="U1805">
        <f>IF(OR(B1805="",C1805="",T1805="Retracted",LEFT(D1805,8)="Negative"),0,IF(COUNTIFS($B$2:B1805,B1805,$C$2:C1805,C1805,$D$2:D1805,"&lt;&gt;Negative*",$T$2:T1805,"&lt;&gt;Retracted")=1,1,0))</f>
        <v>0</v>
      </c>
    </row>
    <row r="1806" spans="1:21" x14ac:dyDescent="0.2">
      <c r="A1806" t="s">
        <v>3931</v>
      </c>
      <c r="B1806" t="s">
        <v>701</v>
      </c>
      <c r="C1806" t="s">
        <v>1179</v>
      </c>
      <c r="D1806" t="s">
        <v>1613</v>
      </c>
      <c r="E1806" t="s">
        <v>702</v>
      </c>
      <c r="F1806" t="s">
        <v>1583</v>
      </c>
      <c r="I1806" t="s">
        <v>1058</v>
      </c>
      <c r="K1806">
        <v>1909</v>
      </c>
      <c r="L1806">
        <v>1909</v>
      </c>
      <c r="M1806" t="s">
        <v>209</v>
      </c>
      <c r="N1806" t="s">
        <v>203</v>
      </c>
      <c r="Q1806" s="2" t="str">
        <f>IF($C1806="","",IFERROR(VLOOKUP($C1806,sources!$A$2:$N$200,2,FALSE()),"?"))</f>
        <v>Map</v>
      </c>
      <c r="R1806" s="2" t="str">
        <f t="shared" si="28"/>
        <v>Map</v>
      </c>
      <c r="S1806" s="2" t="str">
        <f>IF($C1806="","",IFERROR(VLOOKUP($C1806,sources!$A$2:$N$200,9,FALSE()),"?"))</f>
        <v>US official</v>
      </c>
      <c r="T1806" t="s">
        <v>5692</v>
      </c>
      <c r="U1806">
        <f>IF(OR(B1806="",C1806="",T1806="Retracted",LEFT(D1806,8)="Negative"),0,IF(COUNTIFS($B$2:B1806,B1806,$C$2:C1806,C1806,$D$2:D1806,"&lt;&gt;Negative*",$T$2:T1806,"&lt;&gt;Retracted")=1,1,0))</f>
        <v>0</v>
      </c>
    </row>
    <row r="1807" spans="1:21" x14ac:dyDescent="0.2">
      <c r="A1807" t="s">
        <v>3932</v>
      </c>
      <c r="B1807" t="s">
        <v>776</v>
      </c>
      <c r="C1807" t="s">
        <v>1179</v>
      </c>
      <c r="D1807" t="s">
        <v>1613</v>
      </c>
      <c r="E1807" t="s">
        <v>777</v>
      </c>
      <c r="F1807" t="s">
        <v>1583</v>
      </c>
      <c r="I1807" t="s">
        <v>1058</v>
      </c>
      <c r="K1807">
        <v>1909</v>
      </c>
      <c r="L1807">
        <v>1909</v>
      </c>
      <c r="M1807" t="s">
        <v>209</v>
      </c>
      <c r="N1807" t="s">
        <v>203</v>
      </c>
      <c r="Q1807" s="2" t="str">
        <f>IF($C1807="","",IFERROR(VLOOKUP($C1807,sources!$A$2:$N$200,2,FALSE()),"?"))</f>
        <v>Map</v>
      </c>
      <c r="R1807" s="2" t="str">
        <f t="shared" si="28"/>
        <v>Map</v>
      </c>
      <c r="S1807" s="2" t="str">
        <f>IF($C1807="","",IFERROR(VLOOKUP($C1807,sources!$A$2:$N$200,9,FALSE()),"?"))</f>
        <v>US official</v>
      </c>
      <c r="T1807" t="s">
        <v>5692</v>
      </c>
      <c r="U1807">
        <f>IF(OR(B1807="",C1807="",T1807="Retracted",LEFT(D1807,8)="Negative"),0,IF(COUNTIFS($B$2:B1807,B1807,$C$2:C1807,C1807,$D$2:D1807,"&lt;&gt;Negative*",$T$2:T1807,"&lt;&gt;Retracted")=1,1,0))</f>
        <v>0</v>
      </c>
    </row>
    <row r="1808" spans="1:21" x14ac:dyDescent="0.2">
      <c r="A1808" t="s">
        <v>3933</v>
      </c>
      <c r="B1808" t="s">
        <v>811</v>
      </c>
      <c r="C1808" t="s">
        <v>1179</v>
      </c>
      <c r="D1808" t="s">
        <v>1613</v>
      </c>
      <c r="E1808" t="s">
        <v>812</v>
      </c>
      <c r="F1808" t="s">
        <v>1583</v>
      </c>
      <c r="I1808" t="s">
        <v>1058</v>
      </c>
      <c r="K1808">
        <v>1909</v>
      </c>
      <c r="L1808">
        <v>1909</v>
      </c>
      <c r="M1808" t="s">
        <v>209</v>
      </c>
      <c r="N1808" t="s">
        <v>203</v>
      </c>
      <c r="Q1808" s="2" t="str">
        <f>IF($C1808="","",IFERROR(VLOOKUP($C1808,sources!$A$2:$N$200,2,FALSE()),"?"))</f>
        <v>Map</v>
      </c>
      <c r="R1808" s="2" t="str">
        <f t="shared" si="28"/>
        <v>Map</v>
      </c>
      <c r="S1808" s="2" t="str">
        <f>IF($C1808="","",IFERROR(VLOOKUP($C1808,sources!$A$2:$N$200,9,FALSE()),"?"))</f>
        <v>US official</v>
      </c>
      <c r="T1808" t="s">
        <v>5692</v>
      </c>
      <c r="U1808">
        <f>IF(OR(B1808="",C1808="",T1808="Retracted",LEFT(D1808,8)="Negative"),0,IF(COUNTIFS($B$2:B1808,B1808,$C$2:C1808,C1808,$D$2:D1808,"&lt;&gt;Negative*",$T$2:T1808,"&lt;&gt;Retracted")=1,1,0))</f>
        <v>0</v>
      </c>
    </row>
    <row r="1809" spans="1:21" x14ac:dyDescent="0.2">
      <c r="A1809" t="s">
        <v>3934</v>
      </c>
      <c r="B1809" t="s">
        <v>816</v>
      </c>
      <c r="C1809" t="s">
        <v>1179</v>
      </c>
      <c r="D1809" t="s">
        <v>1613</v>
      </c>
      <c r="E1809" t="s">
        <v>817</v>
      </c>
      <c r="F1809" t="s">
        <v>1583</v>
      </c>
      <c r="I1809" t="s">
        <v>1058</v>
      </c>
      <c r="K1809">
        <v>1909</v>
      </c>
      <c r="L1809">
        <v>1909</v>
      </c>
      <c r="M1809" t="s">
        <v>209</v>
      </c>
      <c r="N1809" t="s">
        <v>203</v>
      </c>
      <c r="Q1809" s="2" t="str">
        <f>IF($C1809="","",IFERROR(VLOOKUP($C1809,sources!$A$2:$N$200,2,FALSE()),"?"))</f>
        <v>Map</v>
      </c>
      <c r="R1809" s="2" t="str">
        <f t="shared" si="28"/>
        <v>Map</v>
      </c>
      <c r="S1809" s="2" t="str">
        <f>IF($C1809="","",IFERROR(VLOOKUP($C1809,sources!$A$2:$N$200,9,FALSE()),"?"))</f>
        <v>US official</v>
      </c>
      <c r="T1809" t="s">
        <v>5692</v>
      </c>
      <c r="U1809">
        <f>IF(OR(B1809="",C1809="",T1809="Retracted",LEFT(D1809,8)="Negative"),0,IF(COUNTIFS($B$2:B1809,B1809,$C$2:C1809,C1809,$D$2:D1809,"&lt;&gt;Negative*",$T$2:T1809,"&lt;&gt;Retracted")=1,1,0))</f>
        <v>0</v>
      </c>
    </row>
    <row r="1810" spans="1:21" x14ac:dyDescent="0.2">
      <c r="A1810" t="s">
        <v>3935</v>
      </c>
      <c r="B1810" t="s">
        <v>835</v>
      </c>
      <c r="C1810" t="s">
        <v>1179</v>
      </c>
      <c r="D1810" t="s">
        <v>1613</v>
      </c>
      <c r="E1810" t="s">
        <v>836</v>
      </c>
      <c r="F1810" t="s">
        <v>1583</v>
      </c>
      <c r="I1810" t="s">
        <v>1058</v>
      </c>
      <c r="K1810">
        <v>1909</v>
      </c>
      <c r="L1810">
        <v>1909</v>
      </c>
      <c r="M1810" t="s">
        <v>209</v>
      </c>
      <c r="N1810" t="s">
        <v>203</v>
      </c>
      <c r="Q1810" s="2" t="str">
        <f>IF($C1810="","",IFERROR(VLOOKUP($C1810,sources!$A$2:$N$200,2,FALSE()),"?"))</f>
        <v>Map</v>
      </c>
      <c r="R1810" s="2" t="str">
        <f t="shared" si="28"/>
        <v>Map</v>
      </c>
      <c r="S1810" s="2" t="str">
        <f>IF($C1810="","",IFERROR(VLOOKUP($C1810,sources!$A$2:$N$200,9,FALSE()),"?"))</f>
        <v>US official</v>
      </c>
      <c r="T1810" t="s">
        <v>5692</v>
      </c>
      <c r="U1810">
        <f>IF(OR(B1810="",C1810="",T1810="Retracted",LEFT(D1810,8)="Negative"),0,IF(COUNTIFS($B$2:B1810,B1810,$C$2:C1810,C1810,$D$2:D1810,"&lt;&gt;Negative*",$T$2:T1810,"&lt;&gt;Retracted")=1,1,0))</f>
        <v>0</v>
      </c>
    </row>
    <row r="1811" spans="1:21" x14ac:dyDescent="0.2">
      <c r="A1811" t="s">
        <v>3936</v>
      </c>
      <c r="B1811" t="s">
        <v>979</v>
      </c>
      <c r="C1811" t="s">
        <v>1179</v>
      </c>
      <c r="D1811" t="s">
        <v>1575</v>
      </c>
      <c r="E1811" t="s">
        <v>3937</v>
      </c>
      <c r="F1811" t="s">
        <v>1583</v>
      </c>
      <c r="I1811" t="s">
        <v>1058</v>
      </c>
      <c r="K1811">
        <v>1909</v>
      </c>
      <c r="L1811">
        <v>1909</v>
      </c>
      <c r="M1811" t="s">
        <v>209</v>
      </c>
      <c r="N1811" t="s">
        <v>190</v>
      </c>
      <c r="Q1811" s="2" t="str">
        <f>IF($C1811="","",IFERROR(VLOOKUP($C1811,sources!$A$2:$N$200,2,FALSE()),"?"))</f>
        <v>Map</v>
      </c>
      <c r="R1811" s="2" t="str">
        <f t="shared" si="28"/>
        <v>Map</v>
      </c>
      <c r="S1811" s="2" t="str">
        <f>IF($C1811="","",IFERROR(VLOOKUP($C1811,sources!$A$2:$N$200,9,FALSE()),"?"))</f>
        <v>US official</v>
      </c>
      <c r="T1811" t="s">
        <v>5692</v>
      </c>
      <c r="U1811">
        <f>IF(OR(B1811="",C1811="",T1811="Retracted",LEFT(D1811,8)="Negative"),0,IF(COUNTIFS($B$2:B1811,B1811,$C$2:C1811,C1811,$D$2:D1811,"&lt;&gt;Negative*",$T$2:T1811,"&lt;&gt;Retracted")=1,1,0))</f>
        <v>1</v>
      </c>
    </row>
    <row r="1812" spans="1:21" x14ac:dyDescent="0.2">
      <c r="A1812" t="s">
        <v>3938</v>
      </c>
      <c r="B1812" t="s">
        <v>847</v>
      </c>
      <c r="C1812" t="s">
        <v>1179</v>
      </c>
      <c r="D1812" t="s">
        <v>1613</v>
      </c>
      <c r="E1812" t="s">
        <v>848</v>
      </c>
      <c r="F1812" t="s">
        <v>1583</v>
      </c>
      <c r="I1812" t="s">
        <v>1058</v>
      </c>
      <c r="K1812">
        <v>1909</v>
      </c>
      <c r="L1812">
        <v>1909</v>
      </c>
      <c r="M1812" t="s">
        <v>209</v>
      </c>
      <c r="N1812" t="s">
        <v>203</v>
      </c>
      <c r="Q1812" s="2" t="str">
        <f>IF($C1812="","",IFERROR(VLOOKUP($C1812,sources!$A$2:$N$200,2,FALSE()),"?"))</f>
        <v>Map</v>
      </c>
      <c r="R1812" s="2" t="str">
        <f t="shared" si="28"/>
        <v>Map</v>
      </c>
      <c r="S1812" s="2" t="str">
        <f>IF($C1812="","",IFERROR(VLOOKUP($C1812,sources!$A$2:$N$200,9,FALSE()),"?"))</f>
        <v>US official</v>
      </c>
      <c r="T1812" t="s">
        <v>5692</v>
      </c>
      <c r="U1812">
        <f>IF(OR(B1812="",C1812="",T1812="Retracted",LEFT(D1812,8)="Negative"),0,IF(COUNTIFS($B$2:B1812,B1812,$C$2:C1812,C1812,$D$2:D1812,"&lt;&gt;Negative*",$T$2:T1812,"&lt;&gt;Retracted")=1,1,0))</f>
        <v>0</v>
      </c>
    </row>
    <row r="1813" spans="1:21" x14ac:dyDescent="0.2">
      <c r="A1813" t="s">
        <v>3939</v>
      </c>
      <c r="B1813" t="s">
        <v>888</v>
      </c>
      <c r="C1813" t="s">
        <v>1179</v>
      </c>
      <c r="D1813" t="s">
        <v>1613</v>
      </c>
      <c r="E1813" t="s">
        <v>889</v>
      </c>
      <c r="F1813" t="s">
        <v>1583</v>
      </c>
      <c r="I1813" t="s">
        <v>1058</v>
      </c>
      <c r="K1813">
        <v>1909</v>
      </c>
      <c r="L1813">
        <v>1909</v>
      </c>
      <c r="M1813" t="s">
        <v>209</v>
      </c>
      <c r="N1813" t="s">
        <v>203</v>
      </c>
      <c r="Q1813" s="2" t="str">
        <f>IF($C1813="","",IFERROR(VLOOKUP($C1813,sources!$A$2:$N$200,2,FALSE()),"?"))</f>
        <v>Map</v>
      </c>
      <c r="R1813" s="2" t="str">
        <f t="shared" si="28"/>
        <v>Map</v>
      </c>
      <c r="S1813" s="2" t="str">
        <f>IF($C1813="","",IFERROR(VLOOKUP($C1813,sources!$A$2:$N$200,9,FALSE()),"?"))</f>
        <v>US official</v>
      </c>
      <c r="T1813" t="s">
        <v>5692</v>
      </c>
      <c r="U1813">
        <f>IF(OR(B1813="",C1813="",T1813="Retracted",LEFT(D1813,8)="Negative"),0,IF(COUNTIFS($B$2:B1813,B1813,$C$2:C1813,C1813,$D$2:D1813,"&lt;&gt;Negative*",$T$2:T1813,"&lt;&gt;Retracted")=1,1,0))</f>
        <v>0</v>
      </c>
    </row>
    <row r="1814" spans="1:21" x14ac:dyDescent="0.2">
      <c r="A1814" t="s">
        <v>3940</v>
      </c>
      <c r="B1814" t="s">
        <v>892</v>
      </c>
      <c r="C1814" t="s">
        <v>1179</v>
      </c>
      <c r="D1814" t="s">
        <v>1613</v>
      </c>
      <c r="E1814" t="s">
        <v>893</v>
      </c>
      <c r="F1814" t="s">
        <v>1583</v>
      </c>
      <c r="I1814" t="s">
        <v>1058</v>
      </c>
      <c r="K1814">
        <v>1909</v>
      </c>
      <c r="L1814">
        <v>1909</v>
      </c>
      <c r="M1814" t="s">
        <v>209</v>
      </c>
      <c r="N1814" t="s">
        <v>203</v>
      </c>
      <c r="Q1814" s="2" t="str">
        <f>IF($C1814="","",IFERROR(VLOOKUP($C1814,sources!$A$2:$N$200,2,FALSE()),"?"))</f>
        <v>Map</v>
      </c>
      <c r="R1814" s="2" t="str">
        <f t="shared" si="28"/>
        <v>Map</v>
      </c>
      <c r="S1814" s="2" t="str">
        <f>IF($C1814="","",IFERROR(VLOOKUP($C1814,sources!$A$2:$N$200,9,FALSE()),"?"))</f>
        <v>US official</v>
      </c>
      <c r="T1814" t="s">
        <v>5692</v>
      </c>
      <c r="U1814">
        <f>IF(OR(B1814="",C1814="",T1814="Retracted",LEFT(D1814,8)="Negative"),0,IF(COUNTIFS($B$2:B1814,B1814,$C$2:C1814,C1814,$D$2:D1814,"&lt;&gt;Negative*",$T$2:T1814,"&lt;&gt;Retracted")=1,1,0))</f>
        <v>0</v>
      </c>
    </row>
    <row r="1815" spans="1:21" x14ac:dyDescent="0.2">
      <c r="A1815" t="s">
        <v>3941</v>
      </c>
      <c r="B1815" t="s">
        <v>928</v>
      </c>
      <c r="C1815" t="s">
        <v>1179</v>
      </c>
      <c r="D1815" t="s">
        <v>1613</v>
      </c>
      <c r="E1815" t="s">
        <v>930</v>
      </c>
      <c r="F1815" t="s">
        <v>1583</v>
      </c>
      <c r="I1815" t="s">
        <v>1058</v>
      </c>
      <c r="K1815">
        <v>1909</v>
      </c>
      <c r="L1815">
        <v>1909</v>
      </c>
      <c r="M1815" t="s">
        <v>209</v>
      </c>
      <c r="N1815" t="s">
        <v>203</v>
      </c>
      <c r="Q1815" s="2" t="str">
        <f>IF($C1815="","",IFERROR(VLOOKUP($C1815,sources!$A$2:$N$200,2,FALSE()),"?"))</f>
        <v>Map</v>
      </c>
      <c r="R1815" s="2" t="str">
        <f t="shared" si="28"/>
        <v>Map</v>
      </c>
      <c r="S1815" s="2" t="str">
        <f>IF($C1815="","",IFERROR(VLOOKUP($C1815,sources!$A$2:$N$200,9,FALSE()),"?"))</f>
        <v>US official</v>
      </c>
      <c r="T1815" t="s">
        <v>5692</v>
      </c>
      <c r="U1815">
        <f>IF(OR(B1815="",C1815="",T1815="Retracted",LEFT(D1815,8)="Negative"),0,IF(COUNTIFS($B$2:B1815,B1815,$C$2:C1815,C1815,$D$2:D1815,"&lt;&gt;Negative*",$T$2:T1815,"&lt;&gt;Retracted")=1,1,0))</f>
        <v>0</v>
      </c>
    </row>
    <row r="1816" spans="1:21" x14ac:dyDescent="0.2">
      <c r="A1816" t="s">
        <v>3942</v>
      </c>
      <c r="B1816" t="s">
        <v>928</v>
      </c>
      <c r="C1816" t="s">
        <v>1179</v>
      </c>
      <c r="D1816" t="s">
        <v>1613</v>
      </c>
      <c r="E1816" t="s">
        <v>929</v>
      </c>
      <c r="F1816" t="s">
        <v>1583</v>
      </c>
      <c r="I1816" t="s">
        <v>1058</v>
      </c>
      <c r="K1816">
        <v>1909</v>
      </c>
      <c r="L1816">
        <v>1909</v>
      </c>
      <c r="M1816" t="s">
        <v>209</v>
      </c>
      <c r="N1816" t="s">
        <v>203</v>
      </c>
      <c r="Q1816" s="2" t="str">
        <f>IF($C1816="","",IFERROR(VLOOKUP($C1816,sources!$A$2:$N$200,2,FALSE()),"?"))</f>
        <v>Map</v>
      </c>
      <c r="R1816" s="2" t="str">
        <f t="shared" si="28"/>
        <v>Map</v>
      </c>
      <c r="S1816" s="2" t="str">
        <f>IF($C1816="","",IFERROR(VLOOKUP($C1816,sources!$A$2:$N$200,9,FALSE()),"?"))</f>
        <v>US official</v>
      </c>
      <c r="T1816" t="s">
        <v>5692</v>
      </c>
      <c r="U1816">
        <f>IF(OR(B1816="",C1816="",T1816="Retracted",LEFT(D1816,8)="Negative"),0,IF(COUNTIFS($B$2:B1816,B1816,$C$2:C1816,C1816,$D$2:D1816,"&lt;&gt;Negative*",$T$2:T1816,"&lt;&gt;Retracted")=1,1,0))</f>
        <v>0</v>
      </c>
    </row>
    <row r="1817" spans="1:21" x14ac:dyDescent="0.2">
      <c r="A1817" t="s">
        <v>3943</v>
      </c>
      <c r="B1817" t="s">
        <v>896</v>
      </c>
      <c r="C1817" t="s">
        <v>1179</v>
      </c>
      <c r="D1817" t="s">
        <v>1613</v>
      </c>
      <c r="E1817" t="s">
        <v>897</v>
      </c>
      <c r="F1817" t="s">
        <v>1583</v>
      </c>
      <c r="I1817" t="s">
        <v>1058</v>
      </c>
      <c r="K1817">
        <v>1909</v>
      </c>
      <c r="L1817">
        <v>1909</v>
      </c>
      <c r="M1817" t="s">
        <v>209</v>
      </c>
      <c r="N1817" t="s">
        <v>203</v>
      </c>
      <c r="Q1817" s="2" t="str">
        <f>IF($C1817="","",IFERROR(VLOOKUP($C1817,sources!$A$2:$N$200,2,FALSE()),"?"))</f>
        <v>Map</v>
      </c>
      <c r="R1817" s="2" t="str">
        <f t="shared" si="28"/>
        <v>Map</v>
      </c>
      <c r="S1817" s="2" t="str">
        <f>IF($C1817="","",IFERROR(VLOOKUP($C1817,sources!$A$2:$N$200,9,FALSE()),"?"))</f>
        <v>US official</v>
      </c>
      <c r="T1817" t="s">
        <v>5692</v>
      </c>
      <c r="U1817">
        <f>IF(OR(B1817="",C1817="",T1817="Retracted",LEFT(D1817,8)="Negative"),0,IF(COUNTIFS($B$2:B1817,B1817,$C$2:C1817,C1817,$D$2:D1817,"&lt;&gt;Negative*",$T$2:T1817,"&lt;&gt;Retracted")=1,1,0))</f>
        <v>0</v>
      </c>
    </row>
    <row r="1818" spans="1:21" x14ac:dyDescent="0.2">
      <c r="A1818" t="s">
        <v>3944</v>
      </c>
      <c r="B1818" t="s">
        <v>899</v>
      </c>
      <c r="C1818" t="s">
        <v>1179</v>
      </c>
      <c r="D1818" t="s">
        <v>1613</v>
      </c>
      <c r="E1818" t="s">
        <v>900</v>
      </c>
      <c r="F1818" t="s">
        <v>1583</v>
      </c>
      <c r="I1818" t="s">
        <v>1058</v>
      </c>
      <c r="K1818">
        <v>1909</v>
      </c>
      <c r="L1818">
        <v>1909</v>
      </c>
      <c r="M1818" t="s">
        <v>209</v>
      </c>
      <c r="N1818" t="s">
        <v>203</v>
      </c>
      <c r="Q1818" s="2" t="str">
        <f>IF($C1818="","",IFERROR(VLOOKUP($C1818,sources!$A$2:$N$200,2,FALSE()),"?"))</f>
        <v>Map</v>
      </c>
      <c r="R1818" s="2" t="str">
        <f t="shared" si="28"/>
        <v>Map</v>
      </c>
      <c r="S1818" s="2" t="str">
        <f>IF($C1818="","",IFERROR(VLOOKUP($C1818,sources!$A$2:$N$200,9,FALSE()),"?"))</f>
        <v>US official</v>
      </c>
      <c r="T1818" t="s">
        <v>5692</v>
      </c>
      <c r="U1818">
        <f>IF(OR(B1818="",C1818="",T1818="Retracted",LEFT(D1818,8)="Negative"),0,IF(COUNTIFS($B$2:B1818,B1818,$C$2:C1818,C1818,$D$2:D1818,"&lt;&gt;Negative*",$T$2:T1818,"&lt;&gt;Retracted")=1,1,0))</f>
        <v>0</v>
      </c>
    </row>
    <row r="1819" spans="1:21" x14ac:dyDescent="0.2">
      <c r="A1819" t="s">
        <v>3945</v>
      </c>
      <c r="B1819" t="s">
        <v>407</v>
      </c>
      <c r="C1819" t="s">
        <v>1335</v>
      </c>
      <c r="D1819" t="s">
        <v>1613</v>
      </c>
      <c r="E1819" t="s">
        <v>408</v>
      </c>
      <c r="F1819" t="s">
        <v>1583</v>
      </c>
      <c r="I1819" t="s">
        <v>1058</v>
      </c>
      <c r="K1819">
        <v>1905</v>
      </c>
      <c r="L1819">
        <v>1906</v>
      </c>
      <c r="M1819" t="s">
        <v>209</v>
      </c>
      <c r="N1819" t="s">
        <v>209</v>
      </c>
      <c r="Q1819" s="2" t="str">
        <f>IF($C1819="","",IFERROR(VLOOKUP($C1819,sources!$A$2:$N$200,2,FALSE()),"?"))</f>
        <v>Map</v>
      </c>
      <c r="R1819" s="2" t="str">
        <f t="shared" si="28"/>
        <v>Map</v>
      </c>
      <c r="S1819" s="2" t="str">
        <f>IF($C1819="","",IFERROR(VLOOKUP($C1819,sources!$A$2:$N$200,9,FALSE()),"?"))</f>
        <v>US official</v>
      </c>
      <c r="T1819" t="s">
        <v>5692</v>
      </c>
      <c r="U1819">
        <f>IF(OR(B1819="",C1819="",T1819="Retracted",LEFT(D1819,8)="Negative"),0,IF(COUNTIFS($B$2:B1819,B1819,$C$2:C1819,C1819,$D$2:D1819,"&lt;&gt;Negative*",$T$2:T1819,"&lt;&gt;Retracted")=1,1,0))</f>
        <v>0</v>
      </c>
    </row>
    <row r="1820" spans="1:21" x14ac:dyDescent="0.2">
      <c r="A1820" t="s">
        <v>3946</v>
      </c>
      <c r="B1820" t="s">
        <v>495</v>
      </c>
      <c r="C1820" t="s">
        <v>1335</v>
      </c>
      <c r="D1820" t="s">
        <v>1564</v>
      </c>
      <c r="E1820" t="s">
        <v>496</v>
      </c>
      <c r="F1820" t="s">
        <v>1583</v>
      </c>
      <c r="I1820" t="s">
        <v>1058</v>
      </c>
      <c r="K1820">
        <v>1905</v>
      </c>
      <c r="L1820">
        <v>1906</v>
      </c>
      <c r="M1820" t="s">
        <v>209</v>
      </c>
      <c r="N1820" t="s">
        <v>203</v>
      </c>
      <c r="Q1820" s="2" t="str">
        <f>IF($C1820="","",IFERROR(VLOOKUP($C1820,sources!$A$2:$N$200,2,FALSE()),"?"))</f>
        <v>Map</v>
      </c>
      <c r="R1820" s="2" t="str">
        <f t="shared" si="28"/>
        <v>Map</v>
      </c>
      <c r="S1820" s="2" t="str">
        <f>IF($C1820="","",IFERROR(VLOOKUP($C1820,sources!$A$2:$N$200,9,FALSE()),"?"))</f>
        <v>US official</v>
      </c>
      <c r="T1820" t="s">
        <v>5692</v>
      </c>
      <c r="U1820">
        <f>IF(OR(B1820="",C1820="",T1820="Retracted",LEFT(D1820,8)="Negative"),0,IF(COUNTIFS($B$2:B1820,B1820,$C$2:C1820,C1820,$D$2:D1820,"&lt;&gt;Negative*",$T$2:T1820,"&lt;&gt;Retracted")=1,1,0))</f>
        <v>1</v>
      </c>
    </row>
    <row r="1821" spans="1:21" x14ac:dyDescent="0.2">
      <c r="A1821" t="s">
        <v>3947</v>
      </c>
      <c r="B1821" t="s">
        <v>603</v>
      </c>
      <c r="C1821" t="s">
        <v>1335</v>
      </c>
      <c r="D1821" t="s">
        <v>1564</v>
      </c>
      <c r="E1821" t="s">
        <v>604</v>
      </c>
      <c r="F1821" t="s">
        <v>1583</v>
      </c>
      <c r="I1821" t="s">
        <v>1058</v>
      </c>
      <c r="K1821">
        <v>1905</v>
      </c>
      <c r="L1821">
        <v>1906</v>
      </c>
      <c r="M1821" t="s">
        <v>209</v>
      </c>
      <c r="N1821" t="s">
        <v>203</v>
      </c>
      <c r="Q1821" s="2" t="str">
        <f>IF($C1821="","",IFERROR(VLOOKUP($C1821,sources!$A$2:$N$200,2,FALSE()),"?"))</f>
        <v>Map</v>
      </c>
      <c r="R1821" s="2" t="str">
        <f t="shared" si="28"/>
        <v>Map</v>
      </c>
      <c r="S1821" s="2" t="str">
        <f>IF($C1821="","",IFERROR(VLOOKUP($C1821,sources!$A$2:$N$200,9,FALSE()),"?"))</f>
        <v>US official</v>
      </c>
      <c r="T1821" t="s">
        <v>5692</v>
      </c>
      <c r="U1821">
        <f>IF(OR(B1821="",C1821="",T1821="Retracted",LEFT(D1821,8)="Negative"),0,IF(COUNTIFS($B$2:B1821,B1821,$C$2:C1821,C1821,$D$2:D1821,"&lt;&gt;Negative*",$T$2:T1821,"&lt;&gt;Retracted")=1,1,0))</f>
        <v>1</v>
      </c>
    </row>
    <row r="1822" spans="1:21" x14ac:dyDescent="0.2">
      <c r="A1822" t="s">
        <v>3948</v>
      </c>
      <c r="B1822" t="s">
        <v>892</v>
      </c>
      <c r="C1822" t="s">
        <v>1335</v>
      </c>
      <c r="D1822" t="s">
        <v>1613</v>
      </c>
      <c r="E1822" t="s">
        <v>893</v>
      </c>
      <c r="F1822" t="s">
        <v>1583</v>
      </c>
      <c r="I1822" t="s">
        <v>1058</v>
      </c>
      <c r="K1822">
        <v>1905</v>
      </c>
      <c r="L1822">
        <v>1906</v>
      </c>
      <c r="M1822" t="s">
        <v>209</v>
      </c>
      <c r="N1822" t="s">
        <v>203</v>
      </c>
      <c r="Q1822" s="2" t="str">
        <f>IF($C1822="","",IFERROR(VLOOKUP($C1822,sources!$A$2:$N$200,2,FALSE()),"?"))</f>
        <v>Map</v>
      </c>
      <c r="R1822" s="2" t="str">
        <f t="shared" si="28"/>
        <v>Map</v>
      </c>
      <c r="S1822" s="2" t="str">
        <f>IF($C1822="","",IFERROR(VLOOKUP($C1822,sources!$A$2:$N$200,9,FALSE()),"?"))</f>
        <v>US official</v>
      </c>
      <c r="T1822" t="s">
        <v>5692</v>
      </c>
      <c r="U1822">
        <f>IF(OR(B1822="",C1822="",T1822="Retracted",LEFT(D1822,8)="Negative"),0,IF(COUNTIFS($B$2:B1822,B1822,$C$2:C1822,C1822,$D$2:D1822,"&lt;&gt;Negative*",$T$2:T1822,"&lt;&gt;Retracted")=1,1,0))</f>
        <v>0</v>
      </c>
    </row>
    <row r="1823" spans="1:21" x14ac:dyDescent="0.2">
      <c r="A1823" t="s">
        <v>3949</v>
      </c>
      <c r="B1823" t="s">
        <v>896</v>
      </c>
      <c r="C1823" t="s">
        <v>1335</v>
      </c>
      <c r="D1823" t="s">
        <v>1613</v>
      </c>
      <c r="E1823" t="s">
        <v>897</v>
      </c>
      <c r="F1823" t="s">
        <v>1583</v>
      </c>
      <c r="I1823" t="s">
        <v>1058</v>
      </c>
      <c r="K1823">
        <v>1905</v>
      </c>
      <c r="L1823">
        <v>1906</v>
      </c>
      <c r="M1823" t="s">
        <v>209</v>
      </c>
      <c r="N1823" t="s">
        <v>203</v>
      </c>
      <c r="Q1823" s="2" t="str">
        <f>IF($C1823="","",IFERROR(VLOOKUP($C1823,sources!$A$2:$N$200,2,FALSE()),"?"))</f>
        <v>Map</v>
      </c>
      <c r="R1823" s="2" t="str">
        <f t="shared" si="28"/>
        <v>Map</v>
      </c>
      <c r="S1823" s="2" t="str">
        <f>IF($C1823="","",IFERROR(VLOOKUP($C1823,sources!$A$2:$N$200,9,FALSE()),"?"))</f>
        <v>US official</v>
      </c>
      <c r="T1823" t="s">
        <v>5692</v>
      </c>
      <c r="U1823">
        <f>IF(OR(B1823="",C1823="",T1823="Retracted",LEFT(D1823,8)="Negative"),0,IF(COUNTIFS($B$2:B1823,B1823,$C$2:C1823,C1823,$D$2:D1823,"&lt;&gt;Negative*",$T$2:T1823,"&lt;&gt;Retracted")=1,1,0))</f>
        <v>0</v>
      </c>
    </row>
    <row r="1824" spans="1:21" x14ac:dyDescent="0.2">
      <c r="A1824" t="s">
        <v>3950</v>
      </c>
      <c r="B1824" t="s">
        <v>899</v>
      </c>
      <c r="C1824" t="s">
        <v>1335</v>
      </c>
      <c r="D1824" t="s">
        <v>1613</v>
      </c>
      <c r="E1824" t="s">
        <v>900</v>
      </c>
      <c r="F1824" t="s">
        <v>1583</v>
      </c>
      <c r="I1824" t="s">
        <v>1058</v>
      </c>
      <c r="K1824">
        <v>1905</v>
      </c>
      <c r="L1824">
        <v>1906</v>
      </c>
      <c r="M1824" t="s">
        <v>209</v>
      </c>
      <c r="N1824" t="s">
        <v>203</v>
      </c>
      <c r="Q1824" s="2" t="str">
        <f>IF($C1824="","",IFERROR(VLOOKUP($C1824,sources!$A$2:$N$200,2,FALSE()),"?"))</f>
        <v>Map</v>
      </c>
      <c r="R1824" s="2" t="str">
        <f t="shared" si="28"/>
        <v>Map</v>
      </c>
      <c r="S1824" s="2" t="str">
        <f>IF($C1824="","",IFERROR(VLOOKUP($C1824,sources!$A$2:$N$200,9,FALSE()),"?"))</f>
        <v>US official</v>
      </c>
      <c r="T1824" t="s">
        <v>5692</v>
      </c>
      <c r="U1824">
        <f>IF(OR(B1824="",C1824="",T1824="Retracted",LEFT(D1824,8)="Negative"),0,IF(COUNTIFS($B$2:B1824,B1824,$C$2:C1824,C1824,$D$2:D1824,"&lt;&gt;Negative*",$T$2:T1824,"&lt;&gt;Retracted")=1,1,0))</f>
        <v>0</v>
      </c>
    </row>
    <row r="1825" spans="1:21" x14ac:dyDescent="0.2">
      <c r="A1825" t="s">
        <v>3951</v>
      </c>
      <c r="B1825" t="s">
        <v>902</v>
      </c>
      <c r="C1825" t="s">
        <v>1335</v>
      </c>
      <c r="D1825" t="s">
        <v>1613</v>
      </c>
      <c r="E1825" t="s">
        <v>903</v>
      </c>
      <c r="F1825" t="s">
        <v>1583</v>
      </c>
      <c r="I1825" t="s">
        <v>1058</v>
      </c>
      <c r="K1825">
        <v>1905</v>
      </c>
      <c r="L1825">
        <v>1906</v>
      </c>
      <c r="M1825" t="s">
        <v>209</v>
      </c>
      <c r="N1825" t="s">
        <v>209</v>
      </c>
      <c r="Q1825" s="2" t="str">
        <f>IF($C1825="","",IFERROR(VLOOKUP($C1825,sources!$A$2:$N$200,2,FALSE()),"?"))</f>
        <v>Map</v>
      </c>
      <c r="R1825" s="2" t="str">
        <f t="shared" si="28"/>
        <v>Map</v>
      </c>
      <c r="S1825" s="2" t="str">
        <f>IF($C1825="","",IFERROR(VLOOKUP($C1825,sources!$A$2:$N$200,9,FALSE()),"?"))</f>
        <v>US official</v>
      </c>
      <c r="T1825" t="s">
        <v>5692</v>
      </c>
      <c r="U1825">
        <f>IF(OR(B1825="",C1825="",T1825="Retracted",LEFT(D1825,8)="Negative"),0,IF(COUNTIFS($B$2:B1825,B1825,$C$2:C1825,C1825,$D$2:D1825,"&lt;&gt;Negative*",$T$2:T1825,"&lt;&gt;Retracted")=1,1,0))</f>
        <v>0</v>
      </c>
    </row>
    <row r="1826" spans="1:21" x14ac:dyDescent="0.2">
      <c r="A1826" t="s">
        <v>3952</v>
      </c>
      <c r="B1826" t="s">
        <v>928</v>
      </c>
      <c r="C1826" t="s">
        <v>1335</v>
      </c>
      <c r="D1826" t="s">
        <v>1613</v>
      </c>
      <c r="E1826" t="s">
        <v>929</v>
      </c>
      <c r="F1826" t="s">
        <v>1583</v>
      </c>
      <c r="I1826" t="s">
        <v>1058</v>
      </c>
      <c r="K1826">
        <v>1905</v>
      </c>
      <c r="L1826">
        <v>1906</v>
      </c>
      <c r="M1826" t="s">
        <v>209</v>
      </c>
      <c r="N1826" t="s">
        <v>203</v>
      </c>
      <c r="Q1826" s="2" t="str">
        <f>IF($C1826="","",IFERROR(VLOOKUP($C1826,sources!$A$2:$N$200,2,FALSE()),"?"))</f>
        <v>Map</v>
      </c>
      <c r="R1826" s="2" t="str">
        <f t="shared" si="28"/>
        <v>Map</v>
      </c>
      <c r="S1826" s="2" t="str">
        <f>IF($C1826="","",IFERROR(VLOOKUP($C1826,sources!$A$2:$N$200,9,FALSE()),"?"))</f>
        <v>US official</v>
      </c>
      <c r="T1826" t="s">
        <v>5692</v>
      </c>
      <c r="U1826">
        <f>IF(OR(B1826="",C1826="",T1826="Retracted",LEFT(D1826,8)="Negative"),0,IF(COUNTIFS($B$2:B1826,B1826,$C$2:C1826,C1826,$D$2:D1826,"&lt;&gt;Negative*",$T$2:T1826,"&lt;&gt;Retracted")=1,1,0))</f>
        <v>0</v>
      </c>
    </row>
    <row r="1827" spans="1:21" x14ac:dyDescent="0.2">
      <c r="A1827" t="s">
        <v>3953</v>
      </c>
      <c r="B1827" t="s">
        <v>928</v>
      </c>
      <c r="C1827" t="s">
        <v>1335</v>
      </c>
      <c r="D1827" t="s">
        <v>1613</v>
      </c>
      <c r="E1827" t="s">
        <v>930</v>
      </c>
      <c r="F1827" t="s">
        <v>1583</v>
      </c>
      <c r="I1827" t="s">
        <v>1058</v>
      </c>
      <c r="K1827">
        <v>1905</v>
      </c>
      <c r="L1827">
        <v>1906</v>
      </c>
      <c r="M1827" t="s">
        <v>209</v>
      </c>
      <c r="N1827" t="s">
        <v>203</v>
      </c>
      <c r="Q1827" s="2" t="str">
        <f>IF($C1827="","",IFERROR(VLOOKUP($C1827,sources!$A$2:$N$200,2,FALSE()),"?"))</f>
        <v>Map</v>
      </c>
      <c r="R1827" s="2" t="str">
        <f t="shared" si="28"/>
        <v>Map</v>
      </c>
      <c r="S1827" s="2" t="str">
        <f>IF($C1827="","",IFERROR(VLOOKUP($C1827,sources!$A$2:$N$200,9,FALSE()),"?"))</f>
        <v>US official</v>
      </c>
      <c r="T1827" t="s">
        <v>5692</v>
      </c>
      <c r="U1827">
        <f>IF(OR(B1827="",C1827="",T1827="Retracted",LEFT(D1827,8)="Negative"),0,IF(COUNTIFS($B$2:B1827,B1827,$C$2:C1827,C1827,$D$2:D1827,"&lt;&gt;Negative*",$T$2:T1827,"&lt;&gt;Retracted")=1,1,0))</f>
        <v>0</v>
      </c>
    </row>
    <row r="1828" spans="1:21" x14ac:dyDescent="0.2">
      <c r="A1828" t="s">
        <v>3954</v>
      </c>
      <c r="B1828" t="s">
        <v>447</v>
      </c>
      <c r="C1828" t="s">
        <v>1335</v>
      </c>
      <c r="D1828" t="s">
        <v>1564</v>
      </c>
      <c r="E1828" t="s">
        <v>449</v>
      </c>
      <c r="F1828" t="s">
        <v>1583</v>
      </c>
      <c r="I1828" t="s">
        <v>1058</v>
      </c>
      <c r="K1828">
        <v>1905</v>
      </c>
      <c r="L1828">
        <v>1906</v>
      </c>
      <c r="M1828" t="s">
        <v>209</v>
      </c>
      <c r="N1828" t="s">
        <v>203</v>
      </c>
      <c r="Q1828" s="2" t="str">
        <f>IF($C1828="","",IFERROR(VLOOKUP($C1828,sources!$A$2:$N$200,2,FALSE()),"?"))</f>
        <v>Map</v>
      </c>
      <c r="R1828" s="2" t="str">
        <f t="shared" si="28"/>
        <v>Map</v>
      </c>
      <c r="S1828" s="2" t="str">
        <f>IF($C1828="","",IFERROR(VLOOKUP($C1828,sources!$A$2:$N$200,9,FALSE()),"?"))</f>
        <v>US official</v>
      </c>
      <c r="T1828" t="s">
        <v>5692</v>
      </c>
      <c r="U1828">
        <f>IF(OR(B1828="",C1828="",T1828="Retracted",LEFT(D1828,8)="Negative"),0,IF(COUNTIFS($B$2:B1828,B1828,$C$2:C1828,C1828,$D$2:D1828,"&lt;&gt;Negative*",$T$2:T1828,"&lt;&gt;Retracted")=1,1,0))</f>
        <v>1</v>
      </c>
    </row>
    <row r="1829" spans="1:21" x14ac:dyDescent="0.2">
      <c r="A1829" t="s">
        <v>3955</v>
      </c>
      <c r="B1829" t="s">
        <v>468</v>
      </c>
      <c r="C1829" t="s">
        <v>1335</v>
      </c>
      <c r="D1829" t="s">
        <v>1575</v>
      </c>
      <c r="E1829" t="s">
        <v>3956</v>
      </c>
      <c r="F1829" t="s">
        <v>1583</v>
      </c>
      <c r="I1829" t="s">
        <v>1058</v>
      </c>
      <c r="K1829">
        <v>1905</v>
      </c>
      <c r="L1829">
        <v>1906</v>
      </c>
      <c r="M1829" t="s">
        <v>209</v>
      </c>
      <c r="N1829" t="s">
        <v>209</v>
      </c>
      <c r="Q1829" s="2" t="str">
        <f>IF($C1829="","",IFERROR(VLOOKUP($C1829,sources!$A$2:$N$200,2,FALSE()),"?"))</f>
        <v>Map</v>
      </c>
      <c r="R1829" s="2" t="str">
        <f t="shared" si="28"/>
        <v>Map</v>
      </c>
      <c r="S1829" s="2" t="str">
        <f>IF($C1829="","",IFERROR(VLOOKUP($C1829,sources!$A$2:$N$200,9,FALSE()),"?"))</f>
        <v>US official</v>
      </c>
      <c r="T1829" t="s">
        <v>5692</v>
      </c>
      <c r="U1829">
        <f>IF(OR(B1829="",C1829="",T1829="Retracted",LEFT(D1829,8)="Negative"),0,IF(COUNTIFS($B$2:B1829,B1829,$C$2:C1829,C1829,$D$2:D1829,"&lt;&gt;Negative*",$T$2:T1829,"&lt;&gt;Retracted")=1,1,0))</f>
        <v>1</v>
      </c>
    </row>
    <row r="1830" spans="1:21" x14ac:dyDescent="0.2">
      <c r="A1830" t="s">
        <v>3957</v>
      </c>
      <c r="B1830" t="s">
        <v>764</v>
      </c>
      <c r="C1830" t="s">
        <v>1335</v>
      </c>
      <c r="D1830" t="s">
        <v>1575</v>
      </c>
      <c r="E1830" t="s">
        <v>3958</v>
      </c>
      <c r="F1830" t="s">
        <v>1583</v>
      </c>
      <c r="I1830" t="s">
        <v>1058</v>
      </c>
      <c r="K1830">
        <v>1905</v>
      </c>
      <c r="L1830">
        <v>1906</v>
      </c>
      <c r="M1830" t="s">
        <v>209</v>
      </c>
      <c r="N1830" t="s">
        <v>209</v>
      </c>
      <c r="Q1830" s="2" t="str">
        <f>IF($C1830="","",IFERROR(VLOOKUP($C1830,sources!$A$2:$N$200,2,FALSE()),"?"))</f>
        <v>Map</v>
      </c>
      <c r="R1830" s="2" t="str">
        <f t="shared" si="28"/>
        <v>Map</v>
      </c>
      <c r="S1830" s="2" t="str">
        <f>IF($C1830="","",IFERROR(VLOOKUP($C1830,sources!$A$2:$N$200,9,FALSE()),"?"))</f>
        <v>US official</v>
      </c>
      <c r="T1830" t="s">
        <v>5692</v>
      </c>
      <c r="U1830">
        <f>IF(OR(B1830="",C1830="",T1830="Retracted",LEFT(D1830,8)="Negative"),0,IF(COUNTIFS($B$2:B1830,B1830,$C$2:C1830,C1830,$D$2:D1830,"&lt;&gt;Negative*",$T$2:T1830,"&lt;&gt;Retracted")=1,1,0))</f>
        <v>1</v>
      </c>
    </row>
    <row r="1831" spans="1:21" x14ac:dyDescent="0.2">
      <c r="A1831" t="s">
        <v>3959</v>
      </c>
      <c r="B1831" t="s">
        <v>767</v>
      </c>
      <c r="C1831" t="s">
        <v>1335</v>
      </c>
      <c r="D1831" t="s">
        <v>1575</v>
      </c>
      <c r="E1831" t="s">
        <v>3960</v>
      </c>
      <c r="F1831" t="s">
        <v>1583</v>
      </c>
      <c r="I1831" t="s">
        <v>1058</v>
      </c>
      <c r="K1831">
        <v>1905</v>
      </c>
      <c r="L1831">
        <v>1906</v>
      </c>
      <c r="M1831" t="s">
        <v>209</v>
      </c>
      <c r="N1831" t="s">
        <v>203</v>
      </c>
      <c r="Q1831" s="2" t="str">
        <f>IF($C1831="","",IFERROR(VLOOKUP($C1831,sources!$A$2:$N$200,2,FALSE()),"?"))</f>
        <v>Map</v>
      </c>
      <c r="R1831" s="2" t="str">
        <f t="shared" si="28"/>
        <v>Map</v>
      </c>
      <c r="S1831" s="2" t="str">
        <f>IF($C1831="","",IFERROR(VLOOKUP($C1831,sources!$A$2:$N$200,9,FALSE()),"?"))</f>
        <v>US official</v>
      </c>
      <c r="T1831" t="s">
        <v>5692</v>
      </c>
      <c r="U1831">
        <f>IF(OR(B1831="",C1831="",T1831="Retracted",LEFT(D1831,8)="Negative"),0,IF(COUNTIFS($B$2:B1831,B1831,$C$2:C1831,C1831,$D$2:D1831,"&lt;&gt;Negative*",$T$2:T1831,"&lt;&gt;Retracted")=1,1,0))</f>
        <v>1</v>
      </c>
    </row>
    <row r="1832" spans="1:21" x14ac:dyDescent="0.2">
      <c r="A1832" t="s">
        <v>3961</v>
      </c>
      <c r="B1832" t="s">
        <v>776</v>
      </c>
      <c r="C1832" t="s">
        <v>1335</v>
      </c>
      <c r="D1832" t="s">
        <v>1575</v>
      </c>
      <c r="E1832" t="s">
        <v>3893</v>
      </c>
      <c r="F1832" t="s">
        <v>1583</v>
      </c>
      <c r="I1832" t="s">
        <v>1058</v>
      </c>
      <c r="K1832">
        <v>1905</v>
      </c>
      <c r="L1832">
        <v>1906</v>
      </c>
      <c r="M1832" t="s">
        <v>209</v>
      </c>
      <c r="N1832" t="s">
        <v>209</v>
      </c>
      <c r="Q1832" s="2" t="str">
        <f>IF($C1832="","",IFERROR(VLOOKUP($C1832,sources!$A$2:$N$200,2,FALSE()),"?"))</f>
        <v>Map</v>
      </c>
      <c r="R1832" s="2" t="str">
        <f t="shared" si="28"/>
        <v>Map</v>
      </c>
      <c r="S1832" s="2" t="str">
        <f>IF($C1832="","",IFERROR(VLOOKUP($C1832,sources!$A$2:$N$200,9,FALSE()),"?"))</f>
        <v>US official</v>
      </c>
      <c r="T1832" t="s">
        <v>5692</v>
      </c>
      <c r="U1832">
        <f>IF(OR(B1832="",C1832="",T1832="Retracted",LEFT(D1832,8)="Negative"),0,IF(COUNTIFS($B$2:B1832,B1832,$C$2:C1832,C1832,$D$2:D1832,"&lt;&gt;Negative*",$T$2:T1832,"&lt;&gt;Retracted")=1,1,0))</f>
        <v>1</v>
      </c>
    </row>
    <row r="1833" spans="1:21" x14ac:dyDescent="0.2">
      <c r="A1833" t="s">
        <v>3962</v>
      </c>
      <c r="B1833" t="s">
        <v>932</v>
      </c>
      <c r="C1833" t="s">
        <v>1335</v>
      </c>
      <c r="D1833" t="s">
        <v>1613</v>
      </c>
      <c r="E1833" t="s">
        <v>934</v>
      </c>
      <c r="F1833" t="s">
        <v>1583</v>
      </c>
      <c r="I1833" t="s">
        <v>1058</v>
      </c>
      <c r="K1833">
        <v>1905</v>
      </c>
      <c r="L1833">
        <v>1906</v>
      </c>
      <c r="M1833" t="s">
        <v>209</v>
      </c>
      <c r="N1833" t="s">
        <v>203</v>
      </c>
      <c r="Q1833" s="2" t="str">
        <f>IF($C1833="","",IFERROR(VLOOKUP($C1833,sources!$A$2:$N$200,2,FALSE()),"?"))</f>
        <v>Map</v>
      </c>
      <c r="R1833" s="2" t="str">
        <f t="shared" si="28"/>
        <v>Map</v>
      </c>
      <c r="S1833" s="2" t="str">
        <f>IF($C1833="","",IFERROR(VLOOKUP($C1833,sources!$A$2:$N$200,9,FALSE()),"?"))</f>
        <v>US official</v>
      </c>
      <c r="T1833" t="s">
        <v>5692</v>
      </c>
      <c r="U1833">
        <f>IF(OR(B1833="",C1833="",T1833="Retracted",LEFT(D1833,8)="Negative"),0,IF(COUNTIFS($B$2:B1833,B1833,$C$2:C1833,C1833,$D$2:D1833,"&lt;&gt;Negative*",$T$2:T1833,"&lt;&gt;Retracted")=1,1,0))</f>
        <v>0</v>
      </c>
    </row>
    <row r="1834" spans="1:21" x14ac:dyDescent="0.2">
      <c r="A1834" t="s">
        <v>3963</v>
      </c>
      <c r="B1834" t="s">
        <v>938</v>
      </c>
      <c r="C1834" t="s">
        <v>1335</v>
      </c>
      <c r="D1834" t="s">
        <v>1613</v>
      </c>
      <c r="E1834" t="s">
        <v>939</v>
      </c>
      <c r="F1834" t="s">
        <v>1583</v>
      </c>
      <c r="I1834" t="s">
        <v>1058</v>
      </c>
      <c r="K1834">
        <v>1905</v>
      </c>
      <c r="L1834">
        <v>1906</v>
      </c>
      <c r="M1834" t="s">
        <v>209</v>
      </c>
      <c r="N1834" t="s">
        <v>209</v>
      </c>
      <c r="Q1834" s="2" t="str">
        <f>IF($C1834="","",IFERROR(VLOOKUP($C1834,sources!$A$2:$N$200,2,FALSE()),"?"))</f>
        <v>Map</v>
      </c>
      <c r="R1834" s="2" t="str">
        <f t="shared" si="28"/>
        <v>Map</v>
      </c>
      <c r="S1834" s="2" t="str">
        <f>IF($C1834="","",IFERROR(VLOOKUP($C1834,sources!$A$2:$N$200,9,FALSE()),"?"))</f>
        <v>US official</v>
      </c>
      <c r="T1834" t="s">
        <v>5692</v>
      </c>
      <c r="U1834">
        <f>IF(OR(B1834="",C1834="",T1834="Retracted",LEFT(D1834,8)="Negative"),0,IF(COUNTIFS($B$2:B1834,B1834,$C$2:C1834,C1834,$D$2:D1834,"&lt;&gt;Negative*",$T$2:T1834,"&lt;&gt;Retracted")=1,1,0))</f>
        <v>0</v>
      </c>
    </row>
    <row r="1835" spans="1:21" x14ac:dyDescent="0.2">
      <c r="A1835" t="s">
        <v>3964</v>
      </c>
      <c r="B1835" t="s">
        <v>955</v>
      </c>
      <c r="C1835" t="s">
        <v>1335</v>
      </c>
      <c r="D1835" t="s">
        <v>1613</v>
      </c>
      <c r="E1835" t="s">
        <v>3898</v>
      </c>
      <c r="F1835" t="s">
        <v>1583</v>
      </c>
      <c r="I1835" t="s">
        <v>1058</v>
      </c>
      <c r="K1835">
        <v>1905</v>
      </c>
      <c r="L1835">
        <v>1906</v>
      </c>
      <c r="M1835" t="s">
        <v>209</v>
      </c>
      <c r="N1835" t="s">
        <v>209</v>
      </c>
      <c r="Q1835" s="2" t="str">
        <f>IF($C1835="","",IFERROR(VLOOKUP($C1835,sources!$A$2:$N$200,2,FALSE()),"?"))</f>
        <v>Map</v>
      </c>
      <c r="R1835" s="2" t="str">
        <f t="shared" si="28"/>
        <v>Map</v>
      </c>
      <c r="S1835" s="2" t="str">
        <f>IF($C1835="","",IFERROR(VLOOKUP($C1835,sources!$A$2:$N$200,9,FALSE()),"?"))</f>
        <v>US official</v>
      </c>
      <c r="T1835" t="s">
        <v>5692</v>
      </c>
      <c r="U1835">
        <f>IF(OR(B1835="",C1835="",T1835="Retracted",LEFT(D1835,8)="Negative"),0,IF(COUNTIFS($B$2:B1835,B1835,$C$2:C1835,C1835,$D$2:D1835,"&lt;&gt;Negative*",$T$2:T1835,"&lt;&gt;Retracted")=1,1,0))</f>
        <v>0</v>
      </c>
    </row>
    <row r="1836" spans="1:21" x14ac:dyDescent="0.2">
      <c r="A1836" t="s">
        <v>3965</v>
      </c>
      <c r="B1836" t="s">
        <v>962</v>
      </c>
      <c r="C1836" t="s">
        <v>1335</v>
      </c>
      <c r="D1836" t="s">
        <v>1613</v>
      </c>
      <c r="E1836" t="s">
        <v>963</v>
      </c>
      <c r="F1836" t="s">
        <v>1583</v>
      </c>
      <c r="I1836" t="s">
        <v>1058</v>
      </c>
      <c r="K1836">
        <v>1905</v>
      </c>
      <c r="L1836">
        <v>1906</v>
      </c>
      <c r="M1836" t="s">
        <v>209</v>
      </c>
      <c r="N1836" t="s">
        <v>209</v>
      </c>
      <c r="Q1836" s="2" t="str">
        <f>IF($C1836="","",IFERROR(VLOOKUP($C1836,sources!$A$2:$N$200,2,FALSE()),"?"))</f>
        <v>Map</v>
      </c>
      <c r="R1836" s="2" t="str">
        <f t="shared" si="28"/>
        <v>Map</v>
      </c>
      <c r="S1836" s="2" t="str">
        <f>IF($C1836="","",IFERROR(VLOOKUP($C1836,sources!$A$2:$N$200,9,FALSE()),"?"))</f>
        <v>US official</v>
      </c>
      <c r="T1836" t="s">
        <v>5692</v>
      </c>
      <c r="U1836">
        <f>IF(OR(B1836="",C1836="",T1836="Retracted",LEFT(D1836,8)="Negative"),0,IF(COUNTIFS($B$2:B1836,B1836,$C$2:C1836,C1836,$D$2:D1836,"&lt;&gt;Negative*",$T$2:T1836,"&lt;&gt;Retracted")=1,1,0))</f>
        <v>0</v>
      </c>
    </row>
    <row r="1837" spans="1:21" x14ac:dyDescent="0.2">
      <c r="A1837" t="s">
        <v>3966</v>
      </c>
      <c r="B1837" t="s">
        <v>947</v>
      </c>
      <c r="C1837" t="s">
        <v>1335</v>
      </c>
      <c r="D1837" t="s">
        <v>1575</v>
      </c>
      <c r="E1837" t="s">
        <v>3967</v>
      </c>
      <c r="F1837" t="s">
        <v>1583</v>
      </c>
      <c r="I1837" t="s">
        <v>1058</v>
      </c>
      <c r="K1837">
        <v>1905</v>
      </c>
      <c r="L1837">
        <v>1906</v>
      </c>
      <c r="M1837" t="s">
        <v>209</v>
      </c>
      <c r="N1837" t="s">
        <v>203</v>
      </c>
      <c r="Q1837" s="2" t="str">
        <f>IF($C1837="","",IFERROR(VLOOKUP($C1837,sources!$A$2:$N$200,2,FALSE()),"?"))</f>
        <v>Map</v>
      </c>
      <c r="R1837" s="2" t="str">
        <f t="shared" si="28"/>
        <v>Map</v>
      </c>
      <c r="S1837" s="2" t="str">
        <f>IF($C1837="","",IFERROR(VLOOKUP($C1837,sources!$A$2:$N$200,9,FALSE()),"?"))</f>
        <v>US official</v>
      </c>
      <c r="T1837" t="s">
        <v>5692</v>
      </c>
      <c r="U1837">
        <f>IF(OR(B1837="",C1837="",T1837="Retracted",LEFT(D1837,8)="Negative"),0,IF(COUNTIFS($B$2:B1837,B1837,$C$2:C1837,C1837,$D$2:D1837,"&lt;&gt;Negative*",$T$2:T1837,"&lt;&gt;Retracted")=1,1,0))</f>
        <v>1</v>
      </c>
    </row>
    <row r="1838" spans="1:21" x14ac:dyDescent="0.2">
      <c r="A1838" t="s">
        <v>3968</v>
      </c>
      <c r="B1838" t="s">
        <v>943</v>
      </c>
      <c r="C1838" t="s">
        <v>1335</v>
      </c>
      <c r="D1838" t="s">
        <v>1613</v>
      </c>
      <c r="E1838" t="s">
        <v>944</v>
      </c>
      <c r="F1838" t="s">
        <v>1583</v>
      </c>
      <c r="I1838" t="s">
        <v>1058</v>
      </c>
      <c r="K1838">
        <v>1905</v>
      </c>
      <c r="L1838">
        <v>1906</v>
      </c>
      <c r="M1838" t="s">
        <v>209</v>
      </c>
      <c r="N1838" t="s">
        <v>209</v>
      </c>
      <c r="Q1838" s="2" t="str">
        <f>IF($C1838="","",IFERROR(VLOOKUP($C1838,sources!$A$2:$N$200,2,FALSE()),"?"))</f>
        <v>Map</v>
      </c>
      <c r="R1838" s="2" t="str">
        <f t="shared" si="28"/>
        <v>Map</v>
      </c>
      <c r="S1838" s="2" t="str">
        <f>IF($C1838="","",IFERROR(VLOOKUP($C1838,sources!$A$2:$N$200,9,FALSE()),"?"))</f>
        <v>US official</v>
      </c>
      <c r="T1838" t="s">
        <v>5692</v>
      </c>
      <c r="U1838">
        <f>IF(OR(B1838="",C1838="",T1838="Retracted",LEFT(D1838,8)="Negative"),0,IF(COUNTIFS($B$2:B1838,B1838,$C$2:C1838,C1838,$D$2:D1838,"&lt;&gt;Negative*",$T$2:T1838,"&lt;&gt;Retracted")=1,1,0))</f>
        <v>0</v>
      </c>
    </row>
    <row r="1839" spans="1:21" x14ac:dyDescent="0.2">
      <c r="A1839" t="s">
        <v>3969</v>
      </c>
      <c r="B1839" t="s">
        <v>936</v>
      </c>
      <c r="C1839" t="s">
        <v>1335</v>
      </c>
      <c r="D1839" t="s">
        <v>1613</v>
      </c>
      <c r="E1839" t="s">
        <v>3970</v>
      </c>
      <c r="F1839" t="s">
        <v>1583</v>
      </c>
      <c r="I1839" t="s">
        <v>1058</v>
      </c>
      <c r="K1839">
        <v>1905</v>
      </c>
      <c r="L1839">
        <v>1906</v>
      </c>
      <c r="M1839" t="s">
        <v>209</v>
      </c>
      <c r="N1839" t="s">
        <v>209</v>
      </c>
      <c r="Q1839" s="2" t="str">
        <f>IF($C1839="","",IFERROR(VLOOKUP($C1839,sources!$A$2:$N$200,2,FALSE()),"?"))</f>
        <v>Map</v>
      </c>
      <c r="R1839" s="2" t="str">
        <f t="shared" si="28"/>
        <v>Map</v>
      </c>
      <c r="S1839" s="2" t="str">
        <f>IF($C1839="","",IFERROR(VLOOKUP($C1839,sources!$A$2:$N$200,9,FALSE()),"?"))</f>
        <v>US official</v>
      </c>
      <c r="T1839" t="s">
        <v>5692</v>
      </c>
      <c r="U1839">
        <f>IF(OR(B1839="",C1839="",T1839="Retracted",LEFT(D1839,8)="Negative"),0,IF(COUNTIFS($B$2:B1839,B1839,$C$2:C1839,C1839,$D$2:D1839,"&lt;&gt;Negative*",$T$2:T1839,"&lt;&gt;Retracted")=1,1,0))</f>
        <v>0</v>
      </c>
    </row>
    <row r="1840" spans="1:21" x14ac:dyDescent="0.2">
      <c r="A1840" t="s">
        <v>3971</v>
      </c>
      <c r="B1840" t="s">
        <v>959</v>
      </c>
      <c r="C1840" t="s">
        <v>1335</v>
      </c>
      <c r="D1840" t="s">
        <v>1613</v>
      </c>
      <c r="E1840" t="s">
        <v>960</v>
      </c>
      <c r="F1840" t="s">
        <v>1583</v>
      </c>
      <c r="I1840" t="s">
        <v>1058</v>
      </c>
      <c r="K1840">
        <v>1905</v>
      </c>
      <c r="L1840">
        <v>1906</v>
      </c>
      <c r="M1840" t="s">
        <v>209</v>
      </c>
      <c r="N1840" t="s">
        <v>209</v>
      </c>
      <c r="Q1840" s="2" t="str">
        <f>IF($C1840="","",IFERROR(VLOOKUP($C1840,sources!$A$2:$N$200,2,FALSE()),"?"))</f>
        <v>Map</v>
      </c>
      <c r="R1840" s="2" t="str">
        <f t="shared" si="28"/>
        <v>Map</v>
      </c>
      <c r="S1840" s="2" t="str">
        <f>IF($C1840="","",IFERROR(VLOOKUP($C1840,sources!$A$2:$N$200,9,FALSE()),"?"))</f>
        <v>US official</v>
      </c>
      <c r="T1840" t="s">
        <v>5692</v>
      </c>
      <c r="U1840">
        <f>IF(OR(B1840="",C1840="",T1840="Retracted",LEFT(D1840,8)="Negative"),0,IF(COUNTIFS($B$2:B1840,B1840,$C$2:C1840,C1840,$D$2:D1840,"&lt;&gt;Negative*",$T$2:T1840,"&lt;&gt;Retracted")=1,1,0))</f>
        <v>0</v>
      </c>
    </row>
    <row r="1841" spans="1:21" x14ac:dyDescent="0.2">
      <c r="A1841" t="s">
        <v>3972</v>
      </c>
      <c r="B1841" t="s">
        <v>966</v>
      </c>
      <c r="C1841" t="s">
        <v>1335</v>
      </c>
      <c r="D1841" t="s">
        <v>1613</v>
      </c>
      <c r="E1841" t="s">
        <v>967</v>
      </c>
      <c r="F1841" t="s">
        <v>1583</v>
      </c>
      <c r="I1841" t="s">
        <v>1058</v>
      </c>
      <c r="K1841">
        <v>1905</v>
      </c>
      <c r="L1841">
        <v>1906</v>
      </c>
      <c r="M1841" t="s">
        <v>209</v>
      </c>
      <c r="N1841" t="s">
        <v>190</v>
      </c>
      <c r="Q1841" s="2" t="str">
        <f>IF($C1841="","",IFERROR(VLOOKUP($C1841,sources!$A$2:$N$200,2,FALSE()),"?"))</f>
        <v>Map</v>
      </c>
      <c r="R1841" s="2" t="str">
        <f t="shared" si="28"/>
        <v>Map</v>
      </c>
      <c r="S1841" s="2" t="str">
        <f>IF($C1841="","",IFERROR(VLOOKUP($C1841,sources!$A$2:$N$200,9,FALSE()),"?"))</f>
        <v>US official</v>
      </c>
      <c r="T1841" t="s">
        <v>5693</v>
      </c>
      <c r="U1841">
        <f>IF(OR(B1841="",C1841="",T1841="Retracted",LEFT(D1841,8)="Negative"),0,IF(COUNTIFS($B$2:B1841,B1841,$C$2:C1841,C1841,$D$2:D1841,"&lt;&gt;Negative*",$T$2:T1841,"&lt;&gt;Retracted")=1,1,0))</f>
        <v>0</v>
      </c>
    </row>
    <row r="1842" spans="1:21" x14ac:dyDescent="0.2">
      <c r="A1842" t="s">
        <v>3973</v>
      </c>
      <c r="B1842" t="s">
        <v>835</v>
      </c>
      <c r="C1842" t="s">
        <v>1335</v>
      </c>
      <c r="D1842" t="s">
        <v>1613</v>
      </c>
      <c r="E1842" t="s">
        <v>836</v>
      </c>
      <c r="F1842" t="s">
        <v>1583</v>
      </c>
      <c r="I1842" t="s">
        <v>1058</v>
      </c>
      <c r="K1842">
        <v>1905</v>
      </c>
      <c r="L1842">
        <v>1906</v>
      </c>
      <c r="M1842" t="s">
        <v>209</v>
      </c>
      <c r="N1842" t="s">
        <v>203</v>
      </c>
      <c r="Q1842" s="2" t="str">
        <f>IF($C1842="","",IFERROR(VLOOKUP($C1842,sources!$A$2:$N$200,2,FALSE()),"?"))</f>
        <v>Map</v>
      </c>
      <c r="R1842" s="2" t="str">
        <f t="shared" si="28"/>
        <v>Map</v>
      </c>
      <c r="S1842" s="2" t="str">
        <f>IF($C1842="","",IFERROR(VLOOKUP($C1842,sources!$A$2:$N$200,9,FALSE()),"?"))</f>
        <v>US official</v>
      </c>
      <c r="T1842" t="s">
        <v>5692</v>
      </c>
      <c r="U1842">
        <f>IF(OR(B1842="",C1842="",T1842="Retracted",LEFT(D1842,8)="Negative"),0,IF(COUNTIFS($B$2:B1842,B1842,$C$2:C1842,C1842,$D$2:D1842,"&lt;&gt;Negative*",$T$2:T1842,"&lt;&gt;Retracted")=1,1,0))</f>
        <v>0</v>
      </c>
    </row>
    <row r="1843" spans="1:21" x14ac:dyDescent="0.2">
      <c r="A1843" t="s">
        <v>3974</v>
      </c>
      <c r="B1843" t="s">
        <v>711</v>
      </c>
      <c r="C1843" t="s">
        <v>1335</v>
      </c>
      <c r="D1843" t="s">
        <v>1613</v>
      </c>
      <c r="F1843" t="s">
        <v>1583</v>
      </c>
      <c r="I1843" t="s">
        <v>1058</v>
      </c>
      <c r="K1843">
        <v>1905</v>
      </c>
      <c r="L1843">
        <v>1906</v>
      </c>
      <c r="M1843" t="s">
        <v>209</v>
      </c>
      <c r="N1843" t="s">
        <v>209</v>
      </c>
      <c r="Q1843" s="2" t="str">
        <f>IF($C1843="","",IFERROR(VLOOKUP($C1843,sources!$A$2:$N$200,2,FALSE()),"?"))</f>
        <v>Map</v>
      </c>
      <c r="R1843" s="2" t="str">
        <f t="shared" si="28"/>
        <v>Map</v>
      </c>
      <c r="S1843" s="2" t="str">
        <f>IF($C1843="","",IFERROR(VLOOKUP($C1843,sources!$A$2:$N$200,9,FALSE()),"?"))</f>
        <v>US official</v>
      </c>
      <c r="T1843" t="s">
        <v>5692</v>
      </c>
      <c r="U1843">
        <f>IF(OR(B1843="",C1843="",T1843="Retracted",LEFT(D1843,8)="Negative"),0,IF(COUNTIFS($B$2:B1843,B1843,$C$2:C1843,C1843,$D$2:D1843,"&lt;&gt;Negative*",$T$2:T1843,"&lt;&gt;Retracted")=1,1,0))</f>
        <v>0</v>
      </c>
    </row>
    <row r="1844" spans="1:21" x14ac:dyDescent="0.2">
      <c r="A1844" t="s">
        <v>3975</v>
      </c>
      <c r="B1844" t="s">
        <v>714</v>
      </c>
      <c r="C1844" t="s">
        <v>1335</v>
      </c>
      <c r="D1844" t="s">
        <v>1613</v>
      </c>
      <c r="F1844" t="s">
        <v>1583</v>
      </c>
      <c r="I1844" t="s">
        <v>1058</v>
      </c>
      <c r="K1844">
        <v>1905</v>
      </c>
      <c r="L1844">
        <v>1906</v>
      </c>
      <c r="M1844" t="s">
        <v>209</v>
      </c>
      <c r="N1844" t="s">
        <v>209</v>
      </c>
      <c r="Q1844" s="2" t="str">
        <f>IF($C1844="","",IFERROR(VLOOKUP($C1844,sources!$A$2:$N$200,2,FALSE()),"?"))</f>
        <v>Map</v>
      </c>
      <c r="R1844" s="2" t="str">
        <f t="shared" si="28"/>
        <v>Map</v>
      </c>
      <c r="S1844" s="2" t="str">
        <f>IF($C1844="","",IFERROR(VLOOKUP($C1844,sources!$A$2:$N$200,9,FALSE()),"?"))</f>
        <v>US official</v>
      </c>
      <c r="T1844" t="s">
        <v>5692</v>
      </c>
      <c r="U1844">
        <f>IF(OR(B1844="",C1844="",T1844="Retracted",LEFT(D1844,8)="Negative"),0,IF(COUNTIFS($B$2:B1844,B1844,$C$2:C1844,C1844,$D$2:D1844,"&lt;&gt;Negative*",$T$2:T1844,"&lt;&gt;Retracted")=1,1,0))</f>
        <v>0</v>
      </c>
    </row>
    <row r="1845" spans="1:21" x14ac:dyDescent="0.2">
      <c r="A1845" t="s">
        <v>3976</v>
      </c>
      <c r="B1845" t="s">
        <v>717</v>
      </c>
      <c r="C1845" t="s">
        <v>1335</v>
      </c>
      <c r="D1845" t="s">
        <v>1613</v>
      </c>
      <c r="F1845" t="s">
        <v>1583</v>
      </c>
      <c r="I1845" t="s">
        <v>1058</v>
      </c>
      <c r="K1845">
        <v>1905</v>
      </c>
      <c r="L1845">
        <v>1906</v>
      </c>
      <c r="M1845" t="s">
        <v>209</v>
      </c>
      <c r="N1845" t="s">
        <v>209</v>
      </c>
      <c r="Q1845" s="2" t="str">
        <f>IF($C1845="","",IFERROR(VLOOKUP($C1845,sources!$A$2:$N$200,2,FALSE()),"?"))</f>
        <v>Map</v>
      </c>
      <c r="R1845" s="2" t="str">
        <f t="shared" si="28"/>
        <v>Map</v>
      </c>
      <c r="S1845" s="2" t="str">
        <f>IF($C1845="","",IFERROR(VLOOKUP($C1845,sources!$A$2:$N$200,9,FALSE()),"?"))</f>
        <v>US official</v>
      </c>
      <c r="T1845" t="s">
        <v>5692</v>
      </c>
      <c r="U1845">
        <f>IF(OR(B1845="",C1845="",T1845="Retracted",LEFT(D1845,8)="Negative"),0,IF(COUNTIFS($B$2:B1845,B1845,$C$2:C1845,C1845,$D$2:D1845,"&lt;&gt;Negative*",$T$2:T1845,"&lt;&gt;Retracted")=1,1,0))</f>
        <v>0</v>
      </c>
    </row>
    <row r="1846" spans="1:21" x14ac:dyDescent="0.2">
      <c r="A1846" t="s">
        <v>3977</v>
      </c>
      <c r="B1846" t="s">
        <v>720</v>
      </c>
      <c r="C1846" t="s">
        <v>1335</v>
      </c>
      <c r="D1846" t="s">
        <v>1613</v>
      </c>
      <c r="F1846" t="s">
        <v>1583</v>
      </c>
      <c r="I1846" t="s">
        <v>1058</v>
      </c>
      <c r="K1846">
        <v>1905</v>
      </c>
      <c r="L1846">
        <v>1906</v>
      </c>
      <c r="M1846" t="s">
        <v>209</v>
      </c>
      <c r="N1846" t="s">
        <v>209</v>
      </c>
      <c r="Q1846" s="2" t="str">
        <f>IF($C1846="","",IFERROR(VLOOKUP($C1846,sources!$A$2:$N$200,2,FALSE()),"?"))</f>
        <v>Map</v>
      </c>
      <c r="R1846" s="2" t="str">
        <f t="shared" si="28"/>
        <v>Map</v>
      </c>
      <c r="S1846" s="2" t="str">
        <f>IF($C1846="","",IFERROR(VLOOKUP($C1846,sources!$A$2:$N$200,9,FALSE()),"?"))</f>
        <v>US official</v>
      </c>
      <c r="T1846" t="s">
        <v>5692</v>
      </c>
      <c r="U1846">
        <f>IF(OR(B1846="",C1846="",T1846="Retracted",LEFT(D1846,8)="Negative"),0,IF(COUNTIFS($B$2:B1846,B1846,$C$2:C1846,C1846,$D$2:D1846,"&lt;&gt;Negative*",$T$2:T1846,"&lt;&gt;Retracted")=1,1,0))</f>
        <v>0</v>
      </c>
    </row>
    <row r="1847" spans="1:21" x14ac:dyDescent="0.2">
      <c r="A1847" t="s">
        <v>3978</v>
      </c>
      <c r="B1847" t="s">
        <v>723</v>
      </c>
      <c r="C1847" t="s">
        <v>1335</v>
      </c>
      <c r="D1847" t="s">
        <v>1613</v>
      </c>
      <c r="F1847" t="s">
        <v>1583</v>
      </c>
      <c r="I1847" t="s">
        <v>1058</v>
      </c>
      <c r="K1847">
        <v>1905</v>
      </c>
      <c r="L1847">
        <v>1906</v>
      </c>
      <c r="M1847" t="s">
        <v>209</v>
      </c>
      <c r="N1847" t="s">
        <v>209</v>
      </c>
      <c r="Q1847" s="2" t="str">
        <f>IF($C1847="","",IFERROR(VLOOKUP($C1847,sources!$A$2:$N$200,2,FALSE()),"?"))</f>
        <v>Map</v>
      </c>
      <c r="R1847" s="2" t="str">
        <f t="shared" si="28"/>
        <v>Map</v>
      </c>
      <c r="S1847" s="2" t="str">
        <f>IF($C1847="","",IFERROR(VLOOKUP($C1847,sources!$A$2:$N$200,9,FALSE()),"?"))</f>
        <v>US official</v>
      </c>
      <c r="T1847" t="s">
        <v>5692</v>
      </c>
      <c r="U1847">
        <f>IF(OR(B1847="",C1847="",T1847="Retracted",LEFT(D1847,8)="Negative"),0,IF(COUNTIFS($B$2:B1847,B1847,$C$2:C1847,C1847,$D$2:D1847,"&lt;&gt;Negative*",$T$2:T1847,"&lt;&gt;Retracted")=1,1,0))</f>
        <v>0</v>
      </c>
    </row>
    <row r="1848" spans="1:21" x14ac:dyDescent="0.2">
      <c r="A1848" t="s">
        <v>3979</v>
      </c>
      <c r="B1848" t="s">
        <v>727</v>
      </c>
      <c r="C1848" t="s">
        <v>1335</v>
      </c>
      <c r="D1848" t="s">
        <v>1613</v>
      </c>
      <c r="F1848" t="s">
        <v>1583</v>
      </c>
      <c r="I1848" t="s">
        <v>1058</v>
      </c>
      <c r="K1848">
        <v>1905</v>
      </c>
      <c r="L1848">
        <v>1906</v>
      </c>
      <c r="M1848" t="s">
        <v>209</v>
      </c>
      <c r="N1848" t="s">
        <v>209</v>
      </c>
      <c r="Q1848" s="2" t="str">
        <f>IF($C1848="","",IFERROR(VLOOKUP($C1848,sources!$A$2:$N$200,2,FALSE()),"?"))</f>
        <v>Map</v>
      </c>
      <c r="R1848" s="2" t="str">
        <f t="shared" si="28"/>
        <v>Map</v>
      </c>
      <c r="S1848" s="2" t="str">
        <f>IF($C1848="","",IFERROR(VLOOKUP($C1848,sources!$A$2:$N$200,9,FALSE()),"?"))</f>
        <v>US official</v>
      </c>
      <c r="T1848" t="s">
        <v>5692</v>
      </c>
      <c r="U1848">
        <f>IF(OR(B1848="",C1848="",T1848="Retracted",LEFT(D1848,8)="Negative"),0,IF(COUNTIFS($B$2:B1848,B1848,$C$2:C1848,C1848,$D$2:D1848,"&lt;&gt;Negative*",$T$2:T1848,"&lt;&gt;Retracted")=1,1,0))</f>
        <v>0</v>
      </c>
    </row>
    <row r="1849" spans="1:21" x14ac:dyDescent="0.2">
      <c r="A1849" t="s">
        <v>3980</v>
      </c>
      <c r="B1849" t="s">
        <v>730</v>
      </c>
      <c r="C1849" t="s">
        <v>1335</v>
      </c>
      <c r="D1849" t="s">
        <v>1613</v>
      </c>
      <c r="F1849" t="s">
        <v>1583</v>
      </c>
      <c r="I1849" t="s">
        <v>1058</v>
      </c>
      <c r="K1849">
        <v>1905</v>
      </c>
      <c r="L1849">
        <v>1906</v>
      </c>
      <c r="M1849" t="s">
        <v>209</v>
      </c>
      <c r="N1849" t="s">
        <v>209</v>
      </c>
      <c r="Q1849" s="2" t="str">
        <f>IF($C1849="","",IFERROR(VLOOKUP($C1849,sources!$A$2:$N$200,2,FALSE()),"?"))</f>
        <v>Map</v>
      </c>
      <c r="R1849" s="2" t="str">
        <f t="shared" si="28"/>
        <v>Map</v>
      </c>
      <c r="S1849" s="2" t="str">
        <f>IF($C1849="","",IFERROR(VLOOKUP($C1849,sources!$A$2:$N$200,9,FALSE()),"?"))</f>
        <v>US official</v>
      </c>
      <c r="T1849" t="s">
        <v>5692</v>
      </c>
      <c r="U1849">
        <f>IF(OR(B1849="",C1849="",T1849="Retracted",LEFT(D1849,8)="Negative"),0,IF(COUNTIFS($B$2:B1849,B1849,$C$2:C1849,C1849,$D$2:D1849,"&lt;&gt;Negative*",$T$2:T1849,"&lt;&gt;Retracted")=1,1,0))</f>
        <v>0</v>
      </c>
    </row>
    <row r="1850" spans="1:21" x14ac:dyDescent="0.2">
      <c r="A1850" t="s">
        <v>3981</v>
      </c>
      <c r="B1850" t="s">
        <v>733</v>
      </c>
      <c r="C1850" t="s">
        <v>1335</v>
      </c>
      <c r="D1850" t="s">
        <v>1613</v>
      </c>
      <c r="F1850" t="s">
        <v>1583</v>
      </c>
      <c r="I1850" t="s">
        <v>1058</v>
      </c>
      <c r="K1850">
        <v>1905</v>
      </c>
      <c r="L1850">
        <v>1906</v>
      </c>
      <c r="M1850" t="s">
        <v>209</v>
      </c>
      <c r="N1850" t="s">
        <v>209</v>
      </c>
      <c r="Q1850" s="2" t="str">
        <f>IF($C1850="","",IFERROR(VLOOKUP($C1850,sources!$A$2:$N$200,2,FALSE()),"?"))</f>
        <v>Map</v>
      </c>
      <c r="R1850" s="2" t="str">
        <f t="shared" si="28"/>
        <v>Map</v>
      </c>
      <c r="S1850" s="2" t="str">
        <f>IF($C1850="","",IFERROR(VLOOKUP($C1850,sources!$A$2:$N$200,9,FALSE()),"?"))</f>
        <v>US official</v>
      </c>
      <c r="T1850" t="s">
        <v>5692</v>
      </c>
      <c r="U1850">
        <f>IF(OR(B1850="",C1850="",T1850="Retracted",LEFT(D1850,8)="Negative"),0,IF(COUNTIFS($B$2:B1850,B1850,$C$2:C1850,C1850,$D$2:D1850,"&lt;&gt;Negative*",$T$2:T1850,"&lt;&gt;Retracted")=1,1,0))</f>
        <v>0</v>
      </c>
    </row>
    <row r="1851" spans="1:21" x14ac:dyDescent="0.2">
      <c r="A1851" t="s">
        <v>3982</v>
      </c>
      <c r="B1851" t="s">
        <v>746</v>
      </c>
      <c r="C1851" t="s">
        <v>1335</v>
      </c>
      <c r="D1851" t="s">
        <v>1613</v>
      </c>
      <c r="F1851" t="s">
        <v>1583</v>
      </c>
      <c r="I1851" t="s">
        <v>1058</v>
      </c>
      <c r="K1851">
        <v>1905</v>
      </c>
      <c r="L1851">
        <v>1906</v>
      </c>
      <c r="M1851" t="s">
        <v>209</v>
      </c>
      <c r="N1851" t="s">
        <v>209</v>
      </c>
      <c r="Q1851" s="2" t="str">
        <f>IF($C1851="","",IFERROR(VLOOKUP($C1851,sources!$A$2:$N$200,2,FALSE()),"?"))</f>
        <v>Map</v>
      </c>
      <c r="R1851" s="2" t="str">
        <f t="shared" si="28"/>
        <v>Map</v>
      </c>
      <c r="S1851" s="2" t="str">
        <f>IF($C1851="","",IFERROR(VLOOKUP($C1851,sources!$A$2:$N$200,9,FALSE()),"?"))</f>
        <v>US official</v>
      </c>
      <c r="T1851" t="s">
        <v>5692</v>
      </c>
      <c r="U1851">
        <f>IF(OR(B1851="",C1851="",T1851="Retracted",LEFT(D1851,8)="Negative"),0,IF(COUNTIFS($B$2:B1851,B1851,$C$2:C1851,C1851,$D$2:D1851,"&lt;&gt;Negative*",$T$2:T1851,"&lt;&gt;Retracted")=1,1,0))</f>
        <v>0</v>
      </c>
    </row>
    <row r="1852" spans="1:21" x14ac:dyDescent="0.2">
      <c r="A1852" t="s">
        <v>3983</v>
      </c>
      <c r="B1852" t="s">
        <v>749</v>
      </c>
      <c r="C1852" t="s">
        <v>1335</v>
      </c>
      <c r="D1852" t="s">
        <v>1613</v>
      </c>
      <c r="F1852" t="s">
        <v>1583</v>
      </c>
      <c r="I1852" t="s">
        <v>1058</v>
      </c>
      <c r="K1852">
        <v>1905</v>
      </c>
      <c r="L1852">
        <v>1906</v>
      </c>
      <c r="M1852" t="s">
        <v>209</v>
      </c>
      <c r="N1852" t="s">
        <v>209</v>
      </c>
      <c r="Q1852" s="2" t="str">
        <f>IF($C1852="","",IFERROR(VLOOKUP($C1852,sources!$A$2:$N$200,2,FALSE()),"?"))</f>
        <v>Map</v>
      </c>
      <c r="R1852" s="2" t="str">
        <f t="shared" si="28"/>
        <v>Map</v>
      </c>
      <c r="S1852" s="2" t="str">
        <f>IF($C1852="","",IFERROR(VLOOKUP($C1852,sources!$A$2:$N$200,9,FALSE()),"?"))</f>
        <v>US official</v>
      </c>
      <c r="T1852" t="s">
        <v>5692</v>
      </c>
      <c r="U1852">
        <f>IF(OR(B1852="",C1852="",T1852="Retracted",LEFT(D1852,8)="Negative"),0,IF(COUNTIFS($B$2:B1852,B1852,$C$2:C1852,C1852,$D$2:D1852,"&lt;&gt;Negative*",$T$2:T1852,"&lt;&gt;Retracted")=1,1,0))</f>
        <v>0</v>
      </c>
    </row>
    <row r="1853" spans="1:21" x14ac:dyDescent="0.2">
      <c r="A1853" t="s">
        <v>3984</v>
      </c>
      <c r="B1853" t="s">
        <v>791</v>
      </c>
      <c r="C1853" t="s">
        <v>1335</v>
      </c>
      <c r="D1853" t="s">
        <v>1613</v>
      </c>
      <c r="F1853" t="s">
        <v>1583</v>
      </c>
      <c r="I1853" t="s">
        <v>1058</v>
      </c>
      <c r="K1853">
        <v>1905</v>
      </c>
      <c r="L1853">
        <v>1906</v>
      </c>
      <c r="M1853" t="s">
        <v>209</v>
      </c>
      <c r="N1853" t="s">
        <v>209</v>
      </c>
      <c r="Q1853" s="2" t="str">
        <f>IF($C1853="","",IFERROR(VLOOKUP($C1853,sources!$A$2:$N$200,2,FALSE()),"?"))</f>
        <v>Map</v>
      </c>
      <c r="R1853" s="2" t="str">
        <f t="shared" si="28"/>
        <v>Map</v>
      </c>
      <c r="S1853" s="2" t="str">
        <f>IF($C1853="","",IFERROR(VLOOKUP($C1853,sources!$A$2:$N$200,9,FALSE()),"?"))</f>
        <v>US official</v>
      </c>
      <c r="T1853" t="s">
        <v>5692</v>
      </c>
      <c r="U1853">
        <f>IF(OR(B1853="",C1853="",T1853="Retracted",LEFT(D1853,8)="Negative"),0,IF(COUNTIFS($B$2:B1853,B1853,$C$2:C1853,C1853,$D$2:D1853,"&lt;&gt;Negative*",$T$2:T1853,"&lt;&gt;Retracted")=1,1,0))</f>
        <v>0</v>
      </c>
    </row>
    <row r="1854" spans="1:21" x14ac:dyDescent="0.2">
      <c r="A1854" t="s">
        <v>3985</v>
      </c>
      <c r="B1854" t="s">
        <v>873</v>
      </c>
      <c r="C1854" t="s">
        <v>1335</v>
      </c>
      <c r="D1854" t="s">
        <v>1613</v>
      </c>
      <c r="F1854" t="s">
        <v>1583</v>
      </c>
      <c r="I1854" t="s">
        <v>1058</v>
      </c>
      <c r="K1854">
        <v>1905</v>
      </c>
      <c r="L1854">
        <v>1906</v>
      </c>
      <c r="M1854" t="s">
        <v>209</v>
      </c>
      <c r="N1854" t="s">
        <v>209</v>
      </c>
      <c r="Q1854" s="2" t="str">
        <f>IF($C1854="","",IFERROR(VLOOKUP($C1854,sources!$A$2:$N$200,2,FALSE()),"?"))</f>
        <v>Map</v>
      </c>
      <c r="R1854" s="2" t="str">
        <f t="shared" si="28"/>
        <v>Map</v>
      </c>
      <c r="S1854" s="2" t="str">
        <f>IF($C1854="","",IFERROR(VLOOKUP($C1854,sources!$A$2:$N$200,9,FALSE()),"?"))</f>
        <v>US official</v>
      </c>
      <c r="T1854" t="s">
        <v>5692</v>
      </c>
      <c r="U1854">
        <f>IF(OR(B1854="",C1854="",T1854="Retracted",LEFT(D1854,8)="Negative"),0,IF(COUNTIFS($B$2:B1854,B1854,$C$2:C1854,C1854,$D$2:D1854,"&lt;&gt;Negative*",$T$2:T1854,"&lt;&gt;Retracted")=1,1,0))</f>
        <v>0</v>
      </c>
    </row>
    <row r="1855" spans="1:21" x14ac:dyDescent="0.2">
      <c r="A1855" t="s">
        <v>3986</v>
      </c>
      <c r="B1855" t="s">
        <v>876</v>
      </c>
      <c r="C1855" t="s">
        <v>1335</v>
      </c>
      <c r="D1855" t="s">
        <v>1613</v>
      </c>
      <c r="F1855" t="s">
        <v>1583</v>
      </c>
      <c r="I1855" t="s">
        <v>1058</v>
      </c>
      <c r="K1855">
        <v>1905</v>
      </c>
      <c r="L1855">
        <v>1906</v>
      </c>
      <c r="M1855" t="s">
        <v>209</v>
      </c>
      <c r="N1855" t="s">
        <v>209</v>
      </c>
      <c r="Q1855" s="2" t="str">
        <f>IF($C1855="","",IFERROR(VLOOKUP($C1855,sources!$A$2:$N$200,2,FALSE()),"?"))</f>
        <v>Map</v>
      </c>
      <c r="R1855" s="2" t="str">
        <f t="shared" si="28"/>
        <v>Map</v>
      </c>
      <c r="S1855" s="2" t="str">
        <f>IF($C1855="","",IFERROR(VLOOKUP($C1855,sources!$A$2:$N$200,9,FALSE()),"?"))</f>
        <v>US official</v>
      </c>
      <c r="T1855" t="s">
        <v>5692</v>
      </c>
      <c r="U1855">
        <f>IF(OR(B1855="",C1855="",T1855="Retracted",LEFT(D1855,8)="Negative"),0,IF(COUNTIFS($B$2:B1855,B1855,$C$2:C1855,C1855,$D$2:D1855,"&lt;&gt;Negative*",$T$2:T1855,"&lt;&gt;Retracted")=1,1,0))</f>
        <v>0</v>
      </c>
    </row>
    <row r="1856" spans="1:21" x14ac:dyDescent="0.2">
      <c r="A1856" t="s">
        <v>3987</v>
      </c>
      <c r="B1856" t="s">
        <v>879</v>
      </c>
      <c r="C1856" t="s">
        <v>1335</v>
      </c>
      <c r="D1856" t="s">
        <v>1613</v>
      </c>
      <c r="F1856" t="s">
        <v>1583</v>
      </c>
      <c r="I1856" t="s">
        <v>1058</v>
      </c>
      <c r="K1856">
        <v>1905</v>
      </c>
      <c r="L1856">
        <v>1906</v>
      </c>
      <c r="M1856" t="s">
        <v>209</v>
      </c>
      <c r="N1856" t="s">
        <v>209</v>
      </c>
      <c r="Q1856" s="2" t="str">
        <f>IF($C1856="","",IFERROR(VLOOKUP($C1856,sources!$A$2:$N$200,2,FALSE()),"?"))</f>
        <v>Map</v>
      </c>
      <c r="R1856" s="2" t="str">
        <f t="shared" si="28"/>
        <v>Map</v>
      </c>
      <c r="S1856" s="2" t="str">
        <f>IF($C1856="","",IFERROR(VLOOKUP($C1856,sources!$A$2:$N$200,9,FALSE()),"?"))</f>
        <v>US official</v>
      </c>
      <c r="T1856" t="s">
        <v>5692</v>
      </c>
      <c r="U1856">
        <f>IF(OR(B1856="",C1856="",T1856="Retracted",LEFT(D1856,8)="Negative"),0,IF(COUNTIFS($B$2:B1856,B1856,$C$2:C1856,C1856,$D$2:D1856,"&lt;&gt;Negative*",$T$2:T1856,"&lt;&gt;Retracted")=1,1,0))</f>
        <v>0</v>
      </c>
    </row>
    <row r="1857" spans="1:21" x14ac:dyDescent="0.2">
      <c r="A1857" t="s">
        <v>3988</v>
      </c>
      <c r="B1857" t="s">
        <v>740</v>
      </c>
      <c r="C1857" t="s">
        <v>1335</v>
      </c>
      <c r="D1857" t="s">
        <v>1613</v>
      </c>
      <c r="E1857" t="s">
        <v>741</v>
      </c>
      <c r="F1857" t="s">
        <v>1583</v>
      </c>
      <c r="I1857" t="s">
        <v>1058</v>
      </c>
      <c r="K1857">
        <v>1905</v>
      </c>
      <c r="L1857">
        <v>1906</v>
      </c>
      <c r="M1857" t="s">
        <v>209</v>
      </c>
      <c r="N1857" t="s">
        <v>209</v>
      </c>
      <c r="Q1857" s="2" t="str">
        <f>IF($C1857="","",IFERROR(VLOOKUP($C1857,sources!$A$2:$N$200,2,FALSE()),"?"))</f>
        <v>Map</v>
      </c>
      <c r="R1857" s="2" t="str">
        <f t="shared" si="28"/>
        <v>Map</v>
      </c>
      <c r="S1857" s="2" t="str">
        <f>IF($C1857="","",IFERROR(VLOOKUP($C1857,sources!$A$2:$N$200,9,FALSE()),"?"))</f>
        <v>US official</v>
      </c>
      <c r="T1857" t="s">
        <v>5692</v>
      </c>
      <c r="U1857">
        <f>IF(OR(B1857="",C1857="",T1857="Retracted",LEFT(D1857,8)="Negative"),0,IF(COUNTIFS($B$2:B1857,B1857,$C$2:C1857,C1857,$D$2:D1857,"&lt;&gt;Negative*",$T$2:T1857,"&lt;&gt;Retracted")=1,1,0))</f>
        <v>0</v>
      </c>
    </row>
    <row r="1858" spans="1:21" x14ac:dyDescent="0.2">
      <c r="A1858" t="s">
        <v>3989</v>
      </c>
      <c r="B1858" t="s">
        <v>743</v>
      </c>
      <c r="C1858" t="s">
        <v>1335</v>
      </c>
      <c r="D1858" t="s">
        <v>1613</v>
      </c>
      <c r="E1858" t="s">
        <v>744</v>
      </c>
      <c r="F1858" t="s">
        <v>1583</v>
      </c>
      <c r="I1858" t="s">
        <v>1058</v>
      </c>
      <c r="K1858">
        <v>1905</v>
      </c>
      <c r="L1858">
        <v>1906</v>
      </c>
      <c r="M1858" t="s">
        <v>209</v>
      </c>
      <c r="N1858" t="s">
        <v>209</v>
      </c>
      <c r="Q1858" s="2" t="str">
        <f>IF($C1858="","",IFERROR(VLOOKUP($C1858,sources!$A$2:$N$200,2,FALSE()),"?"))</f>
        <v>Map</v>
      </c>
      <c r="R1858" s="2" t="str">
        <f t="shared" ref="R1858:R1921" si="29">IF($Q1858="","",IF($Q1858="Map","Map",IF(OR($Q1858="Photograph",$Q1858="Postcard"),"Image",IF(OR($Q1858="Census or roll",$Q1858="Report",$Q1858="Newspaper",$Q1858="Letter",$Q1858="Memoir",$Q1858="Administrative",$Q1858="Web compilation"),"Textual",IF($Q1858="Legal claim","Legal/admin",IF($Q1858="Secondary","Secondary","Other"))))))</f>
        <v>Map</v>
      </c>
      <c r="S1858" s="2" t="str">
        <f>IF($C1858="","",IFERROR(VLOOKUP($C1858,sources!$A$2:$N$200,9,FALSE()),"?"))</f>
        <v>US official</v>
      </c>
      <c r="T1858" t="s">
        <v>5692</v>
      </c>
      <c r="U1858">
        <f>IF(OR(B1858="",C1858="",T1858="Retracted",LEFT(D1858,8)="Negative"),0,IF(COUNTIFS($B$2:B1858,B1858,$C$2:C1858,C1858,$D$2:D1858,"&lt;&gt;Negative*",$T$2:T1858,"&lt;&gt;Retracted")=1,1,0))</f>
        <v>0</v>
      </c>
    </row>
    <row r="1859" spans="1:21" x14ac:dyDescent="0.2">
      <c r="A1859" t="s">
        <v>3990</v>
      </c>
      <c r="B1859" t="s">
        <v>456</v>
      </c>
      <c r="C1859" t="s">
        <v>1335</v>
      </c>
      <c r="D1859" t="s">
        <v>1613</v>
      </c>
      <c r="E1859" t="s">
        <v>457</v>
      </c>
      <c r="F1859" t="s">
        <v>1583</v>
      </c>
      <c r="I1859" t="s">
        <v>1058</v>
      </c>
      <c r="K1859">
        <v>1905</v>
      </c>
      <c r="L1859">
        <v>1906</v>
      </c>
      <c r="M1859" t="s">
        <v>209</v>
      </c>
      <c r="N1859" t="s">
        <v>203</v>
      </c>
      <c r="Q1859" s="2" t="str">
        <f>IF($C1859="","",IFERROR(VLOOKUP($C1859,sources!$A$2:$N$200,2,FALSE()),"?"))</f>
        <v>Map</v>
      </c>
      <c r="R1859" s="2" t="str">
        <f t="shared" si="29"/>
        <v>Map</v>
      </c>
      <c r="S1859" s="2" t="str">
        <f>IF($C1859="","",IFERROR(VLOOKUP($C1859,sources!$A$2:$N$200,9,FALSE()),"?"))</f>
        <v>US official</v>
      </c>
      <c r="T1859" t="s">
        <v>5692</v>
      </c>
      <c r="U1859">
        <f>IF(OR(B1859="",C1859="",T1859="Retracted",LEFT(D1859,8)="Negative"),0,IF(COUNTIFS($B$2:B1859,B1859,$C$2:C1859,C1859,$D$2:D1859,"&lt;&gt;Negative*",$T$2:T1859,"&lt;&gt;Retracted")=1,1,0))</f>
        <v>0</v>
      </c>
    </row>
    <row r="1860" spans="1:21" x14ac:dyDescent="0.2">
      <c r="A1860" t="s">
        <v>3991</v>
      </c>
      <c r="B1860" t="s">
        <v>465</v>
      </c>
      <c r="C1860" t="s">
        <v>1335</v>
      </c>
      <c r="D1860" t="s">
        <v>1613</v>
      </c>
      <c r="E1860" t="s">
        <v>466</v>
      </c>
      <c r="F1860" t="s">
        <v>1583</v>
      </c>
      <c r="I1860" t="s">
        <v>1058</v>
      </c>
      <c r="K1860">
        <v>1905</v>
      </c>
      <c r="L1860">
        <v>1906</v>
      </c>
      <c r="M1860" t="s">
        <v>209</v>
      </c>
      <c r="N1860" t="s">
        <v>209</v>
      </c>
      <c r="Q1860" s="2" t="str">
        <f>IF($C1860="","",IFERROR(VLOOKUP($C1860,sources!$A$2:$N$200,2,FALSE()),"?"))</f>
        <v>Map</v>
      </c>
      <c r="R1860" s="2" t="str">
        <f t="shared" si="29"/>
        <v>Map</v>
      </c>
      <c r="S1860" s="2" t="str">
        <f>IF($C1860="","",IFERROR(VLOOKUP($C1860,sources!$A$2:$N$200,9,FALSE()),"?"))</f>
        <v>US official</v>
      </c>
      <c r="T1860" t="s">
        <v>5692</v>
      </c>
      <c r="U1860">
        <f>IF(OR(B1860="",C1860="",T1860="Retracted",LEFT(D1860,8)="Negative"),0,IF(COUNTIFS($B$2:B1860,B1860,$C$2:C1860,C1860,$D$2:D1860,"&lt;&gt;Negative*",$T$2:T1860,"&lt;&gt;Retracted")=1,1,0))</f>
        <v>0</v>
      </c>
    </row>
    <row r="1861" spans="1:21" x14ac:dyDescent="0.2">
      <c r="A1861" t="s">
        <v>3992</v>
      </c>
      <c r="B1861" t="s">
        <v>625</v>
      </c>
      <c r="C1861" t="s">
        <v>1335</v>
      </c>
      <c r="D1861" t="s">
        <v>1613</v>
      </c>
      <c r="E1861" t="s">
        <v>626</v>
      </c>
      <c r="F1861" t="s">
        <v>1583</v>
      </c>
      <c r="I1861" t="s">
        <v>1058</v>
      </c>
      <c r="K1861">
        <v>1905</v>
      </c>
      <c r="L1861">
        <v>1906</v>
      </c>
      <c r="M1861" t="s">
        <v>209</v>
      </c>
      <c r="N1861" t="s">
        <v>209</v>
      </c>
      <c r="Q1861" s="2" t="str">
        <f>IF($C1861="","",IFERROR(VLOOKUP($C1861,sources!$A$2:$N$200,2,FALSE()),"?"))</f>
        <v>Map</v>
      </c>
      <c r="R1861" s="2" t="str">
        <f t="shared" si="29"/>
        <v>Map</v>
      </c>
      <c r="S1861" s="2" t="str">
        <f>IF($C1861="","",IFERROR(VLOOKUP($C1861,sources!$A$2:$N$200,9,FALSE()),"?"))</f>
        <v>US official</v>
      </c>
      <c r="T1861" t="s">
        <v>5692</v>
      </c>
      <c r="U1861">
        <f>IF(OR(B1861="",C1861="",T1861="Retracted",LEFT(D1861,8)="Negative"),0,IF(COUNTIFS($B$2:B1861,B1861,$C$2:C1861,C1861,$D$2:D1861,"&lt;&gt;Negative*",$T$2:T1861,"&lt;&gt;Retracted")=1,1,0))</f>
        <v>0</v>
      </c>
    </row>
    <row r="1862" spans="1:21" x14ac:dyDescent="0.2">
      <c r="A1862" t="s">
        <v>3993</v>
      </c>
      <c r="B1862" t="s">
        <v>816</v>
      </c>
      <c r="C1862" t="s">
        <v>1335</v>
      </c>
      <c r="D1862" t="s">
        <v>1613</v>
      </c>
      <c r="E1862" t="s">
        <v>817</v>
      </c>
      <c r="F1862" t="s">
        <v>1583</v>
      </c>
      <c r="I1862" t="s">
        <v>1058</v>
      </c>
      <c r="K1862">
        <v>1905</v>
      </c>
      <c r="L1862">
        <v>1906</v>
      </c>
      <c r="M1862" t="s">
        <v>209</v>
      </c>
      <c r="N1862" t="s">
        <v>190</v>
      </c>
      <c r="Q1862" s="2" t="str">
        <f>IF($C1862="","",IFERROR(VLOOKUP($C1862,sources!$A$2:$N$200,2,FALSE()),"?"))</f>
        <v>Map</v>
      </c>
      <c r="R1862" s="2" t="str">
        <f t="shared" si="29"/>
        <v>Map</v>
      </c>
      <c r="S1862" s="2" t="str">
        <f>IF($C1862="","",IFERROR(VLOOKUP($C1862,sources!$A$2:$N$200,9,FALSE()),"?"))</f>
        <v>US official</v>
      </c>
      <c r="T1862" t="s">
        <v>5692</v>
      </c>
      <c r="U1862">
        <f>IF(OR(B1862="",C1862="",T1862="Retracted",LEFT(D1862,8)="Negative"),0,IF(COUNTIFS($B$2:B1862,B1862,$C$2:C1862,C1862,$D$2:D1862,"&lt;&gt;Negative*",$T$2:T1862,"&lt;&gt;Retracted")=1,1,0))</f>
        <v>0</v>
      </c>
    </row>
    <row r="1863" spans="1:21" ht="26" x14ac:dyDescent="0.2">
      <c r="A1863" t="s">
        <v>3994</v>
      </c>
      <c r="B1863" t="s">
        <v>936</v>
      </c>
      <c r="C1863" t="s">
        <v>1434</v>
      </c>
      <c r="D1863" t="s">
        <v>1575</v>
      </c>
      <c r="E1863" t="s">
        <v>3995</v>
      </c>
      <c r="F1863" t="s">
        <v>1583</v>
      </c>
      <c r="I1863" t="s">
        <v>1058</v>
      </c>
      <c r="K1863">
        <v>1857</v>
      </c>
      <c r="L1863">
        <v>1857</v>
      </c>
      <c r="M1863" t="s">
        <v>209</v>
      </c>
      <c r="N1863" t="s">
        <v>209</v>
      </c>
      <c r="Q1863" s="2" t="str">
        <f>IF($C1863="","",IFERROR(VLOOKUP($C1863,sources!$A$2:$N$200,2,FALSE()),"?"))</f>
        <v>Map</v>
      </c>
      <c r="R1863" s="2" t="str">
        <f t="shared" si="29"/>
        <v>Map</v>
      </c>
      <c r="S1863" s="2" t="str">
        <f>IF($C1863="","",IFERROR(VLOOKUP($C1863,sources!$A$2:$N$200,9,FALSE()),"?"))</f>
        <v>US corporate (PRR)</v>
      </c>
      <c r="T1863" t="s">
        <v>5692</v>
      </c>
      <c r="U1863">
        <f>IF(OR(B1863="",C1863="",T1863="Retracted",LEFT(D1863,8)="Negative"),0,IF(COUNTIFS($B$2:B1863,B1863,$C$2:C1863,C1863,$D$2:D1863,"&lt;&gt;Negative*",$T$2:T1863,"&lt;&gt;Retracted")=1,1,0))</f>
        <v>1</v>
      </c>
    </row>
    <row r="1864" spans="1:21" ht="26" x14ac:dyDescent="0.2">
      <c r="A1864" t="s">
        <v>3996</v>
      </c>
      <c r="B1864" t="s">
        <v>955</v>
      </c>
      <c r="C1864" t="s">
        <v>1434</v>
      </c>
      <c r="D1864" t="s">
        <v>1613</v>
      </c>
      <c r="E1864" t="s">
        <v>3898</v>
      </c>
      <c r="F1864" t="s">
        <v>1583</v>
      </c>
      <c r="I1864" t="s">
        <v>1058</v>
      </c>
      <c r="K1864">
        <v>1857</v>
      </c>
      <c r="L1864">
        <v>1857</v>
      </c>
      <c r="M1864" t="s">
        <v>209</v>
      </c>
      <c r="N1864" t="s">
        <v>209</v>
      </c>
      <c r="Q1864" s="2" t="str">
        <f>IF($C1864="","",IFERROR(VLOOKUP($C1864,sources!$A$2:$N$200,2,FALSE()),"?"))</f>
        <v>Map</v>
      </c>
      <c r="R1864" s="2" t="str">
        <f t="shared" si="29"/>
        <v>Map</v>
      </c>
      <c r="S1864" s="2" t="str">
        <f>IF($C1864="","",IFERROR(VLOOKUP($C1864,sources!$A$2:$N$200,9,FALSE()),"?"))</f>
        <v>US corporate (PRR)</v>
      </c>
      <c r="T1864" t="s">
        <v>5692</v>
      </c>
      <c r="U1864">
        <f>IF(OR(B1864="",C1864="",T1864="Retracted",LEFT(D1864,8)="Negative"),0,IF(COUNTIFS($B$2:B1864,B1864,$C$2:C1864,C1864,$D$2:D1864,"&lt;&gt;Negative*",$T$2:T1864,"&lt;&gt;Retracted")=1,1,0))</f>
        <v>0</v>
      </c>
    </row>
    <row r="1865" spans="1:21" ht="26" x14ac:dyDescent="0.2">
      <c r="A1865" t="s">
        <v>3997</v>
      </c>
      <c r="B1865" t="s">
        <v>959</v>
      </c>
      <c r="C1865" t="s">
        <v>1434</v>
      </c>
      <c r="D1865" t="s">
        <v>1613</v>
      </c>
      <c r="E1865" t="s">
        <v>960</v>
      </c>
      <c r="F1865" t="s">
        <v>1583</v>
      </c>
      <c r="I1865" t="s">
        <v>1058</v>
      </c>
      <c r="K1865">
        <v>1857</v>
      </c>
      <c r="L1865">
        <v>1857</v>
      </c>
      <c r="M1865" t="s">
        <v>209</v>
      </c>
      <c r="N1865" t="s">
        <v>209</v>
      </c>
      <c r="Q1865" s="2" t="str">
        <f>IF($C1865="","",IFERROR(VLOOKUP($C1865,sources!$A$2:$N$200,2,FALSE()),"?"))</f>
        <v>Map</v>
      </c>
      <c r="R1865" s="2" t="str">
        <f t="shared" si="29"/>
        <v>Map</v>
      </c>
      <c r="S1865" s="2" t="str">
        <f>IF($C1865="","",IFERROR(VLOOKUP($C1865,sources!$A$2:$N$200,9,FALSE()),"?"))</f>
        <v>US corporate (PRR)</v>
      </c>
      <c r="T1865" t="s">
        <v>5692</v>
      </c>
      <c r="U1865">
        <f>IF(OR(B1865="",C1865="",T1865="Retracted",LEFT(D1865,8)="Negative"),0,IF(COUNTIFS($B$2:B1865,B1865,$C$2:C1865,C1865,$D$2:D1865,"&lt;&gt;Negative*",$T$2:T1865,"&lt;&gt;Retracted")=1,1,0))</f>
        <v>0</v>
      </c>
    </row>
    <row r="1866" spans="1:21" ht="26" x14ac:dyDescent="0.2">
      <c r="A1866" t="s">
        <v>3998</v>
      </c>
      <c r="B1866" t="s">
        <v>962</v>
      </c>
      <c r="C1866" t="s">
        <v>1434</v>
      </c>
      <c r="D1866" t="s">
        <v>1613</v>
      </c>
      <c r="E1866" t="s">
        <v>963</v>
      </c>
      <c r="F1866" t="s">
        <v>1583</v>
      </c>
      <c r="I1866" t="s">
        <v>1058</v>
      </c>
      <c r="K1866">
        <v>1857</v>
      </c>
      <c r="L1866">
        <v>1857</v>
      </c>
      <c r="M1866" t="s">
        <v>209</v>
      </c>
      <c r="N1866" t="s">
        <v>209</v>
      </c>
      <c r="Q1866" s="2" t="str">
        <f>IF($C1866="","",IFERROR(VLOOKUP($C1866,sources!$A$2:$N$200,2,FALSE()),"?"))</f>
        <v>Map</v>
      </c>
      <c r="R1866" s="2" t="str">
        <f t="shared" si="29"/>
        <v>Map</v>
      </c>
      <c r="S1866" s="2" t="str">
        <f>IF($C1866="","",IFERROR(VLOOKUP($C1866,sources!$A$2:$N$200,9,FALSE()),"?"))</f>
        <v>US corporate (PRR)</v>
      </c>
      <c r="T1866" t="s">
        <v>5692</v>
      </c>
      <c r="U1866">
        <f>IF(OR(B1866="",C1866="",T1866="Retracted",LEFT(D1866,8)="Negative"),0,IF(COUNTIFS($B$2:B1866,B1866,$C$2:C1866,C1866,$D$2:D1866,"&lt;&gt;Negative*",$T$2:T1866,"&lt;&gt;Retracted")=1,1,0))</f>
        <v>0</v>
      </c>
    </row>
    <row r="1867" spans="1:21" ht="26" x14ac:dyDescent="0.2">
      <c r="A1867" t="s">
        <v>3999</v>
      </c>
      <c r="B1867" t="s">
        <v>947</v>
      </c>
      <c r="C1867" t="s">
        <v>1434</v>
      </c>
      <c r="D1867" t="s">
        <v>1613</v>
      </c>
      <c r="E1867" t="s">
        <v>948</v>
      </c>
      <c r="F1867" t="s">
        <v>1583</v>
      </c>
      <c r="I1867" t="s">
        <v>1058</v>
      </c>
      <c r="K1867">
        <v>1857</v>
      </c>
      <c r="L1867">
        <v>1857</v>
      </c>
      <c r="M1867" t="s">
        <v>209</v>
      </c>
      <c r="N1867" t="s">
        <v>190</v>
      </c>
      <c r="Q1867" s="2" t="str">
        <f>IF($C1867="","",IFERROR(VLOOKUP($C1867,sources!$A$2:$N$200,2,FALSE()),"?"))</f>
        <v>Map</v>
      </c>
      <c r="R1867" s="2" t="str">
        <f t="shared" si="29"/>
        <v>Map</v>
      </c>
      <c r="S1867" s="2" t="str">
        <f>IF($C1867="","",IFERROR(VLOOKUP($C1867,sources!$A$2:$N$200,9,FALSE()),"?"))</f>
        <v>US corporate (PRR)</v>
      </c>
      <c r="T1867" t="s">
        <v>5692</v>
      </c>
      <c r="U1867">
        <f>IF(OR(B1867="",C1867="",T1867="Retracted",LEFT(D1867,8)="Negative"),0,IF(COUNTIFS($B$2:B1867,B1867,$C$2:C1867,C1867,$D$2:D1867,"&lt;&gt;Negative*",$T$2:T1867,"&lt;&gt;Retracted")=1,1,0))</f>
        <v>0</v>
      </c>
    </row>
    <row r="1868" spans="1:21" x14ac:dyDescent="0.2">
      <c r="A1868" t="s">
        <v>4000</v>
      </c>
      <c r="B1868" t="s">
        <v>924</v>
      </c>
      <c r="C1868" t="s">
        <v>1335</v>
      </c>
      <c r="D1868" t="s">
        <v>1613</v>
      </c>
      <c r="E1868" t="s">
        <v>925</v>
      </c>
      <c r="F1868" t="s">
        <v>1583</v>
      </c>
      <c r="I1868" t="s">
        <v>1058</v>
      </c>
      <c r="K1868">
        <v>1905</v>
      </c>
      <c r="L1868">
        <v>1906</v>
      </c>
      <c r="M1868" t="s">
        <v>209</v>
      </c>
      <c r="N1868" t="s">
        <v>203</v>
      </c>
      <c r="Q1868" s="2" t="str">
        <f>IF($C1868="","",IFERROR(VLOOKUP($C1868,sources!$A$2:$N$200,2,FALSE()),"?"))</f>
        <v>Map</v>
      </c>
      <c r="R1868" s="2" t="str">
        <f t="shared" si="29"/>
        <v>Map</v>
      </c>
      <c r="S1868" s="2" t="str">
        <f>IF($C1868="","",IFERROR(VLOOKUP($C1868,sources!$A$2:$N$200,9,FALSE()),"?"))</f>
        <v>US official</v>
      </c>
      <c r="T1868" t="s">
        <v>5692</v>
      </c>
      <c r="U1868">
        <f>IF(OR(B1868="",C1868="",T1868="Retracted",LEFT(D1868,8)="Negative"),0,IF(COUNTIFS($B$2:B1868,B1868,$C$2:C1868,C1868,$D$2:D1868,"&lt;&gt;Negative*",$T$2:T1868,"&lt;&gt;Retracted")=1,1,0))</f>
        <v>0</v>
      </c>
    </row>
    <row r="1869" spans="1:21" x14ac:dyDescent="0.2">
      <c r="A1869" t="s">
        <v>4001</v>
      </c>
      <c r="B1869" t="s">
        <v>917</v>
      </c>
      <c r="C1869" t="s">
        <v>1335</v>
      </c>
      <c r="D1869" t="s">
        <v>1613</v>
      </c>
      <c r="E1869" t="s">
        <v>918</v>
      </c>
      <c r="F1869" t="s">
        <v>1583</v>
      </c>
      <c r="I1869" t="s">
        <v>1058</v>
      </c>
      <c r="K1869">
        <v>1905</v>
      </c>
      <c r="L1869">
        <v>1906</v>
      </c>
      <c r="M1869" t="s">
        <v>209</v>
      </c>
      <c r="N1869" t="s">
        <v>190</v>
      </c>
      <c r="Q1869" s="2" t="str">
        <f>IF($C1869="","",IFERROR(VLOOKUP($C1869,sources!$A$2:$N$200,2,FALSE()),"?"))</f>
        <v>Map</v>
      </c>
      <c r="R1869" s="2" t="str">
        <f t="shared" si="29"/>
        <v>Map</v>
      </c>
      <c r="S1869" s="2" t="str">
        <f>IF($C1869="","",IFERROR(VLOOKUP($C1869,sources!$A$2:$N$200,9,FALSE()),"?"))</f>
        <v>US official</v>
      </c>
      <c r="T1869" t="s">
        <v>5692</v>
      </c>
      <c r="U1869">
        <f>IF(OR(B1869="",C1869="",T1869="Retracted",LEFT(D1869,8)="Negative"),0,IF(COUNTIFS($B$2:B1869,B1869,$C$2:C1869,C1869,$D$2:D1869,"&lt;&gt;Negative*",$T$2:T1869,"&lt;&gt;Retracted")=1,1,0))</f>
        <v>0</v>
      </c>
    </row>
    <row r="1870" spans="1:21" x14ac:dyDescent="0.2">
      <c r="A1870" t="s">
        <v>4002</v>
      </c>
      <c r="B1870" t="s">
        <v>920</v>
      </c>
      <c r="C1870" t="s">
        <v>1335</v>
      </c>
      <c r="D1870" t="s">
        <v>1613</v>
      </c>
      <c r="E1870" t="s">
        <v>921</v>
      </c>
      <c r="F1870" t="s">
        <v>1583</v>
      </c>
      <c r="I1870" t="s">
        <v>1058</v>
      </c>
      <c r="K1870">
        <v>1905</v>
      </c>
      <c r="L1870">
        <v>1906</v>
      </c>
      <c r="M1870" t="s">
        <v>209</v>
      </c>
      <c r="N1870" t="s">
        <v>203</v>
      </c>
      <c r="Q1870" s="2" t="str">
        <f>IF($C1870="","",IFERROR(VLOOKUP($C1870,sources!$A$2:$N$200,2,FALSE()),"?"))</f>
        <v>Map</v>
      </c>
      <c r="R1870" s="2" t="str">
        <f t="shared" si="29"/>
        <v>Map</v>
      </c>
      <c r="S1870" s="2" t="str">
        <f>IF($C1870="","",IFERROR(VLOOKUP($C1870,sources!$A$2:$N$200,9,FALSE()),"?"))</f>
        <v>US official</v>
      </c>
      <c r="T1870" t="s">
        <v>5692</v>
      </c>
      <c r="U1870">
        <f>IF(OR(B1870="",C1870="",T1870="Retracted",LEFT(D1870,8)="Negative"),0,IF(COUNTIFS($B$2:B1870,B1870,$C$2:C1870,C1870,$D$2:D1870,"&lt;&gt;Negative*",$T$2:T1870,"&lt;&gt;Retracted")=1,1,0))</f>
        <v>0</v>
      </c>
    </row>
    <row r="1871" spans="1:21" x14ac:dyDescent="0.2">
      <c r="A1871" t="s">
        <v>4003</v>
      </c>
      <c r="B1871" t="s">
        <v>906</v>
      </c>
      <c r="C1871" t="s">
        <v>1335</v>
      </c>
      <c r="D1871" t="s">
        <v>1613</v>
      </c>
      <c r="E1871" t="s">
        <v>907</v>
      </c>
      <c r="F1871" t="s">
        <v>1583</v>
      </c>
      <c r="I1871" t="s">
        <v>1058</v>
      </c>
      <c r="K1871">
        <v>1905</v>
      </c>
      <c r="L1871">
        <v>1906</v>
      </c>
      <c r="M1871" t="s">
        <v>209</v>
      </c>
      <c r="N1871" t="s">
        <v>203</v>
      </c>
      <c r="Q1871" s="2" t="str">
        <f>IF($C1871="","",IFERROR(VLOOKUP($C1871,sources!$A$2:$N$200,2,FALSE()),"?"))</f>
        <v>Map</v>
      </c>
      <c r="R1871" s="2" t="str">
        <f t="shared" si="29"/>
        <v>Map</v>
      </c>
      <c r="S1871" s="2" t="str">
        <f>IF($C1871="","",IFERROR(VLOOKUP($C1871,sources!$A$2:$N$200,9,FALSE()),"?"))</f>
        <v>US official</v>
      </c>
      <c r="T1871" t="s">
        <v>5692</v>
      </c>
      <c r="U1871">
        <f>IF(OR(B1871="",C1871="",T1871="Retracted",LEFT(D1871,8)="Negative"),0,IF(COUNTIFS($B$2:B1871,B1871,$C$2:C1871,C1871,$D$2:D1871,"&lt;&gt;Negative*",$T$2:T1871,"&lt;&gt;Retracted")=1,1,0))</f>
        <v>0</v>
      </c>
    </row>
    <row r="1872" spans="1:21" x14ac:dyDescent="0.2">
      <c r="A1872" t="s">
        <v>4004</v>
      </c>
      <c r="B1872" t="s">
        <v>910</v>
      </c>
      <c r="C1872" t="s">
        <v>1335</v>
      </c>
      <c r="D1872" t="s">
        <v>1564</v>
      </c>
      <c r="E1872" t="s">
        <v>4005</v>
      </c>
      <c r="F1872" t="s">
        <v>1583</v>
      </c>
      <c r="I1872" t="s">
        <v>1058</v>
      </c>
      <c r="K1872">
        <v>1905</v>
      </c>
      <c r="L1872">
        <v>1906</v>
      </c>
      <c r="M1872" t="s">
        <v>209</v>
      </c>
      <c r="N1872" t="s">
        <v>209</v>
      </c>
      <c r="Q1872" s="2" t="str">
        <f>IF($C1872="","",IFERROR(VLOOKUP($C1872,sources!$A$2:$N$200,2,FALSE()),"?"))</f>
        <v>Map</v>
      </c>
      <c r="R1872" s="2" t="str">
        <f t="shared" si="29"/>
        <v>Map</v>
      </c>
      <c r="S1872" s="2" t="str">
        <f>IF($C1872="","",IFERROR(VLOOKUP($C1872,sources!$A$2:$N$200,9,FALSE()),"?"))</f>
        <v>US official</v>
      </c>
      <c r="T1872" t="s">
        <v>5692</v>
      </c>
      <c r="U1872">
        <f>IF(OR(B1872="",C1872="",T1872="Retracted",LEFT(D1872,8)="Negative"),0,IF(COUNTIFS($B$2:B1872,B1872,$C$2:C1872,C1872,$D$2:D1872,"&lt;&gt;Negative*",$T$2:T1872,"&lt;&gt;Retracted")=1,1,0))</f>
        <v>1</v>
      </c>
    </row>
    <row r="1873" spans="1:21" x14ac:dyDescent="0.2">
      <c r="A1873" t="s">
        <v>4006</v>
      </c>
      <c r="B1873" t="s">
        <v>914</v>
      </c>
      <c r="C1873" t="s">
        <v>1335</v>
      </c>
      <c r="D1873" t="s">
        <v>1613</v>
      </c>
      <c r="E1873" t="s">
        <v>915</v>
      </c>
      <c r="F1873" t="s">
        <v>1583</v>
      </c>
      <c r="I1873" t="s">
        <v>1058</v>
      </c>
      <c r="K1873">
        <v>1905</v>
      </c>
      <c r="L1873">
        <v>1906</v>
      </c>
      <c r="M1873" t="s">
        <v>209</v>
      </c>
      <c r="N1873" t="s">
        <v>190</v>
      </c>
      <c r="Q1873" s="2" t="str">
        <f>IF($C1873="","",IFERROR(VLOOKUP($C1873,sources!$A$2:$N$200,2,FALSE()),"?"))</f>
        <v>Map</v>
      </c>
      <c r="R1873" s="2" t="str">
        <f t="shared" si="29"/>
        <v>Map</v>
      </c>
      <c r="S1873" s="2" t="str">
        <f>IF($C1873="","",IFERROR(VLOOKUP($C1873,sources!$A$2:$N$200,9,FALSE()),"?"))</f>
        <v>US official</v>
      </c>
      <c r="T1873" t="s">
        <v>5692</v>
      </c>
      <c r="U1873">
        <f>IF(OR(B1873="",C1873="",T1873="Retracted",LEFT(D1873,8)="Negative"),0,IF(COUNTIFS($B$2:B1873,B1873,$C$2:C1873,C1873,$D$2:D1873,"&lt;&gt;Negative*",$T$2:T1873,"&lt;&gt;Retracted")=1,1,0))</f>
        <v>0</v>
      </c>
    </row>
    <row r="1874" spans="1:21" x14ac:dyDescent="0.2">
      <c r="A1874" t="s">
        <v>4007</v>
      </c>
      <c r="B1874" t="s">
        <v>599</v>
      </c>
      <c r="C1874" t="s">
        <v>1335</v>
      </c>
      <c r="D1874" t="s">
        <v>1613</v>
      </c>
      <c r="E1874" t="s">
        <v>600</v>
      </c>
      <c r="F1874" t="s">
        <v>1583</v>
      </c>
      <c r="I1874" t="s">
        <v>1058</v>
      </c>
      <c r="K1874">
        <v>1905</v>
      </c>
      <c r="L1874">
        <v>1906</v>
      </c>
      <c r="M1874" t="s">
        <v>209</v>
      </c>
      <c r="N1874" t="s">
        <v>209</v>
      </c>
      <c r="Q1874" s="2" t="str">
        <f>IF($C1874="","",IFERROR(VLOOKUP($C1874,sources!$A$2:$N$200,2,FALSE()),"?"))</f>
        <v>Map</v>
      </c>
      <c r="R1874" s="2" t="str">
        <f t="shared" si="29"/>
        <v>Map</v>
      </c>
      <c r="S1874" s="2" t="str">
        <f>IF($C1874="","",IFERROR(VLOOKUP($C1874,sources!$A$2:$N$200,9,FALSE()),"?"))</f>
        <v>US official</v>
      </c>
      <c r="T1874" t="s">
        <v>5692</v>
      </c>
      <c r="U1874">
        <f>IF(OR(B1874="",C1874="",T1874="Retracted",LEFT(D1874,8)="Negative"),0,IF(COUNTIFS($B$2:B1874,B1874,$C$2:C1874,C1874,$D$2:D1874,"&lt;&gt;Negative*",$T$2:T1874,"&lt;&gt;Retracted")=1,1,0))</f>
        <v>0</v>
      </c>
    </row>
    <row r="1875" spans="1:21" x14ac:dyDescent="0.2">
      <c r="A1875" t="s">
        <v>4008</v>
      </c>
      <c r="B1875" t="s">
        <v>630</v>
      </c>
      <c r="C1875" t="s">
        <v>1335</v>
      </c>
      <c r="D1875" t="s">
        <v>1564</v>
      </c>
      <c r="E1875" t="s">
        <v>4009</v>
      </c>
      <c r="F1875" t="s">
        <v>1583</v>
      </c>
      <c r="I1875" t="s">
        <v>1058</v>
      </c>
      <c r="K1875">
        <v>1905</v>
      </c>
      <c r="L1875">
        <v>1906</v>
      </c>
      <c r="M1875" t="s">
        <v>209</v>
      </c>
      <c r="N1875" t="s">
        <v>203</v>
      </c>
      <c r="Q1875" s="2" t="str">
        <f>IF($C1875="","",IFERROR(VLOOKUP($C1875,sources!$A$2:$N$200,2,FALSE()),"?"))</f>
        <v>Map</v>
      </c>
      <c r="R1875" s="2" t="str">
        <f t="shared" si="29"/>
        <v>Map</v>
      </c>
      <c r="S1875" s="2" t="str">
        <f>IF($C1875="","",IFERROR(VLOOKUP($C1875,sources!$A$2:$N$200,9,FALSE()),"?"))</f>
        <v>US official</v>
      </c>
      <c r="T1875" t="s">
        <v>5692</v>
      </c>
      <c r="U1875">
        <f>IF(OR(B1875="",C1875="",T1875="Retracted",LEFT(D1875,8)="Negative"),0,IF(COUNTIFS($B$2:B1875,B1875,$C$2:C1875,C1875,$D$2:D1875,"&lt;&gt;Negative*",$T$2:T1875,"&lt;&gt;Retracted")=1,1,0))</f>
        <v>1</v>
      </c>
    </row>
    <row r="1876" spans="1:21" x14ac:dyDescent="0.2">
      <c r="A1876" t="s">
        <v>4010</v>
      </c>
      <c r="B1876" t="s">
        <v>630</v>
      </c>
      <c r="C1876" t="s">
        <v>1335</v>
      </c>
      <c r="D1876" t="s">
        <v>1613</v>
      </c>
      <c r="E1876" t="s">
        <v>2803</v>
      </c>
      <c r="F1876" t="s">
        <v>1583</v>
      </c>
      <c r="I1876" t="s">
        <v>1058</v>
      </c>
      <c r="K1876">
        <v>1905</v>
      </c>
      <c r="L1876">
        <v>1906</v>
      </c>
      <c r="M1876" t="s">
        <v>209</v>
      </c>
      <c r="N1876" t="s">
        <v>203</v>
      </c>
      <c r="Q1876" s="2" t="str">
        <f>IF($C1876="","",IFERROR(VLOOKUP($C1876,sources!$A$2:$N$200,2,FALSE()),"?"))</f>
        <v>Map</v>
      </c>
      <c r="R1876" s="2" t="str">
        <f t="shared" si="29"/>
        <v>Map</v>
      </c>
      <c r="S1876" s="2" t="str">
        <f>IF($C1876="","",IFERROR(VLOOKUP($C1876,sources!$A$2:$N$200,9,FALSE()),"?"))</f>
        <v>US official</v>
      </c>
      <c r="T1876" t="s">
        <v>5692</v>
      </c>
      <c r="U1876">
        <f>IF(OR(B1876="",C1876="",T1876="Retracted",LEFT(D1876,8)="Negative"),0,IF(COUNTIFS($B$2:B1876,B1876,$C$2:C1876,C1876,$D$2:D1876,"&lt;&gt;Negative*",$T$2:T1876,"&lt;&gt;Retracted")=1,1,0))</f>
        <v>0</v>
      </c>
    </row>
    <row r="1877" spans="1:21" x14ac:dyDescent="0.2">
      <c r="A1877" t="s">
        <v>4011</v>
      </c>
      <c r="B1877" t="s">
        <v>773</v>
      </c>
      <c r="C1877" t="s">
        <v>1335</v>
      </c>
      <c r="D1877" t="s">
        <v>1613</v>
      </c>
      <c r="E1877" t="s">
        <v>774</v>
      </c>
      <c r="F1877" t="s">
        <v>1583</v>
      </c>
      <c r="I1877" t="s">
        <v>1058</v>
      </c>
      <c r="K1877">
        <v>1905</v>
      </c>
      <c r="L1877">
        <v>1906</v>
      </c>
      <c r="M1877" t="s">
        <v>209</v>
      </c>
      <c r="N1877" t="s">
        <v>209</v>
      </c>
      <c r="Q1877" s="2" t="str">
        <f>IF($C1877="","",IFERROR(VLOOKUP($C1877,sources!$A$2:$N$200,2,FALSE()),"?"))</f>
        <v>Map</v>
      </c>
      <c r="R1877" s="2" t="str">
        <f t="shared" si="29"/>
        <v>Map</v>
      </c>
      <c r="S1877" s="2" t="str">
        <f>IF($C1877="","",IFERROR(VLOOKUP($C1877,sources!$A$2:$N$200,9,FALSE()),"?"))</f>
        <v>US official</v>
      </c>
      <c r="T1877" t="s">
        <v>5692</v>
      </c>
      <c r="U1877">
        <f>IF(OR(B1877="",C1877="",T1877="Retracted",LEFT(D1877,8)="Negative"),0,IF(COUNTIFS($B$2:B1877,B1877,$C$2:C1877,C1877,$D$2:D1877,"&lt;&gt;Negative*",$T$2:T1877,"&lt;&gt;Retracted")=1,1,0))</f>
        <v>0</v>
      </c>
    </row>
    <row r="1878" spans="1:21" x14ac:dyDescent="0.2">
      <c r="A1878" t="s">
        <v>4012</v>
      </c>
      <c r="B1878" t="s">
        <v>783</v>
      </c>
      <c r="C1878" t="s">
        <v>1335</v>
      </c>
      <c r="D1878" t="s">
        <v>1613</v>
      </c>
      <c r="E1878" t="s">
        <v>784</v>
      </c>
      <c r="F1878" t="s">
        <v>1583</v>
      </c>
      <c r="I1878" t="s">
        <v>1058</v>
      </c>
      <c r="K1878">
        <v>1905</v>
      </c>
      <c r="L1878">
        <v>1906</v>
      </c>
      <c r="M1878" t="s">
        <v>209</v>
      </c>
      <c r="N1878" t="s">
        <v>209</v>
      </c>
      <c r="Q1878" s="2" t="str">
        <f>IF($C1878="","",IFERROR(VLOOKUP($C1878,sources!$A$2:$N$200,2,FALSE()),"?"))</f>
        <v>Map</v>
      </c>
      <c r="R1878" s="2" t="str">
        <f t="shared" si="29"/>
        <v>Map</v>
      </c>
      <c r="S1878" s="2" t="str">
        <f>IF($C1878="","",IFERROR(VLOOKUP($C1878,sources!$A$2:$N$200,9,FALSE()),"?"))</f>
        <v>US official</v>
      </c>
      <c r="T1878" t="s">
        <v>5692</v>
      </c>
      <c r="U1878">
        <f>IF(OR(B1878="",C1878="",T1878="Retracted",LEFT(D1878,8)="Negative"),0,IF(COUNTIFS($B$2:B1878,B1878,$C$2:C1878,C1878,$D$2:D1878,"&lt;&gt;Negative*",$T$2:T1878,"&lt;&gt;Retracted")=1,1,0))</f>
        <v>0</v>
      </c>
    </row>
    <row r="1879" spans="1:21" x14ac:dyDescent="0.2">
      <c r="A1879" t="s">
        <v>4013</v>
      </c>
      <c r="B1879" t="s">
        <v>487</v>
      </c>
      <c r="C1879" t="s">
        <v>1311</v>
      </c>
      <c r="D1879" t="s">
        <v>1613</v>
      </c>
      <c r="E1879" t="s">
        <v>488</v>
      </c>
      <c r="F1879" t="s">
        <v>1583</v>
      </c>
      <c r="I1879" t="s">
        <v>1058</v>
      </c>
      <c r="K1879">
        <v>1910</v>
      </c>
      <c r="L1879">
        <v>1910</v>
      </c>
      <c r="M1879" t="s">
        <v>209</v>
      </c>
      <c r="N1879" t="s">
        <v>209</v>
      </c>
      <c r="Q1879" s="2" t="str">
        <f>IF($C1879="","",IFERROR(VLOOKUP($C1879,sources!$A$2:$N$200,2,FALSE()),"?"))</f>
        <v>Map</v>
      </c>
      <c r="R1879" s="2" t="str">
        <f t="shared" si="29"/>
        <v>Map</v>
      </c>
      <c r="S1879" s="2" t="str">
        <f>IF($C1879="","",IFERROR(VLOOKUP($C1879,sources!$A$2:$N$200,9,FALSE()),"?"))</f>
        <v>US official</v>
      </c>
      <c r="T1879" t="s">
        <v>5692</v>
      </c>
      <c r="U1879">
        <f>IF(OR(B1879="",C1879="",T1879="Retracted",LEFT(D1879,8)="Negative"),0,IF(COUNTIFS($B$2:B1879,B1879,$C$2:C1879,C1879,$D$2:D1879,"&lt;&gt;Negative*",$T$2:T1879,"&lt;&gt;Retracted")=1,1,0))</f>
        <v>0</v>
      </c>
    </row>
    <row r="1880" spans="1:21" x14ac:dyDescent="0.2">
      <c r="A1880" t="s">
        <v>4014</v>
      </c>
      <c r="B1880" t="s">
        <v>796</v>
      </c>
      <c r="C1880" t="s">
        <v>1311</v>
      </c>
      <c r="D1880" t="s">
        <v>1613</v>
      </c>
      <c r="E1880" t="s">
        <v>797</v>
      </c>
      <c r="F1880" t="s">
        <v>1583</v>
      </c>
      <c r="I1880" t="s">
        <v>1058</v>
      </c>
      <c r="K1880">
        <v>1910</v>
      </c>
      <c r="L1880">
        <v>1910</v>
      </c>
      <c r="M1880" t="s">
        <v>209</v>
      </c>
      <c r="N1880" t="s">
        <v>209</v>
      </c>
      <c r="Q1880" s="2" t="str">
        <f>IF($C1880="","",IFERROR(VLOOKUP($C1880,sources!$A$2:$N$200,2,FALSE()),"?"))</f>
        <v>Map</v>
      </c>
      <c r="R1880" s="2" t="str">
        <f t="shared" si="29"/>
        <v>Map</v>
      </c>
      <c r="S1880" s="2" t="str">
        <f>IF($C1880="","",IFERROR(VLOOKUP($C1880,sources!$A$2:$N$200,9,FALSE()),"?"))</f>
        <v>US official</v>
      </c>
      <c r="T1880" t="s">
        <v>5692</v>
      </c>
      <c r="U1880">
        <f>IF(OR(B1880="",C1880="",T1880="Retracted",LEFT(D1880,8)="Negative"),0,IF(COUNTIFS($B$2:B1880,B1880,$C$2:C1880,C1880,$D$2:D1880,"&lt;&gt;Negative*",$T$2:T1880,"&lt;&gt;Retracted")=1,1,0))</f>
        <v>0</v>
      </c>
    </row>
    <row r="1881" spans="1:21" x14ac:dyDescent="0.2">
      <c r="A1881" t="s">
        <v>4015</v>
      </c>
      <c r="B1881" t="s">
        <v>983</v>
      </c>
      <c r="C1881" t="s">
        <v>1311</v>
      </c>
      <c r="D1881" t="s">
        <v>1575</v>
      </c>
      <c r="E1881" t="s">
        <v>4016</v>
      </c>
      <c r="F1881" t="s">
        <v>1583</v>
      </c>
      <c r="I1881" t="s">
        <v>1058</v>
      </c>
      <c r="K1881">
        <v>1910</v>
      </c>
      <c r="L1881">
        <v>1910</v>
      </c>
      <c r="M1881" t="s">
        <v>209</v>
      </c>
      <c r="N1881" t="s">
        <v>209</v>
      </c>
      <c r="Q1881" s="2" t="str">
        <f>IF($C1881="","",IFERROR(VLOOKUP($C1881,sources!$A$2:$N$200,2,FALSE()),"?"))</f>
        <v>Map</v>
      </c>
      <c r="R1881" s="2" t="str">
        <f t="shared" si="29"/>
        <v>Map</v>
      </c>
      <c r="S1881" s="2" t="str">
        <f>IF($C1881="","",IFERROR(VLOOKUP($C1881,sources!$A$2:$N$200,9,FALSE()),"?"))</f>
        <v>US official</v>
      </c>
      <c r="T1881" t="s">
        <v>5692</v>
      </c>
      <c r="U1881">
        <f>IF(OR(B1881="",C1881="",T1881="Retracted",LEFT(D1881,8)="Negative"),0,IF(COUNTIFS($B$2:B1881,B1881,$C$2:C1881,C1881,$D$2:D1881,"&lt;&gt;Negative*",$T$2:T1881,"&lt;&gt;Retracted")=1,1,0))</f>
        <v>1</v>
      </c>
    </row>
    <row r="1882" spans="1:21" x14ac:dyDescent="0.2">
      <c r="A1882" t="s">
        <v>4017</v>
      </c>
      <c r="B1882" t="s">
        <v>783</v>
      </c>
      <c r="C1882" t="s">
        <v>1323</v>
      </c>
      <c r="D1882" t="s">
        <v>1613</v>
      </c>
      <c r="E1882" t="s">
        <v>784</v>
      </c>
      <c r="F1882" t="s">
        <v>1583</v>
      </c>
      <c r="I1882" t="s">
        <v>1058</v>
      </c>
      <c r="K1882">
        <v>1908</v>
      </c>
      <c r="L1882">
        <v>1908</v>
      </c>
      <c r="M1882" t="s">
        <v>209</v>
      </c>
      <c r="N1882" t="s">
        <v>209</v>
      </c>
      <c r="Q1882" s="2" t="str">
        <f>IF($C1882="","",IFERROR(VLOOKUP($C1882,sources!$A$2:$N$200,2,FALSE()),"?"))</f>
        <v>Map</v>
      </c>
      <c r="R1882" s="2" t="str">
        <f t="shared" si="29"/>
        <v>Map</v>
      </c>
      <c r="S1882" s="2" t="str">
        <f>IF($C1882="","",IFERROR(VLOOKUP($C1882,sources!$A$2:$N$200,9,FALSE()),"?"))</f>
        <v>US official</v>
      </c>
      <c r="T1882" t="s">
        <v>5692</v>
      </c>
      <c r="U1882">
        <f>IF(OR(B1882="",C1882="",T1882="Retracted",LEFT(D1882,8)="Negative"),0,IF(COUNTIFS($B$2:B1882,B1882,$C$2:C1882,C1882,$D$2:D1882,"&lt;&gt;Negative*",$T$2:T1882,"&lt;&gt;Retracted")=1,1,0))</f>
        <v>0</v>
      </c>
    </row>
    <row r="1883" spans="1:21" x14ac:dyDescent="0.2">
      <c r="A1883" t="s">
        <v>4018</v>
      </c>
      <c r="B1883" t="s">
        <v>776</v>
      </c>
      <c r="C1883" t="s">
        <v>1401</v>
      </c>
      <c r="D1883" t="s">
        <v>1613</v>
      </c>
      <c r="E1883" t="s">
        <v>777</v>
      </c>
      <c r="F1883" t="s">
        <v>1583</v>
      </c>
      <c r="I1883" t="s">
        <v>1058</v>
      </c>
      <c r="K1883">
        <v>1947</v>
      </c>
      <c r="L1883">
        <v>1947</v>
      </c>
      <c r="M1883" t="s">
        <v>209</v>
      </c>
      <c r="N1883" t="s">
        <v>203</v>
      </c>
      <c r="Q1883" s="2" t="str">
        <f>IF($C1883="","",IFERROR(VLOOKUP($C1883,sources!$A$2:$N$200,2,FALSE()),"?"))</f>
        <v>Map</v>
      </c>
      <c r="R1883" s="2" t="str">
        <f t="shared" si="29"/>
        <v>Map</v>
      </c>
      <c r="S1883" s="2" t="str">
        <f>IF($C1883="","",IFERROR(VLOOKUP($C1883,sources!$A$2:$N$200,9,FALSE()),"?"))</f>
        <v>US military</v>
      </c>
      <c r="T1883" t="s">
        <v>5692</v>
      </c>
      <c r="U1883">
        <f>IF(OR(B1883="",C1883="",T1883="Retracted",LEFT(D1883,8)="Negative"),0,IF(COUNTIFS($B$2:B1883,B1883,$C$2:C1883,C1883,$D$2:D1883,"&lt;&gt;Negative*",$T$2:T1883,"&lt;&gt;Retracted")=1,1,0))</f>
        <v>0</v>
      </c>
    </row>
    <row r="1884" spans="1:21" x14ac:dyDescent="0.2">
      <c r="A1884" t="s">
        <v>4019</v>
      </c>
      <c r="B1884" t="s">
        <v>932</v>
      </c>
      <c r="C1884" t="s">
        <v>1401</v>
      </c>
      <c r="D1884" t="s">
        <v>1613</v>
      </c>
      <c r="E1884" t="s">
        <v>934</v>
      </c>
      <c r="F1884" t="s">
        <v>1583</v>
      </c>
      <c r="I1884" t="s">
        <v>1058</v>
      </c>
      <c r="K1884">
        <v>1947</v>
      </c>
      <c r="L1884">
        <v>1947</v>
      </c>
      <c r="M1884" t="s">
        <v>209</v>
      </c>
      <c r="N1884" t="s">
        <v>203</v>
      </c>
      <c r="Q1884" s="2" t="str">
        <f>IF($C1884="","",IFERROR(VLOOKUP($C1884,sources!$A$2:$N$200,2,FALSE()),"?"))</f>
        <v>Map</v>
      </c>
      <c r="R1884" s="2" t="str">
        <f t="shared" si="29"/>
        <v>Map</v>
      </c>
      <c r="S1884" s="2" t="str">
        <f>IF($C1884="","",IFERROR(VLOOKUP($C1884,sources!$A$2:$N$200,9,FALSE()),"?"))</f>
        <v>US military</v>
      </c>
      <c r="T1884" t="s">
        <v>5692</v>
      </c>
      <c r="U1884">
        <f>IF(OR(B1884="",C1884="",T1884="Retracted",LEFT(D1884,8)="Negative"),0,IF(COUNTIFS($B$2:B1884,B1884,$C$2:C1884,C1884,$D$2:D1884,"&lt;&gt;Negative*",$T$2:T1884,"&lt;&gt;Retracted")=1,1,0))</f>
        <v>0</v>
      </c>
    </row>
    <row r="1885" spans="1:21" x14ac:dyDescent="0.2">
      <c r="A1885" t="s">
        <v>4020</v>
      </c>
      <c r="B1885" t="s">
        <v>938</v>
      </c>
      <c r="C1885" t="s">
        <v>1401</v>
      </c>
      <c r="D1885" t="s">
        <v>1613</v>
      </c>
      <c r="E1885" t="s">
        <v>939</v>
      </c>
      <c r="F1885" t="s">
        <v>1583</v>
      </c>
      <c r="I1885" t="s">
        <v>1058</v>
      </c>
      <c r="K1885">
        <v>1947</v>
      </c>
      <c r="L1885">
        <v>1947</v>
      </c>
      <c r="M1885" t="s">
        <v>209</v>
      </c>
      <c r="N1885" t="s">
        <v>203</v>
      </c>
      <c r="Q1885" s="2" t="str">
        <f>IF($C1885="","",IFERROR(VLOOKUP($C1885,sources!$A$2:$N$200,2,FALSE()),"?"))</f>
        <v>Map</v>
      </c>
      <c r="R1885" s="2" t="str">
        <f t="shared" si="29"/>
        <v>Map</v>
      </c>
      <c r="S1885" s="2" t="str">
        <f>IF($C1885="","",IFERROR(VLOOKUP($C1885,sources!$A$2:$N$200,9,FALSE()),"?"))</f>
        <v>US military</v>
      </c>
      <c r="T1885" t="s">
        <v>5692</v>
      </c>
      <c r="U1885">
        <f>IF(OR(B1885="",C1885="",T1885="Retracted",LEFT(D1885,8)="Negative"),0,IF(COUNTIFS($B$2:B1885,B1885,$C$2:C1885,C1885,$D$2:D1885,"&lt;&gt;Negative*",$T$2:T1885,"&lt;&gt;Retracted")=1,1,0))</f>
        <v>0</v>
      </c>
    </row>
    <row r="1886" spans="1:21" x14ac:dyDescent="0.2">
      <c r="A1886" t="s">
        <v>4021</v>
      </c>
      <c r="B1886" t="s">
        <v>936</v>
      </c>
      <c r="C1886" t="s">
        <v>1401</v>
      </c>
      <c r="D1886" t="s">
        <v>1564</v>
      </c>
      <c r="E1886" t="s">
        <v>4022</v>
      </c>
      <c r="F1886" t="s">
        <v>1583</v>
      </c>
      <c r="I1886" t="s">
        <v>1058</v>
      </c>
      <c r="K1886">
        <v>1947</v>
      </c>
      <c r="L1886">
        <v>1947</v>
      </c>
      <c r="M1886" t="s">
        <v>209</v>
      </c>
      <c r="N1886" t="s">
        <v>203</v>
      </c>
      <c r="Q1886" s="2" t="str">
        <f>IF($C1886="","",IFERROR(VLOOKUP($C1886,sources!$A$2:$N$200,2,FALSE()),"?"))</f>
        <v>Map</v>
      </c>
      <c r="R1886" s="2" t="str">
        <f t="shared" si="29"/>
        <v>Map</v>
      </c>
      <c r="S1886" s="2" t="str">
        <f>IF($C1886="","",IFERROR(VLOOKUP($C1886,sources!$A$2:$N$200,9,FALSE()),"?"))</f>
        <v>US military</v>
      </c>
      <c r="T1886" t="s">
        <v>5692</v>
      </c>
      <c r="U1886">
        <f>IF(OR(B1886="",C1886="",T1886="Retracted",LEFT(D1886,8)="Negative"),0,IF(COUNTIFS($B$2:B1886,B1886,$C$2:C1886,C1886,$D$2:D1886,"&lt;&gt;Negative*",$T$2:T1886,"&lt;&gt;Retracted")=1,1,0))</f>
        <v>1</v>
      </c>
    </row>
    <row r="1887" spans="1:21" x14ac:dyDescent="0.2">
      <c r="A1887" t="s">
        <v>4023</v>
      </c>
      <c r="B1887" t="s">
        <v>955</v>
      </c>
      <c r="C1887" t="s">
        <v>1401</v>
      </c>
      <c r="D1887" t="s">
        <v>1613</v>
      </c>
      <c r="E1887" t="s">
        <v>3898</v>
      </c>
      <c r="F1887" t="s">
        <v>1583</v>
      </c>
      <c r="I1887" t="s">
        <v>1058</v>
      </c>
      <c r="K1887">
        <v>1947</v>
      </c>
      <c r="L1887">
        <v>1947</v>
      </c>
      <c r="M1887" t="s">
        <v>209</v>
      </c>
      <c r="N1887" t="s">
        <v>203</v>
      </c>
      <c r="Q1887" s="2" t="str">
        <f>IF($C1887="","",IFERROR(VLOOKUP($C1887,sources!$A$2:$N$200,2,FALSE()),"?"))</f>
        <v>Map</v>
      </c>
      <c r="R1887" s="2" t="str">
        <f t="shared" si="29"/>
        <v>Map</v>
      </c>
      <c r="S1887" s="2" t="str">
        <f>IF($C1887="","",IFERROR(VLOOKUP($C1887,sources!$A$2:$N$200,9,FALSE()),"?"))</f>
        <v>US military</v>
      </c>
      <c r="T1887" t="s">
        <v>5692</v>
      </c>
      <c r="U1887">
        <f>IF(OR(B1887="",C1887="",T1887="Retracted",LEFT(D1887,8)="Negative"),0,IF(COUNTIFS($B$2:B1887,B1887,$C$2:C1887,C1887,$D$2:D1887,"&lt;&gt;Negative*",$T$2:T1887,"&lt;&gt;Retracted")=1,1,0))</f>
        <v>0</v>
      </c>
    </row>
    <row r="1888" spans="1:21" x14ac:dyDescent="0.2">
      <c r="A1888" t="s">
        <v>4024</v>
      </c>
      <c r="B1888" t="s">
        <v>962</v>
      </c>
      <c r="C1888" t="s">
        <v>1401</v>
      </c>
      <c r="D1888" t="s">
        <v>1613</v>
      </c>
      <c r="E1888" t="s">
        <v>963</v>
      </c>
      <c r="F1888" t="s">
        <v>1583</v>
      </c>
      <c r="I1888" t="s">
        <v>1058</v>
      </c>
      <c r="K1888">
        <v>1947</v>
      </c>
      <c r="L1888">
        <v>1947</v>
      </c>
      <c r="M1888" t="s">
        <v>209</v>
      </c>
      <c r="N1888" t="s">
        <v>209</v>
      </c>
      <c r="Q1888" s="2" t="str">
        <f>IF($C1888="","",IFERROR(VLOOKUP($C1888,sources!$A$2:$N$200,2,FALSE()),"?"))</f>
        <v>Map</v>
      </c>
      <c r="R1888" s="2" t="str">
        <f t="shared" si="29"/>
        <v>Map</v>
      </c>
      <c r="S1888" s="2" t="str">
        <f>IF($C1888="","",IFERROR(VLOOKUP($C1888,sources!$A$2:$N$200,9,FALSE()),"?"))</f>
        <v>US military</v>
      </c>
      <c r="T1888" t="s">
        <v>5692</v>
      </c>
      <c r="U1888">
        <f>IF(OR(B1888="",C1888="",T1888="Retracted",LEFT(D1888,8)="Negative"),0,IF(COUNTIFS($B$2:B1888,B1888,$C$2:C1888,C1888,$D$2:D1888,"&lt;&gt;Negative*",$T$2:T1888,"&lt;&gt;Retracted")=1,1,0))</f>
        <v>0</v>
      </c>
    </row>
    <row r="1889" spans="1:21" x14ac:dyDescent="0.2">
      <c r="A1889" t="s">
        <v>4025</v>
      </c>
      <c r="B1889" t="s">
        <v>959</v>
      </c>
      <c r="C1889" t="s">
        <v>1401</v>
      </c>
      <c r="D1889" t="s">
        <v>1613</v>
      </c>
      <c r="E1889" t="s">
        <v>960</v>
      </c>
      <c r="F1889" t="s">
        <v>1583</v>
      </c>
      <c r="I1889" t="s">
        <v>1058</v>
      </c>
      <c r="K1889">
        <v>1947</v>
      </c>
      <c r="L1889">
        <v>1947</v>
      </c>
      <c r="M1889" t="s">
        <v>209</v>
      </c>
      <c r="N1889" t="s">
        <v>209</v>
      </c>
      <c r="Q1889" s="2" t="str">
        <f>IF($C1889="","",IFERROR(VLOOKUP($C1889,sources!$A$2:$N$200,2,FALSE()),"?"))</f>
        <v>Map</v>
      </c>
      <c r="R1889" s="2" t="str">
        <f t="shared" si="29"/>
        <v>Map</v>
      </c>
      <c r="S1889" s="2" t="str">
        <f>IF($C1889="","",IFERROR(VLOOKUP($C1889,sources!$A$2:$N$200,9,FALSE()),"?"))</f>
        <v>US military</v>
      </c>
      <c r="T1889" t="s">
        <v>5692</v>
      </c>
      <c r="U1889">
        <f>IF(OR(B1889="",C1889="",T1889="Retracted",LEFT(D1889,8)="Negative"),0,IF(COUNTIFS($B$2:B1889,B1889,$C$2:C1889,C1889,$D$2:D1889,"&lt;&gt;Negative*",$T$2:T1889,"&lt;&gt;Retracted")=1,1,0))</f>
        <v>0</v>
      </c>
    </row>
    <row r="1890" spans="1:21" x14ac:dyDescent="0.2">
      <c r="A1890" t="s">
        <v>4026</v>
      </c>
      <c r="B1890" t="s">
        <v>943</v>
      </c>
      <c r="C1890" t="s">
        <v>1401</v>
      </c>
      <c r="D1890" t="s">
        <v>1613</v>
      </c>
      <c r="E1890" t="s">
        <v>944</v>
      </c>
      <c r="F1890" t="s">
        <v>1583</v>
      </c>
      <c r="I1890" t="s">
        <v>1058</v>
      </c>
      <c r="K1890">
        <v>1947</v>
      </c>
      <c r="L1890">
        <v>1947</v>
      </c>
      <c r="M1890" t="s">
        <v>209</v>
      </c>
      <c r="N1890" t="s">
        <v>209</v>
      </c>
      <c r="Q1890" s="2" t="str">
        <f>IF($C1890="","",IFERROR(VLOOKUP($C1890,sources!$A$2:$N$200,2,FALSE()),"?"))</f>
        <v>Map</v>
      </c>
      <c r="R1890" s="2" t="str">
        <f t="shared" si="29"/>
        <v>Map</v>
      </c>
      <c r="S1890" s="2" t="str">
        <f>IF($C1890="","",IFERROR(VLOOKUP($C1890,sources!$A$2:$N$200,9,FALSE()),"?"))</f>
        <v>US military</v>
      </c>
      <c r="T1890" t="s">
        <v>5692</v>
      </c>
      <c r="U1890">
        <f>IF(OR(B1890="",C1890="",T1890="Retracted",LEFT(D1890,8)="Negative"),0,IF(COUNTIFS($B$2:B1890,B1890,$C$2:C1890,C1890,$D$2:D1890,"&lt;&gt;Negative*",$T$2:T1890,"&lt;&gt;Retracted")=1,1,0))</f>
        <v>0</v>
      </c>
    </row>
    <row r="1891" spans="1:21" x14ac:dyDescent="0.2">
      <c r="A1891" t="s">
        <v>4027</v>
      </c>
      <c r="B1891" t="s">
        <v>947</v>
      </c>
      <c r="C1891" t="s">
        <v>1401</v>
      </c>
      <c r="D1891" t="s">
        <v>1613</v>
      </c>
      <c r="E1891" t="s">
        <v>948</v>
      </c>
      <c r="F1891" t="s">
        <v>1583</v>
      </c>
      <c r="I1891" t="s">
        <v>1058</v>
      </c>
      <c r="K1891">
        <v>1947</v>
      </c>
      <c r="L1891">
        <v>1947</v>
      </c>
      <c r="M1891" t="s">
        <v>209</v>
      </c>
      <c r="N1891" t="s">
        <v>203</v>
      </c>
      <c r="Q1891" s="2" t="str">
        <f>IF($C1891="","",IFERROR(VLOOKUP($C1891,sources!$A$2:$N$200,2,FALSE()),"?"))</f>
        <v>Map</v>
      </c>
      <c r="R1891" s="2" t="str">
        <f t="shared" si="29"/>
        <v>Map</v>
      </c>
      <c r="S1891" s="2" t="str">
        <f>IF($C1891="","",IFERROR(VLOOKUP($C1891,sources!$A$2:$N$200,9,FALSE()),"?"))</f>
        <v>US military</v>
      </c>
      <c r="T1891" t="s">
        <v>5692</v>
      </c>
      <c r="U1891">
        <f>IF(OR(B1891="",C1891="",T1891="Retracted",LEFT(D1891,8)="Negative"),0,IF(COUNTIFS($B$2:B1891,B1891,$C$2:C1891,C1891,$D$2:D1891,"&lt;&gt;Negative*",$T$2:T1891,"&lt;&gt;Retracted")=1,1,0))</f>
        <v>0</v>
      </c>
    </row>
    <row r="1892" spans="1:21" x14ac:dyDescent="0.2">
      <c r="A1892" t="s">
        <v>4028</v>
      </c>
      <c r="B1892" t="s">
        <v>835</v>
      </c>
      <c r="C1892" t="s">
        <v>1401</v>
      </c>
      <c r="D1892" t="s">
        <v>1613</v>
      </c>
      <c r="E1892" t="s">
        <v>836</v>
      </c>
      <c r="F1892" t="s">
        <v>1583</v>
      </c>
      <c r="I1892" t="s">
        <v>1058</v>
      </c>
      <c r="K1892">
        <v>1947</v>
      </c>
      <c r="L1892">
        <v>1947</v>
      </c>
      <c r="M1892" t="s">
        <v>209</v>
      </c>
      <c r="N1892" t="s">
        <v>203</v>
      </c>
      <c r="Q1892" s="2" t="str">
        <f>IF($C1892="","",IFERROR(VLOOKUP($C1892,sources!$A$2:$N$200,2,FALSE()),"?"))</f>
        <v>Map</v>
      </c>
      <c r="R1892" s="2" t="str">
        <f t="shared" si="29"/>
        <v>Map</v>
      </c>
      <c r="S1892" s="2" t="str">
        <f>IF($C1892="","",IFERROR(VLOOKUP($C1892,sources!$A$2:$N$200,9,FALSE()),"?"))</f>
        <v>US military</v>
      </c>
      <c r="T1892" t="s">
        <v>5692</v>
      </c>
      <c r="U1892">
        <f>IF(OR(B1892="",C1892="",T1892="Retracted",LEFT(D1892,8)="Negative"),0,IF(COUNTIFS($B$2:B1892,B1892,$C$2:C1892,C1892,$D$2:D1892,"&lt;&gt;Negative*",$T$2:T1892,"&lt;&gt;Retracted")=1,1,0))</f>
        <v>0</v>
      </c>
    </row>
    <row r="1893" spans="1:21" x14ac:dyDescent="0.2">
      <c r="A1893" t="s">
        <v>4029</v>
      </c>
      <c r="B1893" t="s">
        <v>966</v>
      </c>
      <c r="C1893" t="s">
        <v>1401</v>
      </c>
      <c r="D1893" t="s">
        <v>1613</v>
      </c>
      <c r="E1893" t="s">
        <v>967</v>
      </c>
      <c r="F1893" t="s">
        <v>1583</v>
      </c>
      <c r="I1893" t="s">
        <v>1058</v>
      </c>
      <c r="K1893">
        <v>1947</v>
      </c>
      <c r="L1893">
        <v>1947</v>
      </c>
      <c r="M1893" t="s">
        <v>209</v>
      </c>
      <c r="N1893" t="s">
        <v>190</v>
      </c>
      <c r="Q1893" s="2" t="str">
        <f>IF($C1893="","",IFERROR(VLOOKUP($C1893,sources!$A$2:$N$200,2,FALSE()),"?"))</f>
        <v>Map</v>
      </c>
      <c r="R1893" s="2" t="str">
        <f t="shared" si="29"/>
        <v>Map</v>
      </c>
      <c r="S1893" s="2" t="str">
        <f>IF($C1893="","",IFERROR(VLOOKUP($C1893,sources!$A$2:$N$200,9,FALSE()),"?"))</f>
        <v>US military</v>
      </c>
      <c r="T1893" t="s">
        <v>5693</v>
      </c>
      <c r="U1893">
        <f>IF(OR(B1893="",C1893="",T1893="Retracted",LEFT(D1893,8)="Negative"),0,IF(COUNTIFS($B$2:B1893,B1893,$C$2:C1893,C1893,$D$2:D1893,"&lt;&gt;Negative*",$T$2:T1893,"&lt;&gt;Retracted")=1,1,0))</f>
        <v>0</v>
      </c>
    </row>
    <row r="1894" spans="1:21" x14ac:dyDescent="0.2">
      <c r="A1894" t="s">
        <v>4030</v>
      </c>
      <c r="B1894" t="s">
        <v>947</v>
      </c>
      <c r="C1894" t="s">
        <v>1168</v>
      </c>
      <c r="D1894" t="s">
        <v>1564</v>
      </c>
      <c r="E1894" t="s">
        <v>4031</v>
      </c>
      <c r="F1894" t="s">
        <v>1583</v>
      </c>
      <c r="I1894" t="s">
        <v>1058</v>
      </c>
      <c r="K1894">
        <v>1911</v>
      </c>
      <c r="L1894">
        <v>1911</v>
      </c>
      <c r="M1894" t="s">
        <v>209</v>
      </c>
      <c r="N1894" t="s">
        <v>203</v>
      </c>
      <c r="Q1894" s="2" t="str">
        <f>IF($C1894="","",IFERROR(VLOOKUP($C1894,sources!$A$2:$N$200,2,FALSE()),"?"))</f>
        <v>Map</v>
      </c>
      <c r="R1894" s="2" t="str">
        <f t="shared" si="29"/>
        <v>Map</v>
      </c>
      <c r="S1894" s="2" t="str">
        <f>IF($C1894="","",IFERROR(VLOOKUP($C1894,sources!$A$2:$N$200,9,FALSE()),"?"))</f>
        <v>US official</v>
      </c>
      <c r="T1894" t="s">
        <v>5692</v>
      </c>
      <c r="U1894">
        <f>IF(OR(B1894="",C1894="",T1894="Retracted",LEFT(D1894,8)="Negative"),0,IF(COUNTIFS($B$2:B1894,B1894,$C$2:C1894,C1894,$D$2:D1894,"&lt;&gt;Negative*",$T$2:T1894,"&lt;&gt;Retracted")=1,1,0))</f>
        <v>1</v>
      </c>
    </row>
    <row r="1895" spans="1:21" x14ac:dyDescent="0.2">
      <c r="A1895" t="s">
        <v>4032</v>
      </c>
      <c r="B1895" t="s">
        <v>943</v>
      </c>
      <c r="C1895" t="s">
        <v>1168</v>
      </c>
      <c r="D1895" t="s">
        <v>1564</v>
      </c>
      <c r="E1895" t="s">
        <v>4033</v>
      </c>
      <c r="F1895" t="s">
        <v>1583</v>
      </c>
      <c r="I1895" t="s">
        <v>1058</v>
      </c>
      <c r="K1895">
        <v>1911</v>
      </c>
      <c r="L1895">
        <v>1911</v>
      </c>
      <c r="M1895" t="s">
        <v>209</v>
      </c>
      <c r="N1895" t="s">
        <v>203</v>
      </c>
      <c r="Q1895" s="2" t="str">
        <f>IF($C1895="","",IFERROR(VLOOKUP($C1895,sources!$A$2:$N$200,2,FALSE()),"?"))</f>
        <v>Map</v>
      </c>
      <c r="R1895" s="2" t="str">
        <f t="shared" si="29"/>
        <v>Map</v>
      </c>
      <c r="S1895" s="2" t="str">
        <f>IF($C1895="","",IFERROR(VLOOKUP($C1895,sources!$A$2:$N$200,9,FALSE()),"?"))</f>
        <v>US official</v>
      </c>
      <c r="T1895" t="s">
        <v>5692</v>
      </c>
      <c r="U1895">
        <f>IF(OR(B1895="",C1895="",T1895="Retracted",LEFT(D1895,8)="Negative"),0,IF(COUNTIFS($B$2:B1895,B1895,$C$2:C1895,C1895,$D$2:D1895,"&lt;&gt;Negative*",$T$2:T1895,"&lt;&gt;Retracted")=1,1,0))</f>
        <v>1</v>
      </c>
    </row>
    <row r="1896" spans="1:21" x14ac:dyDescent="0.2">
      <c r="A1896" t="s">
        <v>4034</v>
      </c>
      <c r="B1896" t="s">
        <v>801</v>
      </c>
      <c r="C1896" t="s">
        <v>1168</v>
      </c>
      <c r="D1896" t="s">
        <v>1613</v>
      </c>
      <c r="E1896" t="s">
        <v>802</v>
      </c>
      <c r="F1896" t="s">
        <v>1583</v>
      </c>
      <c r="I1896" t="s">
        <v>1058</v>
      </c>
      <c r="K1896">
        <v>1911</v>
      </c>
      <c r="L1896">
        <v>1911</v>
      </c>
      <c r="M1896" t="s">
        <v>209</v>
      </c>
      <c r="N1896" t="s">
        <v>209</v>
      </c>
      <c r="Q1896" s="2" t="str">
        <f>IF($C1896="","",IFERROR(VLOOKUP($C1896,sources!$A$2:$N$200,2,FALSE()),"?"))</f>
        <v>Map</v>
      </c>
      <c r="R1896" s="2" t="str">
        <f t="shared" si="29"/>
        <v>Map</v>
      </c>
      <c r="S1896" s="2" t="str">
        <f>IF($C1896="","",IFERROR(VLOOKUP($C1896,sources!$A$2:$N$200,9,FALSE()),"?"))</f>
        <v>US official</v>
      </c>
      <c r="T1896" t="s">
        <v>5692</v>
      </c>
      <c r="U1896">
        <f>IF(OR(B1896="",C1896="",T1896="Retracted",LEFT(D1896,8)="Negative"),0,IF(COUNTIFS($B$2:B1896,B1896,$C$2:C1896,C1896,$D$2:D1896,"&lt;&gt;Negative*",$T$2:T1896,"&lt;&gt;Retracted")=1,1,0))</f>
        <v>0</v>
      </c>
    </row>
    <row r="1897" spans="1:21" x14ac:dyDescent="0.2">
      <c r="A1897" t="s">
        <v>4035</v>
      </c>
      <c r="B1897" t="s">
        <v>805</v>
      </c>
      <c r="C1897" t="s">
        <v>1168</v>
      </c>
      <c r="D1897" t="s">
        <v>1613</v>
      </c>
      <c r="E1897" t="s">
        <v>806</v>
      </c>
      <c r="F1897" t="s">
        <v>1583</v>
      </c>
      <c r="I1897" t="s">
        <v>1058</v>
      </c>
      <c r="K1897">
        <v>1911</v>
      </c>
      <c r="L1897">
        <v>1911</v>
      </c>
      <c r="M1897" t="s">
        <v>209</v>
      </c>
      <c r="N1897" t="s">
        <v>209</v>
      </c>
      <c r="Q1897" s="2" t="str">
        <f>IF($C1897="","",IFERROR(VLOOKUP($C1897,sources!$A$2:$N$200,2,FALSE()),"?"))</f>
        <v>Map</v>
      </c>
      <c r="R1897" s="2" t="str">
        <f t="shared" si="29"/>
        <v>Map</v>
      </c>
      <c r="S1897" s="2" t="str">
        <f>IF($C1897="","",IFERROR(VLOOKUP($C1897,sources!$A$2:$N$200,9,FALSE()),"?"))</f>
        <v>US official</v>
      </c>
      <c r="T1897" t="s">
        <v>5692</v>
      </c>
      <c r="U1897">
        <f>IF(OR(B1897="",C1897="",T1897="Retracted",LEFT(D1897,8)="Negative"),0,IF(COUNTIFS($B$2:B1897,B1897,$C$2:C1897,C1897,$D$2:D1897,"&lt;&gt;Negative*",$T$2:T1897,"&lt;&gt;Retracted")=1,1,0))</f>
        <v>0</v>
      </c>
    </row>
    <row r="1898" spans="1:21" x14ac:dyDescent="0.2">
      <c r="A1898" t="s">
        <v>4036</v>
      </c>
      <c r="B1898" t="s">
        <v>547</v>
      </c>
      <c r="C1898" t="s">
        <v>1168</v>
      </c>
      <c r="D1898" t="s">
        <v>1613</v>
      </c>
      <c r="E1898" t="s">
        <v>548</v>
      </c>
      <c r="F1898" t="s">
        <v>1583</v>
      </c>
      <c r="I1898" t="s">
        <v>1058</v>
      </c>
      <c r="K1898">
        <v>1911</v>
      </c>
      <c r="L1898">
        <v>1911</v>
      </c>
      <c r="M1898" t="s">
        <v>209</v>
      </c>
      <c r="N1898" t="s">
        <v>209</v>
      </c>
      <c r="Q1898" s="2" t="str">
        <f>IF($C1898="","",IFERROR(VLOOKUP($C1898,sources!$A$2:$N$200,2,FALSE()),"?"))</f>
        <v>Map</v>
      </c>
      <c r="R1898" s="2" t="str">
        <f t="shared" si="29"/>
        <v>Map</v>
      </c>
      <c r="S1898" s="2" t="str">
        <f>IF($C1898="","",IFERROR(VLOOKUP($C1898,sources!$A$2:$N$200,9,FALSE()),"?"))</f>
        <v>US official</v>
      </c>
      <c r="T1898" t="s">
        <v>5692</v>
      </c>
      <c r="U1898">
        <f>IF(OR(B1898="",C1898="",T1898="Retracted",LEFT(D1898,8)="Negative"),0,IF(COUNTIFS($B$2:B1898,B1898,$C$2:C1898,C1898,$D$2:D1898,"&lt;&gt;Negative*",$T$2:T1898,"&lt;&gt;Retracted")=1,1,0))</f>
        <v>0</v>
      </c>
    </row>
    <row r="1899" spans="1:21" x14ac:dyDescent="0.2">
      <c r="A1899" t="s">
        <v>4037</v>
      </c>
      <c r="B1899" t="s">
        <v>971</v>
      </c>
      <c r="C1899" t="s">
        <v>1168</v>
      </c>
      <c r="D1899" t="s">
        <v>1613</v>
      </c>
      <c r="E1899" t="s">
        <v>972</v>
      </c>
      <c r="F1899" t="s">
        <v>1583</v>
      </c>
      <c r="I1899" t="s">
        <v>1058</v>
      </c>
      <c r="K1899">
        <v>1911</v>
      </c>
      <c r="L1899">
        <v>1911</v>
      </c>
      <c r="M1899" t="s">
        <v>209</v>
      </c>
      <c r="N1899" t="s">
        <v>209</v>
      </c>
      <c r="Q1899" s="2" t="str">
        <f>IF($C1899="","",IFERROR(VLOOKUP($C1899,sources!$A$2:$N$200,2,FALSE()),"?"))</f>
        <v>Map</v>
      </c>
      <c r="R1899" s="2" t="str">
        <f t="shared" si="29"/>
        <v>Map</v>
      </c>
      <c r="S1899" s="2" t="str">
        <f>IF($C1899="","",IFERROR(VLOOKUP($C1899,sources!$A$2:$N$200,9,FALSE()),"?"))</f>
        <v>US official</v>
      </c>
      <c r="T1899" t="s">
        <v>5692</v>
      </c>
      <c r="U1899">
        <f>IF(OR(B1899="",C1899="",T1899="Retracted",LEFT(D1899,8)="Negative"),0,IF(COUNTIFS($B$2:B1899,B1899,$C$2:C1899,C1899,$D$2:D1899,"&lt;&gt;Negative*",$T$2:T1899,"&lt;&gt;Retracted")=1,1,0))</f>
        <v>0</v>
      </c>
    </row>
    <row r="1900" spans="1:21" x14ac:dyDescent="0.2">
      <c r="A1900" t="s">
        <v>4038</v>
      </c>
      <c r="B1900" t="s">
        <v>936</v>
      </c>
      <c r="C1900" t="s">
        <v>1168</v>
      </c>
      <c r="D1900" t="s">
        <v>1613</v>
      </c>
      <c r="E1900" t="s">
        <v>951</v>
      </c>
      <c r="F1900" t="s">
        <v>1583</v>
      </c>
      <c r="I1900" t="s">
        <v>1058</v>
      </c>
      <c r="K1900">
        <v>1911</v>
      </c>
      <c r="L1900">
        <v>1911</v>
      </c>
      <c r="M1900" t="s">
        <v>209</v>
      </c>
      <c r="N1900" t="s">
        <v>209</v>
      </c>
      <c r="Q1900" s="2" t="str">
        <f>IF($C1900="","",IFERROR(VLOOKUP($C1900,sources!$A$2:$N$200,2,FALSE()),"?"))</f>
        <v>Map</v>
      </c>
      <c r="R1900" s="2" t="str">
        <f t="shared" si="29"/>
        <v>Map</v>
      </c>
      <c r="S1900" s="2" t="str">
        <f>IF($C1900="","",IFERROR(VLOOKUP($C1900,sources!$A$2:$N$200,9,FALSE()),"?"))</f>
        <v>US official</v>
      </c>
      <c r="T1900" t="s">
        <v>5692</v>
      </c>
      <c r="U1900">
        <f>IF(OR(B1900="",C1900="",T1900="Retracted",LEFT(D1900,8)="Negative"),0,IF(COUNTIFS($B$2:B1900,B1900,$C$2:C1900,C1900,$D$2:D1900,"&lt;&gt;Negative*",$T$2:T1900,"&lt;&gt;Retracted")=1,1,0))</f>
        <v>0</v>
      </c>
    </row>
    <row r="1901" spans="1:21" x14ac:dyDescent="0.2">
      <c r="A1901" t="s">
        <v>4039</v>
      </c>
      <c r="B1901" t="s">
        <v>955</v>
      </c>
      <c r="C1901" t="s">
        <v>1168</v>
      </c>
      <c r="D1901" t="s">
        <v>1613</v>
      </c>
      <c r="E1901" t="s">
        <v>3898</v>
      </c>
      <c r="F1901" t="s">
        <v>1583</v>
      </c>
      <c r="I1901" t="s">
        <v>1058</v>
      </c>
      <c r="K1901">
        <v>1911</v>
      </c>
      <c r="L1901">
        <v>1911</v>
      </c>
      <c r="M1901" t="s">
        <v>209</v>
      </c>
      <c r="N1901" t="s">
        <v>209</v>
      </c>
      <c r="Q1901" s="2" t="str">
        <f>IF($C1901="","",IFERROR(VLOOKUP($C1901,sources!$A$2:$N$200,2,FALSE()),"?"))</f>
        <v>Map</v>
      </c>
      <c r="R1901" s="2" t="str">
        <f t="shared" si="29"/>
        <v>Map</v>
      </c>
      <c r="S1901" s="2" t="str">
        <f>IF($C1901="","",IFERROR(VLOOKUP($C1901,sources!$A$2:$N$200,9,FALSE()),"?"))</f>
        <v>US official</v>
      </c>
      <c r="T1901" t="s">
        <v>5692</v>
      </c>
      <c r="U1901">
        <f>IF(OR(B1901="",C1901="",T1901="Retracted",LEFT(D1901,8)="Negative"),0,IF(COUNTIFS($B$2:B1901,B1901,$C$2:C1901,C1901,$D$2:D1901,"&lt;&gt;Negative*",$T$2:T1901,"&lt;&gt;Retracted")=1,1,0))</f>
        <v>0</v>
      </c>
    </row>
    <row r="1902" spans="1:21" x14ac:dyDescent="0.2">
      <c r="A1902" t="s">
        <v>4040</v>
      </c>
      <c r="B1902" t="s">
        <v>959</v>
      </c>
      <c r="C1902" t="s">
        <v>1168</v>
      </c>
      <c r="D1902" t="s">
        <v>1613</v>
      </c>
      <c r="E1902" t="s">
        <v>960</v>
      </c>
      <c r="F1902" t="s">
        <v>1583</v>
      </c>
      <c r="I1902" t="s">
        <v>1058</v>
      </c>
      <c r="K1902">
        <v>1911</v>
      </c>
      <c r="L1902">
        <v>1911</v>
      </c>
      <c r="M1902" t="s">
        <v>209</v>
      </c>
      <c r="N1902" t="s">
        <v>209</v>
      </c>
      <c r="Q1902" s="2" t="str">
        <f>IF($C1902="","",IFERROR(VLOOKUP($C1902,sources!$A$2:$N$200,2,FALSE()),"?"))</f>
        <v>Map</v>
      </c>
      <c r="R1902" s="2" t="str">
        <f t="shared" si="29"/>
        <v>Map</v>
      </c>
      <c r="S1902" s="2" t="str">
        <f>IF($C1902="","",IFERROR(VLOOKUP($C1902,sources!$A$2:$N$200,9,FALSE()),"?"))</f>
        <v>US official</v>
      </c>
      <c r="T1902" t="s">
        <v>5692</v>
      </c>
      <c r="U1902">
        <f>IF(OR(B1902="",C1902="",T1902="Retracted",LEFT(D1902,8)="Negative"),0,IF(COUNTIFS($B$2:B1902,B1902,$C$2:C1902,C1902,$D$2:D1902,"&lt;&gt;Negative*",$T$2:T1902,"&lt;&gt;Retracted")=1,1,0))</f>
        <v>0</v>
      </c>
    </row>
    <row r="1903" spans="1:21" x14ac:dyDescent="0.2">
      <c r="A1903" t="s">
        <v>4041</v>
      </c>
      <c r="B1903" t="s">
        <v>962</v>
      </c>
      <c r="C1903" t="s">
        <v>1168</v>
      </c>
      <c r="D1903" t="s">
        <v>1613</v>
      </c>
      <c r="E1903" t="s">
        <v>963</v>
      </c>
      <c r="F1903" t="s">
        <v>1583</v>
      </c>
      <c r="I1903" t="s">
        <v>1058</v>
      </c>
      <c r="K1903">
        <v>1911</v>
      </c>
      <c r="L1903">
        <v>1911</v>
      </c>
      <c r="M1903" t="s">
        <v>209</v>
      </c>
      <c r="N1903" t="s">
        <v>209</v>
      </c>
      <c r="Q1903" s="2" t="str">
        <f>IF($C1903="","",IFERROR(VLOOKUP($C1903,sources!$A$2:$N$200,2,FALSE()),"?"))</f>
        <v>Map</v>
      </c>
      <c r="R1903" s="2" t="str">
        <f t="shared" si="29"/>
        <v>Map</v>
      </c>
      <c r="S1903" s="2" t="str">
        <f>IF($C1903="","",IFERROR(VLOOKUP($C1903,sources!$A$2:$N$200,9,FALSE()),"?"))</f>
        <v>US official</v>
      </c>
      <c r="T1903" t="s">
        <v>5692</v>
      </c>
      <c r="U1903">
        <f>IF(OR(B1903="",C1903="",T1903="Retracted",LEFT(D1903,8)="Negative"),0,IF(COUNTIFS($B$2:B1903,B1903,$C$2:C1903,C1903,$D$2:D1903,"&lt;&gt;Negative*",$T$2:T1903,"&lt;&gt;Retracted")=1,1,0))</f>
        <v>0</v>
      </c>
    </row>
    <row r="1904" spans="1:21" x14ac:dyDescent="0.2">
      <c r="A1904" t="s">
        <v>4042</v>
      </c>
      <c r="B1904" t="s">
        <v>966</v>
      </c>
      <c r="C1904" t="s">
        <v>1168</v>
      </c>
      <c r="D1904" t="s">
        <v>1613</v>
      </c>
      <c r="E1904" t="s">
        <v>967</v>
      </c>
      <c r="F1904" t="s">
        <v>1583</v>
      </c>
      <c r="I1904" t="s">
        <v>1058</v>
      </c>
      <c r="K1904">
        <v>1911</v>
      </c>
      <c r="L1904">
        <v>1911</v>
      </c>
      <c r="M1904" t="s">
        <v>209</v>
      </c>
      <c r="N1904" t="s">
        <v>190</v>
      </c>
      <c r="Q1904" s="2" t="str">
        <f>IF($C1904="","",IFERROR(VLOOKUP($C1904,sources!$A$2:$N$200,2,FALSE()),"?"))</f>
        <v>Map</v>
      </c>
      <c r="R1904" s="2" t="str">
        <f t="shared" si="29"/>
        <v>Map</v>
      </c>
      <c r="S1904" s="2" t="str">
        <f>IF($C1904="","",IFERROR(VLOOKUP($C1904,sources!$A$2:$N$200,9,FALSE()),"?"))</f>
        <v>US official</v>
      </c>
      <c r="T1904" t="s">
        <v>5693</v>
      </c>
      <c r="U1904">
        <f>IF(OR(B1904="",C1904="",T1904="Retracted",LEFT(D1904,8)="Negative"),0,IF(COUNTIFS($B$2:B1904,B1904,$C$2:C1904,C1904,$D$2:D1904,"&lt;&gt;Negative*",$T$2:T1904,"&lt;&gt;Retracted")=1,1,0))</f>
        <v>0</v>
      </c>
    </row>
    <row r="1905" spans="1:21" x14ac:dyDescent="0.2">
      <c r="A1905" t="s">
        <v>4043</v>
      </c>
      <c r="B1905" t="s">
        <v>938</v>
      </c>
      <c r="C1905" t="s">
        <v>1168</v>
      </c>
      <c r="D1905" t="s">
        <v>1613</v>
      </c>
      <c r="E1905" t="s">
        <v>939</v>
      </c>
      <c r="F1905" t="s">
        <v>1583</v>
      </c>
      <c r="I1905" t="s">
        <v>1058</v>
      </c>
      <c r="K1905">
        <v>1911</v>
      </c>
      <c r="L1905">
        <v>1911</v>
      </c>
      <c r="M1905" t="s">
        <v>209</v>
      </c>
      <c r="N1905" t="s">
        <v>209</v>
      </c>
      <c r="Q1905" s="2" t="str">
        <f>IF($C1905="","",IFERROR(VLOOKUP($C1905,sources!$A$2:$N$200,2,FALSE()),"?"))</f>
        <v>Map</v>
      </c>
      <c r="R1905" s="2" t="str">
        <f t="shared" si="29"/>
        <v>Map</v>
      </c>
      <c r="S1905" s="2" t="str">
        <f>IF($C1905="","",IFERROR(VLOOKUP($C1905,sources!$A$2:$N$200,9,FALSE()),"?"))</f>
        <v>US official</v>
      </c>
      <c r="T1905" t="s">
        <v>5692</v>
      </c>
      <c r="U1905">
        <f>IF(OR(B1905="",C1905="",T1905="Retracted",LEFT(D1905,8)="Negative"),0,IF(COUNTIFS($B$2:B1905,B1905,$C$2:C1905,C1905,$D$2:D1905,"&lt;&gt;Negative*",$T$2:T1905,"&lt;&gt;Retracted")=1,1,0))</f>
        <v>0</v>
      </c>
    </row>
    <row r="1906" spans="1:21" x14ac:dyDescent="0.2">
      <c r="A1906" t="s">
        <v>4044</v>
      </c>
      <c r="B1906" t="s">
        <v>452</v>
      </c>
      <c r="C1906" t="s">
        <v>1168</v>
      </c>
      <c r="D1906" t="s">
        <v>1613</v>
      </c>
      <c r="E1906" t="s">
        <v>453</v>
      </c>
      <c r="F1906" t="s">
        <v>1583</v>
      </c>
      <c r="I1906" t="s">
        <v>1058</v>
      </c>
      <c r="K1906">
        <v>1911</v>
      </c>
      <c r="L1906">
        <v>1911</v>
      </c>
      <c r="M1906" t="s">
        <v>209</v>
      </c>
      <c r="N1906" t="s">
        <v>209</v>
      </c>
      <c r="Q1906" s="2" t="str">
        <f>IF($C1906="","",IFERROR(VLOOKUP($C1906,sources!$A$2:$N$200,2,FALSE()),"?"))</f>
        <v>Map</v>
      </c>
      <c r="R1906" s="2" t="str">
        <f t="shared" si="29"/>
        <v>Map</v>
      </c>
      <c r="S1906" s="2" t="str">
        <f>IF($C1906="","",IFERROR(VLOOKUP($C1906,sources!$A$2:$N$200,9,FALSE()),"?"))</f>
        <v>US official</v>
      </c>
      <c r="T1906" t="s">
        <v>5692</v>
      </c>
      <c r="U1906">
        <f>IF(OR(B1906="",C1906="",T1906="Retracted",LEFT(D1906,8)="Negative"),0,IF(COUNTIFS($B$2:B1906,B1906,$C$2:C1906,C1906,$D$2:D1906,"&lt;&gt;Negative*",$T$2:T1906,"&lt;&gt;Retracted")=1,1,0))</f>
        <v>0</v>
      </c>
    </row>
    <row r="1907" spans="1:21" x14ac:dyDescent="0.2">
      <c r="A1907" t="s">
        <v>4045</v>
      </c>
      <c r="B1907" t="s">
        <v>456</v>
      </c>
      <c r="C1907" t="s">
        <v>1168</v>
      </c>
      <c r="D1907" t="s">
        <v>1613</v>
      </c>
      <c r="E1907" t="s">
        <v>457</v>
      </c>
      <c r="F1907" t="s">
        <v>1583</v>
      </c>
      <c r="I1907" t="s">
        <v>1058</v>
      </c>
      <c r="K1907">
        <v>1911</v>
      </c>
      <c r="L1907">
        <v>1911</v>
      </c>
      <c r="M1907" t="s">
        <v>209</v>
      </c>
      <c r="N1907" t="s">
        <v>203</v>
      </c>
      <c r="Q1907" s="2" t="str">
        <f>IF($C1907="","",IFERROR(VLOOKUP($C1907,sources!$A$2:$N$200,2,FALSE()),"?"))</f>
        <v>Map</v>
      </c>
      <c r="R1907" s="2" t="str">
        <f t="shared" si="29"/>
        <v>Map</v>
      </c>
      <c r="S1907" s="2" t="str">
        <f>IF($C1907="","",IFERROR(VLOOKUP($C1907,sources!$A$2:$N$200,9,FALSE()),"?"))</f>
        <v>US official</v>
      </c>
      <c r="T1907" t="s">
        <v>5692</v>
      </c>
      <c r="U1907">
        <f>IF(OR(B1907="",C1907="",T1907="Retracted",LEFT(D1907,8)="Negative"),0,IF(COUNTIFS($B$2:B1907,B1907,$C$2:C1907,C1907,$D$2:D1907,"&lt;&gt;Negative*",$T$2:T1907,"&lt;&gt;Retracted")=1,1,0))</f>
        <v>0</v>
      </c>
    </row>
    <row r="1908" spans="1:21" x14ac:dyDescent="0.2">
      <c r="A1908" t="s">
        <v>4046</v>
      </c>
      <c r="B1908" t="s">
        <v>534</v>
      </c>
      <c r="C1908" t="s">
        <v>1168</v>
      </c>
      <c r="D1908" t="s">
        <v>1613</v>
      </c>
      <c r="E1908" t="s">
        <v>535</v>
      </c>
      <c r="F1908" t="s">
        <v>1583</v>
      </c>
      <c r="I1908" t="s">
        <v>1058</v>
      </c>
      <c r="K1908">
        <v>1911</v>
      </c>
      <c r="L1908">
        <v>1911</v>
      </c>
      <c r="M1908" t="s">
        <v>209</v>
      </c>
      <c r="N1908" t="s">
        <v>209</v>
      </c>
      <c r="Q1908" s="2" t="str">
        <f>IF($C1908="","",IFERROR(VLOOKUP($C1908,sources!$A$2:$N$200,2,FALSE()),"?"))</f>
        <v>Map</v>
      </c>
      <c r="R1908" s="2" t="str">
        <f t="shared" si="29"/>
        <v>Map</v>
      </c>
      <c r="S1908" s="2" t="str">
        <f>IF($C1908="","",IFERROR(VLOOKUP($C1908,sources!$A$2:$N$200,9,FALSE()),"?"))</f>
        <v>US official</v>
      </c>
      <c r="T1908" t="s">
        <v>5692</v>
      </c>
      <c r="U1908">
        <f>IF(OR(B1908="",C1908="",T1908="Retracted",LEFT(D1908,8)="Negative"),0,IF(COUNTIFS($B$2:B1908,B1908,$C$2:C1908,C1908,$D$2:D1908,"&lt;&gt;Negative*",$T$2:T1908,"&lt;&gt;Retracted")=1,1,0))</f>
        <v>0</v>
      </c>
    </row>
    <row r="1909" spans="1:21" x14ac:dyDescent="0.2">
      <c r="A1909" t="s">
        <v>4047</v>
      </c>
      <c r="B1909" t="s">
        <v>538</v>
      </c>
      <c r="C1909" t="s">
        <v>1168</v>
      </c>
      <c r="D1909" t="s">
        <v>1613</v>
      </c>
      <c r="E1909" t="s">
        <v>539</v>
      </c>
      <c r="F1909" t="s">
        <v>1583</v>
      </c>
      <c r="I1909" t="s">
        <v>1058</v>
      </c>
      <c r="K1909">
        <v>1911</v>
      </c>
      <c r="L1909">
        <v>1911</v>
      </c>
      <c r="M1909" t="s">
        <v>209</v>
      </c>
      <c r="N1909" t="s">
        <v>209</v>
      </c>
      <c r="Q1909" s="2" t="str">
        <f>IF($C1909="","",IFERROR(VLOOKUP($C1909,sources!$A$2:$N$200,2,FALSE()),"?"))</f>
        <v>Map</v>
      </c>
      <c r="R1909" s="2" t="str">
        <f t="shared" si="29"/>
        <v>Map</v>
      </c>
      <c r="S1909" s="2" t="str">
        <f>IF($C1909="","",IFERROR(VLOOKUP($C1909,sources!$A$2:$N$200,9,FALSE()),"?"))</f>
        <v>US official</v>
      </c>
      <c r="T1909" t="s">
        <v>5692</v>
      </c>
      <c r="U1909">
        <f>IF(OR(B1909="",C1909="",T1909="Retracted",LEFT(D1909,8)="Negative"),0,IF(COUNTIFS($B$2:B1909,B1909,$C$2:C1909,C1909,$D$2:D1909,"&lt;&gt;Negative*",$T$2:T1909,"&lt;&gt;Retracted")=1,1,0))</f>
        <v>0</v>
      </c>
    </row>
    <row r="1910" spans="1:21" x14ac:dyDescent="0.2">
      <c r="A1910" t="s">
        <v>4048</v>
      </c>
      <c r="B1910" t="s">
        <v>649</v>
      </c>
      <c r="C1910" t="s">
        <v>1168</v>
      </c>
      <c r="D1910" t="s">
        <v>1613</v>
      </c>
      <c r="E1910" t="s">
        <v>650</v>
      </c>
      <c r="F1910" t="s">
        <v>1583</v>
      </c>
      <c r="I1910" t="s">
        <v>1058</v>
      </c>
      <c r="K1910">
        <v>1911</v>
      </c>
      <c r="L1910">
        <v>1911</v>
      </c>
      <c r="M1910" t="s">
        <v>209</v>
      </c>
      <c r="N1910" t="s">
        <v>190</v>
      </c>
      <c r="Q1910" s="2" t="str">
        <f>IF($C1910="","",IFERROR(VLOOKUP($C1910,sources!$A$2:$N$200,2,FALSE()),"?"))</f>
        <v>Map</v>
      </c>
      <c r="R1910" s="2" t="str">
        <f t="shared" si="29"/>
        <v>Map</v>
      </c>
      <c r="S1910" s="2" t="str">
        <f>IF($C1910="","",IFERROR(VLOOKUP($C1910,sources!$A$2:$N$200,9,FALSE()),"?"))</f>
        <v>US official</v>
      </c>
      <c r="T1910" t="s">
        <v>5692</v>
      </c>
      <c r="U1910">
        <f>IF(OR(B1910="",C1910="",T1910="Retracted",LEFT(D1910,8)="Negative"),0,IF(COUNTIFS($B$2:B1910,B1910,$C$2:C1910,C1910,$D$2:D1910,"&lt;&gt;Negative*",$T$2:T1910,"&lt;&gt;Retracted")=1,1,0))</f>
        <v>0</v>
      </c>
    </row>
    <row r="1911" spans="1:21" x14ac:dyDescent="0.2">
      <c r="A1911" t="s">
        <v>4049</v>
      </c>
      <c r="B1911" t="s">
        <v>673</v>
      </c>
      <c r="C1911" t="s">
        <v>1168</v>
      </c>
      <c r="D1911" t="s">
        <v>1575</v>
      </c>
      <c r="E1911" t="s">
        <v>4050</v>
      </c>
      <c r="F1911" t="s">
        <v>1583</v>
      </c>
      <c r="I1911" t="s">
        <v>1058</v>
      </c>
      <c r="K1911">
        <v>1911</v>
      </c>
      <c r="L1911">
        <v>1911</v>
      </c>
      <c r="M1911" t="s">
        <v>209</v>
      </c>
      <c r="N1911" t="s">
        <v>190</v>
      </c>
      <c r="Q1911" s="2" t="str">
        <f>IF($C1911="","",IFERROR(VLOOKUP($C1911,sources!$A$2:$N$200,2,FALSE()),"?"))</f>
        <v>Map</v>
      </c>
      <c r="R1911" s="2" t="str">
        <f t="shared" si="29"/>
        <v>Map</v>
      </c>
      <c r="S1911" s="2" t="str">
        <f>IF($C1911="","",IFERROR(VLOOKUP($C1911,sources!$A$2:$N$200,9,FALSE()),"?"))</f>
        <v>US official</v>
      </c>
      <c r="T1911" t="s">
        <v>5692</v>
      </c>
      <c r="U1911">
        <f>IF(OR(B1911="",C1911="",T1911="Retracted",LEFT(D1911,8)="Negative"),0,IF(COUNTIFS($B$2:B1911,B1911,$C$2:C1911,C1911,$D$2:D1911,"&lt;&gt;Negative*",$T$2:T1911,"&lt;&gt;Retracted")=1,1,0))</f>
        <v>1</v>
      </c>
    </row>
    <row r="1912" spans="1:21" x14ac:dyDescent="0.2">
      <c r="A1912" t="s">
        <v>4051</v>
      </c>
      <c r="B1912" t="s">
        <v>689</v>
      </c>
      <c r="C1912" t="s">
        <v>1168</v>
      </c>
      <c r="D1912" t="s">
        <v>1613</v>
      </c>
      <c r="E1912" t="s">
        <v>690</v>
      </c>
      <c r="F1912" t="s">
        <v>1583</v>
      </c>
      <c r="I1912" t="s">
        <v>1058</v>
      </c>
      <c r="K1912">
        <v>1911</v>
      </c>
      <c r="L1912">
        <v>1911</v>
      </c>
      <c r="M1912" t="s">
        <v>209</v>
      </c>
      <c r="N1912" t="s">
        <v>209</v>
      </c>
      <c r="Q1912" s="2" t="str">
        <f>IF($C1912="","",IFERROR(VLOOKUP($C1912,sources!$A$2:$N$200,2,FALSE()),"?"))</f>
        <v>Map</v>
      </c>
      <c r="R1912" s="2" t="str">
        <f t="shared" si="29"/>
        <v>Map</v>
      </c>
      <c r="S1912" s="2" t="str">
        <f>IF($C1912="","",IFERROR(VLOOKUP($C1912,sources!$A$2:$N$200,9,FALSE()),"?"))</f>
        <v>US official</v>
      </c>
      <c r="T1912" t="s">
        <v>5692</v>
      </c>
      <c r="U1912">
        <f>IF(OR(B1912="",C1912="",T1912="Retracted",LEFT(D1912,8)="Negative"),0,IF(COUNTIFS($B$2:B1912,B1912,$C$2:C1912,C1912,$D$2:D1912,"&lt;&gt;Negative*",$T$2:T1912,"&lt;&gt;Retracted")=1,1,0))</f>
        <v>0</v>
      </c>
    </row>
    <row r="1913" spans="1:21" x14ac:dyDescent="0.2">
      <c r="A1913" t="s">
        <v>4052</v>
      </c>
      <c r="B1913" t="s">
        <v>783</v>
      </c>
      <c r="C1913" t="s">
        <v>1168</v>
      </c>
      <c r="D1913" t="s">
        <v>1575</v>
      </c>
      <c r="E1913" t="s">
        <v>4053</v>
      </c>
      <c r="F1913" t="s">
        <v>1583</v>
      </c>
      <c r="I1913" t="s">
        <v>1058</v>
      </c>
      <c r="K1913">
        <v>1911</v>
      </c>
      <c r="L1913">
        <v>1911</v>
      </c>
      <c r="M1913" t="s">
        <v>209</v>
      </c>
      <c r="N1913" t="s">
        <v>190</v>
      </c>
      <c r="Q1913" s="2" t="str">
        <f>IF($C1913="","",IFERROR(VLOOKUP($C1913,sources!$A$2:$N$200,2,FALSE()),"?"))</f>
        <v>Map</v>
      </c>
      <c r="R1913" s="2" t="str">
        <f t="shared" si="29"/>
        <v>Map</v>
      </c>
      <c r="S1913" s="2" t="str">
        <f>IF($C1913="","",IFERROR(VLOOKUP($C1913,sources!$A$2:$N$200,9,FALSE()),"?"))</f>
        <v>US official</v>
      </c>
      <c r="T1913" t="s">
        <v>5692</v>
      </c>
      <c r="U1913">
        <f>IF(OR(B1913="",C1913="",T1913="Retracted",LEFT(D1913,8)="Negative"),0,IF(COUNTIFS($B$2:B1913,B1913,$C$2:C1913,C1913,$D$2:D1913,"&lt;&gt;Negative*",$T$2:T1913,"&lt;&gt;Retracted")=1,1,0))</f>
        <v>1</v>
      </c>
    </row>
    <row r="1914" spans="1:21" x14ac:dyDescent="0.2">
      <c r="A1914" t="s">
        <v>4054</v>
      </c>
      <c r="B1914" t="s">
        <v>701</v>
      </c>
      <c r="C1914" t="s">
        <v>1168</v>
      </c>
      <c r="D1914" t="s">
        <v>1613</v>
      </c>
      <c r="E1914" t="s">
        <v>702</v>
      </c>
      <c r="F1914" t="s">
        <v>1583</v>
      </c>
      <c r="I1914" t="s">
        <v>1058</v>
      </c>
      <c r="K1914">
        <v>1911</v>
      </c>
      <c r="L1914">
        <v>1911</v>
      </c>
      <c r="M1914" t="s">
        <v>209</v>
      </c>
      <c r="N1914" t="s">
        <v>209</v>
      </c>
      <c r="Q1914" s="2" t="str">
        <f>IF($C1914="","",IFERROR(VLOOKUP($C1914,sources!$A$2:$N$200,2,FALSE()),"?"))</f>
        <v>Map</v>
      </c>
      <c r="R1914" s="2" t="str">
        <f t="shared" si="29"/>
        <v>Map</v>
      </c>
      <c r="S1914" s="2" t="str">
        <f>IF($C1914="","",IFERROR(VLOOKUP($C1914,sources!$A$2:$N$200,9,FALSE()),"?"))</f>
        <v>US official</v>
      </c>
      <c r="T1914" t="s">
        <v>5692</v>
      </c>
      <c r="U1914">
        <f>IF(OR(B1914="",C1914="",T1914="Retracted",LEFT(D1914,8)="Negative"),0,IF(COUNTIFS($B$2:B1914,B1914,$C$2:C1914,C1914,$D$2:D1914,"&lt;&gt;Negative*",$T$2:T1914,"&lt;&gt;Retracted")=1,1,0))</f>
        <v>0</v>
      </c>
    </row>
    <row r="1915" spans="1:21" x14ac:dyDescent="0.2">
      <c r="A1915" t="s">
        <v>4055</v>
      </c>
      <c r="B1915" t="s">
        <v>733</v>
      </c>
      <c r="C1915" t="s">
        <v>1168</v>
      </c>
      <c r="D1915" t="s">
        <v>1613</v>
      </c>
      <c r="E1915" t="s">
        <v>734</v>
      </c>
      <c r="F1915" t="s">
        <v>1583</v>
      </c>
      <c r="I1915" t="s">
        <v>1058</v>
      </c>
      <c r="K1915">
        <v>1911</v>
      </c>
      <c r="L1915">
        <v>1911</v>
      </c>
      <c r="M1915" t="s">
        <v>209</v>
      </c>
      <c r="N1915" t="s">
        <v>209</v>
      </c>
      <c r="Q1915" s="2" t="str">
        <f>IF($C1915="","",IFERROR(VLOOKUP($C1915,sources!$A$2:$N$200,2,FALSE()),"?"))</f>
        <v>Map</v>
      </c>
      <c r="R1915" s="2" t="str">
        <f t="shared" si="29"/>
        <v>Map</v>
      </c>
      <c r="S1915" s="2" t="str">
        <f>IF($C1915="","",IFERROR(VLOOKUP($C1915,sources!$A$2:$N$200,9,FALSE()),"?"))</f>
        <v>US official</v>
      </c>
      <c r="T1915" t="s">
        <v>5692</v>
      </c>
      <c r="U1915">
        <f>IF(OR(B1915="",C1915="",T1915="Retracted",LEFT(D1915,8)="Negative"),0,IF(COUNTIFS($B$2:B1915,B1915,$C$2:C1915,C1915,$D$2:D1915,"&lt;&gt;Negative*",$T$2:T1915,"&lt;&gt;Retracted")=1,1,0))</f>
        <v>0</v>
      </c>
    </row>
    <row r="1916" spans="1:21" x14ac:dyDescent="0.2">
      <c r="A1916" t="s">
        <v>4056</v>
      </c>
      <c r="B1916" t="s">
        <v>796</v>
      </c>
      <c r="C1916" t="s">
        <v>1168</v>
      </c>
      <c r="D1916" t="s">
        <v>1613</v>
      </c>
      <c r="E1916" t="s">
        <v>797</v>
      </c>
      <c r="F1916" t="s">
        <v>1583</v>
      </c>
      <c r="I1916" t="s">
        <v>1058</v>
      </c>
      <c r="K1916">
        <v>1911</v>
      </c>
      <c r="L1916">
        <v>1911</v>
      </c>
      <c r="M1916" t="s">
        <v>209</v>
      </c>
      <c r="N1916" t="s">
        <v>209</v>
      </c>
      <c r="Q1916" s="2" t="str">
        <f>IF($C1916="","",IFERROR(VLOOKUP($C1916,sources!$A$2:$N$200,2,FALSE()),"?"))</f>
        <v>Map</v>
      </c>
      <c r="R1916" s="2" t="str">
        <f t="shared" si="29"/>
        <v>Map</v>
      </c>
      <c r="S1916" s="2" t="str">
        <f>IF($C1916="","",IFERROR(VLOOKUP($C1916,sources!$A$2:$N$200,9,FALSE()),"?"))</f>
        <v>US official</v>
      </c>
      <c r="T1916" t="s">
        <v>5692</v>
      </c>
      <c r="U1916">
        <f>IF(OR(B1916="",C1916="",T1916="Retracted",LEFT(D1916,8)="Negative"),0,IF(COUNTIFS($B$2:B1916,B1916,$C$2:C1916,C1916,$D$2:D1916,"&lt;&gt;Negative*",$T$2:T1916,"&lt;&gt;Retracted")=1,1,0))</f>
        <v>0</v>
      </c>
    </row>
    <row r="1917" spans="1:21" x14ac:dyDescent="0.2">
      <c r="A1917" t="s">
        <v>4057</v>
      </c>
      <c r="B1917" t="s">
        <v>758</v>
      </c>
      <c r="C1917" t="s">
        <v>1168</v>
      </c>
      <c r="D1917" t="s">
        <v>1575</v>
      </c>
      <c r="E1917" t="s">
        <v>4058</v>
      </c>
      <c r="F1917" t="s">
        <v>1583</v>
      </c>
      <c r="I1917" t="s">
        <v>1058</v>
      </c>
      <c r="K1917">
        <v>1911</v>
      </c>
      <c r="L1917">
        <v>1911</v>
      </c>
      <c r="M1917" t="s">
        <v>209</v>
      </c>
      <c r="N1917" t="s">
        <v>190</v>
      </c>
      <c r="Q1917" s="2" t="str">
        <f>IF($C1917="","",IFERROR(VLOOKUP($C1917,sources!$A$2:$N$200,2,FALSE()),"?"))</f>
        <v>Map</v>
      </c>
      <c r="R1917" s="2" t="str">
        <f t="shared" si="29"/>
        <v>Map</v>
      </c>
      <c r="S1917" s="2" t="str">
        <f>IF($C1917="","",IFERROR(VLOOKUP($C1917,sources!$A$2:$N$200,9,FALSE()),"?"))</f>
        <v>US official</v>
      </c>
      <c r="T1917" t="s">
        <v>5692</v>
      </c>
      <c r="U1917">
        <f>IF(OR(B1917="",C1917="",T1917="Retracted",LEFT(D1917,8)="Negative"),0,IF(COUNTIFS($B$2:B1917,B1917,$C$2:C1917,C1917,$D$2:D1917,"&lt;&gt;Negative*",$T$2:T1917,"&lt;&gt;Retracted")=1,1,0))</f>
        <v>1</v>
      </c>
    </row>
    <row r="1918" spans="1:21" x14ac:dyDescent="0.2">
      <c r="A1918" t="s">
        <v>4059</v>
      </c>
      <c r="B1918" t="s">
        <v>764</v>
      </c>
      <c r="C1918" t="s">
        <v>1168</v>
      </c>
      <c r="D1918" t="s">
        <v>1613</v>
      </c>
      <c r="E1918" t="s">
        <v>765</v>
      </c>
      <c r="F1918" t="s">
        <v>1583</v>
      </c>
      <c r="I1918" t="s">
        <v>1058</v>
      </c>
      <c r="K1918">
        <v>1911</v>
      </c>
      <c r="L1918">
        <v>1911</v>
      </c>
      <c r="M1918" t="s">
        <v>209</v>
      </c>
      <c r="N1918" t="s">
        <v>209</v>
      </c>
      <c r="Q1918" s="2" t="str">
        <f>IF($C1918="","",IFERROR(VLOOKUP($C1918,sources!$A$2:$N$200,2,FALSE()),"?"))</f>
        <v>Map</v>
      </c>
      <c r="R1918" s="2" t="str">
        <f t="shared" si="29"/>
        <v>Map</v>
      </c>
      <c r="S1918" s="2" t="str">
        <f>IF($C1918="","",IFERROR(VLOOKUP($C1918,sources!$A$2:$N$200,9,FALSE()),"?"))</f>
        <v>US official</v>
      </c>
      <c r="T1918" t="s">
        <v>5692</v>
      </c>
      <c r="U1918">
        <f>IF(OR(B1918="",C1918="",T1918="Retracted",LEFT(D1918,8)="Negative"),0,IF(COUNTIFS($B$2:B1918,B1918,$C$2:C1918,C1918,$D$2:D1918,"&lt;&gt;Negative*",$T$2:T1918,"&lt;&gt;Retracted")=1,1,0))</f>
        <v>0</v>
      </c>
    </row>
    <row r="1919" spans="1:21" x14ac:dyDescent="0.2">
      <c r="A1919" t="s">
        <v>4060</v>
      </c>
      <c r="B1919" t="s">
        <v>776</v>
      </c>
      <c r="C1919" t="s">
        <v>1168</v>
      </c>
      <c r="D1919" t="s">
        <v>1613</v>
      </c>
      <c r="E1919" t="s">
        <v>777</v>
      </c>
      <c r="F1919" t="s">
        <v>1583</v>
      </c>
      <c r="I1919" t="s">
        <v>1058</v>
      </c>
      <c r="K1919">
        <v>1911</v>
      </c>
      <c r="L1919">
        <v>1911</v>
      </c>
      <c r="M1919" t="s">
        <v>209</v>
      </c>
      <c r="N1919" t="s">
        <v>203</v>
      </c>
      <c r="Q1919" s="2" t="str">
        <f>IF($C1919="","",IFERROR(VLOOKUP($C1919,sources!$A$2:$N$200,2,FALSE()),"?"))</f>
        <v>Map</v>
      </c>
      <c r="R1919" s="2" t="str">
        <f t="shared" si="29"/>
        <v>Map</v>
      </c>
      <c r="S1919" s="2" t="str">
        <f>IF($C1919="","",IFERROR(VLOOKUP($C1919,sources!$A$2:$N$200,9,FALSE()),"?"))</f>
        <v>US official</v>
      </c>
      <c r="T1919" t="s">
        <v>5692</v>
      </c>
      <c r="U1919">
        <f>IF(OR(B1919="",C1919="",T1919="Retracted",LEFT(D1919,8)="Negative"),0,IF(COUNTIFS($B$2:B1919,B1919,$C$2:C1919,C1919,$D$2:D1919,"&lt;&gt;Negative*",$T$2:T1919,"&lt;&gt;Retracted")=1,1,0))</f>
        <v>0</v>
      </c>
    </row>
    <row r="1920" spans="1:21" x14ac:dyDescent="0.2">
      <c r="A1920" t="s">
        <v>4061</v>
      </c>
      <c r="B1920" t="s">
        <v>932</v>
      </c>
      <c r="C1920" t="s">
        <v>1168</v>
      </c>
      <c r="D1920" t="s">
        <v>1613</v>
      </c>
      <c r="E1920" t="s">
        <v>934</v>
      </c>
      <c r="F1920" t="s">
        <v>1583</v>
      </c>
      <c r="I1920" t="s">
        <v>1058</v>
      </c>
      <c r="K1920">
        <v>1911</v>
      </c>
      <c r="L1920">
        <v>1911</v>
      </c>
      <c r="M1920" t="s">
        <v>209</v>
      </c>
      <c r="N1920" t="s">
        <v>203</v>
      </c>
      <c r="Q1920" s="2" t="str">
        <f>IF($C1920="","",IFERROR(VLOOKUP($C1920,sources!$A$2:$N$200,2,FALSE()),"?"))</f>
        <v>Map</v>
      </c>
      <c r="R1920" s="2" t="str">
        <f t="shared" si="29"/>
        <v>Map</v>
      </c>
      <c r="S1920" s="2" t="str">
        <f>IF($C1920="","",IFERROR(VLOOKUP($C1920,sources!$A$2:$N$200,9,FALSE()),"?"))</f>
        <v>US official</v>
      </c>
      <c r="T1920" t="s">
        <v>5692</v>
      </c>
      <c r="U1920">
        <f>IF(OR(B1920="",C1920="",T1920="Retracted",LEFT(D1920,8)="Negative"),0,IF(COUNTIFS($B$2:B1920,B1920,$C$2:C1920,C1920,$D$2:D1920,"&lt;&gt;Negative*",$T$2:T1920,"&lt;&gt;Retracted")=1,1,0))</f>
        <v>0</v>
      </c>
    </row>
    <row r="1921" spans="1:21" x14ac:dyDescent="0.2">
      <c r="A1921" t="s">
        <v>4062</v>
      </c>
      <c r="B1921" t="s">
        <v>835</v>
      </c>
      <c r="C1921" t="s">
        <v>1168</v>
      </c>
      <c r="D1921" t="s">
        <v>1613</v>
      </c>
      <c r="E1921" t="s">
        <v>836</v>
      </c>
      <c r="F1921" t="s">
        <v>1583</v>
      </c>
      <c r="I1921" t="s">
        <v>1058</v>
      </c>
      <c r="K1921">
        <v>1911</v>
      </c>
      <c r="L1921">
        <v>1911</v>
      </c>
      <c r="M1921" t="s">
        <v>209</v>
      </c>
      <c r="N1921" t="s">
        <v>203</v>
      </c>
      <c r="Q1921" s="2" t="str">
        <f>IF($C1921="","",IFERROR(VLOOKUP($C1921,sources!$A$2:$N$200,2,FALSE()),"?"))</f>
        <v>Map</v>
      </c>
      <c r="R1921" s="2" t="str">
        <f t="shared" si="29"/>
        <v>Map</v>
      </c>
      <c r="S1921" s="2" t="str">
        <f>IF($C1921="","",IFERROR(VLOOKUP($C1921,sources!$A$2:$N$200,9,FALSE()),"?"))</f>
        <v>US official</v>
      </c>
      <c r="T1921" t="s">
        <v>5692</v>
      </c>
      <c r="U1921">
        <f>IF(OR(B1921="",C1921="",T1921="Retracted",LEFT(D1921,8)="Negative"),0,IF(COUNTIFS($B$2:B1921,B1921,$C$2:C1921,C1921,$D$2:D1921,"&lt;&gt;Negative*",$T$2:T1921,"&lt;&gt;Retracted")=1,1,0))</f>
        <v>0</v>
      </c>
    </row>
    <row r="1922" spans="1:21" x14ac:dyDescent="0.2">
      <c r="A1922" t="s">
        <v>4063</v>
      </c>
      <c r="B1922" t="s">
        <v>979</v>
      </c>
      <c r="C1922" t="s">
        <v>1168</v>
      </c>
      <c r="D1922" t="s">
        <v>1575</v>
      </c>
      <c r="E1922" t="s">
        <v>4053</v>
      </c>
      <c r="F1922" t="s">
        <v>1583</v>
      </c>
      <c r="I1922" t="s">
        <v>1058</v>
      </c>
      <c r="K1922">
        <v>1911</v>
      </c>
      <c r="L1922">
        <v>1911</v>
      </c>
      <c r="M1922" t="s">
        <v>209</v>
      </c>
      <c r="N1922" t="s">
        <v>209</v>
      </c>
      <c r="Q1922" s="2" t="str">
        <f>IF($C1922="","",IFERROR(VLOOKUP($C1922,sources!$A$2:$N$200,2,FALSE()),"?"))</f>
        <v>Map</v>
      </c>
      <c r="R1922" s="2" t="str">
        <f t="shared" ref="R1922:R1985" si="30">IF($Q1922="","",IF($Q1922="Map","Map",IF(OR($Q1922="Photograph",$Q1922="Postcard"),"Image",IF(OR($Q1922="Census or roll",$Q1922="Report",$Q1922="Newspaper",$Q1922="Letter",$Q1922="Memoir",$Q1922="Administrative",$Q1922="Web compilation"),"Textual",IF($Q1922="Legal claim","Legal/admin",IF($Q1922="Secondary","Secondary","Other"))))))</f>
        <v>Map</v>
      </c>
      <c r="S1922" s="2" t="str">
        <f>IF($C1922="","",IFERROR(VLOOKUP($C1922,sources!$A$2:$N$200,9,FALSE()),"?"))</f>
        <v>US official</v>
      </c>
      <c r="T1922" t="s">
        <v>5692</v>
      </c>
      <c r="U1922">
        <f>IF(OR(B1922="",C1922="",T1922="Retracted",LEFT(D1922,8)="Negative"),0,IF(COUNTIFS($B$2:B1922,B1922,$C$2:C1922,C1922,$D$2:D1922,"&lt;&gt;Negative*",$T$2:T1922,"&lt;&gt;Retracted")=1,1,0))</f>
        <v>1</v>
      </c>
    </row>
    <row r="1923" spans="1:21" x14ac:dyDescent="0.2">
      <c r="A1923" t="s">
        <v>4064</v>
      </c>
      <c r="B1923" t="s">
        <v>888</v>
      </c>
      <c r="C1923" t="s">
        <v>1168</v>
      </c>
      <c r="D1923" t="s">
        <v>1613</v>
      </c>
      <c r="E1923" t="s">
        <v>889</v>
      </c>
      <c r="F1923" t="s">
        <v>1583</v>
      </c>
      <c r="I1923" t="s">
        <v>1058</v>
      </c>
      <c r="K1923">
        <v>1911</v>
      </c>
      <c r="L1923">
        <v>1911</v>
      </c>
      <c r="M1923" t="s">
        <v>209</v>
      </c>
      <c r="N1923" t="s">
        <v>203</v>
      </c>
      <c r="Q1923" s="2" t="str">
        <f>IF($C1923="","",IFERROR(VLOOKUP($C1923,sources!$A$2:$N$200,2,FALSE()),"?"))</f>
        <v>Map</v>
      </c>
      <c r="R1923" s="2" t="str">
        <f t="shared" si="30"/>
        <v>Map</v>
      </c>
      <c r="S1923" s="2" t="str">
        <f>IF($C1923="","",IFERROR(VLOOKUP($C1923,sources!$A$2:$N$200,9,FALSE()),"?"))</f>
        <v>US official</v>
      </c>
      <c r="T1923" t="s">
        <v>5692</v>
      </c>
      <c r="U1923">
        <f>IF(OR(B1923="",C1923="",T1923="Retracted",LEFT(D1923,8)="Negative"),0,IF(COUNTIFS($B$2:B1923,B1923,$C$2:C1923,C1923,$D$2:D1923,"&lt;&gt;Negative*",$T$2:T1923,"&lt;&gt;Retracted")=1,1,0))</f>
        <v>0</v>
      </c>
    </row>
    <row r="1924" spans="1:21" x14ac:dyDescent="0.2">
      <c r="A1924" t="s">
        <v>4065</v>
      </c>
      <c r="B1924" t="s">
        <v>892</v>
      </c>
      <c r="C1924" t="s">
        <v>1168</v>
      </c>
      <c r="D1924" t="s">
        <v>1613</v>
      </c>
      <c r="E1924" t="s">
        <v>893</v>
      </c>
      <c r="F1924" t="s">
        <v>1583</v>
      </c>
      <c r="I1924" t="s">
        <v>1058</v>
      </c>
      <c r="K1924">
        <v>1911</v>
      </c>
      <c r="L1924">
        <v>1911</v>
      </c>
      <c r="M1924" t="s">
        <v>209</v>
      </c>
      <c r="N1924" t="s">
        <v>203</v>
      </c>
      <c r="Q1924" s="2" t="str">
        <f>IF($C1924="","",IFERROR(VLOOKUP($C1924,sources!$A$2:$N$200,2,FALSE()),"?"))</f>
        <v>Map</v>
      </c>
      <c r="R1924" s="2" t="str">
        <f t="shared" si="30"/>
        <v>Map</v>
      </c>
      <c r="S1924" s="2" t="str">
        <f>IF($C1924="","",IFERROR(VLOOKUP($C1924,sources!$A$2:$N$200,9,FALSE()),"?"))</f>
        <v>US official</v>
      </c>
      <c r="T1924" t="s">
        <v>5692</v>
      </c>
      <c r="U1924">
        <f>IF(OR(B1924="",C1924="",T1924="Retracted",LEFT(D1924,8)="Negative"),0,IF(COUNTIFS($B$2:B1924,B1924,$C$2:C1924,C1924,$D$2:D1924,"&lt;&gt;Negative*",$T$2:T1924,"&lt;&gt;Retracted")=1,1,0))</f>
        <v>0</v>
      </c>
    </row>
    <row r="1925" spans="1:21" x14ac:dyDescent="0.2">
      <c r="A1925" t="s">
        <v>4066</v>
      </c>
      <c r="B1925" t="s">
        <v>928</v>
      </c>
      <c r="C1925" t="s">
        <v>1168</v>
      </c>
      <c r="D1925" t="s">
        <v>1613</v>
      </c>
      <c r="E1925" t="s">
        <v>930</v>
      </c>
      <c r="F1925" t="s">
        <v>1583</v>
      </c>
      <c r="I1925" t="s">
        <v>1058</v>
      </c>
      <c r="K1925">
        <v>1911</v>
      </c>
      <c r="L1925">
        <v>1911</v>
      </c>
      <c r="M1925" t="s">
        <v>209</v>
      </c>
      <c r="N1925" t="s">
        <v>203</v>
      </c>
      <c r="Q1925" s="2" t="str">
        <f>IF($C1925="","",IFERROR(VLOOKUP($C1925,sources!$A$2:$N$200,2,FALSE()),"?"))</f>
        <v>Map</v>
      </c>
      <c r="R1925" s="2" t="str">
        <f t="shared" si="30"/>
        <v>Map</v>
      </c>
      <c r="S1925" s="2" t="str">
        <f>IF($C1925="","",IFERROR(VLOOKUP($C1925,sources!$A$2:$N$200,9,FALSE()),"?"))</f>
        <v>US official</v>
      </c>
      <c r="T1925" t="s">
        <v>5692</v>
      </c>
      <c r="U1925">
        <f>IF(OR(B1925="",C1925="",T1925="Retracted",LEFT(D1925,8)="Negative"),0,IF(COUNTIFS($B$2:B1925,B1925,$C$2:C1925,C1925,$D$2:D1925,"&lt;&gt;Negative*",$T$2:T1925,"&lt;&gt;Retracted")=1,1,0))</f>
        <v>0</v>
      </c>
    </row>
    <row r="1926" spans="1:21" x14ac:dyDescent="0.2">
      <c r="A1926" t="s">
        <v>4067</v>
      </c>
      <c r="B1926" t="s">
        <v>928</v>
      </c>
      <c r="C1926" t="s">
        <v>1168</v>
      </c>
      <c r="D1926" t="s">
        <v>1613</v>
      </c>
      <c r="E1926" t="s">
        <v>929</v>
      </c>
      <c r="F1926" t="s">
        <v>1583</v>
      </c>
      <c r="I1926" t="s">
        <v>1058</v>
      </c>
      <c r="K1926">
        <v>1911</v>
      </c>
      <c r="L1926">
        <v>1911</v>
      </c>
      <c r="M1926" t="s">
        <v>209</v>
      </c>
      <c r="N1926" t="s">
        <v>203</v>
      </c>
      <c r="Q1926" s="2" t="str">
        <f>IF($C1926="","",IFERROR(VLOOKUP($C1926,sources!$A$2:$N$200,2,FALSE()),"?"))</f>
        <v>Map</v>
      </c>
      <c r="R1926" s="2" t="str">
        <f t="shared" si="30"/>
        <v>Map</v>
      </c>
      <c r="S1926" s="2" t="str">
        <f>IF($C1926="","",IFERROR(VLOOKUP($C1926,sources!$A$2:$N$200,9,FALSE()),"?"))</f>
        <v>US official</v>
      </c>
      <c r="T1926" t="s">
        <v>5692</v>
      </c>
      <c r="U1926">
        <f>IF(OR(B1926="",C1926="",T1926="Retracted",LEFT(D1926,8)="Negative"),0,IF(COUNTIFS($B$2:B1926,B1926,$C$2:C1926,C1926,$D$2:D1926,"&lt;&gt;Negative*",$T$2:T1926,"&lt;&gt;Retracted")=1,1,0))</f>
        <v>0</v>
      </c>
    </row>
    <row r="1927" spans="1:21" x14ac:dyDescent="0.2">
      <c r="A1927" t="s">
        <v>4068</v>
      </c>
      <c r="B1927" t="s">
        <v>896</v>
      </c>
      <c r="C1927" t="s">
        <v>1168</v>
      </c>
      <c r="D1927" t="s">
        <v>1564</v>
      </c>
      <c r="E1927" t="s">
        <v>4069</v>
      </c>
      <c r="F1927" t="s">
        <v>1583</v>
      </c>
      <c r="I1927" t="s">
        <v>1058</v>
      </c>
      <c r="K1927">
        <v>1911</v>
      </c>
      <c r="L1927">
        <v>1911</v>
      </c>
      <c r="M1927" t="s">
        <v>209</v>
      </c>
      <c r="N1927" t="s">
        <v>209</v>
      </c>
      <c r="Q1927" s="2" t="str">
        <f>IF($C1927="","",IFERROR(VLOOKUP($C1927,sources!$A$2:$N$200,2,FALSE()),"?"))</f>
        <v>Map</v>
      </c>
      <c r="R1927" s="2" t="str">
        <f t="shared" si="30"/>
        <v>Map</v>
      </c>
      <c r="S1927" s="2" t="str">
        <f>IF($C1927="","",IFERROR(VLOOKUP($C1927,sources!$A$2:$N$200,9,FALSE()),"?"))</f>
        <v>US official</v>
      </c>
      <c r="T1927" t="s">
        <v>5692</v>
      </c>
      <c r="U1927">
        <f>IF(OR(B1927="",C1927="",T1927="Retracted",LEFT(D1927,8)="Negative"),0,IF(COUNTIFS($B$2:B1927,B1927,$C$2:C1927,C1927,$D$2:D1927,"&lt;&gt;Negative*",$T$2:T1927,"&lt;&gt;Retracted")=1,1,0))</f>
        <v>1</v>
      </c>
    </row>
    <row r="1928" spans="1:21" x14ac:dyDescent="0.2">
      <c r="A1928" t="s">
        <v>4070</v>
      </c>
      <c r="B1928" t="s">
        <v>899</v>
      </c>
      <c r="C1928" t="s">
        <v>1168</v>
      </c>
      <c r="D1928" t="s">
        <v>1564</v>
      </c>
      <c r="E1928" t="s">
        <v>4071</v>
      </c>
      <c r="F1928" t="s">
        <v>1583</v>
      </c>
      <c r="I1928" t="s">
        <v>1058</v>
      </c>
      <c r="K1928">
        <v>1911</v>
      </c>
      <c r="L1928">
        <v>1911</v>
      </c>
      <c r="M1928" t="s">
        <v>209</v>
      </c>
      <c r="N1928" t="s">
        <v>203</v>
      </c>
      <c r="Q1928" s="2" t="str">
        <f>IF($C1928="","",IFERROR(VLOOKUP($C1928,sources!$A$2:$N$200,2,FALSE()),"?"))</f>
        <v>Map</v>
      </c>
      <c r="R1928" s="2" t="str">
        <f t="shared" si="30"/>
        <v>Map</v>
      </c>
      <c r="S1928" s="2" t="str">
        <f>IF($C1928="","",IFERROR(VLOOKUP($C1928,sources!$A$2:$N$200,9,FALSE()),"?"))</f>
        <v>US official</v>
      </c>
      <c r="T1928" t="s">
        <v>5692</v>
      </c>
      <c r="U1928">
        <f>IF(OR(B1928="",C1928="",T1928="Retracted",LEFT(D1928,8)="Negative"),0,IF(COUNTIFS($B$2:B1928,B1928,$C$2:C1928,C1928,$D$2:D1928,"&lt;&gt;Negative*",$T$2:T1928,"&lt;&gt;Retracted")=1,1,0))</f>
        <v>1</v>
      </c>
    </row>
    <row r="1929" spans="1:21" x14ac:dyDescent="0.2">
      <c r="A1929" t="s">
        <v>4072</v>
      </c>
      <c r="B1929" t="s">
        <v>902</v>
      </c>
      <c r="C1929" t="s">
        <v>1168</v>
      </c>
      <c r="D1929" t="s">
        <v>1613</v>
      </c>
      <c r="E1929" t="s">
        <v>903</v>
      </c>
      <c r="F1929" t="s">
        <v>1583</v>
      </c>
      <c r="I1929" t="s">
        <v>1058</v>
      </c>
      <c r="K1929">
        <v>1911</v>
      </c>
      <c r="L1929">
        <v>1911</v>
      </c>
      <c r="M1929" t="s">
        <v>209</v>
      </c>
      <c r="N1929" t="s">
        <v>209</v>
      </c>
      <c r="Q1929" s="2" t="str">
        <f>IF($C1929="","",IFERROR(VLOOKUP($C1929,sources!$A$2:$N$200,2,FALSE()),"?"))</f>
        <v>Map</v>
      </c>
      <c r="R1929" s="2" t="str">
        <f t="shared" si="30"/>
        <v>Map</v>
      </c>
      <c r="S1929" s="2" t="str">
        <f>IF($C1929="","",IFERROR(VLOOKUP($C1929,sources!$A$2:$N$200,9,FALSE()),"?"))</f>
        <v>US official</v>
      </c>
      <c r="T1929" t="s">
        <v>5692</v>
      </c>
      <c r="U1929">
        <f>IF(OR(B1929="",C1929="",T1929="Retracted",LEFT(D1929,8)="Negative"),0,IF(COUNTIFS($B$2:B1929,B1929,$C$2:C1929,C1929,$D$2:D1929,"&lt;&gt;Negative*",$T$2:T1929,"&lt;&gt;Retracted")=1,1,0))</f>
        <v>0</v>
      </c>
    </row>
    <row r="1930" spans="1:21" x14ac:dyDescent="0.2">
      <c r="A1930" t="s">
        <v>4073</v>
      </c>
      <c r="B1930" t="s">
        <v>906</v>
      </c>
      <c r="C1930" t="s">
        <v>1168</v>
      </c>
      <c r="D1930" t="s">
        <v>1613</v>
      </c>
      <c r="E1930" t="s">
        <v>907</v>
      </c>
      <c r="F1930" t="s">
        <v>1583</v>
      </c>
      <c r="I1930" t="s">
        <v>1058</v>
      </c>
      <c r="K1930">
        <v>1911</v>
      </c>
      <c r="L1930">
        <v>1911</v>
      </c>
      <c r="M1930" t="s">
        <v>209</v>
      </c>
      <c r="N1930" t="s">
        <v>203</v>
      </c>
      <c r="Q1930" s="2" t="str">
        <f>IF($C1930="","",IFERROR(VLOOKUP($C1930,sources!$A$2:$N$200,2,FALSE()),"?"))</f>
        <v>Map</v>
      </c>
      <c r="R1930" s="2" t="str">
        <f t="shared" si="30"/>
        <v>Map</v>
      </c>
      <c r="S1930" s="2" t="str">
        <f>IF($C1930="","",IFERROR(VLOOKUP($C1930,sources!$A$2:$N$200,9,FALSE()),"?"))</f>
        <v>US official</v>
      </c>
      <c r="T1930" t="s">
        <v>5692</v>
      </c>
      <c r="U1930">
        <f>IF(OR(B1930="",C1930="",T1930="Retracted",LEFT(D1930,8)="Negative"),0,IF(COUNTIFS($B$2:B1930,B1930,$C$2:C1930,C1930,$D$2:D1930,"&lt;&gt;Negative*",$T$2:T1930,"&lt;&gt;Retracted")=1,1,0))</f>
        <v>0</v>
      </c>
    </row>
    <row r="1931" spans="1:21" x14ac:dyDescent="0.2">
      <c r="A1931" t="s">
        <v>4074</v>
      </c>
      <c r="B1931" t="s">
        <v>910</v>
      </c>
      <c r="C1931" t="s">
        <v>1168</v>
      </c>
      <c r="D1931" t="s">
        <v>1564</v>
      </c>
      <c r="E1931" t="s">
        <v>4075</v>
      </c>
      <c r="F1931" t="s">
        <v>1583</v>
      </c>
      <c r="I1931" t="s">
        <v>1058</v>
      </c>
      <c r="K1931">
        <v>1911</v>
      </c>
      <c r="L1931">
        <v>1911</v>
      </c>
      <c r="M1931" t="s">
        <v>209</v>
      </c>
      <c r="N1931" t="s">
        <v>203</v>
      </c>
      <c r="Q1931" s="2" t="str">
        <f>IF($C1931="","",IFERROR(VLOOKUP($C1931,sources!$A$2:$N$200,2,FALSE()),"?"))</f>
        <v>Map</v>
      </c>
      <c r="R1931" s="2" t="str">
        <f t="shared" si="30"/>
        <v>Map</v>
      </c>
      <c r="S1931" s="2" t="str">
        <f>IF($C1931="","",IFERROR(VLOOKUP($C1931,sources!$A$2:$N$200,9,FALSE()),"?"))</f>
        <v>US official</v>
      </c>
      <c r="T1931" t="s">
        <v>5692</v>
      </c>
      <c r="U1931">
        <f>IF(OR(B1931="",C1931="",T1931="Retracted",LEFT(D1931,8)="Negative"),0,IF(COUNTIFS($B$2:B1931,B1931,$C$2:C1931,C1931,$D$2:D1931,"&lt;&gt;Negative*",$T$2:T1931,"&lt;&gt;Retracted")=1,1,0))</f>
        <v>1</v>
      </c>
    </row>
    <row r="1932" spans="1:21" x14ac:dyDescent="0.2">
      <c r="A1932" t="s">
        <v>4076</v>
      </c>
      <c r="B1932" t="s">
        <v>910</v>
      </c>
      <c r="C1932" t="s">
        <v>1168</v>
      </c>
      <c r="D1932" t="s">
        <v>1613</v>
      </c>
      <c r="E1932" t="s">
        <v>4077</v>
      </c>
      <c r="F1932" t="s">
        <v>1583</v>
      </c>
      <c r="I1932" t="s">
        <v>1058</v>
      </c>
      <c r="K1932">
        <v>1911</v>
      </c>
      <c r="L1932">
        <v>1911</v>
      </c>
      <c r="M1932" t="s">
        <v>209</v>
      </c>
      <c r="N1932" t="s">
        <v>203</v>
      </c>
      <c r="Q1932" s="2" t="str">
        <f>IF($C1932="","",IFERROR(VLOOKUP($C1932,sources!$A$2:$N$200,2,FALSE()),"?"))</f>
        <v>Map</v>
      </c>
      <c r="R1932" s="2" t="str">
        <f t="shared" si="30"/>
        <v>Map</v>
      </c>
      <c r="S1932" s="2" t="str">
        <f>IF($C1932="","",IFERROR(VLOOKUP($C1932,sources!$A$2:$N$200,9,FALSE()),"?"))</f>
        <v>US official</v>
      </c>
      <c r="T1932" t="s">
        <v>5692</v>
      </c>
      <c r="U1932">
        <f>IF(OR(B1932="",C1932="",T1932="Retracted",LEFT(D1932,8)="Negative"),0,IF(COUNTIFS($B$2:B1932,B1932,$C$2:C1932,C1932,$D$2:D1932,"&lt;&gt;Negative*",$T$2:T1932,"&lt;&gt;Retracted")=1,1,0))</f>
        <v>0</v>
      </c>
    </row>
    <row r="1933" spans="1:21" x14ac:dyDescent="0.2">
      <c r="A1933" t="s">
        <v>4078</v>
      </c>
      <c r="B1933" t="s">
        <v>914</v>
      </c>
      <c r="C1933" t="s">
        <v>1168</v>
      </c>
      <c r="D1933" t="s">
        <v>1613</v>
      </c>
      <c r="E1933" t="s">
        <v>915</v>
      </c>
      <c r="F1933" t="s">
        <v>1583</v>
      </c>
      <c r="I1933" t="s">
        <v>1058</v>
      </c>
      <c r="K1933">
        <v>1911</v>
      </c>
      <c r="L1933">
        <v>1911</v>
      </c>
      <c r="M1933" t="s">
        <v>209</v>
      </c>
      <c r="N1933" t="s">
        <v>203</v>
      </c>
      <c r="Q1933" s="2" t="str">
        <f>IF($C1933="","",IFERROR(VLOOKUP($C1933,sources!$A$2:$N$200,2,FALSE()),"?"))</f>
        <v>Map</v>
      </c>
      <c r="R1933" s="2" t="str">
        <f t="shared" si="30"/>
        <v>Map</v>
      </c>
      <c r="S1933" s="2" t="str">
        <f>IF($C1933="","",IFERROR(VLOOKUP($C1933,sources!$A$2:$N$200,9,FALSE()),"?"))</f>
        <v>US official</v>
      </c>
      <c r="T1933" t="s">
        <v>5692</v>
      </c>
      <c r="U1933">
        <f>IF(OR(B1933="",C1933="",T1933="Retracted",LEFT(D1933,8)="Negative"),0,IF(COUNTIFS($B$2:B1933,B1933,$C$2:C1933,C1933,$D$2:D1933,"&lt;&gt;Negative*",$T$2:T1933,"&lt;&gt;Retracted")=1,1,0))</f>
        <v>0</v>
      </c>
    </row>
    <row r="1934" spans="1:21" x14ac:dyDescent="0.2">
      <c r="A1934" t="s">
        <v>4079</v>
      </c>
      <c r="B1934" t="s">
        <v>917</v>
      </c>
      <c r="C1934" t="s">
        <v>1168</v>
      </c>
      <c r="D1934" t="s">
        <v>1613</v>
      </c>
      <c r="E1934" t="s">
        <v>918</v>
      </c>
      <c r="F1934" t="s">
        <v>1583</v>
      </c>
      <c r="I1934" t="s">
        <v>1058</v>
      </c>
      <c r="K1934">
        <v>1911</v>
      </c>
      <c r="L1934">
        <v>1911</v>
      </c>
      <c r="M1934" t="s">
        <v>209</v>
      </c>
      <c r="N1934" t="s">
        <v>203</v>
      </c>
      <c r="Q1934" s="2" t="str">
        <f>IF($C1934="","",IFERROR(VLOOKUP($C1934,sources!$A$2:$N$200,2,FALSE()),"?"))</f>
        <v>Map</v>
      </c>
      <c r="R1934" s="2" t="str">
        <f t="shared" si="30"/>
        <v>Map</v>
      </c>
      <c r="S1934" s="2" t="str">
        <f>IF($C1934="","",IFERROR(VLOOKUP($C1934,sources!$A$2:$N$200,9,FALSE()),"?"))</f>
        <v>US official</v>
      </c>
      <c r="T1934" t="s">
        <v>5692</v>
      </c>
      <c r="U1934">
        <f>IF(OR(B1934="",C1934="",T1934="Retracted",LEFT(D1934,8)="Negative"),0,IF(COUNTIFS($B$2:B1934,B1934,$C$2:C1934,C1934,$D$2:D1934,"&lt;&gt;Negative*",$T$2:T1934,"&lt;&gt;Retracted")=1,1,0))</f>
        <v>0</v>
      </c>
    </row>
    <row r="1935" spans="1:21" x14ac:dyDescent="0.2">
      <c r="A1935" t="s">
        <v>4080</v>
      </c>
      <c r="B1935" t="s">
        <v>920</v>
      </c>
      <c r="C1935" t="s">
        <v>1168</v>
      </c>
      <c r="D1935" t="s">
        <v>1564</v>
      </c>
      <c r="E1935" t="s">
        <v>4081</v>
      </c>
      <c r="F1935" t="s">
        <v>1583</v>
      </c>
      <c r="I1935" t="s">
        <v>1058</v>
      </c>
      <c r="K1935">
        <v>1911</v>
      </c>
      <c r="L1935">
        <v>1911</v>
      </c>
      <c r="M1935" t="s">
        <v>209</v>
      </c>
      <c r="N1935" t="s">
        <v>203</v>
      </c>
      <c r="Q1935" s="2" t="str">
        <f>IF($C1935="","",IFERROR(VLOOKUP($C1935,sources!$A$2:$N$200,2,FALSE()),"?"))</f>
        <v>Map</v>
      </c>
      <c r="R1935" s="2" t="str">
        <f t="shared" si="30"/>
        <v>Map</v>
      </c>
      <c r="S1935" s="2" t="str">
        <f>IF($C1935="","",IFERROR(VLOOKUP($C1935,sources!$A$2:$N$200,9,FALSE()),"?"))</f>
        <v>US official</v>
      </c>
      <c r="T1935" t="s">
        <v>5692</v>
      </c>
      <c r="U1935">
        <f>IF(OR(B1935="",C1935="",T1935="Retracted",LEFT(D1935,8)="Negative"),0,IF(COUNTIFS($B$2:B1935,B1935,$C$2:C1935,C1935,$D$2:D1935,"&lt;&gt;Negative*",$T$2:T1935,"&lt;&gt;Retracted")=1,1,0))</f>
        <v>1</v>
      </c>
    </row>
    <row r="1936" spans="1:21" x14ac:dyDescent="0.2">
      <c r="A1936" t="s">
        <v>4082</v>
      </c>
      <c r="B1936" t="s">
        <v>924</v>
      </c>
      <c r="C1936" t="s">
        <v>1168</v>
      </c>
      <c r="D1936" t="s">
        <v>1613</v>
      </c>
      <c r="E1936" t="s">
        <v>925</v>
      </c>
      <c r="F1936" t="s">
        <v>1583</v>
      </c>
      <c r="I1936" t="s">
        <v>1058</v>
      </c>
      <c r="K1936">
        <v>1911</v>
      </c>
      <c r="L1936">
        <v>1911</v>
      </c>
      <c r="M1936" t="s">
        <v>209</v>
      </c>
      <c r="N1936" t="s">
        <v>203</v>
      </c>
      <c r="Q1936" s="2" t="str">
        <f>IF($C1936="","",IFERROR(VLOOKUP($C1936,sources!$A$2:$N$200,2,FALSE()),"?"))</f>
        <v>Map</v>
      </c>
      <c r="R1936" s="2" t="str">
        <f t="shared" si="30"/>
        <v>Map</v>
      </c>
      <c r="S1936" s="2" t="str">
        <f>IF($C1936="","",IFERROR(VLOOKUP($C1936,sources!$A$2:$N$200,9,FALSE()),"?"))</f>
        <v>US official</v>
      </c>
      <c r="T1936" t="s">
        <v>5692</v>
      </c>
      <c r="U1936">
        <f>IF(OR(B1936="",C1936="",T1936="Retracted",LEFT(D1936,8)="Negative"),0,IF(COUNTIFS($B$2:B1936,B1936,$C$2:C1936,C1936,$D$2:D1936,"&lt;&gt;Negative*",$T$2:T1936,"&lt;&gt;Retracted")=1,1,0))</f>
        <v>0</v>
      </c>
    </row>
    <row r="1937" spans="1:21" x14ac:dyDescent="0.2">
      <c r="A1937" t="s">
        <v>4083</v>
      </c>
      <c r="B1937" t="s">
        <v>510</v>
      </c>
      <c r="C1937" t="s">
        <v>1356</v>
      </c>
      <c r="D1937" t="s">
        <v>1613</v>
      </c>
      <c r="E1937" t="s">
        <v>4084</v>
      </c>
      <c r="F1937" t="s">
        <v>1583</v>
      </c>
      <c r="I1937" t="s">
        <v>1058</v>
      </c>
      <c r="K1937">
        <v>1947</v>
      </c>
      <c r="L1937">
        <v>1947</v>
      </c>
      <c r="M1937" t="s">
        <v>209</v>
      </c>
      <c r="N1937" t="s">
        <v>203</v>
      </c>
      <c r="Q1937" s="2" t="str">
        <f>IF($C1937="","",IFERROR(VLOOKUP($C1937,sources!$A$2:$N$200,2,FALSE()),"?"))</f>
        <v>Map</v>
      </c>
      <c r="R1937" s="2" t="str">
        <f t="shared" si="30"/>
        <v>Map</v>
      </c>
      <c r="S1937" s="2" t="str">
        <f>IF($C1937="","",IFERROR(VLOOKUP($C1937,sources!$A$2:$N$200,9,FALSE()),"?"))</f>
        <v>US official</v>
      </c>
      <c r="T1937" t="s">
        <v>5692</v>
      </c>
      <c r="U1937">
        <f>IF(OR(B1937="",C1937="",T1937="Retracted",LEFT(D1937,8)="Negative"),0,IF(COUNTIFS($B$2:B1937,B1937,$C$2:C1937,C1937,$D$2:D1937,"&lt;&gt;Negative*",$T$2:T1937,"&lt;&gt;Retracted")=1,1,0))</f>
        <v>0</v>
      </c>
    </row>
    <row r="1938" spans="1:21" x14ac:dyDescent="0.2">
      <c r="A1938" t="s">
        <v>4085</v>
      </c>
      <c r="B1938" t="s">
        <v>801</v>
      </c>
      <c r="C1938" t="s">
        <v>1179</v>
      </c>
      <c r="D1938" t="s">
        <v>1575</v>
      </c>
      <c r="E1938" t="s">
        <v>4086</v>
      </c>
      <c r="F1938" t="s">
        <v>1583</v>
      </c>
      <c r="I1938" t="s">
        <v>1058</v>
      </c>
      <c r="K1938">
        <v>1909</v>
      </c>
      <c r="L1938">
        <v>1909</v>
      </c>
      <c r="M1938" t="s">
        <v>209</v>
      </c>
      <c r="N1938" t="s">
        <v>209</v>
      </c>
      <c r="Q1938" s="2" t="str">
        <f>IF($C1938="","",IFERROR(VLOOKUP($C1938,sources!$A$2:$N$200,2,FALSE()),"?"))</f>
        <v>Map</v>
      </c>
      <c r="R1938" s="2" t="str">
        <f t="shared" si="30"/>
        <v>Map</v>
      </c>
      <c r="S1938" s="2" t="str">
        <f>IF($C1938="","",IFERROR(VLOOKUP($C1938,sources!$A$2:$N$200,9,FALSE()),"?"))</f>
        <v>US official</v>
      </c>
      <c r="T1938" t="s">
        <v>5692</v>
      </c>
      <c r="U1938">
        <f>IF(OR(B1938="",C1938="",T1938="Retracted",LEFT(D1938,8)="Negative"),0,IF(COUNTIFS($B$2:B1938,B1938,$C$2:C1938,C1938,$D$2:D1938,"&lt;&gt;Negative*",$T$2:T1938,"&lt;&gt;Retracted")=1,1,0))</f>
        <v>1</v>
      </c>
    </row>
    <row r="1939" spans="1:21" x14ac:dyDescent="0.2">
      <c r="A1939" t="s">
        <v>4087</v>
      </c>
      <c r="B1939" t="s">
        <v>547</v>
      </c>
      <c r="C1939" t="s">
        <v>1179</v>
      </c>
      <c r="D1939" t="s">
        <v>1613</v>
      </c>
      <c r="E1939" t="s">
        <v>548</v>
      </c>
      <c r="F1939" t="s">
        <v>1583</v>
      </c>
      <c r="I1939" t="s">
        <v>1058</v>
      </c>
      <c r="K1939">
        <v>1909</v>
      </c>
      <c r="L1939">
        <v>1909</v>
      </c>
      <c r="M1939" t="s">
        <v>209</v>
      </c>
      <c r="N1939" t="s">
        <v>203</v>
      </c>
      <c r="Q1939" s="2" t="str">
        <f>IF($C1939="","",IFERROR(VLOOKUP($C1939,sources!$A$2:$N$200,2,FALSE()),"?"))</f>
        <v>Map</v>
      </c>
      <c r="R1939" s="2" t="str">
        <f t="shared" si="30"/>
        <v>Map</v>
      </c>
      <c r="S1939" s="2" t="str">
        <f>IF($C1939="","",IFERROR(VLOOKUP($C1939,sources!$A$2:$N$200,9,FALSE()),"?"))</f>
        <v>US official</v>
      </c>
      <c r="T1939" t="s">
        <v>5692</v>
      </c>
      <c r="U1939">
        <f>IF(OR(B1939="",C1939="",T1939="Retracted",LEFT(D1939,8)="Negative"),0,IF(COUNTIFS($B$2:B1939,B1939,$C$2:C1939,C1939,$D$2:D1939,"&lt;&gt;Negative*",$T$2:T1939,"&lt;&gt;Retracted")=1,1,0))</f>
        <v>0</v>
      </c>
    </row>
    <row r="1940" spans="1:21" x14ac:dyDescent="0.2">
      <c r="A1940" t="s">
        <v>4088</v>
      </c>
      <c r="B1940" t="s">
        <v>805</v>
      </c>
      <c r="C1940" t="s">
        <v>1179</v>
      </c>
      <c r="D1940" t="s">
        <v>1613</v>
      </c>
      <c r="E1940" t="s">
        <v>806</v>
      </c>
      <c r="F1940" t="s">
        <v>1583</v>
      </c>
      <c r="I1940" t="s">
        <v>1058</v>
      </c>
      <c r="K1940">
        <v>1909</v>
      </c>
      <c r="L1940">
        <v>1909</v>
      </c>
      <c r="M1940" t="s">
        <v>209</v>
      </c>
      <c r="N1940" t="s">
        <v>209</v>
      </c>
      <c r="Q1940" s="2" t="str">
        <f>IF($C1940="","",IFERROR(VLOOKUP($C1940,sources!$A$2:$N$200,2,FALSE()),"?"))</f>
        <v>Map</v>
      </c>
      <c r="R1940" s="2" t="str">
        <f t="shared" si="30"/>
        <v>Map</v>
      </c>
      <c r="S1940" s="2" t="str">
        <f>IF($C1940="","",IFERROR(VLOOKUP($C1940,sources!$A$2:$N$200,9,FALSE()),"?"))</f>
        <v>US official</v>
      </c>
      <c r="T1940" t="s">
        <v>5692</v>
      </c>
      <c r="U1940">
        <f>IF(OR(B1940="",C1940="",T1940="Retracted",LEFT(D1940,8)="Negative"),0,IF(COUNTIFS($B$2:B1940,B1940,$C$2:C1940,C1940,$D$2:D1940,"&lt;&gt;Negative*",$T$2:T1940,"&lt;&gt;Retracted")=1,1,0))</f>
        <v>0</v>
      </c>
    </row>
    <row r="1941" spans="1:21" x14ac:dyDescent="0.2">
      <c r="A1941" t="s">
        <v>4089</v>
      </c>
      <c r="B1941" t="s">
        <v>971</v>
      </c>
      <c r="C1941" t="s">
        <v>1179</v>
      </c>
      <c r="D1941" t="s">
        <v>1613</v>
      </c>
      <c r="E1941" t="s">
        <v>972</v>
      </c>
      <c r="F1941" t="s">
        <v>1583</v>
      </c>
      <c r="I1941" t="s">
        <v>1058</v>
      </c>
      <c r="K1941">
        <v>1909</v>
      </c>
      <c r="L1941">
        <v>1909</v>
      </c>
      <c r="M1941" t="s">
        <v>209</v>
      </c>
      <c r="N1941" t="s">
        <v>209</v>
      </c>
      <c r="Q1941" s="2" t="str">
        <f>IF($C1941="","",IFERROR(VLOOKUP($C1941,sources!$A$2:$N$200,2,FALSE()),"?"))</f>
        <v>Map</v>
      </c>
      <c r="R1941" s="2" t="str">
        <f t="shared" si="30"/>
        <v>Map</v>
      </c>
      <c r="S1941" s="2" t="str">
        <f>IF($C1941="","",IFERROR(VLOOKUP($C1941,sources!$A$2:$N$200,9,FALSE()),"?"))</f>
        <v>US official</v>
      </c>
      <c r="T1941" t="s">
        <v>5692</v>
      </c>
      <c r="U1941">
        <f>IF(OR(B1941="",C1941="",T1941="Retracted",LEFT(D1941,8)="Negative"),0,IF(COUNTIFS($B$2:B1941,B1941,$C$2:C1941,C1941,$D$2:D1941,"&lt;&gt;Negative*",$T$2:T1941,"&lt;&gt;Retracted")=1,1,0))</f>
        <v>0</v>
      </c>
    </row>
    <row r="1942" spans="1:21" x14ac:dyDescent="0.2">
      <c r="A1942" t="s">
        <v>4090</v>
      </c>
      <c r="B1942" t="s">
        <v>936</v>
      </c>
      <c r="C1942" t="s">
        <v>1179</v>
      </c>
      <c r="D1942" t="s">
        <v>1575</v>
      </c>
      <c r="E1942" t="s">
        <v>4091</v>
      </c>
      <c r="F1942" t="s">
        <v>1583</v>
      </c>
      <c r="I1942" t="s">
        <v>1058</v>
      </c>
      <c r="K1942">
        <v>1909</v>
      </c>
      <c r="L1942">
        <v>1909</v>
      </c>
      <c r="M1942" t="s">
        <v>209</v>
      </c>
      <c r="N1942" t="s">
        <v>209</v>
      </c>
      <c r="Q1942" s="2" t="str">
        <f>IF($C1942="","",IFERROR(VLOOKUP($C1942,sources!$A$2:$N$200,2,FALSE()),"?"))</f>
        <v>Map</v>
      </c>
      <c r="R1942" s="2" t="str">
        <f t="shared" si="30"/>
        <v>Map</v>
      </c>
      <c r="S1942" s="2" t="str">
        <f>IF($C1942="","",IFERROR(VLOOKUP($C1942,sources!$A$2:$N$200,9,FALSE()),"?"))</f>
        <v>US official</v>
      </c>
      <c r="T1942" t="s">
        <v>5692</v>
      </c>
      <c r="U1942">
        <f>IF(OR(B1942="",C1942="",T1942="Retracted",LEFT(D1942,8)="Negative"),0,IF(COUNTIFS($B$2:B1942,B1942,$C$2:C1942,C1942,$D$2:D1942,"&lt;&gt;Negative*",$T$2:T1942,"&lt;&gt;Retracted")=1,1,0))</f>
        <v>1</v>
      </c>
    </row>
    <row r="1943" spans="1:21" x14ac:dyDescent="0.2">
      <c r="A1943" t="s">
        <v>4092</v>
      </c>
      <c r="B1943" t="s">
        <v>955</v>
      </c>
      <c r="C1943" t="s">
        <v>1179</v>
      </c>
      <c r="D1943" t="s">
        <v>1613</v>
      </c>
      <c r="E1943" t="s">
        <v>3898</v>
      </c>
      <c r="F1943" t="s">
        <v>1583</v>
      </c>
      <c r="I1943" t="s">
        <v>1058</v>
      </c>
      <c r="K1943">
        <v>1909</v>
      </c>
      <c r="L1943">
        <v>1909</v>
      </c>
      <c r="M1943" t="s">
        <v>209</v>
      </c>
      <c r="N1943" t="s">
        <v>209</v>
      </c>
      <c r="Q1943" s="2" t="str">
        <f>IF($C1943="","",IFERROR(VLOOKUP($C1943,sources!$A$2:$N$200,2,FALSE()),"?"))</f>
        <v>Map</v>
      </c>
      <c r="R1943" s="2" t="str">
        <f t="shared" si="30"/>
        <v>Map</v>
      </c>
      <c r="S1943" s="2" t="str">
        <f>IF($C1943="","",IFERROR(VLOOKUP($C1943,sources!$A$2:$N$200,9,FALSE()),"?"))</f>
        <v>US official</v>
      </c>
      <c r="T1943" t="s">
        <v>5692</v>
      </c>
      <c r="U1943">
        <f>IF(OR(B1943="",C1943="",T1943="Retracted",LEFT(D1943,8)="Negative"),0,IF(COUNTIFS($B$2:B1943,B1943,$C$2:C1943,C1943,$D$2:D1943,"&lt;&gt;Negative*",$T$2:T1943,"&lt;&gt;Retracted")=1,1,0))</f>
        <v>0</v>
      </c>
    </row>
    <row r="1944" spans="1:21" x14ac:dyDescent="0.2">
      <c r="A1944" t="s">
        <v>4093</v>
      </c>
      <c r="B1944" t="s">
        <v>959</v>
      </c>
      <c r="C1944" t="s">
        <v>1179</v>
      </c>
      <c r="D1944" t="s">
        <v>1613</v>
      </c>
      <c r="E1944" t="s">
        <v>960</v>
      </c>
      <c r="F1944" t="s">
        <v>1583</v>
      </c>
      <c r="I1944" t="s">
        <v>1058</v>
      </c>
      <c r="K1944">
        <v>1909</v>
      </c>
      <c r="L1944">
        <v>1909</v>
      </c>
      <c r="M1944" t="s">
        <v>209</v>
      </c>
      <c r="N1944" t="s">
        <v>209</v>
      </c>
      <c r="Q1944" s="2" t="str">
        <f>IF($C1944="","",IFERROR(VLOOKUP($C1944,sources!$A$2:$N$200,2,FALSE()),"?"))</f>
        <v>Map</v>
      </c>
      <c r="R1944" s="2" t="str">
        <f t="shared" si="30"/>
        <v>Map</v>
      </c>
      <c r="S1944" s="2" t="str">
        <f>IF($C1944="","",IFERROR(VLOOKUP($C1944,sources!$A$2:$N$200,9,FALSE()),"?"))</f>
        <v>US official</v>
      </c>
      <c r="T1944" t="s">
        <v>5692</v>
      </c>
      <c r="U1944">
        <f>IF(OR(B1944="",C1944="",T1944="Retracted",LEFT(D1944,8)="Negative"),0,IF(COUNTIFS($B$2:B1944,B1944,$C$2:C1944,C1944,$D$2:D1944,"&lt;&gt;Negative*",$T$2:T1944,"&lt;&gt;Retracted")=1,1,0))</f>
        <v>0</v>
      </c>
    </row>
    <row r="1945" spans="1:21" x14ac:dyDescent="0.2">
      <c r="A1945" t="s">
        <v>4094</v>
      </c>
      <c r="B1945" t="s">
        <v>962</v>
      </c>
      <c r="C1945" t="s">
        <v>1179</v>
      </c>
      <c r="D1945" t="s">
        <v>1613</v>
      </c>
      <c r="E1945" t="s">
        <v>963</v>
      </c>
      <c r="F1945" t="s">
        <v>1583</v>
      </c>
      <c r="I1945" t="s">
        <v>1058</v>
      </c>
      <c r="K1945">
        <v>1909</v>
      </c>
      <c r="L1945">
        <v>1909</v>
      </c>
      <c r="M1945" t="s">
        <v>209</v>
      </c>
      <c r="N1945" t="s">
        <v>209</v>
      </c>
      <c r="Q1945" s="2" t="str">
        <f>IF($C1945="","",IFERROR(VLOOKUP($C1945,sources!$A$2:$N$200,2,FALSE()),"?"))</f>
        <v>Map</v>
      </c>
      <c r="R1945" s="2" t="str">
        <f t="shared" si="30"/>
        <v>Map</v>
      </c>
      <c r="S1945" s="2" t="str">
        <f>IF($C1945="","",IFERROR(VLOOKUP($C1945,sources!$A$2:$N$200,9,FALSE()),"?"))</f>
        <v>US official</v>
      </c>
      <c r="T1945" t="s">
        <v>5692</v>
      </c>
      <c r="U1945">
        <f>IF(OR(B1945="",C1945="",T1945="Retracted",LEFT(D1945,8)="Negative"),0,IF(COUNTIFS($B$2:B1945,B1945,$C$2:C1945,C1945,$D$2:D1945,"&lt;&gt;Negative*",$T$2:T1945,"&lt;&gt;Retracted")=1,1,0))</f>
        <v>0</v>
      </c>
    </row>
    <row r="1946" spans="1:21" x14ac:dyDescent="0.2">
      <c r="A1946" t="s">
        <v>4095</v>
      </c>
      <c r="B1946" t="s">
        <v>966</v>
      </c>
      <c r="C1946" t="s">
        <v>1179</v>
      </c>
      <c r="D1946" t="s">
        <v>1613</v>
      </c>
      <c r="E1946" t="s">
        <v>967</v>
      </c>
      <c r="F1946" t="s">
        <v>1583</v>
      </c>
      <c r="I1946" t="s">
        <v>1058</v>
      </c>
      <c r="K1946">
        <v>1909</v>
      </c>
      <c r="L1946">
        <v>1909</v>
      </c>
      <c r="M1946" t="s">
        <v>209</v>
      </c>
      <c r="N1946" t="s">
        <v>190</v>
      </c>
      <c r="Q1946" s="2" t="str">
        <f>IF($C1946="","",IFERROR(VLOOKUP($C1946,sources!$A$2:$N$200,2,FALSE()),"?"))</f>
        <v>Map</v>
      </c>
      <c r="R1946" s="2" t="str">
        <f t="shared" si="30"/>
        <v>Map</v>
      </c>
      <c r="S1946" s="2" t="str">
        <f>IF($C1946="","",IFERROR(VLOOKUP($C1946,sources!$A$2:$N$200,9,FALSE()),"?"))</f>
        <v>US official</v>
      </c>
      <c r="T1946" t="s">
        <v>5693</v>
      </c>
      <c r="U1946">
        <f>IF(OR(B1946="",C1946="",T1946="Retracted",LEFT(D1946,8)="Negative"),0,IF(COUNTIFS($B$2:B1946,B1946,$C$2:C1946,C1946,$D$2:D1946,"&lt;&gt;Negative*",$T$2:T1946,"&lt;&gt;Retracted")=1,1,0))</f>
        <v>0</v>
      </c>
    </row>
    <row r="1947" spans="1:21" x14ac:dyDescent="0.2">
      <c r="A1947" t="s">
        <v>4096</v>
      </c>
      <c r="B1947" t="s">
        <v>938</v>
      </c>
      <c r="C1947" t="s">
        <v>1179</v>
      </c>
      <c r="D1947" t="s">
        <v>1613</v>
      </c>
      <c r="E1947" t="s">
        <v>939</v>
      </c>
      <c r="F1947" t="s">
        <v>1583</v>
      </c>
      <c r="I1947" t="s">
        <v>1058</v>
      </c>
      <c r="K1947">
        <v>1909</v>
      </c>
      <c r="L1947">
        <v>1909</v>
      </c>
      <c r="M1947" t="s">
        <v>209</v>
      </c>
      <c r="N1947" t="s">
        <v>209</v>
      </c>
      <c r="Q1947" s="2" t="str">
        <f>IF($C1947="","",IFERROR(VLOOKUP($C1947,sources!$A$2:$N$200,2,FALSE()),"?"))</f>
        <v>Map</v>
      </c>
      <c r="R1947" s="2" t="str">
        <f t="shared" si="30"/>
        <v>Map</v>
      </c>
      <c r="S1947" s="2" t="str">
        <f>IF($C1947="","",IFERROR(VLOOKUP($C1947,sources!$A$2:$N$200,9,FALSE()),"?"))</f>
        <v>US official</v>
      </c>
      <c r="T1947" t="s">
        <v>5692</v>
      </c>
      <c r="U1947">
        <f>IF(OR(B1947="",C1947="",T1947="Retracted",LEFT(D1947,8)="Negative"),0,IF(COUNTIFS($B$2:B1947,B1947,$C$2:C1947,C1947,$D$2:D1947,"&lt;&gt;Negative*",$T$2:T1947,"&lt;&gt;Retracted")=1,1,0))</f>
        <v>0</v>
      </c>
    </row>
    <row r="1948" spans="1:21" x14ac:dyDescent="0.2">
      <c r="A1948" t="s">
        <v>4097</v>
      </c>
      <c r="B1948" t="s">
        <v>943</v>
      </c>
      <c r="C1948" t="s">
        <v>1179</v>
      </c>
      <c r="D1948" t="s">
        <v>1613</v>
      </c>
      <c r="E1948" t="s">
        <v>944</v>
      </c>
      <c r="F1948" t="s">
        <v>1583</v>
      </c>
      <c r="I1948" t="s">
        <v>1058</v>
      </c>
      <c r="K1948">
        <v>1909</v>
      </c>
      <c r="L1948">
        <v>1909</v>
      </c>
      <c r="M1948" t="s">
        <v>209</v>
      </c>
      <c r="N1948" t="s">
        <v>209</v>
      </c>
      <c r="Q1948" s="2" t="str">
        <f>IF($C1948="","",IFERROR(VLOOKUP($C1948,sources!$A$2:$N$200,2,FALSE()),"?"))</f>
        <v>Map</v>
      </c>
      <c r="R1948" s="2" t="str">
        <f t="shared" si="30"/>
        <v>Map</v>
      </c>
      <c r="S1948" s="2" t="str">
        <f>IF($C1948="","",IFERROR(VLOOKUP($C1948,sources!$A$2:$N$200,9,FALSE()),"?"))</f>
        <v>US official</v>
      </c>
      <c r="T1948" t="s">
        <v>5692</v>
      </c>
      <c r="U1948">
        <f>IF(OR(B1948="",C1948="",T1948="Retracted",LEFT(D1948,8)="Negative"),0,IF(COUNTIFS($B$2:B1948,B1948,$C$2:C1948,C1948,$D$2:D1948,"&lt;&gt;Negative*",$T$2:T1948,"&lt;&gt;Retracted")=1,1,0))</f>
        <v>0</v>
      </c>
    </row>
    <row r="1949" spans="1:21" x14ac:dyDescent="0.2">
      <c r="A1949" t="s">
        <v>4098</v>
      </c>
      <c r="B1949" t="s">
        <v>947</v>
      </c>
      <c r="C1949" t="s">
        <v>1179</v>
      </c>
      <c r="D1949" t="s">
        <v>1613</v>
      </c>
      <c r="E1949" t="s">
        <v>948</v>
      </c>
      <c r="F1949" t="s">
        <v>1583</v>
      </c>
      <c r="I1949" t="s">
        <v>1058</v>
      </c>
      <c r="K1949">
        <v>1909</v>
      </c>
      <c r="L1949">
        <v>1909</v>
      </c>
      <c r="M1949" t="s">
        <v>209</v>
      </c>
      <c r="N1949" t="s">
        <v>209</v>
      </c>
      <c r="Q1949" s="2" t="str">
        <f>IF($C1949="","",IFERROR(VLOOKUP($C1949,sources!$A$2:$N$200,2,FALSE()),"?"))</f>
        <v>Map</v>
      </c>
      <c r="R1949" s="2" t="str">
        <f t="shared" si="30"/>
        <v>Map</v>
      </c>
      <c r="S1949" s="2" t="str">
        <f>IF($C1949="","",IFERROR(VLOOKUP($C1949,sources!$A$2:$N$200,9,FALSE()),"?"))</f>
        <v>US official</v>
      </c>
      <c r="T1949" t="s">
        <v>5692</v>
      </c>
      <c r="U1949">
        <f>IF(OR(B1949="",C1949="",T1949="Retracted",LEFT(D1949,8)="Negative"),0,IF(COUNTIFS($B$2:B1949,B1949,$C$2:C1949,C1949,$D$2:D1949,"&lt;&gt;Negative*",$T$2:T1949,"&lt;&gt;Retracted")=1,1,0))</f>
        <v>0</v>
      </c>
    </row>
    <row r="1950" spans="1:21" x14ac:dyDescent="0.2">
      <c r="A1950" t="s">
        <v>4099</v>
      </c>
      <c r="B1950" t="s">
        <v>808</v>
      </c>
      <c r="C1950" t="s">
        <v>1179</v>
      </c>
      <c r="D1950" t="s">
        <v>1613</v>
      </c>
      <c r="E1950" t="s">
        <v>809</v>
      </c>
      <c r="F1950" t="s">
        <v>1583</v>
      </c>
      <c r="I1950" t="s">
        <v>1058</v>
      </c>
      <c r="K1950">
        <v>1909</v>
      </c>
      <c r="L1950">
        <v>1909</v>
      </c>
      <c r="M1950" t="s">
        <v>209</v>
      </c>
      <c r="N1950" t="s">
        <v>209</v>
      </c>
      <c r="Q1950" s="2" t="str">
        <f>IF($C1950="","",IFERROR(VLOOKUP($C1950,sources!$A$2:$N$200,2,FALSE()),"?"))</f>
        <v>Map</v>
      </c>
      <c r="R1950" s="2" t="str">
        <f t="shared" si="30"/>
        <v>Map</v>
      </c>
      <c r="S1950" s="2" t="str">
        <f>IF($C1950="","",IFERROR(VLOOKUP($C1950,sources!$A$2:$N$200,9,FALSE()),"?"))</f>
        <v>US official</v>
      </c>
      <c r="T1950" t="s">
        <v>5692</v>
      </c>
      <c r="U1950">
        <f>IF(OR(B1950="",C1950="",T1950="Retracted",LEFT(D1950,8)="Negative"),0,IF(COUNTIFS($B$2:B1950,B1950,$C$2:C1950,C1950,$D$2:D1950,"&lt;&gt;Negative*",$T$2:T1950,"&lt;&gt;Retracted")=1,1,0))</f>
        <v>0</v>
      </c>
    </row>
    <row r="1951" spans="1:21" x14ac:dyDescent="0.2">
      <c r="A1951" t="s">
        <v>4100</v>
      </c>
      <c r="B1951" t="s">
        <v>902</v>
      </c>
      <c r="C1951" t="s">
        <v>1179</v>
      </c>
      <c r="D1951" t="s">
        <v>1613</v>
      </c>
      <c r="E1951" t="s">
        <v>903</v>
      </c>
      <c r="F1951" t="s">
        <v>1583</v>
      </c>
      <c r="I1951" t="s">
        <v>1058</v>
      </c>
      <c r="K1951">
        <v>1909</v>
      </c>
      <c r="L1951">
        <v>1909</v>
      </c>
      <c r="M1951" t="s">
        <v>209</v>
      </c>
      <c r="N1951" t="s">
        <v>203</v>
      </c>
      <c r="Q1951" s="2" t="str">
        <f>IF($C1951="","",IFERROR(VLOOKUP($C1951,sources!$A$2:$N$200,2,FALSE()),"?"))</f>
        <v>Map</v>
      </c>
      <c r="R1951" s="2" t="str">
        <f t="shared" si="30"/>
        <v>Map</v>
      </c>
      <c r="S1951" s="2" t="str">
        <f>IF($C1951="","",IFERROR(VLOOKUP($C1951,sources!$A$2:$N$200,9,FALSE()),"?"))</f>
        <v>US official</v>
      </c>
      <c r="T1951" t="s">
        <v>5692</v>
      </c>
      <c r="U1951">
        <f>IF(OR(B1951="",C1951="",T1951="Retracted",LEFT(D1951,8)="Negative"),0,IF(COUNTIFS($B$2:B1951,B1951,$C$2:C1951,C1951,$D$2:D1951,"&lt;&gt;Negative*",$T$2:T1951,"&lt;&gt;Retracted")=1,1,0))</f>
        <v>0</v>
      </c>
    </row>
    <row r="1952" spans="1:21" x14ac:dyDescent="0.2">
      <c r="A1952" t="s">
        <v>4101</v>
      </c>
      <c r="B1952" t="s">
        <v>906</v>
      </c>
      <c r="C1952" t="s">
        <v>1179</v>
      </c>
      <c r="D1952" t="s">
        <v>1613</v>
      </c>
      <c r="E1952" t="s">
        <v>907</v>
      </c>
      <c r="F1952" t="s">
        <v>1583</v>
      </c>
      <c r="I1952" t="s">
        <v>1058</v>
      </c>
      <c r="K1952">
        <v>1909</v>
      </c>
      <c r="L1952">
        <v>1909</v>
      </c>
      <c r="M1952" t="s">
        <v>209</v>
      </c>
      <c r="N1952" t="s">
        <v>203</v>
      </c>
      <c r="Q1952" s="2" t="str">
        <f>IF($C1952="","",IFERROR(VLOOKUP($C1952,sources!$A$2:$N$200,2,FALSE()),"?"))</f>
        <v>Map</v>
      </c>
      <c r="R1952" s="2" t="str">
        <f t="shared" si="30"/>
        <v>Map</v>
      </c>
      <c r="S1952" s="2" t="str">
        <f>IF($C1952="","",IFERROR(VLOOKUP($C1952,sources!$A$2:$N$200,9,FALSE()),"?"))</f>
        <v>US official</v>
      </c>
      <c r="T1952" t="s">
        <v>5692</v>
      </c>
      <c r="U1952">
        <f>IF(OR(B1952="",C1952="",T1952="Retracted",LEFT(D1952,8)="Negative"),0,IF(COUNTIFS($B$2:B1952,B1952,$C$2:C1952,C1952,$D$2:D1952,"&lt;&gt;Negative*",$T$2:T1952,"&lt;&gt;Retracted")=1,1,0))</f>
        <v>0</v>
      </c>
    </row>
    <row r="1953" spans="1:21" x14ac:dyDescent="0.2">
      <c r="A1953" t="s">
        <v>4102</v>
      </c>
      <c r="B1953" t="s">
        <v>910</v>
      </c>
      <c r="C1953" t="s">
        <v>1179</v>
      </c>
      <c r="D1953" t="s">
        <v>1613</v>
      </c>
      <c r="E1953" t="s">
        <v>911</v>
      </c>
      <c r="F1953" t="s">
        <v>1583</v>
      </c>
      <c r="I1953" t="s">
        <v>1058</v>
      </c>
      <c r="K1953">
        <v>1909</v>
      </c>
      <c r="L1953">
        <v>1909</v>
      </c>
      <c r="M1953" t="s">
        <v>209</v>
      </c>
      <c r="N1953" t="s">
        <v>203</v>
      </c>
      <c r="Q1953" s="2" t="str">
        <f>IF($C1953="","",IFERROR(VLOOKUP($C1953,sources!$A$2:$N$200,2,FALSE()),"?"))</f>
        <v>Map</v>
      </c>
      <c r="R1953" s="2" t="str">
        <f t="shared" si="30"/>
        <v>Map</v>
      </c>
      <c r="S1953" s="2" t="str">
        <f>IF($C1953="","",IFERROR(VLOOKUP($C1953,sources!$A$2:$N$200,9,FALSE()),"?"))</f>
        <v>US official</v>
      </c>
      <c r="T1953" t="s">
        <v>5692</v>
      </c>
      <c r="U1953">
        <f>IF(OR(B1953="",C1953="",T1953="Retracted",LEFT(D1953,8)="Negative"),0,IF(COUNTIFS($B$2:B1953,B1953,$C$2:C1953,C1953,$D$2:D1953,"&lt;&gt;Negative*",$T$2:T1953,"&lt;&gt;Retracted")=1,1,0))</f>
        <v>0</v>
      </c>
    </row>
    <row r="1954" spans="1:21" x14ac:dyDescent="0.2">
      <c r="A1954" t="s">
        <v>4103</v>
      </c>
      <c r="B1954" t="s">
        <v>914</v>
      </c>
      <c r="C1954" t="s">
        <v>1179</v>
      </c>
      <c r="D1954" t="s">
        <v>1613</v>
      </c>
      <c r="E1954" t="s">
        <v>915</v>
      </c>
      <c r="F1954" t="s">
        <v>1583</v>
      </c>
      <c r="I1954" t="s">
        <v>1058</v>
      </c>
      <c r="K1954">
        <v>1909</v>
      </c>
      <c r="L1954">
        <v>1909</v>
      </c>
      <c r="M1954" t="s">
        <v>209</v>
      </c>
      <c r="N1954" t="s">
        <v>203</v>
      </c>
      <c r="Q1954" s="2" t="str">
        <f>IF($C1954="","",IFERROR(VLOOKUP($C1954,sources!$A$2:$N$200,2,FALSE()),"?"))</f>
        <v>Map</v>
      </c>
      <c r="R1954" s="2" t="str">
        <f t="shared" si="30"/>
        <v>Map</v>
      </c>
      <c r="S1954" s="2" t="str">
        <f>IF($C1954="","",IFERROR(VLOOKUP($C1954,sources!$A$2:$N$200,9,FALSE()),"?"))</f>
        <v>US official</v>
      </c>
      <c r="T1954" t="s">
        <v>5692</v>
      </c>
      <c r="U1954">
        <f>IF(OR(B1954="",C1954="",T1954="Retracted",LEFT(D1954,8)="Negative"),0,IF(COUNTIFS($B$2:B1954,B1954,$C$2:C1954,C1954,$D$2:D1954,"&lt;&gt;Negative*",$T$2:T1954,"&lt;&gt;Retracted")=1,1,0))</f>
        <v>0</v>
      </c>
    </row>
    <row r="1955" spans="1:21" x14ac:dyDescent="0.2">
      <c r="A1955" t="s">
        <v>4104</v>
      </c>
      <c r="B1955" t="s">
        <v>920</v>
      </c>
      <c r="C1955" t="s">
        <v>1179</v>
      </c>
      <c r="D1955" t="s">
        <v>1613</v>
      </c>
      <c r="E1955" t="s">
        <v>921</v>
      </c>
      <c r="F1955" t="s">
        <v>1583</v>
      </c>
      <c r="I1955" t="s">
        <v>1058</v>
      </c>
      <c r="K1955">
        <v>1909</v>
      </c>
      <c r="L1955">
        <v>1909</v>
      </c>
      <c r="M1955" t="s">
        <v>209</v>
      </c>
      <c r="N1955" t="s">
        <v>203</v>
      </c>
      <c r="Q1955" s="2" t="str">
        <f>IF($C1955="","",IFERROR(VLOOKUP($C1955,sources!$A$2:$N$200,2,FALSE()),"?"))</f>
        <v>Map</v>
      </c>
      <c r="R1955" s="2" t="str">
        <f t="shared" si="30"/>
        <v>Map</v>
      </c>
      <c r="S1955" s="2" t="str">
        <f>IF($C1955="","",IFERROR(VLOOKUP($C1955,sources!$A$2:$N$200,9,FALSE()),"?"))</f>
        <v>US official</v>
      </c>
      <c r="T1955" t="s">
        <v>5692</v>
      </c>
      <c r="U1955">
        <f>IF(OR(B1955="",C1955="",T1955="Retracted",LEFT(D1955,8)="Negative"),0,IF(COUNTIFS($B$2:B1955,B1955,$C$2:C1955,C1955,$D$2:D1955,"&lt;&gt;Negative*",$T$2:T1955,"&lt;&gt;Retracted")=1,1,0))</f>
        <v>0</v>
      </c>
    </row>
    <row r="1956" spans="1:21" x14ac:dyDescent="0.2">
      <c r="A1956" t="s">
        <v>4105</v>
      </c>
      <c r="B1956" t="s">
        <v>924</v>
      </c>
      <c r="C1956" t="s">
        <v>1179</v>
      </c>
      <c r="D1956" t="s">
        <v>1613</v>
      </c>
      <c r="E1956" t="s">
        <v>925</v>
      </c>
      <c r="F1956" t="s">
        <v>1583</v>
      </c>
      <c r="I1956" t="s">
        <v>1058</v>
      </c>
      <c r="K1956">
        <v>1909</v>
      </c>
      <c r="L1956">
        <v>1909</v>
      </c>
      <c r="M1956" t="s">
        <v>209</v>
      </c>
      <c r="N1956" t="s">
        <v>203</v>
      </c>
      <c r="Q1956" s="2" t="str">
        <f>IF($C1956="","",IFERROR(VLOOKUP($C1956,sources!$A$2:$N$200,2,FALSE()),"?"))</f>
        <v>Map</v>
      </c>
      <c r="R1956" s="2" t="str">
        <f t="shared" si="30"/>
        <v>Map</v>
      </c>
      <c r="S1956" s="2" t="str">
        <f>IF($C1956="","",IFERROR(VLOOKUP($C1956,sources!$A$2:$N$200,9,FALSE()),"?"))</f>
        <v>US official</v>
      </c>
      <c r="T1956" t="s">
        <v>5692</v>
      </c>
      <c r="U1956">
        <f>IF(OR(B1956="",C1956="",T1956="Retracted",LEFT(D1956,8)="Negative"),0,IF(COUNTIFS($B$2:B1956,B1956,$C$2:C1956,C1956,$D$2:D1956,"&lt;&gt;Negative*",$T$2:T1956,"&lt;&gt;Retracted")=1,1,0))</f>
        <v>0</v>
      </c>
    </row>
    <row r="1957" spans="1:21" x14ac:dyDescent="0.2">
      <c r="A1957" t="s">
        <v>4106</v>
      </c>
      <c r="B1957" t="s">
        <v>625</v>
      </c>
      <c r="C1957" t="s">
        <v>1356</v>
      </c>
      <c r="D1957" t="s">
        <v>1613</v>
      </c>
      <c r="E1957" t="s">
        <v>626</v>
      </c>
      <c r="F1957" t="s">
        <v>1583</v>
      </c>
      <c r="I1957" t="s">
        <v>1058</v>
      </c>
      <c r="K1957">
        <v>1947</v>
      </c>
      <c r="L1957">
        <v>1947</v>
      </c>
      <c r="M1957" t="s">
        <v>209</v>
      </c>
      <c r="N1957" t="s">
        <v>203</v>
      </c>
      <c r="Q1957" s="2" t="str">
        <f>IF($C1957="","",IFERROR(VLOOKUP($C1957,sources!$A$2:$N$200,2,FALSE()),"?"))</f>
        <v>Map</v>
      </c>
      <c r="R1957" s="2" t="str">
        <f t="shared" si="30"/>
        <v>Map</v>
      </c>
      <c r="S1957" s="2" t="str">
        <f>IF($C1957="","",IFERROR(VLOOKUP($C1957,sources!$A$2:$N$200,9,FALSE()),"?"))</f>
        <v>US official</v>
      </c>
      <c r="T1957" t="s">
        <v>5692</v>
      </c>
      <c r="U1957">
        <f>IF(OR(B1957="",C1957="",T1957="Retracted",LEFT(D1957,8)="Negative"),0,IF(COUNTIFS($B$2:B1957,B1957,$C$2:C1957,C1957,$D$2:D1957,"&lt;&gt;Negative*",$T$2:T1957,"&lt;&gt;Retracted")=1,1,0))</f>
        <v>0</v>
      </c>
    </row>
    <row r="1958" spans="1:21" x14ac:dyDescent="0.2">
      <c r="A1958" t="s">
        <v>4107</v>
      </c>
      <c r="B1958" t="s">
        <v>630</v>
      </c>
      <c r="C1958" t="s">
        <v>1356</v>
      </c>
      <c r="D1958" t="s">
        <v>1613</v>
      </c>
      <c r="E1958" t="s">
        <v>631</v>
      </c>
      <c r="F1958" t="s">
        <v>1583</v>
      </c>
      <c r="I1958" t="s">
        <v>1058</v>
      </c>
      <c r="K1958">
        <v>1947</v>
      </c>
      <c r="L1958">
        <v>1947</v>
      </c>
      <c r="M1958" t="s">
        <v>209</v>
      </c>
      <c r="N1958" t="s">
        <v>203</v>
      </c>
      <c r="Q1958" s="2" t="str">
        <f>IF($C1958="","",IFERROR(VLOOKUP($C1958,sources!$A$2:$N$200,2,FALSE()),"?"))</f>
        <v>Map</v>
      </c>
      <c r="R1958" s="2" t="str">
        <f t="shared" si="30"/>
        <v>Map</v>
      </c>
      <c r="S1958" s="2" t="str">
        <f>IF($C1958="","",IFERROR(VLOOKUP($C1958,sources!$A$2:$N$200,9,FALSE()),"?"))</f>
        <v>US official</v>
      </c>
      <c r="T1958" t="s">
        <v>5692</v>
      </c>
      <c r="U1958">
        <f>IF(OR(B1958="",C1958="",T1958="Retracted",LEFT(D1958,8)="Negative"),0,IF(COUNTIFS($B$2:B1958,B1958,$C$2:C1958,C1958,$D$2:D1958,"&lt;&gt;Negative*",$T$2:T1958,"&lt;&gt;Retracted")=1,1,0))</f>
        <v>0</v>
      </c>
    </row>
    <row r="1959" spans="1:21" x14ac:dyDescent="0.2">
      <c r="A1959" t="s">
        <v>4108</v>
      </c>
      <c r="B1959" t="s">
        <v>635</v>
      </c>
      <c r="C1959" t="s">
        <v>1356</v>
      </c>
      <c r="D1959" t="s">
        <v>1613</v>
      </c>
      <c r="E1959" t="s">
        <v>636</v>
      </c>
      <c r="F1959" t="s">
        <v>1583</v>
      </c>
      <c r="I1959" t="s">
        <v>1058</v>
      </c>
      <c r="K1959">
        <v>1947</v>
      </c>
      <c r="L1959">
        <v>1947</v>
      </c>
      <c r="M1959" t="s">
        <v>209</v>
      </c>
      <c r="N1959" t="s">
        <v>209</v>
      </c>
      <c r="Q1959" s="2" t="str">
        <f>IF($C1959="","",IFERROR(VLOOKUP($C1959,sources!$A$2:$N$200,2,FALSE()),"?"))</f>
        <v>Map</v>
      </c>
      <c r="R1959" s="2" t="str">
        <f t="shared" si="30"/>
        <v>Map</v>
      </c>
      <c r="S1959" s="2" t="str">
        <f>IF($C1959="","",IFERROR(VLOOKUP($C1959,sources!$A$2:$N$200,9,FALSE()),"?"))</f>
        <v>US official</v>
      </c>
      <c r="T1959" t="s">
        <v>5692</v>
      </c>
      <c r="U1959">
        <f>IF(OR(B1959="",C1959="",T1959="Retracted",LEFT(D1959,8)="Negative"),0,IF(COUNTIFS($B$2:B1959,B1959,$C$2:C1959,C1959,$D$2:D1959,"&lt;&gt;Negative*",$T$2:T1959,"&lt;&gt;Retracted")=1,1,0))</f>
        <v>0</v>
      </c>
    </row>
    <row r="1960" spans="1:21" x14ac:dyDescent="0.2">
      <c r="A1960" t="s">
        <v>4109</v>
      </c>
      <c r="B1960" t="s">
        <v>649</v>
      </c>
      <c r="C1960" t="s">
        <v>1356</v>
      </c>
      <c r="D1960" t="s">
        <v>1613</v>
      </c>
      <c r="E1960" t="s">
        <v>650</v>
      </c>
      <c r="F1960" t="s">
        <v>1583</v>
      </c>
      <c r="I1960" t="s">
        <v>1058</v>
      </c>
      <c r="K1960">
        <v>1947</v>
      </c>
      <c r="L1960">
        <v>1947</v>
      </c>
      <c r="M1960" t="s">
        <v>209</v>
      </c>
      <c r="N1960" t="s">
        <v>203</v>
      </c>
      <c r="Q1960" s="2" t="str">
        <f>IF($C1960="","",IFERROR(VLOOKUP($C1960,sources!$A$2:$N$200,2,FALSE()),"?"))</f>
        <v>Map</v>
      </c>
      <c r="R1960" s="2" t="str">
        <f t="shared" si="30"/>
        <v>Map</v>
      </c>
      <c r="S1960" s="2" t="str">
        <f>IF($C1960="","",IFERROR(VLOOKUP($C1960,sources!$A$2:$N$200,9,FALSE()),"?"))</f>
        <v>US official</v>
      </c>
      <c r="T1960" t="s">
        <v>5692</v>
      </c>
      <c r="U1960">
        <f>IF(OR(B1960="",C1960="",T1960="Retracted",LEFT(D1960,8)="Negative"),0,IF(COUNTIFS($B$2:B1960,B1960,$C$2:C1960,C1960,$D$2:D1960,"&lt;&gt;Negative*",$T$2:T1960,"&lt;&gt;Retracted")=1,1,0))</f>
        <v>0</v>
      </c>
    </row>
    <row r="1961" spans="1:21" x14ac:dyDescent="0.2">
      <c r="A1961" t="s">
        <v>4110</v>
      </c>
      <c r="B1961" t="s">
        <v>758</v>
      </c>
      <c r="C1961" t="s">
        <v>1356</v>
      </c>
      <c r="D1961" t="s">
        <v>1575</v>
      </c>
      <c r="E1961" t="s">
        <v>4111</v>
      </c>
      <c r="F1961" t="s">
        <v>1583</v>
      </c>
      <c r="I1961" t="s">
        <v>1058</v>
      </c>
      <c r="K1961">
        <v>1947</v>
      </c>
      <c r="L1961">
        <v>1947</v>
      </c>
      <c r="M1961" t="s">
        <v>209</v>
      </c>
      <c r="N1961" t="s">
        <v>209</v>
      </c>
      <c r="Q1961" s="2" t="str">
        <f>IF($C1961="","",IFERROR(VLOOKUP($C1961,sources!$A$2:$N$200,2,FALSE()),"?"))</f>
        <v>Map</v>
      </c>
      <c r="R1961" s="2" t="str">
        <f t="shared" si="30"/>
        <v>Map</v>
      </c>
      <c r="S1961" s="2" t="str">
        <f>IF($C1961="","",IFERROR(VLOOKUP($C1961,sources!$A$2:$N$200,9,FALSE()),"?"))</f>
        <v>US official</v>
      </c>
      <c r="T1961" t="s">
        <v>5692</v>
      </c>
      <c r="U1961">
        <f>IF(OR(B1961="",C1961="",T1961="Retracted",LEFT(D1961,8)="Negative"),0,IF(COUNTIFS($B$2:B1961,B1961,$C$2:C1961,C1961,$D$2:D1961,"&lt;&gt;Negative*",$T$2:T1961,"&lt;&gt;Retracted")=1,1,0))</f>
        <v>1</v>
      </c>
    </row>
    <row r="1962" spans="1:21" x14ac:dyDescent="0.2">
      <c r="A1962" t="s">
        <v>4112</v>
      </c>
      <c r="B1962" t="s">
        <v>764</v>
      </c>
      <c r="C1962" t="s">
        <v>1356</v>
      </c>
      <c r="D1962" t="s">
        <v>1575</v>
      </c>
      <c r="E1962" t="s">
        <v>4111</v>
      </c>
      <c r="F1962" t="s">
        <v>1583</v>
      </c>
      <c r="I1962" t="s">
        <v>1058</v>
      </c>
      <c r="K1962">
        <v>1947</v>
      </c>
      <c r="L1962">
        <v>1947</v>
      </c>
      <c r="M1962" t="s">
        <v>209</v>
      </c>
      <c r="N1962" t="s">
        <v>190</v>
      </c>
      <c r="Q1962" s="2" t="str">
        <f>IF($C1962="","",IFERROR(VLOOKUP($C1962,sources!$A$2:$N$200,2,FALSE()),"?"))</f>
        <v>Map</v>
      </c>
      <c r="R1962" s="2" t="str">
        <f t="shared" si="30"/>
        <v>Map</v>
      </c>
      <c r="S1962" s="2" t="str">
        <f>IF($C1962="","",IFERROR(VLOOKUP($C1962,sources!$A$2:$N$200,9,FALSE()),"?"))</f>
        <v>US official</v>
      </c>
      <c r="T1962" t="s">
        <v>5692</v>
      </c>
      <c r="U1962">
        <f>IF(OR(B1962="",C1962="",T1962="Retracted",LEFT(D1962,8)="Negative"),0,IF(COUNTIFS($B$2:B1962,B1962,$C$2:C1962,C1962,$D$2:D1962,"&lt;&gt;Negative*",$T$2:T1962,"&lt;&gt;Retracted")=1,1,0))</f>
        <v>1</v>
      </c>
    </row>
    <row r="1963" spans="1:21" x14ac:dyDescent="0.2">
      <c r="A1963" t="s">
        <v>4113</v>
      </c>
      <c r="B1963" t="s">
        <v>847</v>
      </c>
      <c r="C1963" t="s">
        <v>1356</v>
      </c>
      <c r="D1963" t="s">
        <v>1575</v>
      </c>
      <c r="E1963" t="s">
        <v>355</v>
      </c>
      <c r="F1963" t="s">
        <v>1583</v>
      </c>
      <c r="I1963" t="s">
        <v>1058</v>
      </c>
      <c r="K1963">
        <v>1947</v>
      </c>
      <c r="L1963">
        <v>1947</v>
      </c>
      <c r="M1963" t="s">
        <v>209</v>
      </c>
      <c r="N1963" t="s">
        <v>209</v>
      </c>
      <c r="Q1963" s="2" t="str">
        <f>IF($C1963="","",IFERROR(VLOOKUP($C1963,sources!$A$2:$N$200,2,FALSE()),"?"))</f>
        <v>Map</v>
      </c>
      <c r="R1963" s="2" t="str">
        <f t="shared" si="30"/>
        <v>Map</v>
      </c>
      <c r="S1963" s="2" t="str">
        <f>IF($C1963="","",IFERROR(VLOOKUP($C1963,sources!$A$2:$N$200,9,FALSE()),"?"))</f>
        <v>US official</v>
      </c>
      <c r="T1963" t="s">
        <v>5692</v>
      </c>
      <c r="U1963">
        <f>IF(OR(B1963="",C1963="",T1963="Retracted",LEFT(D1963,8)="Negative"),0,IF(COUNTIFS($B$2:B1963,B1963,$C$2:C1963,C1963,$D$2:D1963,"&lt;&gt;Negative*",$T$2:T1963,"&lt;&gt;Retracted")=1,1,0))</f>
        <v>1</v>
      </c>
    </row>
    <row r="1964" spans="1:21" x14ac:dyDescent="0.2">
      <c r="A1964" t="s">
        <v>4114</v>
      </c>
      <c r="B1964" t="s">
        <v>892</v>
      </c>
      <c r="C1964" t="s">
        <v>1356</v>
      </c>
      <c r="D1964" t="s">
        <v>1613</v>
      </c>
      <c r="E1964" t="s">
        <v>893</v>
      </c>
      <c r="F1964" t="s">
        <v>1583</v>
      </c>
      <c r="I1964" t="s">
        <v>1058</v>
      </c>
      <c r="K1964">
        <v>1947</v>
      </c>
      <c r="L1964">
        <v>1947</v>
      </c>
      <c r="M1964" t="s">
        <v>209</v>
      </c>
      <c r="N1964" t="s">
        <v>203</v>
      </c>
      <c r="Q1964" s="2" t="str">
        <f>IF($C1964="","",IFERROR(VLOOKUP($C1964,sources!$A$2:$N$200,2,FALSE()),"?"))</f>
        <v>Map</v>
      </c>
      <c r="R1964" s="2" t="str">
        <f t="shared" si="30"/>
        <v>Map</v>
      </c>
      <c r="S1964" s="2" t="str">
        <f>IF($C1964="","",IFERROR(VLOOKUP($C1964,sources!$A$2:$N$200,9,FALSE()),"?"))</f>
        <v>US official</v>
      </c>
      <c r="T1964" t="s">
        <v>5692</v>
      </c>
      <c r="U1964">
        <f>IF(OR(B1964="",C1964="",T1964="Retracted",LEFT(D1964,8)="Negative"),0,IF(COUNTIFS($B$2:B1964,B1964,$C$2:C1964,C1964,$D$2:D1964,"&lt;&gt;Negative*",$T$2:T1964,"&lt;&gt;Retracted")=1,1,0))</f>
        <v>0</v>
      </c>
    </row>
    <row r="1965" spans="1:21" x14ac:dyDescent="0.2">
      <c r="A1965" t="s">
        <v>4115</v>
      </c>
      <c r="B1965" t="s">
        <v>928</v>
      </c>
      <c r="C1965" t="s">
        <v>1356</v>
      </c>
      <c r="D1965" t="s">
        <v>1613</v>
      </c>
      <c r="E1965" t="s">
        <v>930</v>
      </c>
      <c r="F1965" t="s">
        <v>1583</v>
      </c>
      <c r="I1965" t="s">
        <v>1058</v>
      </c>
      <c r="K1965">
        <v>1947</v>
      </c>
      <c r="L1965">
        <v>1947</v>
      </c>
      <c r="M1965" t="s">
        <v>209</v>
      </c>
      <c r="N1965" t="s">
        <v>203</v>
      </c>
      <c r="Q1965" s="2" t="str">
        <f>IF($C1965="","",IFERROR(VLOOKUP($C1965,sources!$A$2:$N$200,2,FALSE()),"?"))</f>
        <v>Map</v>
      </c>
      <c r="R1965" s="2" t="str">
        <f t="shared" si="30"/>
        <v>Map</v>
      </c>
      <c r="S1965" s="2" t="str">
        <f>IF($C1965="","",IFERROR(VLOOKUP($C1965,sources!$A$2:$N$200,9,FALSE()),"?"))</f>
        <v>US official</v>
      </c>
      <c r="T1965" t="s">
        <v>5692</v>
      </c>
      <c r="U1965">
        <f>IF(OR(B1965="",C1965="",T1965="Retracted",LEFT(D1965,8)="Negative"),0,IF(COUNTIFS($B$2:B1965,B1965,$C$2:C1965,C1965,$D$2:D1965,"&lt;&gt;Negative*",$T$2:T1965,"&lt;&gt;Retracted")=1,1,0))</f>
        <v>0</v>
      </c>
    </row>
    <row r="1966" spans="1:21" x14ac:dyDescent="0.2">
      <c r="A1966" t="s">
        <v>4116</v>
      </c>
      <c r="B1966" t="s">
        <v>928</v>
      </c>
      <c r="C1966" t="s">
        <v>1356</v>
      </c>
      <c r="D1966" t="s">
        <v>1613</v>
      </c>
      <c r="E1966" t="s">
        <v>929</v>
      </c>
      <c r="F1966" t="s">
        <v>1583</v>
      </c>
      <c r="I1966" t="s">
        <v>1058</v>
      </c>
      <c r="K1966">
        <v>1947</v>
      </c>
      <c r="L1966">
        <v>1947</v>
      </c>
      <c r="M1966" t="s">
        <v>209</v>
      </c>
      <c r="N1966" t="s">
        <v>203</v>
      </c>
      <c r="Q1966" s="2" t="str">
        <f>IF($C1966="","",IFERROR(VLOOKUP($C1966,sources!$A$2:$N$200,2,FALSE()),"?"))</f>
        <v>Map</v>
      </c>
      <c r="R1966" s="2" t="str">
        <f t="shared" si="30"/>
        <v>Map</v>
      </c>
      <c r="S1966" s="2" t="str">
        <f>IF($C1966="","",IFERROR(VLOOKUP($C1966,sources!$A$2:$N$200,9,FALSE()),"?"))</f>
        <v>US official</v>
      </c>
      <c r="T1966" t="s">
        <v>5692</v>
      </c>
      <c r="U1966">
        <f>IF(OR(B1966="",C1966="",T1966="Retracted",LEFT(D1966,8)="Negative"),0,IF(COUNTIFS($B$2:B1966,B1966,$C$2:C1966,C1966,$D$2:D1966,"&lt;&gt;Negative*",$T$2:T1966,"&lt;&gt;Retracted")=1,1,0))</f>
        <v>0</v>
      </c>
    </row>
    <row r="1967" spans="1:21" x14ac:dyDescent="0.2">
      <c r="A1967" t="s">
        <v>4117</v>
      </c>
      <c r="B1967" t="s">
        <v>896</v>
      </c>
      <c r="C1967" t="s">
        <v>1356</v>
      </c>
      <c r="D1967" t="s">
        <v>1613</v>
      </c>
      <c r="E1967" t="s">
        <v>897</v>
      </c>
      <c r="F1967" t="s">
        <v>1583</v>
      </c>
      <c r="I1967" t="s">
        <v>1058</v>
      </c>
      <c r="K1967">
        <v>1947</v>
      </c>
      <c r="L1967">
        <v>1947</v>
      </c>
      <c r="M1967" t="s">
        <v>209</v>
      </c>
      <c r="N1967" t="s">
        <v>203</v>
      </c>
      <c r="Q1967" s="2" t="str">
        <f>IF($C1967="","",IFERROR(VLOOKUP($C1967,sources!$A$2:$N$200,2,FALSE()),"?"))</f>
        <v>Map</v>
      </c>
      <c r="R1967" s="2" t="str">
        <f t="shared" si="30"/>
        <v>Map</v>
      </c>
      <c r="S1967" s="2" t="str">
        <f>IF($C1967="","",IFERROR(VLOOKUP($C1967,sources!$A$2:$N$200,9,FALSE()),"?"))</f>
        <v>US official</v>
      </c>
      <c r="T1967" t="s">
        <v>5692</v>
      </c>
      <c r="U1967">
        <f>IF(OR(B1967="",C1967="",T1967="Retracted",LEFT(D1967,8)="Negative"),0,IF(COUNTIFS($B$2:B1967,B1967,$C$2:C1967,C1967,$D$2:D1967,"&lt;&gt;Negative*",$T$2:T1967,"&lt;&gt;Retracted")=1,1,0))</f>
        <v>0</v>
      </c>
    </row>
    <row r="1968" spans="1:21" x14ac:dyDescent="0.2">
      <c r="A1968" t="s">
        <v>4118</v>
      </c>
      <c r="B1968" t="s">
        <v>899</v>
      </c>
      <c r="C1968" t="s">
        <v>1356</v>
      </c>
      <c r="D1968" t="s">
        <v>1613</v>
      </c>
      <c r="E1968" t="s">
        <v>900</v>
      </c>
      <c r="F1968" t="s">
        <v>1583</v>
      </c>
      <c r="I1968" t="s">
        <v>1058</v>
      </c>
      <c r="K1968">
        <v>1947</v>
      </c>
      <c r="L1968">
        <v>1947</v>
      </c>
      <c r="M1968" t="s">
        <v>209</v>
      </c>
      <c r="N1968" t="s">
        <v>203</v>
      </c>
      <c r="Q1968" s="2" t="str">
        <f>IF($C1968="","",IFERROR(VLOOKUP($C1968,sources!$A$2:$N$200,2,FALSE()),"?"))</f>
        <v>Map</v>
      </c>
      <c r="R1968" s="2" t="str">
        <f t="shared" si="30"/>
        <v>Map</v>
      </c>
      <c r="S1968" s="2" t="str">
        <f>IF($C1968="","",IFERROR(VLOOKUP($C1968,sources!$A$2:$N$200,9,FALSE()),"?"))</f>
        <v>US official</v>
      </c>
      <c r="T1968" t="s">
        <v>5692</v>
      </c>
      <c r="U1968">
        <f>IF(OR(B1968="",C1968="",T1968="Retracted",LEFT(D1968,8)="Negative"),0,IF(COUNTIFS($B$2:B1968,B1968,$C$2:C1968,C1968,$D$2:D1968,"&lt;&gt;Negative*",$T$2:T1968,"&lt;&gt;Retracted")=1,1,0))</f>
        <v>0</v>
      </c>
    </row>
    <row r="1969" spans="1:21" x14ac:dyDescent="0.2">
      <c r="A1969" t="s">
        <v>4119</v>
      </c>
      <c r="B1969" t="s">
        <v>902</v>
      </c>
      <c r="C1969" t="s">
        <v>1356</v>
      </c>
      <c r="D1969" t="s">
        <v>1613</v>
      </c>
      <c r="E1969" t="s">
        <v>903</v>
      </c>
      <c r="F1969" t="s">
        <v>1583</v>
      </c>
      <c r="I1969" t="s">
        <v>1058</v>
      </c>
      <c r="K1969">
        <v>1947</v>
      </c>
      <c r="L1969">
        <v>1947</v>
      </c>
      <c r="M1969" t="s">
        <v>209</v>
      </c>
      <c r="N1969" t="s">
        <v>203</v>
      </c>
      <c r="Q1969" s="2" t="str">
        <f>IF($C1969="","",IFERROR(VLOOKUP($C1969,sources!$A$2:$N$200,2,FALSE()),"?"))</f>
        <v>Map</v>
      </c>
      <c r="R1969" s="2" t="str">
        <f t="shared" si="30"/>
        <v>Map</v>
      </c>
      <c r="S1969" s="2" t="str">
        <f>IF($C1969="","",IFERROR(VLOOKUP($C1969,sources!$A$2:$N$200,9,FALSE()),"?"))</f>
        <v>US official</v>
      </c>
      <c r="T1969" t="s">
        <v>5692</v>
      </c>
      <c r="U1969">
        <f>IF(OR(B1969="",C1969="",T1969="Retracted",LEFT(D1969,8)="Negative"),0,IF(COUNTIFS($B$2:B1969,B1969,$C$2:C1969,C1969,$D$2:D1969,"&lt;&gt;Negative*",$T$2:T1969,"&lt;&gt;Retracted")=1,1,0))</f>
        <v>0</v>
      </c>
    </row>
    <row r="1970" spans="1:21" x14ac:dyDescent="0.2">
      <c r="A1970" t="s">
        <v>4120</v>
      </c>
      <c r="B1970" t="s">
        <v>906</v>
      </c>
      <c r="C1970" t="s">
        <v>1356</v>
      </c>
      <c r="D1970" t="s">
        <v>1613</v>
      </c>
      <c r="E1970" t="s">
        <v>907</v>
      </c>
      <c r="F1970" t="s">
        <v>1583</v>
      </c>
      <c r="I1970" t="s">
        <v>1058</v>
      </c>
      <c r="K1970">
        <v>1947</v>
      </c>
      <c r="L1970">
        <v>1947</v>
      </c>
      <c r="M1970" t="s">
        <v>209</v>
      </c>
      <c r="N1970" t="s">
        <v>203</v>
      </c>
      <c r="Q1970" s="2" t="str">
        <f>IF($C1970="","",IFERROR(VLOOKUP($C1970,sources!$A$2:$N$200,2,FALSE()),"?"))</f>
        <v>Map</v>
      </c>
      <c r="R1970" s="2" t="str">
        <f t="shared" si="30"/>
        <v>Map</v>
      </c>
      <c r="S1970" s="2" t="str">
        <f>IF($C1970="","",IFERROR(VLOOKUP($C1970,sources!$A$2:$N$200,9,FALSE()),"?"))</f>
        <v>US official</v>
      </c>
      <c r="T1970" t="s">
        <v>5692</v>
      </c>
      <c r="U1970">
        <f>IF(OR(B1970="",C1970="",T1970="Retracted",LEFT(D1970,8)="Negative"),0,IF(COUNTIFS($B$2:B1970,B1970,$C$2:C1970,C1970,$D$2:D1970,"&lt;&gt;Negative*",$T$2:T1970,"&lt;&gt;Retracted")=1,1,0))</f>
        <v>0</v>
      </c>
    </row>
    <row r="1971" spans="1:21" x14ac:dyDescent="0.2">
      <c r="A1971" t="s">
        <v>4121</v>
      </c>
      <c r="B1971" t="s">
        <v>910</v>
      </c>
      <c r="C1971" t="s">
        <v>1356</v>
      </c>
      <c r="D1971" t="s">
        <v>1613</v>
      </c>
      <c r="E1971" t="s">
        <v>911</v>
      </c>
      <c r="F1971" t="s">
        <v>1583</v>
      </c>
      <c r="I1971" t="s">
        <v>1058</v>
      </c>
      <c r="K1971">
        <v>1947</v>
      </c>
      <c r="L1971">
        <v>1947</v>
      </c>
      <c r="M1971" t="s">
        <v>209</v>
      </c>
      <c r="N1971" t="s">
        <v>203</v>
      </c>
      <c r="Q1971" s="2" t="str">
        <f>IF($C1971="","",IFERROR(VLOOKUP($C1971,sources!$A$2:$N$200,2,FALSE()),"?"))</f>
        <v>Map</v>
      </c>
      <c r="R1971" s="2" t="str">
        <f t="shared" si="30"/>
        <v>Map</v>
      </c>
      <c r="S1971" s="2" t="str">
        <f>IF($C1971="","",IFERROR(VLOOKUP($C1971,sources!$A$2:$N$200,9,FALSE()),"?"))</f>
        <v>US official</v>
      </c>
      <c r="T1971" t="s">
        <v>5692</v>
      </c>
      <c r="U1971">
        <f>IF(OR(B1971="",C1971="",T1971="Retracted",LEFT(D1971,8)="Negative"),0,IF(COUNTIFS($B$2:B1971,B1971,$C$2:C1971,C1971,$D$2:D1971,"&lt;&gt;Negative*",$T$2:T1971,"&lt;&gt;Retracted")=1,1,0))</f>
        <v>0</v>
      </c>
    </row>
    <row r="1972" spans="1:21" x14ac:dyDescent="0.2">
      <c r="A1972" t="s">
        <v>4122</v>
      </c>
      <c r="B1972" t="s">
        <v>914</v>
      </c>
      <c r="C1972" t="s">
        <v>1356</v>
      </c>
      <c r="D1972" t="s">
        <v>1613</v>
      </c>
      <c r="E1972" t="s">
        <v>915</v>
      </c>
      <c r="F1972" t="s">
        <v>1583</v>
      </c>
      <c r="I1972" t="s">
        <v>1058</v>
      </c>
      <c r="K1972">
        <v>1947</v>
      </c>
      <c r="L1972">
        <v>1947</v>
      </c>
      <c r="M1972" t="s">
        <v>209</v>
      </c>
      <c r="N1972" t="s">
        <v>203</v>
      </c>
      <c r="Q1972" s="2" t="str">
        <f>IF($C1972="","",IFERROR(VLOOKUP($C1972,sources!$A$2:$N$200,2,FALSE()),"?"))</f>
        <v>Map</v>
      </c>
      <c r="R1972" s="2" t="str">
        <f t="shared" si="30"/>
        <v>Map</v>
      </c>
      <c r="S1972" s="2" t="str">
        <f>IF($C1972="","",IFERROR(VLOOKUP($C1972,sources!$A$2:$N$200,9,FALSE()),"?"))</f>
        <v>US official</v>
      </c>
      <c r="T1972" t="s">
        <v>5692</v>
      </c>
      <c r="U1972">
        <f>IF(OR(B1972="",C1972="",T1972="Retracted",LEFT(D1972,8)="Negative"),0,IF(COUNTIFS($B$2:B1972,B1972,$C$2:C1972,C1972,$D$2:D1972,"&lt;&gt;Negative*",$T$2:T1972,"&lt;&gt;Retracted")=1,1,0))</f>
        <v>0</v>
      </c>
    </row>
    <row r="1973" spans="1:21" x14ac:dyDescent="0.2">
      <c r="A1973" t="s">
        <v>4123</v>
      </c>
      <c r="B1973" t="s">
        <v>917</v>
      </c>
      <c r="C1973" t="s">
        <v>1356</v>
      </c>
      <c r="D1973" t="s">
        <v>1613</v>
      </c>
      <c r="E1973" t="s">
        <v>918</v>
      </c>
      <c r="F1973" t="s">
        <v>1583</v>
      </c>
      <c r="I1973" t="s">
        <v>1058</v>
      </c>
      <c r="K1973">
        <v>1947</v>
      </c>
      <c r="L1973">
        <v>1947</v>
      </c>
      <c r="M1973" t="s">
        <v>209</v>
      </c>
      <c r="N1973" t="s">
        <v>203</v>
      </c>
      <c r="Q1973" s="2" t="str">
        <f>IF($C1973="","",IFERROR(VLOOKUP($C1973,sources!$A$2:$N$200,2,FALSE()),"?"))</f>
        <v>Map</v>
      </c>
      <c r="R1973" s="2" t="str">
        <f t="shared" si="30"/>
        <v>Map</v>
      </c>
      <c r="S1973" s="2" t="str">
        <f>IF($C1973="","",IFERROR(VLOOKUP($C1973,sources!$A$2:$N$200,9,FALSE()),"?"))</f>
        <v>US official</v>
      </c>
      <c r="T1973" t="s">
        <v>5692</v>
      </c>
      <c r="U1973">
        <f>IF(OR(B1973="",C1973="",T1973="Retracted",LEFT(D1973,8)="Negative"),0,IF(COUNTIFS($B$2:B1973,B1973,$C$2:C1973,C1973,$D$2:D1973,"&lt;&gt;Negative*",$T$2:T1973,"&lt;&gt;Retracted")=1,1,0))</f>
        <v>0</v>
      </c>
    </row>
    <row r="1974" spans="1:21" x14ac:dyDescent="0.2">
      <c r="A1974" t="s">
        <v>4124</v>
      </c>
      <c r="B1974" t="s">
        <v>920</v>
      </c>
      <c r="C1974" t="s">
        <v>1356</v>
      </c>
      <c r="D1974" t="s">
        <v>1613</v>
      </c>
      <c r="E1974" t="s">
        <v>921</v>
      </c>
      <c r="F1974" t="s">
        <v>1583</v>
      </c>
      <c r="I1974" t="s">
        <v>1058</v>
      </c>
      <c r="K1974">
        <v>1947</v>
      </c>
      <c r="L1974">
        <v>1947</v>
      </c>
      <c r="M1974" t="s">
        <v>209</v>
      </c>
      <c r="N1974" t="s">
        <v>209</v>
      </c>
      <c r="Q1974" s="2" t="str">
        <f>IF($C1974="","",IFERROR(VLOOKUP($C1974,sources!$A$2:$N$200,2,FALSE()),"?"))</f>
        <v>Map</v>
      </c>
      <c r="R1974" s="2" t="str">
        <f t="shared" si="30"/>
        <v>Map</v>
      </c>
      <c r="S1974" s="2" t="str">
        <f>IF($C1974="","",IFERROR(VLOOKUP($C1974,sources!$A$2:$N$200,9,FALSE()),"?"))</f>
        <v>US official</v>
      </c>
      <c r="T1974" t="s">
        <v>5692</v>
      </c>
      <c r="U1974">
        <f>IF(OR(B1974="",C1974="",T1974="Retracted",LEFT(D1974,8)="Negative"),0,IF(COUNTIFS($B$2:B1974,B1974,$C$2:C1974,C1974,$D$2:D1974,"&lt;&gt;Negative*",$T$2:T1974,"&lt;&gt;Retracted")=1,1,0))</f>
        <v>0</v>
      </c>
    </row>
    <row r="1975" spans="1:21" x14ac:dyDescent="0.2">
      <c r="A1975" t="s">
        <v>4125</v>
      </c>
      <c r="B1975" t="s">
        <v>924</v>
      </c>
      <c r="C1975" t="s">
        <v>1356</v>
      </c>
      <c r="D1975" t="s">
        <v>1613</v>
      </c>
      <c r="E1975" t="s">
        <v>925</v>
      </c>
      <c r="F1975" t="s">
        <v>1583</v>
      </c>
      <c r="I1975" t="s">
        <v>1058</v>
      </c>
      <c r="K1975">
        <v>1947</v>
      </c>
      <c r="L1975">
        <v>1947</v>
      </c>
      <c r="M1975" t="s">
        <v>209</v>
      </c>
      <c r="N1975" t="s">
        <v>203</v>
      </c>
      <c r="Q1975" s="2" t="str">
        <f>IF($C1975="","",IFERROR(VLOOKUP($C1975,sources!$A$2:$N$200,2,FALSE()),"?"))</f>
        <v>Map</v>
      </c>
      <c r="R1975" s="2" t="str">
        <f t="shared" si="30"/>
        <v>Map</v>
      </c>
      <c r="S1975" s="2" t="str">
        <f>IF($C1975="","",IFERROR(VLOOKUP($C1975,sources!$A$2:$N$200,9,FALSE()),"?"))</f>
        <v>US official</v>
      </c>
      <c r="T1975" t="s">
        <v>5692</v>
      </c>
      <c r="U1975">
        <f>IF(OR(B1975="",C1975="",T1975="Retracted",LEFT(D1975,8)="Negative"),0,IF(COUNTIFS($B$2:B1975,B1975,$C$2:C1975,C1975,$D$2:D1975,"&lt;&gt;Negative*",$T$2:T1975,"&lt;&gt;Retracted")=1,1,0))</f>
        <v>0</v>
      </c>
    </row>
    <row r="1976" spans="1:21" x14ac:dyDescent="0.2">
      <c r="A1976" t="s">
        <v>4126</v>
      </c>
      <c r="B1976" t="s">
        <v>835</v>
      </c>
      <c r="C1976" t="s">
        <v>1356</v>
      </c>
      <c r="D1976" t="s">
        <v>1613</v>
      </c>
      <c r="E1976" t="s">
        <v>836</v>
      </c>
      <c r="F1976" t="s">
        <v>1583</v>
      </c>
      <c r="I1976" t="s">
        <v>1058</v>
      </c>
      <c r="K1976">
        <v>1947</v>
      </c>
      <c r="L1976">
        <v>1947</v>
      </c>
      <c r="M1976" t="s">
        <v>209</v>
      </c>
      <c r="N1976" t="s">
        <v>203</v>
      </c>
      <c r="Q1976" s="2" t="str">
        <f>IF($C1976="","",IFERROR(VLOOKUP($C1976,sources!$A$2:$N$200,2,FALSE()),"?"))</f>
        <v>Map</v>
      </c>
      <c r="R1976" s="2" t="str">
        <f t="shared" si="30"/>
        <v>Map</v>
      </c>
      <c r="S1976" s="2" t="str">
        <f>IF($C1976="","",IFERROR(VLOOKUP($C1976,sources!$A$2:$N$200,9,FALSE()),"?"))</f>
        <v>US official</v>
      </c>
      <c r="T1976" t="s">
        <v>5692</v>
      </c>
      <c r="U1976">
        <f>IF(OR(B1976="",C1976="",T1976="Retracted",LEFT(D1976,8)="Negative"),0,IF(COUNTIFS($B$2:B1976,B1976,$C$2:C1976,C1976,$D$2:D1976,"&lt;&gt;Negative*",$T$2:T1976,"&lt;&gt;Retracted")=1,1,0))</f>
        <v>0</v>
      </c>
    </row>
    <row r="1977" spans="1:21" x14ac:dyDescent="0.2">
      <c r="A1977" t="s">
        <v>4127</v>
      </c>
      <c r="B1977" t="s">
        <v>808</v>
      </c>
      <c r="C1977" t="s">
        <v>1168</v>
      </c>
      <c r="D1977" t="s">
        <v>1575</v>
      </c>
      <c r="E1977" t="s">
        <v>4128</v>
      </c>
      <c r="F1977" t="s">
        <v>1583</v>
      </c>
      <c r="I1977" t="s">
        <v>1058</v>
      </c>
      <c r="K1977">
        <v>1911</v>
      </c>
      <c r="L1977">
        <v>1911</v>
      </c>
      <c r="M1977" t="s">
        <v>209</v>
      </c>
      <c r="N1977" t="s">
        <v>190</v>
      </c>
      <c r="Q1977" s="2" t="str">
        <f>IF($C1977="","",IFERROR(VLOOKUP($C1977,sources!$A$2:$N$200,2,FALSE()),"?"))</f>
        <v>Map</v>
      </c>
      <c r="R1977" s="2" t="str">
        <f t="shared" si="30"/>
        <v>Map</v>
      </c>
      <c r="S1977" s="2" t="str">
        <f>IF($C1977="","",IFERROR(VLOOKUP($C1977,sources!$A$2:$N$200,9,FALSE()),"?"))</f>
        <v>US official</v>
      </c>
      <c r="T1977" t="s">
        <v>5692</v>
      </c>
      <c r="U1977">
        <f>IF(OR(B1977="",C1977="",T1977="Retracted",LEFT(D1977,8)="Negative"),0,IF(COUNTIFS($B$2:B1977,B1977,$C$2:C1977,C1977,$D$2:D1977,"&lt;&gt;Negative*",$T$2:T1977,"&lt;&gt;Retracted")=1,1,0))</f>
        <v>1</v>
      </c>
    </row>
    <row r="1978" spans="1:21" x14ac:dyDescent="0.2">
      <c r="A1978" t="s">
        <v>4129</v>
      </c>
      <c r="B1978" t="s">
        <v>786</v>
      </c>
      <c r="C1978" t="s">
        <v>1454</v>
      </c>
      <c r="D1978" t="s">
        <v>1575</v>
      </c>
      <c r="E1978" t="s">
        <v>3692</v>
      </c>
      <c r="F1978" t="s">
        <v>1583</v>
      </c>
      <c r="I1978" t="s">
        <v>1058</v>
      </c>
      <c r="K1978">
        <v>1947</v>
      </c>
      <c r="L1978">
        <v>1947</v>
      </c>
      <c r="M1978" t="s">
        <v>209</v>
      </c>
      <c r="N1978" t="s">
        <v>203</v>
      </c>
      <c r="Q1978" s="2" t="str">
        <f>IF($C1978="","",IFERROR(VLOOKUP($C1978,sources!$A$2:$N$200,2,FALSE()),"?"))</f>
        <v>Map</v>
      </c>
      <c r="R1978" s="2" t="str">
        <f t="shared" si="30"/>
        <v>Map</v>
      </c>
      <c r="S1978" s="2" t="str">
        <f>IF($C1978="","",IFERROR(VLOOKUP($C1978,sources!$A$2:$N$200,9,FALSE()),"?"))</f>
        <v>US military</v>
      </c>
      <c r="T1978" t="s">
        <v>5692</v>
      </c>
      <c r="U1978">
        <f>IF(OR(B1978="",C1978="",T1978="Retracted",LEFT(D1978,8)="Negative"),0,IF(COUNTIFS($B$2:B1978,B1978,$C$2:C1978,C1978,$D$2:D1978,"&lt;&gt;Negative*",$T$2:T1978,"&lt;&gt;Retracted")=1,1,0))</f>
        <v>0</v>
      </c>
    </row>
    <row r="1979" spans="1:21" x14ac:dyDescent="0.2">
      <c r="A1979" t="s">
        <v>4130</v>
      </c>
      <c r="B1979" t="s">
        <v>828</v>
      </c>
      <c r="C1979" t="s">
        <v>1454</v>
      </c>
      <c r="D1979" t="s">
        <v>1564</v>
      </c>
      <c r="E1979" t="s">
        <v>4131</v>
      </c>
      <c r="F1979" t="s">
        <v>1583</v>
      </c>
      <c r="I1979" t="s">
        <v>1058</v>
      </c>
      <c r="K1979">
        <v>1947</v>
      </c>
      <c r="L1979">
        <v>1947</v>
      </c>
      <c r="M1979" t="s">
        <v>209</v>
      </c>
      <c r="N1979" t="s">
        <v>203</v>
      </c>
      <c r="Q1979" s="2" t="str">
        <f>IF($C1979="","",IFERROR(VLOOKUP($C1979,sources!$A$2:$N$200,2,FALSE()),"?"))</f>
        <v>Map</v>
      </c>
      <c r="R1979" s="2" t="str">
        <f t="shared" si="30"/>
        <v>Map</v>
      </c>
      <c r="S1979" s="2" t="str">
        <f>IF($C1979="","",IFERROR(VLOOKUP($C1979,sources!$A$2:$N$200,9,FALSE()),"?"))</f>
        <v>US military</v>
      </c>
      <c r="T1979" t="s">
        <v>5692</v>
      </c>
      <c r="U1979">
        <f>IF(OR(B1979="",C1979="",T1979="Retracted",LEFT(D1979,8)="Negative"),0,IF(COUNTIFS($B$2:B1979,B1979,$C$2:C1979,C1979,$D$2:D1979,"&lt;&gt;Negative*",$T$2:T1979,"&lt;&gt;Retracted")=1,1,0))</f>
        <v>1</v>
      </c>
    </row>
    <row r="1980" spans="1:21" x14ac:dyDescent="0.2">
      <c r="A1980" t="s">
        <v>4132</v>
      </c>
      <c r="B1980" t="s">
        <v>997</v>
      </c>
      <c r="C1980" t="s">
        <v>1335</v>
      </c>
      <c r="D1980" t="s">
        <v>1613</v>
      </c>
      <c r="E1980" t="s">
        <v>998</v>
      </c>
      <c r="F1980" t="s">
        <v>1583</v>
      </c>
      <c r="I1980" t="s">
        <v>1058</v>
      </c>
      <c r="K1980">
        <v>1905</v>
      </c>
      <c r="L1980">
        <v>1906</v>
      </c>
      <c r="M1980" t="s">
        <v>209</v>
      </c>
      <c r="N1980" t="s">
        <v>190</v>
      </c>
      <c r="Q1980" s="2" t="str">
        <f>IF($C1980="","",IFERROR(VLOOKUP($C1980,sources!$A$2:$N$200,2,FALSE()),"?"))</f>
        <v>Map</v>
      </c>
      <c r="R1980" s="2" t="str">
        <f t="shared" si="30"/>
        <v>Map</v>
      </c>
      <c r="S1980" s="2" t="str">
        <f>IF($C1980="","",IFERROR(VLOOKUP($C1980,sources!$A$2:$N$200,9,FALSE()),"?"))</f>
        <v>US official</v>
      </c>
      <c r="T1980" t="s">
        <v>5692</v>
      </c>
      <c r="U1980">
        <f>IF(OR(B1980="",C1980="",T1980="Retracted",LEFT(D1980,8)="Negative"),0,IF(COUNTIFS($B$2:B1980,B1980,$C$2:C1980,C1980,$D$2:D1980,"&lt;&gt;Negative*",$T$2:T1980,"&lt;&gt;Retracted")=1,1,0))</f>
        <v>0</v>
      </c>
    </row>
    <row r="1981" spans="1:21" x14ac:dyDescent="0.2">
      <c r="A1981" t="s">
        <v>4133</v>
      </c>
      <c r="B1981" t="s">
        <v>997</v>
      </c>
      <c r="C1981" t="s">
        <v>1179</v>
      </c>
      <c r="D1981" t="s">
        <v>1613</v>
      </c>
      <c r="E1981" t="s">
        <v>998</v>
      </c>
      <c r="F1981" t="s">
        <v>1583</v>
      </c>
      <c r="I1981" t="s">
        <v>1058</v>
      </c>
      <c r="K1981">
        <v>1909</v>
      </c>
      <c r="L1981">
        <v>1909</v>
      </c>
      <c r="M1981" t="s">
        <v>209</v>
      </c>
      <c r="N1981" t="s">
        <v>209</v>
      </c>
      <c r="Q1981" s="2" t="str">
        <f>IF($C1981="","",IFERROR(VLOOKUP($C1981,sources!$A$2:$N$200,2,FALSE()),"?"))</f>
        <v>Map</v>
      </c>
      <c r="R1981" s="2" t="str">
        <f t="shared" si="30"/>
        <v>Map</v>
      </c>
      <c r="S1981" s="2" t="str">
        <f>IF($C1981="","",IFERROR(VLOOKUP($C1981,sources!$A$2:$N$200,9,FALSE()),"?"))</f>
        <v>US official</v>
      </c>
      <c r="T1981" t="s">
        <v>5692</v>
      </c>
      <c r="U1981">
        <f>IF(OR(B1981="",C1981="",T1981="Retracted",LEFT(D1981,8)="Negative"),0,IF(COUNTIFS($B$2:B1981,B1981,$C$2:C1981,C1981,$D$2:D1981,"&lt;&gt;Negative*",$T$2:T1981,"&lt;&gt;Retracted")=1,1,0))</f>
        <v>0</v>
      </c>
    </row>
    <row r="1982" spans="1:21" x14ac:dyDescent="0.2">
      <c r="A1982" t="s">
        <v>4134</v>
      </c>
      <c r="B1982" t="s">
        <v>997</v>
      </c>
      <c r="C1982" t="s">
        <v>1168</v>
      </c>
      <c r="D1982" t="s">
        <v>1613</v>
      </c>
      <c r="E1982" t="s">
        <v>998</v>
      </c>
      <c r="F1982" t="s">
        <v>1583</v>
      </c>
      <c r="I1982" t="s">
        <v>1058</v>
      </c>
      <c r="K1982">
        <v>1911</v>
      </c>
      <c r="L1982">
        <v>1911</v>
      </c>
      <c r="M1982" t="s">
        <v>209</v>
      </c>
      <c r="N1982" t="s">
        <v>209</v>
      </c>
      <c r="Q1982" s="2" t="str">
        <f>IF($C1982="","",IFERROR(VLOOKUP($C1982,sources!$A$2:$N$200,2,FALSE()),"?"))</f>
        <v>Map</v>
      </c>
      <c r="R1982" s="2" t="str">
        <f t="shared" si="30"/>
        <v>Map</v>
      </c>
      <c r="S1982" s="2" t="str">
        <f>IF($C1982="","",IFERROR(VLOOKUP($C1982,sources!$A$2:$N$200,9,FALSE()),"?"))</f>
        <v>US official</v>
      </c>
      <c r="T1982" t="s">
        <v>5692</v>
      </c>
      <c r="U1982">
        <f>IF(OR(B1982="",C1982="",T1982="Retracted",LEFT(D1982,8)="Negative"),0,IF(COUNTIFS($B$2:B1982,B1982,$C$2:C1982,C1982,$D$2:D1982,"&lt;&gt;Negative*",$T$2:T1982,"&lt;&gt;Retracted")=1,1,0))</f>
        <v>0</v>
      </c>
    </row>
    <row r="1983" spans="1:21" x14ac:dyDescent="0.2">
      <c r="A1983" t="s">
        <v>4135</v>
      </c>
      <c r="B1983" t="s">
        <v>786</v>
      </c>
      <c r="C1983" t="s">
        <v>1356</v>
      </c>
      <c r="D1983" t="s">
        <v>1575</v>
      </c>
      <c r="E1983" t="s">
        <v>787</v>
      </c>
      <c r="F1983" t="s">
        <v>1583</v>
      </c>
      <c r="I1983" t="s">
        <v>1058</v>
      </c>
      <c r="K1983">
        <v>1947</v>
      </c>
      <c r="L1983">
        <v>1947</v>
      </c>
      <c r="M1983" t="s">
        <v>209</v>
      </c>
      <c r="N1983" t="s">
        <v>203</v>
      </c>
      <c r="Q1983" s="2" t="str">
        <f>IF($C1983="","",IFERROR(VLOOKUP($C1983,sources!$A$2:$N$200,2,FALSE()),"?"))</f>
        <v>Map</v>
      </c>
      <c r="R1983" s="2" t="str">
        <f t="shared" si="30"/>
        <v>Map</v>
      </c>
      <c r="S1983" s="2" t="str">
        <f>IF($C1983="","",IFERROR(VLOOKUP($C1983,sources!$A$2:$N$200,9,FALSE()),"?"))</f>
        <v>US official</v>
      </c>
      <c r="T1983" t="s">
        <v>5692</v>
      </c>
      <c r="U1983">
        <f>IF(OR(B1983="",C1983="",T1983="Retracted",LEFT(D1983,8)="Negative"),0,IF(COUNTIFS($B$2:B1983,B1983,$C$2:C1983,C1983,$D$2:D1983,"&lt;&gt;Negative*",$T$2:T1983,"&lt;&gt;Retracted")=1,1,0))</f>
        <v>0</v>
      </c>
    </row>
    <row r="1984" spans="1:21" x14ac:dyDescent="0.2">
      <c r="A1984" t="s">
        <v>4136</v>
      </c>
      <c r="B1984" t="s">
        <v>994</v>
      </c>
      <c r="C1984" t="s">
        <v>1356</v>
      </c>
      <c r="D1984" t="s">
        <v>1613</v>
      </c>
      <c r="E1984" t="s">
        <v>995</v>
      </c>
      <c r="F1984" t="s">
        <v>1583</v>
      </c>
      <c r="I1984" t="s">
        <v>1058</v>
      </c>
      <c r="K1984">
        <v>1947</v>
      </c>
      <c r="L1984">
        <v>1947</v>
      </c>
      <c r="M1984" t="s">
        <v>209</v>
      </c>
      <c r="N1984" t="s">
        <v>209</v>
      </c>
      <c r="Q1984" s="2" t="str">
        <f>IF($C1984="","",IFERROR(VLOOKUP($C1984,sources!$A$2:$N$200,2,FALSE()),"?"))</f>
        <v>Map</v>
      </c>
      <c r="R1984" s="2" t="str">
        <f t="shared" si="30"/>
        <v>Map</v>
      </c>
      <c r="S1984" s="2" t="str">
        <f>IF($C1984="","",IFERROR(VLOOKUP($C1984,sources!$A$2:$N$200,9,FALSE()),"?"))</f>
        <v>US official</v>
      </c>
      <c r="T1984" t="s">
        <v>5692</v>
      </c>
      <c r="U1984">
        <f>IF(OR(B1984="",C1984="",T1984="Retracted",LEFT(D1984,8)="Negative"),0,IF(COUNTIFS($B$2:B1984,B1984,$C$2:C1984,C1984,$D$2:D1984,"&lt;&gt;Negative*",$T$2:T1984,"&lt;&gt;Retracted")=1,1,0))</f>
        <v>0</v>
      </c>
    </row>
    <row r="1985" spans="1:21" x14ac:dyDescent="0.2">
      <c r="A1985" t="s">
        <v>4137</v>
      </c>
      <c r="B1985" t="s">
        <v>997</v>
      </c>
      <c r="C1985" t="s">
        <v>1356</v>
      </c>
      <c r="D1985" t="s">
        <v>1613</v>
      </c>
      <c r="E1985" t="s">
        <v>998</v>
      </c>
      <c r="F1985" t="s">
        <v>1583</v>
      </c>
      <c r="I1985" t="s">
        <v>1058</v>
      </c>
      <c r="K1985">
        <v>1947</v>
      </c>
      <c r="L1985">
        <v>1947</v>
      </c>
      <c r="M1985" t="s">
        <v>209</v>
      </c>
      <c r="N1985" t="s">
        <v>190</v>
      </c>
      <c r="Q1985" s="2" t="str">
        <f>IF($C1985="","",IFERROR(VLOOKUP($C1985,sources!$A$2:$N$200,2,FALSE()),"?"))</f>
        <v>Map</v>
      </c>
      <c r="R1985" s="2" t="str">
        <f t="shared" si="30"/>
        <v>Map</v>
      </c>
      <c r="S1985" s="2" t="str">
        <f>IF($C1985="","",IFERROR(VLOOKUP($C1985,sources!$A$2:$N$200,9,FALSE()),"?"))</f>
        <v>US official</v>
      </c>
      <c r="T1985" t="s">
        <v>5692</v>
      </c>
      <c r="U1985">
        <f>IF(OR(B1985="",C1985="",T1985="Retracted",LEFT(D1985,8)="Negative"),0,IF(COUNTIFS($B$2:B1985,B1985,$C$2:C1985,C1985,$D$2:D1985,"&lt;&gt;Negative*",$T$2:T1985,"&lt;&gt;Retracted")=1,1,0))</f>
        <v>0</v>
      </c>
    </row>
    <row r="1986" spans="1:21" x14ac:dyDescent="0.2">
      <c r="A1986" t="s">
        <v>4138</v>
      </c>
      <c r="B1986" t="s">
        <v>1002</v>
      </c>
      <c r="C1986" t="s">
        <v>1168</v>
      </c>
      <c r="D1986" t="s">
        <v>1613</v>
      </c>
      <c r="E1986" t="s">
        <v>1003</v>
      </c>
      <c r="F1986" t="s">
        <v>1583</v>
      </c>
      <c r="I1986" t="s">
        <v>1058</v>
      </c>
      <c r="K1986">
        <v>1911</v>
      </c>
      <c r="L1986">
        <v>1911</v>
      </c>
      <c r="M1986" t="s">
        <v>209</v>
      </c>
      <c r="N1986" t="s">
        <v>209</v>
      </c>
      <c r="Q1986" s="2" t="str">
        <f>IF($C1986="","",IFERROR(VLOOKUP($C1986,sources!$A$2:$N$200,2,FALSE()),"?"))</f>
        <v>Map</v>
      </c>
      <c r="R1986" s="2" t="str">
        <f t="shared" ref="R1986:R2049" si="31">IF($Q1986="","",IF($Q1986="Map","Map",IF(OR($Q1986="Photograph",$Q1986="Postcard"),"Image",IF(OR($Q1986="Census or roll",$Q1986="Report",$Q1986="Newspaper",$Q1986="Letter",$Q1986="Memoir",$Q1986="Administrative",$Q1986="Web compilation"),"Textual",IF($Q1986="Legal claim","Legal/admin",IF($Q1986="Secondary","Secondary","Other"))))))</f>
        <v>Map</v>
      </c>
      <c r="S1986" s="2" t="str">
        <f>IF($C1986="","",IFERROR(VLOOKUP($C1986,sources!$A$2:$N$200,9,FALSE()),"?"))</f>
        <v>US official</v>
      </c>
      <c r="T1986" t="s">
        <v>5692</v>
      </c>
      <c r="U1986">
        <f>IF(OR(B1986="",C1986="",T1986="Retracted",LEFT(D1986,8)="Negative"),0,IF(COUNTIFS($B$2:B1986,B1986,$C$2:C1986,C1986,$D$2:D1986,"&lt;&gt;Negative*",$T$2:T1986,"&lt;&gt;Retracted")=1,1,0))</f>
        <v>0</v>
      </c>
    </row>
    <row r="1987" spans="1:21" x14ac:dyDescent="0.2">
      <c r="A1987" t="s">
        <v>4139</v>
      </c>
      <c r="B1987" t="s">
        <v>1002</v>
      </c>
      <c r="C1987" t="s">
        <v>1356</v>
      </c>
      <c r="D1987" t="s">
        <v>1613</v>
      </c>
      <c r="E1987" t="s">
        <v>1003</v>
      </c>
      <c r="F1987" t="s">
        <v>1583</v>
      </c>
      <c r="I1987" t="s">
        <v>1058</v>
      </c>
      <c r="K1987">
        <v>1947</v>
      </c>
      <c r="L1987">
        <v>1947</v>
      </c>
      <c r="M1987" t="s">
        <v>209</v>
      </c>
      <c r="N1987" t="s">
        <v>190</v>
      </c>
      <c r="Q1987" s="2" t="str">
        <f>IF($C1987="","",IFERROR(VLOOKUP($C1987,sources!$A$2:$N$200,2,FALSE()),"?"))</f>
        <v>Map</v>
      </c>
      <c r="R1987" s="2" t="str">
        <f t="shared" si="31"/>
        <v>Map</v>
      </c>
      <c r="S1987" s="2" t="str">
        <f>IF($C1987="","",IFERROR(VLOOKUP($C1987,sources!$A$2:$N$200,9,FALSE()),"?"))</f>
        <v>US official</v>
      </c>
      <c r="T1987" t="s">
        <v>5692</v>
      </c>
      <c r="U1987">
        <f>IF(OR(B1987="",C1987="",T1987="Retracted",LEFT(D1987,8)="Negative"),0,IF(COUNTIFS($B$2:B1987,B1987,$C$2:C1987,C1987,$D$2:D1987,"&lt;&gt;Negative*",$T$2:T1987,"&lt;&gt;Retracted")=1,1,0))</f>
        <v>0</v>
      </c>
    </row>
    <row r="1988" spans="1:21" x14ac:dyDescent="0.2">
      <c r="A1988" t="s">
        <v>4140</v>
      </c>
      <c r="B1988" t="s">
        <v>443</v>
      </c>
      <c r="C1988" t="s">
        <v>1497</v>
      </c>
      <c r="D1988" t="s">
        <v>1575</v>
      </c>
      <c r="E1988" t="s">
        <v>3855</v>
      </c>
      <c r="F1988" t="s">
        <v>2423</v>
      </c>
      <c r="I1988" t="s">
        <v>1058</v>
      </c>
      <c r="K1988">
        <v>1886</v>
      </c>
      <c r="L1988">
        <v>1886</v>
      </c>
      <c r="M1988" t="s">
        <v>209</v>
      </c>
      <c r="N1988" t="s">
        <v>203</v>
      </c>
      <c r="Q1988" s="2" t="str">
        <f>IF($C1988="","",IFERROR(VLOOKUP($C1988,sources!$A$2:$N$200,2,FALSE()),"?"))</f>
        <v>Map</v>
      </c>
      <c r="R1988" s="2" t="str">
        <f t="shared" si="31"/>
        <v>Map</v>
      </c>
      <c r="S1988" s="2" t="str">
        <f>IF($C1988="","",IFERROR(VLOOKUP($C1988,sources!$A$2:$N$200,9,FALSE()),"?"))</f>
        <v>French company</v>
      </c>
      <c r="T1988" t="s">
        <v>5692</v>
      </c>
      <c r="U1988">
        <f>IF(OR(B1988="",C1988="",T1988="Retracted",LEFT(D1988,8)="Negative"),0,IF(COUNTIFS($B$2:B1988,B1988,$C$2:C1988,C1988,$D$2:D1988,"&lt;&gt;Negative*",$T$2:T1988,"&lt;&gt;Retracted")=1,1,0))</f>
        <v>1</v>
      </c>
    </row>
    <row r="1989" spans="1:21" x14ac:dyDescent="0.2">
      <c r="A1989" t="s">
        <v>4141</v>
      </c>
      <c r="B1989" t="s">
        <v>389</v>
      </c>
      <c r="C1989" t="s">
        <v>1497</v>
      </c>
      <c r="D1989" t="s">
        <v>1575</v>
      </c>
      <c r="E1989" t="s">
        <v>390</v>
      </c>
      <c r="F1989" t="s">
        <v>2423</v>
      </c>
      <c r="I1989" t="s">
        <v>1058</v>
      </c>
      <c r="K1989">
        <v>1886</v>
      </c>
      <c r="L1989">
        <v>1886</v>
      </c>
      <c r="M1989" t="s">
        <v>209</v>
      </c>
      <c r="N1989" t="s">
        <v>203</v>
      </c>
      <c r="Q1989" s="2" t="str">
        <f>IF($C1989="","",IFERROR(VLOOKUP($C1989,sources!$A$2:$N$200,2,FALSE()),"?"))</f>
        <v>Map</v>
      </c>
      <c r="R1989" s="2" t="str">
        <f t="shared" si="31"/>
        <v>Map</v>
      </c>
      <c r="S1989" s="2" t="str">
        <f>IF($C1989="","",IFERROR(VLOOKUP($C1989,sources!$A$2:$N$200,9,FALSE()),"?"))</f>
        <v>French company</v>
      </c>
      <c r="T1989" t="s">
        <v>5692</v>
      </c>
      <c r="U1989">
        <f>IF(OR(B1989="",C1989="",T1989="Retracted",LEFT(D1989,8)="Negative"),0,IF(COUNTIFS($B$2:B1989,B1989,$C$2:C1989,C1989,$D$2:D1989,"&lt;&gt;Negative*",$T$2:T1989,"&lt;&gt;Retracted")=1,1,0))</f>
        <v>1</v>
      </c>
    </row>
    <row r="1990" spans="1:21" x14ac:dyDescent="0.2">
      <c r="A1990" t="s">
        <v>4142</v>
      </c>
      <c r="B1990" t="s">
        <v>603</v>
      </c>
      <c r="C1990" t="s">
        <v>1497</v>
      </c>
      <c r="D1990" t="s">
        <v>1575</v>
      </c>
      <c r="E1990" t="s">
        <v>604</v>
      </c>
      <c r="F1990" t="s">
        <v>2423</v>
      </c>
      <c r="I1990" t="s">
        <v>1058</v>
      </c>
      <c r="K1990">
        <v>1886</v>
      </c>
      <c r="L1990">
        <v>1886</v>
      </c>
      <c r="M1990" t="s">
        <v>209</v>
      </c>
      <c r="N1990" t="s">
        <v>203</v>
      </c>
      <c r="Q1990" s="2" t="str">
        <f>IF($C1990="","",IFERROR(VLOOKUP($C1990,sources!$A$2:$N$200,2,FALSE()),"?"))</f>
        <v>Map</v>
      </c>
      <c r="R1990" s="2" t="str">
        <f t="shared" si="31"/>
        <v>Map</v>
      </c>
      <c r="S1990" s="2" t="str">
        <f>IF($C1990="","",IFERROR(VLOOKUP($C1990,sources!$A$2:$N$200,9,FALSE()),"?"))</f>
        <v>French company</v>
      </c>
      <c r="T1990" t="s">
        <v>5692</v>
      </c>
      <c r="U1990">
        <f>IF(OR(B1990="",C1990="",T1990="Retracted",LEFT(D1990,8)="Negative"),0,IF(COUNTIFS($B$2:B1990,B1990,$C$2:C1990,C1990,$D$2:D1990,"&lt;&gt;Negative*",$T$2:T1990,"&lt;&gt;Retracted")=1,1,0))</f>
        <v>1</v>
      </c>
    </row>
    <row r="1991" spans="1:21" x14ac:dyDescent="0.2">
      <c r="A1991" t="s">
        <v>4143</v>
      </c>
      <c r="B1991" t="s">
        <v>199</v>
      </c>
      <c r="C1991" t="s">
        <v>1497</v>
      </c>
      <c r="D1991" t="s">
        <v>1575</v>
      </c>
      <c r="E1991" t="s">
        <v>200</v>
      </c>
      <c r="F1991" t="s">
        <v>2423</v>
      </c>
      <c r="I1991" t="s">
        <v>1058</v>
      </c>
      <c r="K1991">
        <v>1886</v>
      </c>
      <c r="L1991">
        <v>1886</v>
      </c>
      <c r="M1991" t="s">
        <v>209</v>
      </c>
      <c r="N1991" t="s">
        <v>203</v>
      </c>
      <c r="Q1991" s="2" t="str">
        <f>IF($C1991="","",IFERROR(VLOOKUP($C1991,sources!$A$2:$N$200,2,FALSE()),"?"))</f>
        <v>Map</v>
      </c>
      <c r="R1991" s="2" t="str">
        <f t="shared" si="31"/>
        <v>Map</v>
      </c>
      <c r="S1991" s="2" t="str">
        <f>IF($C1991="","",IFERROR(VLOOKUP($C1991,sources!$A$2:$N$200,9,FALSE()),"?"))</f>
        <v>French company</v>
      </c>
      <c r="T1991" t="s">
        <v>5692</v>
      </c>
      <c r="U1991">
        <f>IF(OR(B1991="",C1991="",T1991="Retracted",LEFT(D1991,8)="Negative"),0,IF(COUNTIFS($B$2:B1991,B1991,$C$2:C1991,C1991,$D$2:D1991,"&lt;&gt;Negative*",$T$2:T1991,"&lt;&gt;Retracted")=1,1,0))</f>
        <v>1</v>
      </c>
    </row>
    <row r="1992" spans="1:21" x14ac:dyDescent="0.2">
      <c r="A1992" t="s">
        <v>4144</v>
      </c>
      <c r="B1992" t="s">
        <v>369</v>
      </c>
      <c r="C1992" t="s">
        <v>1497</v>
      </c>
      <c r="D1992" t="s">
        <v>1575</v>
      </c>
      <c r="E1992" t="s">
        <v>370</v>
      </c>
      <c r="F1992" t="s">
        <v>2423</v>
      </c>
      <c r="I1992" t="s">
        <v>1058</v>
      </c>
      <c r="K1992">
        <v>1886</v>
      </c>
      <c r="L1992">
        <v>1886</v>
      </c>
      <c r="M1992" t="s">
        <v>209</v>
      </c>
      <c r="N1992" t="s">
        <v>203</v>
      </c>
      <c r="Q1992" s="2" t="str">
        <f>IF($C1992="","",IFERROR(VLOOKUP($C1992,sources!$A$2:$N$200,2,FALSE()),"?"))</f>
        <v>Map</v>
      </c>
      <c r="R1992" s="2" t="str">
        <f t="shared" si="31"/>
        <v>Map</v>
      </c>
      <c r="S1992" s="2" t="str">
        <f>IF($C1992="","",IFERROR(VLOOKUP($C1992,sources!$A$2:$N$200,9,FALSE()),"?"))</f>
        <v>French company</v>
      </c>
      <c r="T1992" t="s">
        <v>5692</v>
      </c>
      <c r="U1992">
        <f>IF(OR(B1992="",C1992="",T1992="Retracted",LEFT(D1992,8)="Negative"),0,IF(COUNTIFS($B$2:B1992,B1992,$C$2:C1992,C1992,$D$2:D1992,"&lt;&gt;Negative*",$T$2:T1992,"&lt;&gt;Retracted")=1,1,0))</f>
        <v>1</v>
      </c>
    </row>
    <row r="1993" spans="1:21" x14ac:dyDescent="0.2">
      <c r="A1993" t="s">
        <v>4145</v>
      </c>
      <c r="B1993" t="s">
        <v>510</v>
      </c>
      <c r="C1993" t="s">
        <v>1497</v>
      </c>
      <c r="D1993" t="s">
        <v>1575</v>
      </c>
      <c r="E1993" t="s">
        <v>511</v>
      </c>
      <c r="F1993" t="s">
        <v>2423</v>
      </c>
      <c r="I1993" t="s">
        <v>1058</v>
      </c>
      <c r="K1993">
        <v>1886</v>
      </c>
      <c r="L1993">
        <v>1886</v>
      </c>
      <c r="M1993" t="s">
        <v>209</v>
      </c>
      <c r="N1993" t="s">
        <v>203</v>
      </c>
      <c r="Q1993" s="2" t="str">
        <f>IF($C1993="","",IFERROR(VLOOKUP($C1993,sources!$A$2:$N$200,2,FALSE()),"?"))</f>
        <v>Map</v>
      </c>
      <c r="R1993" s="2" t="str">
        <f t="shared" si="31"/>
        <v>Map</v>
      </c>
      <c r="S1993" s="2" t="str">
        <f>IF($C1993="","",IFERROR(VLOOKUP($C1993,sources!$A$2:$N$200,9,FALSE()),"?"))</f>
        <v>French company</v>
      </c>
      <c r="T1993" t="s">
        <v>5692</v>
      </c>
      <c r="U1993">
        <f>IF(OR(B1993="",C1993="",T1993="Retracted",LEFT(D1993,8)="Negative"),0,IF(COUNTIFS($B$2:B1993,B1993,$C$2:C1993,C1993,$D$2:D1993,"&lt;&gt;Negative*",$T$2:T1993,"&lt;&gt;Retracted")=1,1,0))</f>
        <v>1</v>
      </c>
    </row>
    <row r="1994" spans="1:21" x14ac:dyDescent="0.2">
      <c r="A1994" t="s">
        <v>4146</v>
      </c>
      <c r="B1994" t="s">
        <v>801</v>
      </c>
      <c r="C1994" t="s">
        <v>1497</v>
      </c>
      <c r="D1994" t="s">
        <v>1575</v>
      </c>
      <c r="E1994" t="s">
        <v>4147</v>
      </c>
      <c r="F1994" t="s">
        <v>2423</v>
      </c>
      <c r="I1994" t="s">
        <v>1058</v>
      </c>
      <c r="K1994">
        <v>1886</v>
      </c>
      <c r="L1994">
        <v>1886</v>
      </c>
      <c r="M1994" t="s">
        <v>209</v>
      </c>
      <c r="N1994" t="s">
        <v>203</v>
      </c>
      <c r="Q1994" s="2" t="str">
        <f>IF($C1994="","",IFERROR(VLOOKUP($C1994,sources!$A$2:$N$200,2,FALSE()),"?"))</f>
        <v>Map</v>
      </c>
      <c r="R1994" s="2" t="str">
        <f t="shared" si="31"/>
        <v>Map</v>
      </c>
      <c r="S1994" s="2" t="str">
        <f>IF($C1994="","",IFERROR(VLOOKUP($C1994,sources!$A$2:$N$200,9,FALSE()),"?"))</f>
        <v>French company</v>
      </c>
      <c r="T1994" t="s">
        <v>5692</v>
      </c>
      <c r="U1994">
        <f>IF(OR(B1994="",C1994="",T1994="Retracted",LEFT(D1994,8)="Negative"),0,IF(COUNTIFS($B$2:B1994,B1994,$C$2:C1994,C1994,$D$2:D1994,"&lt;&gt;Negative*",$T$2:T1994,"&lt;&gt;Retracted")=1,1,0))</f>
        <v>1</v>
      </c>
    </row>
    <row r="1995" spans="1:21" x14ac:dyDescent="0.2">
      <c r="A1995" t="s">
        <v>4148</v>
      </c>
      <c r="B1995" t="s">
        <v>335</v>
      </c>
      <c r="C1995" t="s">
        <v>1497</v>
      </c>
      <c r="D1995" t="s">
        <v>1564</v>
      </c>
      <c r="E1995" t="s">
        <v>4149</v>
      </c>
      <c r="F1995" t="s">
        <v>2423</v>
      </c>
      <c r="I1995" t="s">
        <v>1058</v>
      </c>
      <c r="K1995">
        <v>1886</v>
      </c>
      <c r="L1995">
        <v>1886</v>
      </c>
      <c r="M1995" t="s">
        <v>209</v>
      </c>
      <c r="N1995" t="s">
        <v>209</v>
      </c>
      <c r="Q1995" s="2" t="str">
        <f>IF($C1995="","",IFERROR(VLOOKUP($C1995,sources!$A$2:$N$200,2,FALSE()),"?"))</f>
        <v>Map</v>
      </c>
      <c r="R1995" s="2" t="str">
        <f t="shared" si="31"/>
        <v>Map</v>
      </c>
      <c r="S1995" s="2" t="str">
        <f>IF($C1995="","",IFERROR(VLOOKUP($C1995,sources!$A$2:$N$200,9,FALSE()),"?"))</f>
        <v>French company</v>
      </c>
      <c r="T1995" t="s">
        <v>5692</v>
      </c>
      <c r="U1995">
        <f>IF(OR(B1995="",C1995="",T1995="Retracted",LEFT(D1995,8)="Negative"),0,IF(COUNTIFS($B$2:B1995,B1995,$C$2:C1995,C1995,$D$2:D1995,"&lt;&gt;Negative*",$T$2:T1995,"&lt;&gt;Retracted")=1,1,0))</f>
        <v>1</v>
      </c>
    </row>
    <row r="1996" spans="1:21" x14ac:dyDescent="0.2">
      <c r="A1996" t="s">
        <v>4150</v>
      </c>
      <c r="B1996" t="s">
        <v>630</v>
      </c>
      <c r="C1996" t="s">
        <v>1497</v>
      </c>
      <c r="D1996" t="s">
        <v>1564</v>
      </c>
      <c r="E1996" t="s">
        <v>2798</v>
      </c>
      <c r="F1996" t="s">
        <v>2423</v>
      </c>
      <c r="I1996" t="s">
        <v>1058</v>
      </c>
      <c r="K1996">
        <v>1886</v>
      </c>
      <c r="L1996">
        <v>1886</v>
      </c>
      <c r="M1996" t="s">
        <v>209</v>
      </c>
      <c r="N1996" t="s">
        <v>209</v>
      </c>
      <c r="Q1996" s="2" t="str">
        <f>IF($C1996="","",IFERROR(VLOOKUP($C1996,sources!$A$2:$N$200,2,FALSE()),"?"))</f>
        <v>Map</v>
      </c>
      <c r="R1996" s="2" t="str">
        <f t="shared" si="31"/>
        <v>Map</v>
      </c>
      <c r="S1996" s="2" t="str">
        <f>IF($C1996="","",IFERROR(VLOOKUP($C1996,sources!$A$2:$N$200,9,FALSE()),"?"))</f>
        <v>French company</v>
      </c>
      <c r="T1996" t="s">
        <v>5692</v>
      </c>
      <c r="U1996">
        <f>IF(OR(B1996="",C1996="",T1996="Retracted",LEFT(D1996,8)="Negative"),0,IF(COUNTIFS($B$2:B1996,B1996,$C$2:C1996,C1996,$D$2:D1996,"&lt;&gt;Negative*",$T$2:T1996,"&lt;&gt;Retracted")=1,1,0))</f>
        <v>1</v>
      </c>
    </row>
    <row r="1997" spans="1:21" x14ac:dyDescent="0.2">
      <c r="A1997" t="s">
        <v>4151</v>
      </c>
      <c r="B1997" t="s">
        <v>630</v>
      </c>
      <c r="C1997" t="s">
        <v>1497</v>
      </c>
      <c r="D1997" t="s">
        <v>1613</v>
      </c>
      <c r="E1997" t="s">
        <v>2803</v>
      </c>
      <c r="F1997" t="s">
        <v>2423</v>
      </c>
      <c r="I1997" t="s">
        <v>1058</v>
      </c>
      <c r="K1997">
        <v>1886</v>
      </c>
      <c r="L1997">
        <v>1886</v>
      </c>
      <c r="M1997" t="s">
        <v>209</v>
      </c>
      <c r="N1997" t="s">
        <v>209</v>
      </c>
      <c r="Q1997" s="2" t="str">
        <f>IF($C1997="","",IFERROR(VLOOKUP($C1997,sources!$A$2:$N$200,2,FALSE()),"?"))</f>
        <v>Map</v>
      </c>
      <c r="R1997" s="2" t="str">
        <f t="shared" si="31"/>
        <v>Map</v>
      </c>
      <c r="S1997" s="2" t="str">
        <f>IF($C1997="","",IFERROR(VLOOKUP($C1997,sources!$A$2:$N$200,9,FALSE()),"?"))</f>
        <v>French company</v>
      </c>
      <c r="T1997" t="s">
        <v>5692</v>
      </c>
      <c r="U1997">
        <f>IF(OR(B1997="",C1997="",T1997="Retracted",LEFT(D1997,8)="Negative"),0,IF(COUNTIFS($B$2:B1997,B1997,$C$2:C1997,C1997,$D$2:D1997,"&lt;&gt;Negative*",$T$2:T1997,"&lt;&gt;Retracted")=1,1,0))</f>
        <v>0</v>
      </c>
    </row>
    <row r="1998" spans="1:21" x14ac:dyDescent="0.2">
      <c r="A1998" t="s">
        <v>4152</v>
      </c>
      <c r="B1998" t="s">
        <v>910</v>
      </c>
      <c r="C1998" t="s">
        <v>1497</v>
      </c>
      <c r="D1998" t="s">
        <v>1564</v>
      </c>
      <c r="E1998" t="s">
        <v>4153</v>
      </c>
      <c r="F1998" t="s">
        <v>2423</v>
      </c>
      <c r="I1998" t="s">
        <v>1058</v>
      </c>
      <c r="K1998">
        <v>1886</v>
      </c>
      <c r="L1998">
        <v>1886</v>
      </c>
      <c r="M1998" t="s">
        <v>209</v>
      </c>
      <c r="N1998" t="s">
        <v>203</v>
      </c>
      <c r="Q1998" s="2" t="str">
        <f>IF($C1998="","",IFERROR(VLOOKUP($C1998,sources!$A$2:$N$200,2,FALSE()),"?"))</f>
        <v>Map</v>
      </c>
      <c r="R1998" s="2" t="str">
        <f t="shared" si="31"/>
        <v>Map</v>
      </c>
      <c r="S1998" s="2" t="str">
        <f>IF($C1998="","",IFERROR(VLOOKUP($C1998,sources!$A$2:$N$200,9,FALSE()),"?"))</f>
        <v>French company</v>
      </c>
      <c r="T1998" t="s">
        <v>5692</v>
      </c>
      <c r="U1998">
        <f>IF(OR(B1998="",C1998="",T1998="Retracted",LEFT(D1998,8)="Negative"),0,IF(COUNTIFS($B$2:B1998,B1998,$C$2:C1998,C1998,$D$2:D1998,"&lt;&gt;Negative*",$T$2:T1998,"&lt;&gt;Retracted")=1,1,0))</f>
        <v>1</v>
      </c>
    </row>
    <row r="1999" spans="1:21" x14ac:dyDescent="0.2">
      <c r="A1999" t="s">
        <v>4154</v>
      </c>
      <c r="B1999" t="s">
        <v>910</v>
      </c>
      <c r="C1999" t="s">
        <v>1497</v>
      </c>
      <c r="D1999" t="s">
        <v>1613</v>
      </c>
      <c r="E1999" t="s">
        <v>4077</v>
      </c>
      <c r="F1999" t="s">
        <v>2423</v>
      </c>
      <c r="I1999" t="s">
        <v>1058</v>
      </c>
      <c r="K1999">
        <v>1886</v>
      </c>
      <c r="L1999">
        <v>1886</v>
      </c>
      <c r="M1999" t="s">
        <v>209</v>
      </c>
      <c r="N1999" t="s">
        <v>209</v>
      </c>
      <c r="Q1999" s="2" t="str">
        <f>IF($C1999="","",IFERROR(VLOOKUP($C1999,sources!$A$2:$N$200,2,FALSE()),"?"))</f>
        <v>Map</v>
      </c>
      <c r="R1999" s="2" t="str">
        <f t="shared" si="31"/>
        <v>Map</v>
      </c>
      <c r="S1999" s="2" t="str">
        <f>IF($C1999="","",IFERROR(VLOOKUP($C1999,sources!$A$2:$N$200,9,FALSE()),"?"))</f>
        <v>French company</v>
      </c>
      <c r="T1999" t="s">
        <v>5692</v>
      </c>
      <c r="U1999">
        <f>IF(OR(B1999="",C1999="",T1999="Retracted",LEFT(D1999,8)="Negative"),0,IF(COUNTIFS($B$2:B1999,B1999,$C$2:C1999,C1999,$D$2:D1999,"&lt;&gt;Negative*",$T$2:T1999,"&lt;&gt;Retracted")=1,1,0))</f>
        <v>0</v>
      </c>
    </row>
    <row r="2000" spans="1:21" x14ac:dyDescent="0.2">
      <c r="A2000" t="s">
        <v>4155</v>
      </c>
      <c r="B2000" t="s">
        <v>917</v>
      </c>
      <c r="C2000" t="s">
        <v>1497</v>
      </c>
      <c r="D2000" t="s">
        <v>1564</v>
      </c>
      <c r="E2000" t="s">
        <v>4156</v>
      </c>
      <c r="F2000" t="s">
        <v>2423</v>
      </c>
      <c r="I2000" t="s">
        <v>1058</v>
      </c>
      <c r="K2000">
        <v>1886</v>
      </c>
      <c r="L2000">
        <v>1886</v>
      </c>
      <c r="M2000" t="s">
        <v>209</v>
      </c>
      <c r="N2000" t="s">
        <v>203</v>
      </c>
      <c r="Q2000" s="2" t="str">
        <f>IF($C2000="","",IFERROR(VLOOKUP($C2000,sources!$A$2:$N$200,2,FALSE()),"?"))</f>
        <v>Map</v>
      </c>
      <c r="R2000" s="2" t="str">
        <f t="shared" si="31"/>
        <v>Map</v>
      </c>
      <c r="S2000" s="2" t="str">
        <f>IF($C2000="","",IFERROR(VLOOKUP($C2000,sources!$A$2:$N$200,9,FALSE()),"?"))</f>
        <v>French company</v>
      </c>
      <c r="T2000" t="s">
        <v>5692</v>
      </c>
      <c r="U2000">
        <f>IF(OR(B2000="",C2000="",T2000="Retracted",LEFT(D2000,8)="Negative"),0,IF(COUNTIFS($B$2:B2000,B2000,$C$2:C2000,C2000,$D$2:D2000,"&lt;&gt;Negative*",$T$2:T2000,"&lt;&gt;Retracted")=1,1,0))</f>
        <v>1</v>
      </c>
    </row>
    <row r="2001" spans="1:21" x14ac:dyDescent="0.2">
      <c r="A2001" t="s">
        <v>4157</v>
      </c>
      <c r="B2001" t="s">
        <v>917</v>
      </c>
      <c r="C2001" t="s">
        <v>1497</v>
      </c>
      <c r="D2001" t="s">
        <v>1613</v>
      </c>
      <c r="E2001" t="s">
        <v>4158</v>
      </c>
      <c r="F2001" t="s">
        <v>2423</v>
      </c>
      <c r="I2001" t="s">
        <v>1058</v>
      </c>
      <c r="K2001">
        <v>1886</v>
      </c>
      <c r="L2001">
        <v>1886</v>
      </c>
      <c r="M2001" t="s">
        <v>209</v>
      </c>
      <c r="N2001" t="s">
        <v>209</v>
      </c>
      <c r="Q2001" s="2" t="str">
        <f>IF($C2001="","",IFERROR(VLOOKUP($C2001,sources!$A$2:$N$200,2,FALSE()),"?"))</f>
        <v>Map</v>
      </c>
      <c r="R2001" s="2" t="str">
        <f t="shared" si="31"/>
        <v>Map</v>
      </c>
      <c r="S2001" s="2" t="str">
        <f>IF($C2001="","",IFERROR(VLOOKUP($C2001,sources!$A$2:$N$200,9,FALSE()),"?"))</f>
        <v>French company</v>
      </c>
      <c r="T2001" t="s">
        <v>5692</v>
      </c>
      <c r="U2001">
        <f>IF(OR(B2001="",C2001="",T2001="Retracted",LEFT(D2001,8)="Negative"),0,IF(COUNTIFS($B$2:B2001,B2001,$C$2:C2001,C2001,$D$2:D2001,"&lt;&gt;Negative*",$T$2:T2001,"&lt;&gt;Retracted")=1,1,0))</f>
        <v>0</v>
      </c>
    </row>
    <row r="2002" spans="1:21" x14ac:dyDescent="0.2">
      <c r="A2002" t="s">
        <v>4159</v>
      </c>
      <c r="B2002" t="s">
        <v>920</v>
      </c>
      <c r="C2002" t="s">
        <v>1497</v>
      </c>
      <c r="D2002" t="s">
        <v>1564</v>
      </c>
      <c r="E2002" t="s">
        <v>4160</v>
      </c>
      <c r="F2002" t="s">
        <v>2423</v>
      </c>
      <c r="I2002" t="s">
        <v>1058</v>
      </c>
      <c r="K2002">
        <v>1886</v>
      </c>
      <c r="L2002">
        <v>1886</v>
      </c>
      <c r="M2002" t="s">
        <v>209</v>
      </c>
      <c r="N2002" t="s">
        <v>203</v>
      </c>
      <c r="Q2002" s="2" t="str">
        <f>IF($C2002="","",IFERROR(VLOOKUP($C2002,sources!$A$2:$N$200,2,FALSE()),"?"))</f>
        <v>Map</v>
      </c>
      <c r="R2002" s="2" t="str">
        <f t="shared" si="31"/>
        <v>Map</v>
      </c>
      <c r="S2002" s="2" t="str">
        <f>IF($C2002="","",IFERROR(VLOOKUP($C2002,sources!$A$2:$N$200,9,FALSE()),"?"))</f>
        <v>French company</v>
      </c>
      <c r="T2002" t="s">
        <v>5692</v>
      </c>
      <c r="U2002">
        <f>IF(OR(B2002="",C2002="",T2002="Retracted",LEFT(D2002,8)="Negative"),0,IF(COUNTIFS($B$2:B2002,B2002,$C$2:C2002,C2002,$D$2:D2002,"&lt;&gt;Negative*",$T$2:T2002,"&lt;&gt;Retracted")=1,1,0))</f>
        <v>1</v>
      </c>
    </row>
    <row r="2003" spans="1:21" x14ac:dyDescent="0.2">
      <c r="A2003" t="s">
        <v>4161</v>
      </c>
      <c r="B2003" t="s">
        <v>920</v>
      </c>
      <c r="C2003" t="s">
        <v>1497</v>
      </c>
      <c r="D2003" t="s">
        <v>1613</v>
      </c>
      <c r="E2003" t="s">
        <v>4162</v>
      </c>
      <c r="F2003" t="s">
        <v>2423</v>
      </c>
      <c r="I2003" t="s">
        <v>1058</v>
      </c>
      <c r="K2003">
        <v>1886</v>
      </c>
      <c r="L2003">
        <v>1886</v>
      </c>
      <c r="M2003" t="s">
        <v>209</v>
      </c>
      <c r="N2003" t="s">
        <v>209</v>
      </c>
      <c r="Q2003" s="2" t="str">
        <f>IF($C2003="","",IFERROR(VLOOKUP($C2003,sources!$A$2:$N$200,2,FALSE()),"?"))</f>
        <v>Map</v>
      </c>
      <c r="R2003" s="2" t="str">
        <f t="shared" si="31"/>
        <v>Map</v>
      </c>
      <c r="S2003" s="2" t="str">
        <f>IF($C2003="","",IFERROR(VLOOKUP($C2003,sources!$A$2:$N$200,9,FALSE()),"?"))</f>
        <v>French company</v>
      </c>
      <c r="T2003" t="s">
        <v>5692</v>
      </c>
      <c r="U2003">
        <f>IF(OR(B2003="",C2003="",T2003="Retracted",LEFT(D2003,8)="Negative"),0,IF(COUNTIFS($B$2:B2003,B2003,$C$2:C2003,C2003,$D$2:D2003,"&lt;&gt;Negative*",$T$2:T2003,"&lt;&gt;Retracted")=1,1,0))</f>
        <v>0</v>
      </c>
    </row>
    <row r="2004" spans="1:21" x14ac:dyDescent="0.2">
      <c r="A2004" t="s">
        <v>4163</v>
      </c>
      <c r="B2004" t="s">
        <v>211</v>
      </c>
      <c r="C2004" t="s">
        <v>1497</v>
      </c>
      <c r="D2004" t="s">
        <v>1564</v>
      </c>
      <c r="E2004" t="s">
        <v>2853</v>
      </c>
      <c r="F2004" t="s">
        <v>2423</v>
      </c>
      <c r="I2004" t="s">
        <v>1058</v>
      </c>
      <c r="K2004">
        <v>1886</v>
      </c>
      <c r="L2004">
        <v>1886</v>
      </c>
      <c r="M2004" t="s">
        <v>209</v>
      </c>
      <c r="N2004" t="s">
        <v>209</v>
      </c>
      <c r="Q2004" s="2" t="str">
        <f>IF($C2004="","",IFERROR(VLOOKUP($C2004,sources!$A$2:$N$200,2,FALSE()),"?"))</f>
        <v>Map</v>
      </c>
      <c r="R2004" s="2" t="str">
        <f t="shared" si="31"/>
        <v>Map</v>
      </c>
      <c r="S2004" s="2" t="str">
        <f>IF($C2004="","",IFERROR(VLOOKUP($C2004,sources!$A$2:$N$200,9,FALSE()),"?"))</f>
        <v>French company</v>
      </c>
      <c r="T2004" t="s">
        <v>5692</v>
      </c>
      <c r="U2004">
        <f>IF(OR(B2004="",C2004="",T2004="Retracted",LEFT(D2004,8)="Negative"),0,IF(COUNTIFS($B$2:B2004,B2004,$C$2:C2004,C2004,$D$2:D2004,"&lt;&gt;Negative*",$T$2:T2004,"&lt;&gt;Retracted")=1,1,0))</f>
        <v>1</v>
      </c>
    </row>
    <row r="2005" spans="1:21" x14ac:dyDescent="0.2">
      <c r="A2005" t="s">
        <v>4164</v>
      </c>
      <c r="B2005" t="s">
        <v>599</v>
      </c>
      <c r="C2005" t="s">
        <v>1497</v>
      </c>
      <c r="D2005" t="s">
        <v>1564</v>
      </c>
      <c r="E2005" t="s">
        <v>2853</v>
      </c>
      <c r="F2005" t="s">
        <v>2423</v>
      </c>
      <c r="I2005" t="s">
        <v>1058</v>
      </c>
      <c r="K2005">
        <v>1886</v>
      </c>
      <c r="L2005">
        <v>1886</v>
      </c>
      <c r="M2005" t="s">
        <v>209</v>
      </c>
      <c r="N2005" t="s">
        <v>209</v>
      </c>
      <c r="Q2005" s="2" t="str">
        <f>IF($C2005="","",IFERROR(VLOOKUP($C2005,sources!$A$2:$N$200,2,FALSE()),"?"))</f>
        <v>Map</v>
      </c>
      <c r="R2005" s="2" t="str">
        <f t="shared" si="31"/>
        <v>Map</v>
      </c>
      <c r="S2005" s="2" t="str">
        <f>IF($C2005="","",IFERROR(VLOOKUP($C2005,sources!$A$2:$N$200,9,FALSE()),"?"))</f>
        <v>French company</v>
      </c>
      <c r="T2005" t="s">
        <v>5692</v>
      </c>
      <c r="U2005">
        <f>IF(OR(B2005="",C2005="",T2005="Retracted",LEFT(D2005,8)="Negative"),0,IF(COUNTIFS($B$2:B2005,B2005,$C$2:C2005,C2005,$D$2:D2005,"&lt;&gt;Negative*",$T$2:T2005,"&lt;&gt;Retracted")=1,1,0))</f>
        <v>1</v>
      </c>
    </row>
    <row r="2006" spans="1:21" x14ac:dyDescent="0.2">
      <c r="A2006" t="s">
        <v>4165</v>
      </c>
      <c r="B2006" t="s">
        <v>436</v>
      </c>
      <c r="C2006" t="s">
        <v>1497</v>
      </c>
      <c r="D2006" t="s">
        <v>1564</v>
      </c>
      <c r="E2006" t="s">
        <v>437</v>
      </c>
      <c r="F2006" t="s">
        <v>2423</v>
      </c>
      <c r="I2006" t="s">
        <v>1058</v>
      </c>
      <c r="K2006">
        <v>1886</v>
      </c>
      <c r="L2006">
        <v>1886</v>
      </c>
      <c r="M2006" t="s">
        <v>209</v>
      </c>
      <c r="N2006" t="s">
        <v>203</v>
      </c>
      <c r="Q2006" s="2" t="str">
        <f>IF($C2006="","",IFERROR(VLOOKUP($C2006,sources!$A$2:$N$200,2,FALSE()),"?"))</f>
        <v>Map</v>
      </c>
      <c r="R2006" s="2" t="str">
        <f t="shared" si="31"/>
        <v>Map</v>
      </c>
      <c r="S2006" s="2" t="str">
        <f>IF($C2006="","",IFERROR(VLOOKUP($C2006,sources!$A$2:$N$200,9,FALSE()),"?"))</f>
        <v>French company</v>
      </c>
      <c r="T2006" t="s">
        <v>5692</v>
      </c>
      <c r="U2006">
        <f>IF(OR(B2006="",C2006="",T2006="Retracted",LEFT(D2006,8)="Negative"),0,IF(COUNTIFS($B$2:B2006,B2006,$C$2:C2006,C2006,$D$2:D2006,"&lt;&gt;Negative*",$T$2:T2006,"&lt;&gt;Retracted")=1,1,0))</f>
        <v>1</v>
      </c>
    </row>
    <row r="2007" spans="1:21" x14ac:dyDescent="0.2">
      <c r="A2007" t="s">
        <v>4166</v>
      </c>
      <c r="B2007" t="s">
        <v>436</v>
      </c>
      <c r="C2007" t="s">
        <v>1497</v>
      </c>
      <c r="D2007" t="s">
        <v>1613</v>
      </c>
      <c r="E2007" t="s">
        <v>4167</v>
      </c>
      <c r="F2007" t="s">
        <v>2423</v>
      </c>
      <c r="I2007" t="s">
        <v>1058</v>
      </c>
      <c r="K2007">
        <v>1886</v>
      </c>
      <c r="L2007">
        <v>1886</v>
      </c>
      <c r="M2007" t="s">
        <v>209</v>
      </c>
      <c r="N2007" t="s">
        <v>209</v>
      </c>
      <c r="Q2007" s="2" t="str">
        <f>IF($C2007="","",IFERROR(VLOOKUP($C2007,sources!$A$2:$N$200,2,FALSE()),"?"))</f>
        <v>Map</v>
      </c>
      <c r="R2007" s="2" t="str">
        <f t="shared" si="31"/>
        <v>Map</v>
      </c>
      <c r="S2007" s="2" t="str">
        <f>IF($C2007="","",IFERROR(VLOOKUP($C2007,sources!$A$2:$N$200,9,FALSE()),"?"))</f>
        <v>French company</v>
      </c>
      <c r="T2007" t="s">
        <v>5692</v>
      </c>
      <c r="U2007">
        <f>IF(OR(B2007="",C2007="",T2007="Retracted",LEFT(D2007,8)="Negative"),0,IF(COUNTIFS($B$2:B2007,B2007,$C$2:C2007,C2007,$D$2:D2007,"&lt;&gt;Negative*",$T$2:T2007,"&lt;&gt;Retracted")=1,1,0))</f>
        <v>0</v>
      </c>
    </row>
    <row r="2008" spans="1:21" x14ac:dyDescent="0.2">
      <c r="A2008" t="s">
        <v>4168</v>
      </c>
      <c r="B2008" t="s">
        <v>213</v>
      </c>
      <c r="C2008" t="s">
        <v>1497</v>
      </c>
      <c r="D2008" t="s">
        <v>1564</v>
      </c>
      <c r="E2008" t="s">
        <v>4169</v>
      </c>
      <c r="F2008" t="s">
        <v>2423</v>
      </c>
      <c r="I2008" t="s">
        <v>1058</v>
      </c>
      <c r="K2008">
        <v>1886</v>
      </c>
      <c r="L2008">
        <v>1886</v>
      </c>
      <c r="M2008" t="s">
        <v>209</v>
      </c>
      <c r="N2008" t="s">
        <v>190</v>
      </c>
      <c r="Q2008" s="2" t="str">
        <f>IF($C2008="","",IFERROR(VLOOKUP($C2008,sources!$A$2:$N$200,2,FALSE()),"?"))</f>
        <v>Map</v>
      </c>
      <c r="R2008" s="2" t="str">
        <f t="shared" si="31"/>
        <v>Map</v>
      </c>
      <c r="S2008" s="2" t="str">
        <f>IF($C2008="","",IFERROR(VLOOKUP($C2008,sources!$A$2:$N$200,9,FALSE()),"?"))</f>
        <v>French company</v>
      </c>
      <c r="T2008" t="s">
        <v>5692</v>
      </c>
      <c r="U2008">
        <f>IF(OR(B2008="",C2008="",T2008="Retracted",LEFT(D2008,8)="Negative"),0,IF(COUNTIFS($B$2:B2008,B2008,$C$2:C2008,C2008,$D$2:D2008,"&lt;&gt;Negative*",$T$2:T2008,"&lt;&gt;Retracted")=1,1,0))</f>
        <v>1</v>
      </c>
    </row>
    <row r="2009" spans="1:21" x14ac:dyDescent="0.2">
      <c r="A2009" t="s">
        <v>4170</v>
      </c>
      <c r="B2009" t="s">
        <v>758</v>
      </c>
      <c r="C2009" t="s">
        <v>1497</v>
      </c>
      <c r="D2009" t="s">
        <v>1575</v>
      </c>
      <c r="E2009" t="s">
        <v>4171</v>
      </c>
      <c r="F2009" t="s">
        <v>2423</v>
      </c>
      <c r="I2009" t="s">
        <v>1058</v>
      </c>
      <c r="K2009">
        <v>1886</v>
      </c>
      <c r="L2009">
        <v>1886</v>
      </c>
      <c r="M2009" t="s">
        <v>209</v>
      </c>
      <c r="N2009" t="s">
        <v>190</v>
      </c>
      <c r="Q2009" s="2" t="str">
        <f>IF($C2009="","",IFERROR(VLOOKUP($C2009,sources!$A$2:$N$200,2,FALSE()),"?"))</f>
        <v>Map</v>
      </c>
      <c r="R2009" s="2" t="str">
        <f t="shared" si="31"/>
        <v>Map</v>
      </c>
      <c r="S2009" s="2" t="str">
        <f>IF($C2009="","",IFERROR(VLOOKUP($C2009,sources!$A$2:$N$200,9,FALSE()),"?"))</f>
        <v>French company</v>
      </c>
      <c r="T2009" t="s">
        <v>5692</v>
      </c>
      <c r="U2009">
        <f>IF(OR(B2009="",C2009="",T2009="Retracted",LEFT(D2009,8)="Negative"),0,IF(COUNTIFS($B$2:B2009,B2009,$C$2:C2009,C2009,$D$2:D2009,"&lt;&gt;Negative*",$T$2:T2009,"&lt;&gt;Retracted")=1,1,0))</f>
        <v>1</v>
      </c>
    </row>
    <row r="2010" spans="1:21" x14ac:dyDescent="0.2">
      <c r="A2010" t="s">
        <v>4172</v>
      </c>
      <c r="B2010" t="s">
        <v>936</v>
      </c>
      <c r="C2010" t="s">
        <v>1497</v>
      </c>
      <c r="D2010" t="s">
        <v>1575</v>
      </c>
      <c r="E2010" t="s">
        <v>4173</v>
      </c>
      <c r="F2010" t="s">
        <v>2423</v>
      </c>
      <c r="I2010" t="s">
        <v>1058</v>
      </c>
      <c r="K2010">
        <v>1886</v>
      </c>
      <c r="L2010">
        <v>1886</v>
      </c>
      <c r="M2010" t="s">
        <v>209</v>
      </c>
      <c r="N2010" t="s">
        <v>209</v>
      </c>
      <c r="Q2010" s="2" t="str">
        <f>IF($C2010="","",IFERROR(VLOOKUP($C2010,sources!$A$2:$N$200,2,FALSE()),"?"))</f>
        <v>Map</v>
      </c>
      <c r="R2010" s="2" t="str">
        <f t="shared" si="31"/>
        <v>Map</v>
      </c>
      <c r="S2010" s="2" t="str">
        <f>IF($C2010="","",IFERROR(VLOOKUP($C2010,sources!$A$2:$N$200,9,FALSE()),"?"))</f>
        <v>French company</v>
      </c>
      <c r="T2010" t="s">
        <v>5692</v>
      </c>
      <c r="U2010">
        <f>IF(OR(B2010="",C2010="",T2010="Retracted",LEFT(D2010,8)="Negative"),0,IF(COUNTIFS($B$2:B2010,B2010,$C$2:C2010,C2010,$D$2:D2010,"&lt;&gt;Negative*",$T$2:T2010,"&lt;&gt;Retracted")=1,1,0))</f>
        <v>1</v>
      </c>
    </row>
    <row r="2011" spans="1:21" x14ac:dyDescent="0.2">
      <c r="A2011" t="s">
        <v>4174</v>
      </c>
      <c r="B2011" t="s">
        <v>194</v>
      </c>
      <c r="C2011" t="s">
        <v>1497</v>
      </c>
      <c r="D2011" t="s">
        <v>1613</v>
      </c>
      <c r="E2011" t="s">
        <v>195</v>
      </c>
      <c r="F2011" t="s">
        <v>2423</v>
      </c>
      <c r="I2011" t="s">
        <v>1058</v>
      </c>
      <c r="K2011">
        <v>1886</v>
      </c>
      <c r="L2011">
        <v>1886</v>
      </c>
      <c r="M2011" t="s">
        <v>209</v>
      </c>
      <c r="N2011" t="s">
        <v>203</v>
      </c>
      <c r="Q2011" s="2" t="str">
        <f>IF($C2011="","",IFERROR(VLOOKUP($C2011,sources!$A$2:$N$200,2,FALSE()),"?"))</f>
        <v>Map</v>
      </c>
      <c r="R2011" s="2" t="str">
        <f t="shared" si="31"/>
        <v>Map</v>
      </c>
      <c r="S2011" s="2" t="str">
        <f>IF($C2011="","",IFERROR(VLOOKUP($C2011,sources!$A$2:$N$200,9,FALSE()),"?"))</f>
        <v>French company</v>
      </c>
      <c r="T2011" t="s">
        <v>5692</v>
      </c>
      <c r="U2011">
        <f>IF(OR(B2011="",C2011="",T2011="Retracted",LEFT(D2011,8)="Negative"),0,IF(COUNTIFS($B$2:B2011,B2011,$C$2:C2011,C2011,$D$2:D2011,"&lt;&gt;Negative*",$T$2:T2011,"&lt;&gt;Retracted")=1,1,0))</f>
        <v>0</v>
      </c>
    </row>
    <row r="2012" spans="1:21" x14ac:dyDescent="0.2">
      <c r="A2012" t="s">
        <v>4175</v>
      </c>
      <c r="B2012" t="s">
        <v>217</v>
      </c>
      <c r="C2012" t="s">
        <v>1497</v>
      </c>
      <c r="D2012" t="s">
        <v>1613</v>
      </c>
      <c r="E2012" t="s">
        <v>218</v>
      </c>
      <c r="F2012" t="s">
        <v>2423</v>
      </c>
      <c r="I2012" t="s">
        <v>1058</v>
      </c>
      <c r="K2012">
        <v>1886</v>
      </c>
      <c r="L2012">
        <v>1886</v>
      </c>
      <c r="M2012" t="s">
        <v>209</v>
      </c>
      <c r="N2012" t="s">
        <v>209</v>
      </c>
      <c r="Q2012" s="2" t="str">
        <f>IF($C2012="","",IFERROR(VLOOKUP($C2012,sources!$A$2:$N$200,2,FALSE()),"?"))</f>
        <v>Map</v>
      </c>
      <c r="R2012" s="2" t="str">
        <f t="shared" si="31"/>
        <v>Map</v>
      </c>
      <c r="S2012" s="2" t="str">
        <f>IF($C2012="","",IFERROR(VLOOKUP($C2012,sources!$A$2:$N$200,9,FALSE()),"?"))</f>
        <v>French company</v>
      </c>
      <c r="T2012" t="s">
        <v>5692</v>
      </c>
      <c r="U2012">
        <f>IF(OR(B2012="",C2012="",T2012="Retracted",LEFT(D2012,8)="Negative"),0,IF(COUNTIFS($B$2:B2012,B2012,$C$2:C2012,C2012,$D$2:D2012,"&lt;&gt;Negative*",$T$2:T2012,"&lt;&gt;Retracted")=1,1,0))</f>
        <v>0</v>
      </c>
    </row>
    <row r="2013" spans="1:21" x14ac:dyDescent="0.2">
      <c r="A2013" t="s">
        <v>4176</v>
      </c>
      <c r="B2013" t="s">
        <v>378</v>
      </c>
      <c r="C2013" t="s">
        <v>1497</v>
      </c>
      <c r="D2013" t="s">
        <v>1613</v>
      </c>
      <c r="E2013" t="s">
        <v>379</v>
      </c>
      <c r="F2013" t="s">
        <v>2423</v>
      </c>
      <c r="I2013" t="s">
        <v>1058</v>
      </c>
      <c r="K2013">
        <v>1886</v>
      </c>
      <c r="L2013">
        <v>1886</v>
      </c>
      <c r="M2013" t="s">
        <v>209</v>
      </c>
      <c r="N2013" t="s">
        <v>209</v>
      </c>
      <c r="Q2013" s="2" t="str">
        <f>IF($C2013="","",IFERROR(VLOOKUP($C2013,sources!$A$2:$N$200,2,FALSE()),"?"))</f>
        <v>Map</v>
      </c>
      <c r="R2013" s="2" t="str">
        <f t="shared" si="31"/>
        <v>Map</v>
      </c>
      <c r="S2013" s="2" t="str">
        <f>IF($C2013="","",IFERROR(VLOOKUP($C2013,sources!$A$2:$N$200,9,FALSE()),"?"))</f>
        <v>French company</v>
      </c>
      <c r="T2013" t="s">
        <v>5692</v>
      </c>
      <c r="U2013">
        <f>IF(OR(B2013="",C2013="",T2013="Retracted",LEFT(D2013,8)="Negative"),0,IF(COUNTIFS($B$2:B2013,B2013,$C$2:C2013,C2013,$D$2:D2013,"&lt;&gt;Negative*",$T$2:T2013,"&lt;&gt;Retracted")=1,1,0))</f>
        <v>0</v>
      </c>
    </row>
    <row r="2014" spans="1:21" x14ac:dyDescent="0.2">
      <c r="A2014" t="s">
        <v>4177</v>
      </c>
      <c r="B2014" t="s">
        <v>487</v>
      </c>
      <c r="C2014" t="s">
        <v>1497</v>
      </c>
      <c r="D2014" t="s">
        <v>1613</v>
      </c>
      <c r="E2014" t="s">
        <v>488</v>
      </c>
      <c r="F2014" t="s">
        <v>2423</v>
      </c>
      <c r="I2014" t="s">
        <v>1058</v>
      </c>
      <c r="K2014">
        <v>1886</v>
      </c>
      <c r="L2014">
        <v>1886</v>
      </c>
      <c r="M2014" t="s">
        <v>209</v>
      </c>
      <c r="N2014" t="s">
        <v>209</v>
      </c>
      <c r="Q2014" s="2" t="str">
        <f>IF($C2014="","",IFERROR(VLOOKUP($C2014,sources!$A$2:$N$200,2,FALSE()),"?"))</f>
        <v>Map</v>
      </c>
      <c r="R2014" s="2" t="str">
        <f t="shared" si="31"/>
        <v>Map</v>
      </c>
      <c r="S2014" s="2" t="str">
        <f>IF($C2014="","",IFERROR(VLOOKUP($C2014,sources!$A$2:$N$200,9,FALSE()),"?"))</f>
        <v>French company</v>
      </c>
      <c r="T2014" t="s">
        <v>5692</v>
      </c>
      <c r="U2014">
        <f>IF(OR(B2014="",C2014="",T2014="Retracted",LEFT(D2014,8)="Negative"),0,IF(COUNTIFS($B$2:B2014,B2014,$C$2:C2014,C2014,$D$2:D2014,"&lt;&gt;Negative*",$T$2:T2014,"&lt;&gt;Retracted")=1,1,0))</f>
        <v>0</v>
      </c>
    </row>
    <row r="2015" spans="1:21" x14ac:dyDescent="0.2">
      <c r="A2015" t="s">
        <v>4178</v>
      </c>
      <c r="B2015" t="s">
        <v>570</v>
      </c>
      <c r="C2015" t="s">
        <v>1497</v>
      </c>
      <c r="D2015" t="s">
        <v>1613</v>
      </c>
      <c r="E2015" t="s">
        <v>571</v>
      </c>
      <c r="F2015" t="s">
        <v>2423</v>
      </c>
      <c r="I2015" t="s">
        <v>1058</v>
      </c>
      <c r="K2015">
        <v>1886</v>
      </c>
      <c r="L2015">
        <v>1886</v>
      </c>
      <c r="M2015" t="s">
        <v>209</v>
      </c>
      <c r="N2015" t="s">
        <v>209</v>
      </c>
      <c r="Q2015" s="2" t="str">
        <f>IF($C2015="","",IFERROR(VLOOKUP($C2015,sources!$A$2:$N$200,2,FALSE()),"?"))</f>
        <v>Map</v>
      </c>
      <c r="R2015" s="2" t="str">
        <f t="shared" si="31"/>
        <v>Map</v>
      </c>
      <c r="S2015" s="2" t="str">
        <f>IF($C2015="","",IFERROR(VLOOKUP($C2015,sources!$A$2:$N$200,9,FALSE()),"?"))</f>
        <v>French company</v>
      </c>
      <c r="T2015" t="s">
        <v>5692</v>
      </c>
      <c r="U2015">
        <f>IF(OR(B2015="",C2015="",T2015="Retracted",LEFT(D2015,8)="Negative"),0,IF(COUNTIFS($B$2:B2015,B2015,$C$2:C2015,C2015,$D$2:D2015,"&lt;&gt;Negative*",$T$2:T2015,"&lt;&gt;Retracted")=1,1,0))</f>
        <v>0</v>
      </c>
    </row>
    <row r="2016" spans="1:21" x14ac:dyDescent="0.2">
      <c r="A2016" t="s">
        <v>4179</v>
      </c>
      <c r="B2016" t="s">
        <v>592</v>
      </c>
      <c r="C2016" t="s">
        <v>1497</v>
      </c>
      <c r="D2016" t="s">
        <v>1613</v>
      </c>
      <c r="E2016" t="s">
        <v>593</v>
      </c>
      <c r="F2016" t="s">
        <v>2423</v>
      </c>
      <c r="I2016" t="s">
        <v>1058</v>
      </c>
      <c r="K2016">
        <v>1886</v>
      </c>
      <c r="L2016">
        <v>1886</v>
      </c>
      <c r="M2016" t="s">
        <v>209</v>
      </c>
      <c r="N2016" t="s">
        <v>209</v>
      </c>
      <c r="Q2016" s="2" t="str">
        <f>IF($C2016="","",IFERROR(VLOOKUP($C2016,sources!$A$2:$N$200,2,FALSE()),"?"))</f>
        <v>Map</v>
      </c>
      <c r="R2016" s="2" t="str">
        <f t="shared" si="31"/>
        <v>Map</v>
      </c>
      <c r="S2016" s="2" t="str">
        <f>IF($C2016="","",IFERROR(VLOOKUP($C2016,sources!$A$2:$N$200,9,FALSE()),"?"))</f>
        <v>French company</v>
      </c>
      <c r="T2016" t="s">
        <v>5692</v>
      </c>
      <c r="U2016">
        <f>IF(OR(B2016="",C2016="",T2016="Retracted",LEFT(D2016,8)="Negative"),0,IF(COUNTIFS($B$2:B2016,B2016,$C$2:C2016,C2016,$D$2:D2016,"&lt;&gt;Negative*",$T$2:T2016,"&lt;&gt;Retracted")=1,1,0))</f>
        <v>0</v>
      </c>
    </row>
    <row r="2017" spans="1:21" x14ac:dyDescent="0.2">
      <c r="A2017" t="s">
        <v>4180</v>
      </c>
      <c r="B2017" t="s">
        <v>783</v>
      </c>
      <c r="C2017" t="s">
        <v>1497</v>
      </c>
      <c r="D2017" t="s">
        <v>1613</v>
      </c>
      <c r="E2017" t="s">
        <v>784</v>
      </c>
      <c r="F2017" t="s">
        <v>2423</v>
      </c>
      <c r="I2017" t="s">
        <v>1058</v>
      </c>
      <c r="K2017">
        <v>1886</v>
      </c>
      <c r="L2017">
        <v>1886</v>
      </c>
      <c r="M2017" t="s">
        <v>209</v>
      </c>
      <c r="N2017" t="s">
        <v>209</v>
      </c>
      <c r="Q2017" s="2" t="str">
        <f>IF($C2017="","",IFERROR(VLOOKUP($C2017,sources!$A$2:$N$200,2,FALSE()),"?"))</f>
        <v>Map</v>
      </c>
      <c r="R2017" s="2" t="str">
        <f t="shared" si="31"/>
        <v>Map</v>
      </c>
      <c r="S2017" s="2" t="str">
        <f>IF($C2017="","",IFERROR(VLOOKUP($C2017,sources!$A$2:$N$200,9,FALSE()),"?"))</f>
        <v>French company</v>
      </c>
      <c r="T2017" t="s">
        <v>5692</v>
      </c>
      <c r="U2017">
        <f>IF(OR(B2017="",C2017="",T2017="Retracted",LEFT(D2017,8)="Negative"),0,IF(COUNTIFS($B$2:B2017,B2017,$C$2:C2017,C2017,$D$2:D2017,"&lt;&gt;Negative*",$T$2:T2017,"&lt;&gt;Retracted")=1,1,0))</f>
        <v>0</v>
      </c>
    </row>
    <row r="2018" spans="1:21" x14ac:dyDescent="0.2">
      <c r="A2018" t="s">
        <v>4181</v>
      </c>
      <c r="B2018" t="s">
        <v>835</v>
      </c>
      <c r="C2018" t="s">
        <v>1497</v>
      </c>
      <c r="D2018" t="s">
        <v>1613</v>
      </c>
      <c r="E2018" t="s">
        <v>836</v>
      </c>
      <c r="F2018" t="s">
        <v>2423</v>
      </c>
      <c r="I2018" t="s">
        <v>1058</v>
      </c>
      <c r="K2018">
        <v>1886</v>
      </c>
      <c r="L2018">
        <v>1886</v>
      </c>
      <c r="M2018" t="s">
        <v>209</v>
      </c>
      <c r="N2018" t="s">
        <v>209</v>
      </c>
      <c r="Q2018" s="2" t="str">
        <f>IF($C2018="","",IFERROR(VLOOKUP($C2018,sources!$A$2:$N$200,2,FALSE()),"?"))</f>
        <v>Map</v>
      </c>
      <c r="R2018" s="2" t="str">
        <f t="shared" si="31"/>
        <v>Map</v>
      </c>
      <c r="S2018" s="2" t="str">
        <f>IF($C2018="","",IFERROR(VLOOKUP($C2018,sources!$A$2:$N$200,9,FALSE()),"?"))</f>
        <v>French company</v>
      </c>
      <c r="T2018" t="s">
        <v>5692</v>
      </c>
      <c r="U2018">
        <f>IF(OR(B2018="",C2018="",T2018="Retracted",LEFT(D2018,8)="Negative"),0,IF(COUNTIFS($B$2:B2018,B2018,$C$2:C2018,C2018,$D$2:D2018,"&lt;&gt;Negative*",$T$2:T2018,"&lt;&gt;Retracted")=1,1,0))</f>
        <v>0</v>
      </c>
    </row>
    <row r="2019" spans="1:21" x14ac:dyDescent="0.2">
      <c r="A2019" t="s">
        <v>4182</v>
      </c>
      <c r="B2019" t="s">
        <v>888</v>
      </c>
      <c r="C2019" t="s">
        <v>1497</v>
      </c>
      <c r="D2019" t="s">
        <v>1613</v>
      </c>
      <c r="E2019" t="s">
        <v>889</v>
      </c>
      <c r="F2019" t="s">
        <v>2423</v>
      </c>
      <c r="I2019" t="s">
        <v>1058</v>
      </c>
      <c r="K2019">
        <v>1886</v>
      </c>
      <c r="L2019">
        <v>1886</v>
      </c>
      <c r="M2019" t="s">
        <v>209</v>
      </c>
      <c r="N2019" t="s">
        <v>209</v>
      </c>
      <c r="Q2019" s="2" t="str">
        <f>IF($C2019="","",IFERROR(VLOOKUP($C2019,sources!$A$2:$N$200,2,FALSE()),"?"))</f>
        <v>Map</v>
      </c>
      <c r="R2019" s="2" t="str">
        <f t="shared" si="31"/>
        <v>Map</v>
      </c>
      <c r="S2019" s="2" t="str">
        <f>IF($C2019="","",IFERROR(VLOOKUP($C2019,sources!$A$2:$N$200,9,FALSE()),"?"))</f>
        <v>French company</v>
      </c>
      <c r="T2019" t="s">
        <v>5692</v>
      </c>
      <c r="U2019">
        <f>IF(OR(B2019="",C2019="",T2019="Retracted",LEFT(D2019,8)="Negative"),0,IF(COUNTIFS($B$2:B2019,B2019,$C$2:C2019,C2019,$D$2:D2019,"&lt;&gt;Negative*",$T$2:T2019,"&lt;&gt;Retracted")=1,1,0))</f>
        <v>0</v>
      </c>
    </row>
    <row r="2020" spans="1:21" x14ac:dyDescent="0.2">
      <c r="A2020" t="s">
        <v>4183</v>
      </c>
      <c r="B2020" t="s">
        <v>892</v>
      </c>
      <c r="C2020" t="s">
        <v>1497</v>
      </c>
      <c r="D2020" t="s">
        <v>1613</v>
      </c>
      <c r="E2020" t="s">
        <v>893</v>
      </c>
      <c r="F2020" t="s">
        <v>2423</v>
      </c>
      <c r="I2020" t="s">
        <v>1058</v>
      </c>
      <c r="K2020">
        <v>1886</v>
      </c>
      <c r="L2020">
        <v>1886</v>
      </c>
      <c r="M2020" t="s">
        <v>209</v>
      </c>
      <c r="N2020" t="s">
        <v>209</v>
      </c>
      <c r="Q2020" s="2" t="str">
        <f>IF($C2020="","",IFERROR(VLOOKUP($C2020,sources!$A$2:$N$200,2,FALSE()),"?"))</f>
        <v>Map</v>
      </c>
      <c r="R2020" s="2" t="str">
        <f t="shared" si="31"/>
        <v>Map</v>
      </c>
      <c r="S2020" s="2" t="str">
        <f>IF($C2020="","",IFERROR(VLOOKUP($C2020,sources!$A$2:$N$200,9,FALSE()),"?"))</f>
        <v>French company</v>
      </c>
      <c r="T2020" t="s">
        <v>5692</v>
      </c>
      <c r="U2020">
        <f>IF(OR(B2020="",C2020="",T2020="Retracted",LEFT(D2020,8)="Negative"),0,IF(COUNTIFS($B$2:B2020,B2020,$C$2:C2020,C2020,$D$2:D2020,"&lt;&gt;Negative*",$T$2:T2020,"&lt;&gt;Retracted")=1,1,0))</f>
        <v>0</v>
      </c>
    </row>
    <row r="2021" spans="1:21" x14ac:dyDescent="0.2">
      <c r="A2021" t="s">
        <v>4184</v>
      </c>
      <c r="B2021" t="s">
        <v>928</v>
      </c>
      <c r="C2021" t="s">
        <v>1497</v>
      </c>
      <c r="D2021" t="s">
        <v>1613</v>
      </c>
      <c r="E2021" t="s">
        <v>929</v>
      </c>
      <c r="F2021" t="s">
        <v>2423</v>
      </c>
      <c r="I2021" t="s">
        <v>1058</v>
      </c>
      <c r="K2021">
        <v>1886</v>
      </c>
      <c r="L2021">
        <v>1886</v>
      </c>
      <c r="M2021" t="s">
        <v>209</v>
      </c>
      <c r="N2021" t="s">
        <v>209</v>
      </c>
      <c r="Q2021" s="2" t="str">
        <f>IF($C2021="","",IFERROR(VLOOKUP($C2021,sources!$A$2:$N$200,2,FALSE()),"?"))</f>
        <v>Map</v>
      </c>
      <c r="R2021" s="2" t="str">
        <f t="shared" si="31"/>
        <v>Map</v>
      </c>
      <c r="S2021" s="2" t="str">
        <f>IF($C2021="","",IFERROR(VLOOKUP($C2021,sources!$A$2:$N$200,9,FALSE()),"?"))</f>
        <v>French company</v>
      </c>
      <c r="T2021" t="s">
        <v>5692</v>
      </c>
      <c r="U2021">
        <f>IF(OR(B2021="",C2021="",T2021="Retracted",LEFT(D2021,8)="Negative"),0,IF(COUNTIFS($B$2:B2021,B2021,$C$2:C2021,C2021,$D$2:D2021,"&lt;&gt;Negative*",$T$2:T2021,"&lt;&gt;Retracted")=1,1,0))</f>
        <v>0</v>
      </c>
    </row>
    <row r="2022" spans="1:21" x14ac:dyDescent="0.2">
      <c r="A2022" t="s">
        <v>4185</v>
      </c>
      <c r="B2022" t="s">
        <v>928</v>
      </c>
      <c r="C2022" t="s">
        <v>1497</v>
      </c>
      <c r="D2022" t="s">
        <v>1613</v>
      </c>
      <c r="E2022" t="s">
        <v>930</v>
      </c>
      <c r="F2022" t="s">
        <v>2423</v>
      </c>
      <c r="I2022" t="s">
        <v>1058</v>
      </c>
      <c r="K2022">
        <v>1886</v>
      </c>
      <c r="L2022">
        <v>1886</v>
      </c>
      <c r="M2022" t="s">
        <v>209</v>
      </c>
      <c r="N2022" t="s">
        <v>209</v>
      </c>
      <c r="Q2022" s="2" t="str">
        <f>IF($C2022="","",IFERROR(VLOOKUP($C2022,sources!$A$2:$N$200,2,FALSE()),"?"))</f>
        <v>Map</v>
      </c>
      <c r="R2022" s="2" t="str">
        <f t="shared" si="31"/>
        <v>Map</v>
      </c>
      <c r="S2022" s="2" t="str">
        <f>IF($C2022="","",IFERROR(VLOOKUP($C2022,sources!$A$2:$N$200,9,FALSE()),"?"))</f>
        <v>French company</v>
      </c>
      <c r="T2022" t="s">
        <v>5692</v>
      </c>
      <c r="U2022">
        <f>IF(OR(B2022="",C2022="",T2022="Retracted",LEFT(D2022,8)="Negative"),0,IF(COUNTIFS($B$2:B2022,B2022,$C$2:C2022,C2022,$D$2:D2022,"&lt;&gt;Negative*",$T$2:T2022,"&lt;&gt;Retracted")=1,1,0))</f>
        <v>0</v>
      </c>
    </row>
    <row r="2023" spans="1:21" x14ac:dyDescent="0.2">
      <c r="A2023" t="s">
        <v>4186</v>
      </c>
      <c r="B2023" t="s">
        <v>896</v>
      </c>
      <c r="C2023" t="s">
        <v>1497</v>
      </c>
      <c r="D2023" t="s">
        <v>1613</v>
      </c>
      <c r="E2023" t="s">
        <v>897</v>
      </c>
      <c r="F2023" t="s">
        <v>2423</v>
      </c>
      <c r="I2023" t="s">
        <v>1058</v>
      </c>
      <c r="K2023">
        <v>1886</v>
      </c>
      <c r="L2023">
        <v>1886</v>
      </c>
      <c r="M2023" t="s">
        <v>209</v>
      </c>
      <c r="N2023" t="s">
        <v>209</v>
      </c>
      <c r="Q2023" s="2" t="str">
        <f>IF($C2023="","",IFERROR(VLOOKUP($C2023,sources!$A$2:$N$200,2,FALSE()),"?"))</f>
        <v>Map</v>
      </c>
      <c r="R2023" s="2" t="str">
        <f t="shared" si="31"/>
        <v>Map</v>
      </c>
      <c r="S2023" s="2" t="str">
        <f>IF($C2023="","",IFERROR(VLOOKUP($C2023,sources!$A$2:$N$200,9,FALSE()),"?"))</f>
        <v>French company</v>
      </c>
      <c r="T2023" t="s">
        <v>5692</v>
      </c>
      <c r="U2023">
        <f>IF(OR(B2023="",C2023="",T2023="Retracted",LEFT(D2023,8)="Negative"),0,IF(COUNTIFS($B$2:B2023,B2023,$C$2:C2023,C2023,$D$2:D2023,"&lt;&gt;Negative*",$T$2:T2023,"&lt;&gt;Retracted")=1,1,0))</f>
        <v>0</v>
      </c>
    </row>
    <row r="2024" spans="1:21" x14ac:dyDescent="0.2">
      <c r="A2024" t="s">
        <v>4187</v>
      </c>
      <c r="B2024" t="s">
        <v>914</v>
      </c>
      <c r="C2024" t="s">
        <v>1497</v>
      </c>
      <c r="D2024" t="s">
        <v>1613</v>
      </c>
      <c r="E2024" t="s">
        <v>915</v>
      </c>
      <c r="F2024" t="s">
        <v>2423</v>
      </c>
      <c r="I2024" t="s">
        <v>1058</v>
      </c>
      <c r="K2024">
        <v>1886</v>
      </c>
      <c r="L2024">
        <v>1886</v>
      </c>
      <c r="M2024" t="s">
        <v>209</v>
      </c>
      <c r="N2024" t="s">
        <v>209</v>
      </c>
      <c r="Q2024" s="2" t="str">
        <f>IF($C2024="","",IFERROR(VLOOKUP($C2024,sources!$A$2:$N$200,2,FALSE()),"?"))</f>
        <v>Map</v>
      </c>
      <c r="R2024" s="2" t="str">
        <f t="shared" si="31"/>
        <v>Map</v>
      </c>
      <c r="S2024" s="2" t="str">
        <f>IF($C2024="","",IFERROR(VLOOKUP($C2024,sources!$A$2:$N$200,9,FALSE()),"?"))</f>
        <v>French company</v>
      </c>
      <c r="T2024" t="s">
        <v>5692</v>
      </c>
      <c r="U2024">
        <f>IF(OR(B2024="",C2024="",T2024="Retracted",LEFT(D2024,8)="Negative"),0,IF(COUNTIFS($B$2:B2024,B2024,$C$2:C2024,C2024,$D$2:D2024,"&lt;&gt;Negative*",$T$2:T2024,"&lt;&gt;Retracted")=1,1,0))</f>
        <v>0</v>
      </c>
    </row>
    <row r="2025" spans="1:21" x14ac:dyDescent="0.2">
      <c r="A2025" t="s">
        <v>4188</v>
      </c>
      <c r="B2025" t="s">
        <v>924</v>
      </c>
      <c r="C2025" t="s">
        <v>1497</v>
      </c>
      <c r="D2025" t="s">
        <v>1613</v>
      </c>
      <c r="E2025" t="s">
        <v>925</v>
      </c>
      <c r="F2025" t="s">
        <v>2423</v>
      </c>
      <c r="I2025" t="s">
        <v>1058</v>
      </c>
      <c r="K2025">
        <v>1886</v>
      </c>
      <c r="L2025">
        <v>1886</v>
      </c>
      <c r="M2025" t="s">
        <v>209</v>
      </c>
      <c r="N2025" t="s">
        <v>209</v>
      </c>
      <c r="Q2025" s="2" t="str">
        <f>IF($C2025="","",IFERROR(VLOOKUP($C2025,sources!$A$2:$N$200,2,FALSE()),"?"))</f>
        <v>Map</v>
      </c>
      <c r="R2025" s="2" t="str">
        <f t="shared" si="31"/>
        <v>Map</v>
      </c>
      <c r="S2025" s="2" t="str">
        <f>IF($C2025="","",IFERROR(VLOOKUP($C2025,sources!$A$2:$N$200,9,FALSE()),"?"))</f>
        <v>French company</v>
      </c>
      <c r="T2025" t="s">
        <v>5692</v>
      </c>
      <c r="U2025">
        <f>IF(OR(B2025="",C2025="",T2025="Retracted",LEFT(D2025,8)="Negative"),0,IF(COUNTIFS($B$2:B2025,B2025,$C$2:C2025,C2025,$D$2:D2025,"&lt;&gt;Negative*",$T$2:T2025,"&lt;&gt;Retracted")=1,1,0))</f>
        <v>0</v>
      </c>
    </row>
    <row r="2026" spans="1:21" x14ac:dyDescent="0.2">
      <c r="A2026" t="s">
        <v>4189</v>
      </c>
      <c r="B2026" t="s">
        <v>776</v>
      </c>
      <c r="C2026" t="s">
        <v>1497</v>
      </c>
      <c r="D2026" t="s">
        <v>1613</v>
      </c>
      <c r="E2026" t="s">
        <v>777</v>
      </c>
      <c r="F2026" t="s">
        <v>2423</v>
      </c>
      <c r="I2026" t="s">
        <v>1058</v>
      </c>
      <c r="K2026">
        <v>1886</v>
      </c>
      <c r="L2026">
        <v>1886</v>
      </c>
      <c r="M2026" t="s">
        <v>209</v>
      </c>
      <c r="N2026" t="s">
        <v>209</v>
      </c>
      <c r="Q2026" s="2" t="str">
        <f>IF($C2026="","",IFERROR(VLOOKUP($C2026,sources!$A$2:$N$200,2,FALSE()),"?"))</f>
        <v>Map</v>
      </c>
      <c r="R2026" s="2" t="str">
        <f t="shared" si="31"/>
        <v>Map</v>
      </c>
      <c r="S2026" s="2" t="str">
        <f>IF($C2026="","",IFERROR(VLOOKUP($C2026,sources!$A$2:$N$200,9,FALSE()),"?"))</f>
        <v>French company</v>
      </c>
      <c r="T2026" t="s">
        <v>5692</v>
      </c>
      <c r="U2026">
        <f>IF(OR(B2026="",C2026="",T2026="Retracted",LEFT(D2026,8)="Negative"),0,IF(COUNTIFS($B$2:B2026,B2026,$C$2:C2026,C2026,$D$2:D2026,"&lt;&gt;Negative*",$T$2:T2026,"&lt;&gt;Retracted")=1,1,0))</f>
        <v>0</v>
      </c>
    </row>
    <row r="2027" spans="1:21" x14ac:dyDescent="0.2">
      <c r="A2027" t="s">
        <v>4190</v>
      </c>
      <c r="B2027" t="s">
        <v>932</v>
      </c>
      <c r="C2027" t="s">
        <v>1497</v>
      </c>
      <c r="D2027" t="s">
        <v>1613</v>
      </c>
      <c r="E2027" t="s">
        <v>934</v>
      </c>
      <c r="F2027" t="s">
        <v>2423</v>
      </c>
      <c r="I2027" t="s">
        <v>1058</v>
      </c>
      <c r="K2027">
        <v>1886</v>
      </c>
      <c r="L2027">
        <v>1886</v>
      </c>
      <c r="M2027" t="s">
        <v>209</v>
      </c>
      <c r="N2027" t="s">
        <v>209</v>
      </c>
      <c r="Q2027" s="2" t="str">
        <f>IF($C2027="","",IFERROR(VLOOKUP($C2027,sources!$A$2:$N$200,2,FALSE()),"?"))</f>
        <v>Map</v>
      </c>
      <c r="R2027" s="2" t="str">
        <f t="shared" si="31"/>
        <v>Map</v>
      </c>
      <c r="S2027" s="2" t="str">
        <f>IF($C2027="","",IFERROR(VLOOKUP($C2027,sources!$A$2:$N$200,9,FALSE()),"?"))</f>
        <v>French company</v>
      </c>
      <c r="T2027" t="s">
        <v>5692</v>
      </c>
      <c r="U2027">
        <f>IF(OR(B2027="",C2027="",T2027="Retracted",LEFT(D2027,8)="Negative"),0,IF(COUNTIFS($B$2:B2027,B2027,$C$2:C2027,C2027,$D$2:D2027,"&lt;&gt;Negative*",$T$2:T2027,"&lt;&gt;Retracted")=1,1,0))</f>
        <v>0</v>
      </c>
    </row>
    <row r="2028" spans="1:21" x14ac:dyDescent="0.2">
      <c r="A2028" t="s">
        <v>4191</v>
      </c>
      <c r="B2028" t="s">
        <v>938</v>
      </c>
      <c r="C2028" t="s">
        <v>1497</v>
      </c>
      <c r="D2028" t="s">
        <v>1613</v>
      </c>
      <c r="E2028" t="s">
        <v>939</v>
      </c>
      <c r="F2028" t="s">
        <v>2423</v>
      </c>
      <c r="I2028" t="s">
        <v>1058</v>
      </c>
      <c r="K2028">
        <v>1886</v>
      </c>
      <c r="L2028">
        <v>1886</v>
      </c>
      <c r="M2028" t="s">
        <v>209</v>
      </c>
      <c r="N2028" t="s">
        <v>209</v>
      </c>
      <c r="Q2028" s="2" t="str">
        <f>IF($C2028="","",IFERROR(VLOOKUP($C2028,sources!$A$2:$N$200,2,FALSE()),"?"))</f>
        <v>Map</v>
      </c>
      <c r="R2028" s="2" t="str">
        <f t="shared" si="31"/>
        <v>Map</v>
      </c>
      <c r="S2028" s="2" t="str">
        <f>IF($C2028="","",IFERROR(VLOOKUP($C2028,sources!$A$2:$N$200,9,FALSE()),"?"))</f>
        <v>French company</v>
      </c>
      <c r="T2028" t="s">
        <v>5692</v>
      </c>
      <c r="U2028">
        <f>IF(OR(B2028="",C2028="",T2028="Retracted",LEFT(D2028,8)="Negative"),0,IF(COUNTIFS($B$2:B2028,B2028,$C$2:C2028,C2028,$D$2:D2028,"&lt;&gt;Negative*",$T$2:T2028,"&lt;&gt;Retracted")=1,1,0))</f>
        <v>0</v>
      </c>
    </row>
    <row r="2029" spans="1:21" x14ac:dyDescent="0.2">
      <c r="A2029" t="s">
        <v>4192</v>
      </c>
      <c r="B2029" t="s">
        <v>943</v>
      </c>
      <c r="C2029" t="s">
        <v>1497</v>
      </c>
      <c r="D2029" t="s">
        <v>1613</v>
      </c>
      <c r="E2029" t="s">
        <v>944</v>
      </c>
      <c r="F2029" t="s">
        <v>2423</v>
      </c>
      <c r="I2029" t="s">
        <v>1058</v>
      </c>
      <c r="K2029">
        <v>1886</v>
      </c>
      <c r="L2029">
        <v>1886</v>
      </c>
      <c r="M2029" t="s">
        <v>209</v>
      </c>
      <c r="N2029" t="s">
        <v>209</v>
      </c>
      <c r="Q2029" s="2" t="str">
        <f>IF($C2029="","",IFERROR(VLOOKUP($C2029,sources!$A$2:$N$200,2,FALSE()),"?"))</f>
        <v>Map</v>
      </c>
      <c r="R2029" s="2" t="str">
        <f t="shared" si="31"/>
        <v>Map</v>
      </c>
      <c r="S2029" s="2" t="str">
        <f>IF($C2029="","",IFERROR(VLOOKUP($C2029,sources!$A$2:$N$200,9,FALSE()),"?"))</f>
        <v>French company</v>
      </c>
      <c r="T2029" t="s">
        <v>5692</v>
      </c>
      <c r="U2029">
        <f>IF(OR(B2029="",C2029="",T2029="Retracted",LEFT(D2029,8)="Negative"),0,IF(COUNTIFS($B$2:B2029,B2029,$C$2:C2029,C2029,$D$2:D2029,"&lt;&gt;Negative*",$T$2:T2029,"&lt;&gt;Retracted")=1,1,0))</f>
        <v>0</v>
      </c>
    </row>
    <row r="2030" spans="1:21" x14ac:dyDescent="0.2">
      <c r="A2030" t="s">
        <v>4193</v>
      </c>
      <c r="B2030" t="s">
        <v>955</v>
      </c>
      <c r="C2030" t="s">
        <v>1497</v>
      </c>
      <c r="D2030" t="s">
        <v>1613</v>
      </c>
      <c r="E2030" t="s">
        <v>3898</v>
      </c>
      <c r="F2030" t="s">
        <v>2423</v>
      </c>
      <c r="I2030" t="s">
        <v>1058</v>
      </c>
      <c r="K2030">
        <v>1886</v>
      </c>
      <c r="L2030">
        <v>1886</v>
      </c>
      <c r="M2030" t="s">
        <v>209</v>
      </c>
      <c r="N2030" t="s">
        <v>209</v>
      </c>
      <c r="Q2030" s="2" t="str">
        <f>IF($C2030="","",IFERROR(VLOOKUP($C2030,sources!$A$2:$N$200,2,FALSE()),"?"))</f>
        <v>Map</v>
      </c>
      <c r="R2030" s="2" t="str">
        <f t="shared" si="31"/>
        <v>Map</v>
      </c>
      <c r="S2030" s="2" t="str">
        <f>IF($C2030="","",IFERROR(VLOOKUP($C2030,sources!$A$2:$N$200,9,FALSE()),"?"))</f>
        <v>French company</v>
      </c>
      <c r="T2030" t="s">
        <v>5692</v>
      </c>
      <c r="U2030">
        <f>IF(OR(B2030="",C2030="",T2030="Retracted",LEFT(D2030,8)="Negative"),0,IF(COUNTIFS($B$2:B2030,B2030,$C$2:C2030,C2030,$D$2:D2030,"&lt;&gt;Negative*",$T$2:T2030,"&lt;&gt;Retracted")=1,1,0))</f>
        <v>0</v>
      </c>
    </row>
    <row r="2031" spans="1:21" x14ac:dyDescent="0.2">
      <c r="A2031" t="s">
        <v>4194</v>
      </c>
      <c r="B2031" t="s">
        <v>959</v>
      </c>
      <c r="C2031" t="s">
        <v>1497</v>
      </c>
      <c r="D2031" t="s">
        <v>1613</v>
      </c>
      <c r="E2031" t="s">
        <v>960</v>
      </c>
      <c r="F2031" t="s">
        <v>2423</v>
      </c>
      <c r="I2031" t="s">
        <v>1058</v>
      </c>
      <c r="K2031">
        <v>1886</v>
      </c>
      <c r="L2031">
        <v>1886</v>
      </c>
      <c r="M2031" t="s">
        <v>209</v>
      </c>
      <c r="N2031" t="s">
        <v>209</v>
      </c>
      <c r="Q2031" s="2" t="str">
        <f>IF($C2031="","",IFERROR(VLOOKUP($C2031,sources!$A$2:$N$200,2,FALSE()),"?"))</f>
        <v>Map</v>
      </c>
      <c r="R2031" s="2" t="str">
        <f t="shared" si="31"/>
        <v>Map</v>
      </c>
      <c r="S2031" s="2" t="str">
        <f>IF($C2031="","",IFERROR(VLOOKUP($C2031,sources!$A$2:$N$200,9,FALSE()),"?"))</f>
        <v>French company</v>
      </c>
      <c r="T2031" t="s">
        <v>5692</v>
      </c>
      <c r="U2031">
        <f>IF(OR(B2031="",C2031="",T2031="Retracted",LEFT(D2031,8)="Negative"),0,IF(COUNTIFS($B$2:B2031,B2031,$C$2:C2031,C2031,$D$2:D2031,"&lt;&gt;Negative*",$T$2:T2031,"&lt;&gt;Retracted")=1,1,0))</f>
        <v>0</v>
      </c>
    </row>
    <row r="2032" spans="1:21" x14ac:dyDescent="0.2">
      <c r="A2032" t="s">
        <v>4195</v>
      </c>
      <c r="B2032" t="s">
        <v>962</v>
      </c>
      <c r="C2032" t="s">
        <v>1497</v>
      </c>
      <c r="D2032" t="s">
        <v>1613</v>
      </c>
      <c r="E2032" t="s">
        <v>963</v>
      </c>
      <c r="F2032" t="s">
        <v>2423</v>
      </c>
      <c r="I2032" t="s">
        <v>1058</v>
      </c>
      <c r="K2032">
        <v>1886</v>
      </c>
      <c r="L2032">
        <v>1886</v>
      </c>
      <c r="M2032" t="s">
        <v>209</v>
      </c>
      <c r="N2032" t="s">
        <v>209</v>
      </c>
      <c r="Q2032" s="2" t="str">
        <f>IF($C2032="","",IFERROR(VLOOKUP($C2032,sources!$A$2:$N$200,2,FALSE()),"?"))</f>
        <v>Map</v>
      </c>
      <c r="R2032" s="2" t="str">
        <f t="shared" si="31"/>
        <v>Map</v>
      </c>
      <c r="S2032" s="2" t="str">
        <f>IF($C2032="","",IFERROR(VLOOKUP($C2032,sources!$A$2:$N$200,9,FALSE()),"?"))</f>
        <v>French company</v>
      </c>
      <c r="T2032" t="s">
        <v>5692</v>
      </c>
      <c r="U2032">
        <f>IF(OR(B2032="",C2032="",T2032="Retracted",LEFT(D2032,8)="Negative"),0,IF(COUNTIFS($B$2:B2032,B2032,$C$2:C2032,C2032,$D$2:D2032,"&lt;&gt;Negative*",$T$2:T2032,"&lt;&gt;Retracted")=1,1,0))</f>
        <v>0</v>
      </c>
    </row>
    <row r="2033" spans="1:21" x14ac:dyDescent="0.2">
      <c r="A2033" t="s">
        <v>4196</v>
      </c>
      <c r="B2033" t="s">
        <v>966</v>
      </c>
      <c r="C2033" t="s">
        <v>1497</v>
      </c>
      <c r="D2033" t="s">
        <v>1613</v>
      </c>
      <c r="E2033" t="s">
        <v>967</v>
      </c>
      <c r="F2033" t="s">
        <v>2423</v>
      </c>
      <c r="I2033" t="s">
        <v>1058</v>
      </c>
      <c r="K2033">
        <v>1886</v>
      </c>
      <c r="L2033">
        <v>1886</v>
      </c>
      <c r="M2033" t="s">
        <v>209</v>
      </c>
      <c r="N2033" t="s">
        <v>190</v>
      </c>
      <c r="Q2033" s="2" t="str">
        <f>IF($C2033="","",IFERROR(VLOOKUP($C2033,sources!$A$2:$N$200,2,FALSE()),"?"))</f>
        <v>Map</v>
      </c>
      <c r="R2033" s="2" t="str">
        <f t="shared" si="31"/>
        <v>Map</v>
      </c>
      <c r="S2033" s="2" t="str">
        <f>IF($C2033="","",IFERROR(VLOOKUP($C2033,sources!$A$2:$N$200,9,FALSE()),"?"))</f>
        <v>French company</v>
      </c>
      <c r="T2033" t="s">
        <v>5693</v>
      </c>
      <c r="U2033">
        <f>IF(OR(B2033="",C2033="",T2033="Retracted",LEFT(D2033,8)="Negative"),0,IF(COUNTIFS($B$2:B2033,B2033,$C$2:C2033,C2033,$D$2:D2033,"&lt;&gt;Negative*",$T$2:T2033,"&lt;&gt;Retracted")=1,1,0))</f>
        <v>0</v>
      </c>
    </row>
    <row r="2034" spans="1:21" x14ac:dyDescent="0.2">
      <c r="A2034" t="s">
        <v>4197</v>
      </c>
      <c r="B2034" t="s">
        <v>947</v>
      </c>
      <c r="C2034" t="s">
        <v>1497</v>
      </c>
      <c r="D2034" t="s">
        <v>1613</v>
      </c>
      <c r="E2034" t="s">
        <v>948</v>
      </c>
      <c r="F2034" t="s">
        <v>2423</v>
      </c>
      <c r="I2034" t="s">
        <v>1058</v>
      </c>
      <c r="K2034">
        <v>1886</v>
      </c>
      <c r="L2034">
        <v>1886</v>
      </c>
      <c r="M2034" t="s">
        <v>209</v>
      </c>
      <c r="N2034" t="s">
        <v>190</v>
      </c>
      <c r="Q2034" s="2" t="str">
        <f>IF($C2034="","",IFERROR(VLOOKUP($C2034,sources!$A$2:$N$200,2,FALSE()),"?"))</f>
        <v>Map</v>
      </c>
      <c r="R2034" s="2" t="str">
        <f t="shared" si="31"/>
        <v>Map</v>
      </c>
      <c r="S2034" s="2" t="str">
        <f>IF($C2034="","",IFERROR(VLOOKUP($C2034,sources!$A$2:$N$200,9,FALSE()),"?"))</f>
        <v>French company</v>
      </c>
      <c r="T2034" t="s">
        <v>5692</v>
      </c>
      <c r="U2034">
        <f>IF(OR(B2034="",C2034="",T2034="Retracted",LEFT(D2034,8)="Negative"),0,IF(COUNTIFS($B$2:B2034,B2034,$C$2:C2034,C2034,$D$2:D2034,"&lt;&gt;Negative*",$T$2:T2034,"&lt;&gt;Retracted")=1,1,0))</f>
        <v>0</v>
      </c>
    </row>
    <row r="2035" spans="1:21" x14ac:dyDescent="0.2">
      <c r="A2035" t="s">
        <v>4198</v>
      </c>
      <c r="B2035" t="s">
        <v>805</v>
      </c>
      <c r="C2035" t="s">
        <v>1497</v>
      </c>
      <c r="D2035" t="s">
        <v>1613</v>
      </c>
      <c r="E2035" t="s">
        <v>806</v>
      </c>
      <c r="F2035" t="s">
        <v>2423</v>
      </c>
      <c r="I2035" t="s">
        <v>1058</v>
      </c>
      <c r="K2035">
        <v>1886</v>
      </c>
      <c r="L2035">
        <v>1886</v>
      </c>
      <c r="M2035" t="s">
        <v>209</v>
      </c>
      <c r="N2035" t="s">
        <v>190</v>
      </c>
      <c r="Q2035" s="2" t="str">
        <f>IF($C2035="","",IFERROR(VLOOKUP($C2035,sources!$A$2:$N$200,2,FALSE()),"?"))</f>
        <v>Map</v>
      </c>
      <c r="R2035" s="2" t="str">
        <f t="shared" si="31"/>
        <v>Map</v>
      </c>
      <c r="S2035" s="2" t="str">
        <f>IF($C2035="","",IFERROR(VLOOKUP($C2035,sources!$A$2:$N$200,9,FALSE()),"?"))</f>
        <v>French company</v>
      </c>
      <c r="T2035" t="s">
        <v>5692</v>
      </c>
      <c r="U2035">
        <f>IF(OR(B2035="",C2035="",T2035="Retracted",LEFT(D2035,8)="Negative"),0,IF(COUNTIFS($B$2:B2035,B2035,$C$2:C2035,C2035,$D$2:D2035,"&lt;&gt;Negative*",$T$2:T2035,"&lt;&gt;Retracted")=1,1,0))</f>
        <v>0</v>
      </c>
    </row>
    <row r="2036" spans="1:21" x14ac:dyDescent="0.2">
      <c r="A2036" t="s">
        <v>4199</v>
      </c>
      <c r="B2036" t="s">
        <v>808</v>
      </c>
      <c r="C2036" t="s">
        <v>1497</v>
      </c>
      <c r="D2036" t="s">
        <v>1613</v>
      </c>
      <c r="E2036" t="s">
        <v>809</v>
      </c>
      <c r="F2036" t="s">
        <v>2423</v>
      </c>
      <c r="I2036" t="s">
        <v>1058</v>
      </c>
      <c r="K2036">
        <v>1886</v>
      </c>
      <c r="L2036">
        <v>1886</v>
      </c>
      <c r="M2036" t="s">
        <v>209</v>
      </c>
      <c r="N2036" t="s">
        <v>190</v>
      </c>
      <c r="Q2036" s="2" t="str">
        <f>IF($C2036="","",IFERROR(VLOOKUP($C2036,sources!$A$2:$N$200,2,FALSE()),"?"))</f>
        <v>Map</v>
      </c>
      <c r="R2036" s="2" t="str">
        <f t="shared" si="31"/>
        <v>Map</v>
      </c>
      <c r="S2036" s="2" t="str">
        <f>IF($C2036="","",IFERROR(VLOOKUP($C2036,sources!$A$2:$N$200,9,FALSE()),"?"))</f>
        <v>French company</v>
      </c>
      <c r="T2036" t="s">
        <v>5692</v>
      </c>
      <c r="U2036">
        <f>IF(OR(B2036="",C2036="",T2036="Retracted",LEFT(D2036,8)="Negative"),0,IF(COUNTIFS($B$2:B2036,B2036,$C$2:C2036,C2036,$D$2:D2036,"&lt;&gt;Negative*",$T$2:T2036,"&lt;&gt;Retracted")=1,1,0))</f>
        <v>0</v>
      </c>
    </row>
    <row r="2037" spans="1:21" x14ac:dyDescent="0.2">
      <c r="A2037" t="s">
        <v>4200</v>
      </c>
      <c r="B2037" t="s">
        <v>997</v>
      </c>
      <c r="C2037" t="s">
        <v>1497</v>
      </c>
      <c r="D2037" t="s">
        <v>1613</v>
      </c>
      <c r="E2037" t="s">
        <v>998</v>
      </c>
      <c r="F2037" t="s">
        <v>2423</v>
      </c>
      <c r="I2037" t="s">
        <v>1058</v>
      </c>
      <c r="K2037">
        <v>1886</v>
      </c>
      <c r="L2037">
        <v>1886</v>
      </c>
      <c r="M2037" t="s">
        <v>209</v>
      </c>
      <c r="N2037" t="s">
        <v>209</v>
      </c>
      <c r="Q2037" s="2" t="str">
        <f>IF($C2037="","",IFERROR(VLOOKUP($C2037,sources!$A$2:$N$200,2,FALSE()),"?"))</f>
        <v>Map</v>
      </c>
      <c r="R2037" s="2" t="str">
        <f t="shared" si="31"/>
        <v>Map</v>
      </c>
      <c r="S2037" s="2" t="str">
        <f>IF($C2037="","",IFERROR(VLOOKUP($C2037,sources!$A$2:$N$200,9,FALSE()),"?"))</f>
        <v>French company</v>
      </c>
      <c r="T2037" t="s">
        <v>5692</v>
      </c>
      <c r="U2037">
        <f>IF(OR(B2037="",C2037="",T2037="Retracted",LEFT(D2037,8)="Negative"),0,IF(COUNTIFS($B$2:B2037,B2037,$C$2:C2037,C2037,$D$2:D2037,"&lt;&gt;Negative*",$T$2:T2037,"&lt;&gt;Retracted")=1,1,0))</f>
        <v>0</v>
      </c>
    </row>
    <row r="2038" spans="1:21" x14ac:dyDescent="0.2">
      <c r="A2038" t="s">
        <v>4201</v>
      </c>
      <c r="B2038" t="s">
        <v>570</v>
      </c>
      <c r="C2038" t="s">
        <v>1490</v>
      </c>
      <c r="D2038" t="s">
        <v>1613</v>
      </c>
      <c r="E2038" t="s">
        <v>571</v>
      </c>
      <c r="F2038" t="s">
        <v>2423</v>
      </c>
      <c r="I2038" t="s">
        <v>1058</v>
      </c>
      <c r="K2038">
        <v>1883</v>
      </c>
      <c r="L2038">
        <v>1883</v>
      </c>
      <c r="M2038" t="s">
        <v>209</v>
      </c>
      <c r="N2038" t="s">
        <v>209</v>
      </c>
      <c r="Q2038" s="2" t="str">
        <f>IF($C2038="","",IFERROR(VLOOKUP($C2038,sources!$A$2:$N$200,2,FALSE()),"?"))</f>
        <v>Map</v>
      </c>
      <c r="R2038" s="2" t="str">
        <f t="shared" si="31"/>
        <v>Map</v>
      </c>
      <c r="S2038" s="2" t="str">
        <f>IF($C2038="","",IFERROR(VLOOKUP($C2038,sources!$A$2:$N$200,9,FALSE()),"?"))</f>
        <v>French company</v>
      </c>
      <c r="T2038" t="s">
        <v>5692</v>
      </c>
      <c r="U2038">
        <f>IF(OR(B2038="",C2038="",T2038="Retracted",LEFT(D2038,8)="Negative"),0,IF(COUNTIFS($B$2:B2038,B2038,$C$2:C2038,C2038,$D$2:D2038,"&lt;&gt;Negative*",$T$2:T2038,"&lt;&gt;Retracted")=1,1,0))</f>
        <v>0</v>
      </c>
    </row>
    <row r="2039" spans="1:21" x14ac:dyDescent="0.2">
      <c r="A2039" t="s">
        <v>4202</v>
      </c>
      <c r="B2039" t="s">
        <v>584</v>
      </c>
      <c r="C2039" t="s">
        <v>1490</v>
      </c>
      <c r="D2039" t="s">
        <v>1564</v>
      </c>
      <c r="E2039" t="s">
        <v>4203</v>
      </c>
      <c r="F2039" t="s">
        <v>2423</v>
      </c>
      <c r="I2039" t="s">
        <v>1058</v>
      </c>
      <c r="K2039">
        <v>1883</v>
      </c>
      <c r="L2039">
        <v>1883</v>
      </c>
      <c r="M2039" t="s">
        <v>209</v>
      </c>
      <c r="N2039" t="s">
        <v>190</v>
      </c>
      <c r="Q2039" s="2" t="str">
        <f>IF($C2039="","",IFERROR(VLOOKUP($C2039,sources!$A$2:$N$200,2,FALSE()),"?"))</f>
        <v>Map</v>
      </c>
      <c r="R2039" s="2" t="str">
        <f t="shared" si="31"/>
        <v>Map</v>
      </c>
      <c r="S2039" s="2" t="str">
        <f>IF($C2039="","",IFERROR(VLOOKUP($C2039,sources!$A$2:$N$200,9,FALSE()),"?"))</f>
        <v>French company</v>
      </c>
      <c r="T2039" t="s">
        <v>5692</v>
      </c>
      <c r="U2039">
        <f>IF(OR(B2039="",C2039="",T2039="Retracted",LEFT(D2039,8)="Negative"),0,IF(COUNTIFS($B$2:B2039,B2039,$C$2:C2039,C2039,$D$2:D2039,"&lt;&gt;Negative*",$T$2:T2039,"&lt;&gt;Retracted")=1,1,0))</f>
        <v>1</v>
      </c>
    </row>
    <row r="2040" spans="1:21" x14ac:dyDescent="0.2">
      <c r="A2040" t="s">
        <v>4204</v>
      </c>
      <c r="B2040" t="s">
        <v>487</v>
      </c>
      <c r="C2040" t="s">
        <v>1490</v>
      </c>
      <c r="D2040" t="s">
        <v>1613</v>
      </c>
      <c r="E2040" t="s">
        <v>488</v>
      </c>
      <c r="F2040" t="s">
        <v>2423</v>
      </c>
      <c r="I2040" t="s">
        <v>1058</v>
      </c>
      <c r="K2040">
        <v>1883</v>
      </c>
      <c r="L2040">
        <v>1883</v>
      </c>
      <c r="M2040" t="s">
        <v>209</v>
      </c>
      <c r="N2040" t="s">
        <v>209</v>
      </c>
      <c r="Q2040" s="2" t="str">
        <f>IF($C2040="","",IFERROR(VLOOKUP($C2040,sources!$A$2:$N$200,2,FALSE()),"?"))</f>
        <v>Map</v>
      </c>
      <c r="R2040" s="2" t="str">
        <f t="shared" si="31"/>
        <v>Map</v>
      </c>
      <c r="S2040" s="2" t="str">
        <f>IF($C2040="","",IFERROR(VLOOKUP($C2040,sources!$A$2:$N$200,9,FALSE()),"?"))</f>
        <v>French company</v>
      </c>
      <c r="T2040" t="s">
        <v>5692</v>
      </c>
      <c r="U2040">
        <f>IF(OR(B2040="",C2040="",T2040="Retracted",LEFT(D2040,8)="Negative"),0,IF(COUNTIFS($B$2:B2040,B2040,$C$2:C2040,C2040,$D$2:D2040,"&lt;&gt;Negative*",$T$2:T2040,"&lt;&gt;Retracted")=1,1,0))</f>
        <v>0</v>
      </c>
    </row>
    <row r="2041" spans="1:21" x14ac:dyDescent="0.2">
      <c r="A2041" t="s">
        <v>4205</v>
      </c>
      <c r="B2041" t="s">
        <v>378</v>
      </c>
      <c r="C2041" t="s">
        <v>1490</v>
      </c>
      <c r="D2041" t="s">
        <v>1613</v>
      </c>
      <c r="E2041" t="s">
        <v>379</v>
      </c>
      <c r="F2041" t="s">
        <v>2423</v>
      </c>
      <c r="I2041" t="s">
        <v>1058</v>
      </c>
      <c r="K2041">
        <v>1883</v>
      </c>
      <c r="L2041">
        <v>1883</v>
      </c>
      <c r="M2041" t="s">
        <v>209</v>
      </c>
      <c r="N2041" t="s">
        <v>190</v>
      </c>
      <c r="Q2041" s="2" t="str">
        <f>IF($C2041="","",IFERROR(VLOOKUP($C2041,sources!$A$2:$N$200,2,FALSE()),"?"))</f>
        <v>Map</v>
      </c>
      <c r="R2041" s="2" t="str">
        <f t="shared" si="31"/>
        <v>Map</v>
      </c>
      <c r="S2041" s="2" t="str">
        <f>IF($C2041="","",IFERROR(VLOOKUP($C2041,sources!$A$2:$N$200,9,FALSE()),"?"))</f>
        <v>French company</v>
      </c>
      <c r="T2041" t="s">
        <v>5692</v>
      </c>
      <c r="U2041">
        <f>IF(OR(B2041="",C2041="",T2041="Retracted",LEFT(D2041,8)="Negative"),0,IF(COUNTIFS($B$2:B2041,B2041,$C$2:C2041,C2041,$D$2:D2041,"&lt;&gt;Negative*",$T$2:T2041,"&lt;&gt;Retracted")=1,1,0))</f>
        <v>0</v>
      </c>
    </row>
    <row r="2042" spans="1:21" x14ac:dyDescent="0.2">
      <c r="A2042" t="s">
        <v>4206</v>
      </c>
      <c r="B2042" t="s">
        <v>565</v>
      </c>
      <c r="C2042" t="s">
        <v>1490</v>
      </c>
      <c r="D2042" t="s">
        <v>1613</v>
      </c>
      <c r="E2042" t="s">
        <v>566</v>
      </c>
      <c r="F2042" t="s">
        <v>2423</v>
      </c>
      <c r="I2042" t="s">
        <v>1058</v>
      </c>
      <c r="K2042">
        <v>1883</v>
      </c>
      <c r="L2042">
        <v>1883</v>
      </c>
      <c r="M2042" t="s">
        <v>209</v>
      </c>
      <c r="N2042" t="s">
        <v>209</v>
      </c>
      <c r="Q2042" s="2" t="str">
        <f>IF($C2042="","",IFERROR(VLOOKUP($C2042,sources!$A$2:$N$200,2,FALSE()),"?"))</f>
        <v>Map</v>
      </c>
      <c r="R2042" s="2" t="str">
        <f t="shared" si="31"/>
        <v>Map</v>
      </c>
      <c r="S2042" s="2" t="str">
        <f>IF($C2042="","",IFERROR(VLOOKUP($C2042,sources!$A$2:$N$200,9,FALSE()),"?"))</f>
        <v>French company</v>
      </c>
      <c r="T2042" t="s">
        <v>5692</v>
      </c>
      <c r="U2042">
        <f>IF(OR(B2042="",C2042="",T2042="Retracted",LEFT(D2042,8)="Negative"),0,IF(COUNTIFS($B$2:B2042,B2042,$C$2:C2042,C2042,$D$2:D2042,"&lt;&gt;Negative*",$T$2:T2042,"&lt;&gt;Retracted")=1,1,0))</f>
        <v>0</v>
      </c>
    </row>
    <row r="2043" spans="1:21" x14ac:dyDescent="0.2">
      <c r="A2043" t="s">
        <v>4207</v>
      </c>
      <c r="B2043" t="s">
        <v>592</v>
      </c>
      <c r="C2043" t="s">
        <v>1490</v>
      </c>
      <c r="D2043" t="s">
        <v>1613</v>
      </c>
      <c r="E2043" t="s">
        <v>593</v>
      </c>
      <c r="F2043" t="s">
        <v>2423</v>
      </c>
      <c r="I2043" t="s">
        <v>1058</v>
      </c>
      <c r="K2043">
        <v>1883</v>
      </c>
      <c r="L2043">
        <v>1883</v>
      </c>
      <c r="M2043" t="s">
        <v>209</v>
      </c>
      <c r="N2043" t="s">
        <v>209</v>
      </c>
      <c r="Q2043" s="2" t="str">
        <f>IF($C2043="","",IFERROR(VLOOKUP($C2043,sources!$A$2:$N$200,2,FALSE()),"?"))</f>
        <v>Map</v>
      </c>
      <c r="R2043" s="2" t="str">
        <f t="shared" si="31"/>
        <v>Map</v>
      </c>
      <c r="S2043" s="2" t="str">
        <f>IF($C2043="","",IFERROR(VLOOKUP($C2043,sources!$A$2:$N$200,9,FALSE()),"?"))</f>
        <v>French company</v>
      </c>
      <c r="T2043" t="s">
        <v>5692</v>
      </c>
      <c r="U2043">
        <f>IF(OR(B2043="",C2043="",T2043="Retracted",LEFT(D2043,8)="Negative"),0,IF(COUNTIFS($B$2:B2043,B2043,$C$2:C2043,C2043,$D$2:D2043,"&lt;&gt;Negative*",$T$2:T2043,"&lt;&gt;Retracted")=1,1,0))</f>
        <v>0</v>
      </c>
    </row>
    <row r="2044" spans="1:21" x14ac:dyDescent="0.2">
      <c r="A2044" t="s">
        <v>4208</v>
      </c>
      <c r="B2044" t="s">
        <v>783</v>
      </c>
      <c r="C2044" t="s">
        <v>1490</v>
      </c>
      <c r="D2044" t="s">
        <v>1613</v>
      </c>
      <c r="E2044" t="s">
        <v>784</v>
      </c>
      <c r="F2044" t="s">
        <v>2423</v>
      </c>
      <c r="I2044" t="s">
        <v>1058</v>
      </c>
      <c r="K2044">
        <v>1883</v>
      </c>
      <c r="L2044">
        <v>1883</v>
      </c>
      <c r="M2044" t="s">
        <v>209</v>
      </c>
      <c r="N2044" t="s">
        <v>209</v>
      </c>
      <c r="Q2044" s="2" t="str">
        <f>IF($C2044="","",IFERROR(VLOOKUP($C2044,sources!$A$2:$N$200,2,FALSE()),"?"))</f>
        <v>Map</v>
      </c>
      <c r="R2044" s="2" t="str">
        <f t="shared" si="31"/>
        <v>Map</v>
      </c>
      <c r="S2044" s="2" t="str">
        <f>IF($C2044="","",IFERROR(VLOOKUP($C2044,sources!$A$2:$N$200,9,FALSE()),"?"))</f>
        <v>French company</v>
      </c>
      <c r="T2044" t="s">
        <v>5692</v>
      </c>
      <c r="U2044">
        <f>IF(OR(B2044="",C2044="",T2044="Retracted",LEFT(D2044,8)="Negative"),0,IF(COUNTIFS($B$2:B2044,B2044,$C$2:C2044,C2044,$D$2:D2044,"&lt;&gt;Negative*",$T$2:T2044,"&lt;&gt;Retracted")=1,1,0))</f>
        <v>0</v>
      </c>
    </row>
    <row r="2045" spans="1:21" x14ac:dyDescent="0.2">
      <c r="A2045" t="s">
        <v>4209</v>
      </c>
      <c r="B2045" t="s">
        <v>630</v>
      </c>
      <c r="C2045" t="s">
        <v>1490</v>
      </c>
      <c r="D2045" t="s">
        <v>1613</v>
      </c>
      <c r="E2045" t="s">
        <v>631</v>
      </c>
      <c r="F2045" t="s">
        <v>2423</v>
      </c>
      <c r="I2045" t="s">
        <v>1058</v>
      </c>
      <c r="K2045">
        <v>1883</v>
      </c>
      <c r="L2045">
        <v>1883</v>
      </c>
      <c r="M2045" t="s">
        <v>209</v>
      </c>
      <c r="N2045" t="s">
        <v>209</v>
      </c>
      <c r="Q2045" s="2" t="str">
        <f>IF($C2045="","",IFERROR(VLOOKUP($C2045,sources!$A$2:$N$200,2,FALSE()),"?"))</f>
        <v>Map</v>
      </c>
      <c r="R2045" s="2" t="str">
        <f t="shared" si="31"/>
        <v>Map</v>
      </c>
      <c r="S2045" s="2" t="str">
        <f>IF($C2045="","",IFERROR(VLOOKUP($C2045,sources!$A$2:$N$200,9,FALSE()),"?"))</f>
        <v>French company</v>
      </c>
      <c r="T2045" t="s">
        <v>5692</v>
      </c>
      <c r="U2045">
        <f>IF(OR(B2045="",C2045="",T2045="Retracted",LEFT(D2045,8)="Negative"),0,IF(COUNTIFS($B$2:B2045,B2045,$C$2:C2045,C2045,$D$2:D2045,"&lt;&gt;Negative*",$T$2:T2045,"&lt;&gt;Retracted")=1,1,0))</f>
        <v>0</v>
      </c>
    </row>
    <row r="2046" spans="1:21" ht="26" x14ac:dyDescent="0.2">
      <c r="A2046" t="s">
        <v>4210</v>
      </c>
      <c r="B2046" t="s">
        <v>1012</v>
      </c>
      <c r="C2046" t="s">
        <v>1475</v>
      </c>
      <c r="D2046" t="s">
        <v>1564</v>
      </c>
      <c r="E2046" t="s">
        <v>4211</v>
      </c>
      <c r="F2046" t="s">
        <v>2423</v>
      </c>
      <c r="I2046" t="s">
        <v>1058</v>
      </c>
      <c r="K2046">
        <v>1844</v>
      </c>
      <c r="L2046">
        <v>1844</v>
      </c>
      <c r="M2046" t="s">
        <v>209</v>
      </c>
      <c r="N2046" t="s">
        <v>203</v>
      </c>
      <c r="Q2046" s="2" t="str">
        <f>IF($C2046="","",IFERROR(VLOOKUP($C2046,sources!$A$2:$N$200,2,FALSE()),"?"))</f>
        <v>Map</v>
      </c>
      <c r="R2046" s="2" t="str">
        <f t="shared" si="31"/>
        <v>Map</v>
      </c>
      <c r="S2046" s="2" t="str">
        <f>IF($C2046="","",IFERROR(VLOOKUP($C2046,sources!$A$2:$N$200,9,FALSE()),"?"))</f>
        <v>French state survey</v>
      </c>
      <c r="T2046" t="s">
        <v>5692</v>
      </c>
      <c r="U2046">
        <f>IF(OR(B2046="",C2046="",T2046="Retracted",LEFT(D2046,8)="Negative"),0,IF(COUNTIFS($B$2:B2046,B2046,$C$2:C2046,C2046,$D$2:D2046,"&lt;&gt;Negative*",$T$2:T2046,"&lt;&gt;Retracted")=1,1,0))</f>
        <v>1</v>
      </c>
    </row>
    <row r="2047" spans="1:21" ht="26" x14ac:dyDescent="0.2">
      <c r="A2047" t="s">
        <v>4212</v>
      </c>
      <c r="B2047" t="s">
        <v>899</v>
      </c>
      <c r="C2047" t="s">
        <v>1475</v>
      </c>
      <c r="D2047" t="s">
        <v>1564</v>
      </c>
      <c r="E2047" t="s">
        <v>4213</v>
      </c>
      <c r="F2047" t="s">
        <v>2423</v>
      </c>
      <c r="I2047" t="s">
        <v>1058</v>
      </c>
      <c r="K2047">
        <v>1844</v>
      </c>
      <c r="L2047">
        <v>1844</v>
      </c>
      <c r="M2047" t="s">
        <v>209</v>
      </c>
      <c r="N2047" t="s">
        <v>203</v>
      </c>
      <c r="Q2047" s="2" t="str">
        <f>IF($C2047="","",IFERROR(VLOOKUP($C2047,sources!$A$2:$N$200,2,FALSE()),"?"))</f>
        <v>Map</v>
      </c>
      <c r="R2047" s="2" t="str">
        <f t="shared" si="31"/>
        <v>Map</v>
      </c>
      <c r="S2047" s="2" t="str">
        <f>IF($C2047="","",IFERROR(VLOOKUP($C2047,sources!$A$2:$N$200,9,FALSE()),"?"))</f>
        <v>French state survey</v>
      </c>
      <c r="T2047" t="s">
        <v>5692</v>
      </c>
      <c r="U2047">
        <f>IF(OR(B2047="",C2047="",T2047="Retracted",LEFT(D2047,8)="Negative"),0,IF(COUNTIFS($B$2:B2047,B2047,$C$2:C2047,C2047,$D$2:D2047,"&lt;&gt;Negative*",$T$2:T2047,"&lt;&gt;Retracted")=1,1,0))</f>
        <v>1</v>
      </c>
    </row>
    <row r="2048" spans="1:21" ht="26" x14ac:dyDescent="0.2">
      <c r="A2048" t="s">
        <v>4214</v>
      </c>
      <c r="B2048" t="s">
        <v>888</v>
      </c>
      <c r="C2048" t="s">
        <v>1475</v>
      </c>
      <c r="D2048" t="s">
        <v>1564</v>
      </c>
      <c r="E2048" t="s">
        <v>4215</v>
      </c>
      <c r="F2048" t="s">
        <v>2423</v>
      </c>
      <c r="I2048" t="s">
        <v>1058</v>
      </c>
      <c r="K2048">
        <v>1844</v>
      </c>
      <c r="L2048">
        <v>1844</v>
      </c>
      <c r="M2048" t="s">
        <v>209</v>
      </c>
      <c r="N2048" t="s">
        <v>209</v>
      </c>
      <c r="Q2048" s="2" t="str">
        <f>IF($C2048="","",IFERROR(VLOOKUP($C2048,sources!$A$2:$N$200,2,FALSE()),"?"))</f>
        <v>Map</v>
      </c>
      <c r="R2048" s="2" t="str">
        <f t="shared" si="31"/>
        <v>Map</v>
      </c>
      <c r="S2048" s="2" t="str">
        <f>IF($C2048="","",IFERROR(VLOOKUP($C2048,sources!$A$2:$N$200,9,FALSE()),"?"))</f>
        <v>French state survey</v>
      </c>
      <c r="T2048" t="s">
        <v>5692</v>
      </c>
      <c r="U2048">
        <f>IF(OR(B2048="",C2048="",T2048="Retracted",LEFT(D2048,8)="Negative"),0,IF(COUNTIFS($B$2:B2048,B2048,$C$2:C2048,C2048,$D$2:D2048,"&lt;&gt;Negative*",$T$2:T2048,"&lt;&gt;Retracted")=1,1,0))</f>
        <v>1</v>
      </c>
    </row>
    <row r="2049" spans="1:21" ht="26" x14ac:dyDescent="0.2">
      <c r="A2049" t="s">
        <v>4216</v>
      </c>
      <c r="B2049" t="s">
        <v>498</v>
      </c>
      <c r="C2049" t="s">
        <v>1475</v>
      </c>
      <c r="D2049" t="s">
        <v>1564</v>
      </c>
      <c r="E2049" t="s">
        <v>4217</v>
      </c>
      <c r="F2049" t="s">
        <v>2423</v>
      </c>
      <c r="I2049" t="s">
        <v>1058</v>
      </c>
      <c r="K2049">
        <v>1844</v>
      </c>
      <c r="L2049">
        <v>1844</v>
      </c>
      <c r="M2049" t="s">
        <v>209</v>
      </c>
      <c r="N2049" t="s">
        <v>203</v>
      </c>
      <c r="Q2049" s="2" t="str">
        <f>IF($C2049="","",IFERROR(VLOOKUP($C2049,sources!$A$2:$N$200,2,FALSE()),"?"))</f>
        <v>Map</v>
      </c>
      <c r="R2049" s="2" t="str">
        <f t="shared" si="31"/>
        <v>Map</v>
      </c>
      <c r="S2049" s="2" t="str">
        <f>IF($C2049="","",IFERROR(VLOOKUP($C2049,sources!$A$2:$N$200,9,FALSE()),"?"))</f>
        <v>French state survey</v>
      </c>
      <c r="T2049" t="s">
        <v>5692</v>
      </c>
      <c r="U2049">
        <f>IF(OR(B2049="",C2049="",T2049="Retracted",LEFT(D2049,8)="Negative"),0,IF(COUNTIFS($B$2:B2049,B2049,$C$2:C2049,C2049,$D$2:D2049,"&lt;&gt;Negative*",$T$2:T2049,"&lt;&gt;Retracted")=1,1,0))</f>
        <v>1</v>
      </c>
    </row>
    <row r="2050" spans="1:21" ht="26" x14ac:dyDescent="0.2">
      <c r="A2050" t="s">
        <v>4218</v>
      </c>
      <c r="B2050" t="s">
        <v>217</v>
      </c>
      <c r="C2050" t="s">
        <v>1475</v>
      </c>
      <c r="D2050" t="s">
        <v>1564</v>
      </c>
      <c r="E2050" t="s">
        <v>4219</v>
      </c>
      <c r="F2050" t="s">
        <v>2423</v>
      </c>
      <c r="I2050" t="s">
        <v>1058</v>
      </c>
      <c r="K2050">
        <v>1844</v>
      </c>
      <c r="L2050">
        <v>1844</v>
      </c>
      <c r="M2050" t="s">
        <v>209</v>
      </c>
      <c r="N2050" t="s">
        <v>209</v>
      </c>
      <c r="Q2050" s="2" t="str">
        <f>IF($C2050="","",IFERROR(VLOOKUP($C2050,sources!$A$2:$N$200,2,FALSE()),"?"))</f>
        <v>Map</v>
      </c>
      <c r="R2050" s="2" t="str">
        <f t="shared" ref="R2050:R2113" si="32">IF($Q2050="","",IF($Q2050="Map","Map",IF(OR($Q2050="Photograph",$Q2050="Postcard"),"Image",IF(OR($Q2050="Census or roll",$Q2050="Report",$Q2050="Newspaper",$Q2050="Letter",$Q2050="Memoir",$Q2050="Administrative",$Q2050="Web compilation"),"Textual",IF($Q2050="Legal claim","Legal/admin",IF($Q2050="Secondary","Secondary","Other"))))))</f>
        <v>Map</v>
      </c>
      <c r="S2050" s="2" t="str">
        <f>IF($C2050="","",IFERROR(VLOOKUP($C2050,sources!$A$2:$N$200,9,FALSE()),"?"))</f>
        <v>French state survey</v>
      </c>
      <c r="T2050" t="s">
        <v>5692</v>
      </c>
      <c r="U2050">
        <f>IF(OR(B2050="",C2050="",T2050="Retracted",LEFT(D2050,8)="Negative"),0,IF(COUNTIFS($B$2:B2050,B2050,$C$2:C2050,C2050,$D$2:D2050,"&lt;&gt;Negative*",$T$2:T2050,"&lt;&gt;Retracted")=1,1,0))</f>
        <v>1</v>
      </c>
    </row>
    <row r="2051" spans="1:21" ht="26" x14ac:dyDescent="0.2">
      <c r="A2051" t="s">
        <v>4220</v>
      </c>
      <c r="B2051" t="s">
        <v>395</v>
      </c>
      <c r="C2051" t="s">
        <v>1475</v>
      </c>
      <c r="D2051" t="s">
        <v>1564</v>
      </c>
      <c r="E2051" t="s">
        <v>4221</v>
      </c>
      <c r="F2051" t="s">
        <v>2423</v>
      </c>
      <c r="I2051" t="s">
        <v>1058</v>
      </c>
      <c r="K2051">
        <v>1844</v>
      </c>
      <c r="L2051">
        <v>1844</v>
      </c>
      <c r="M2051" t="s">
        <v>209</v>
      </c>
      <c r="N2051" t="s">
        <v>203</v>
      </c>
      <c r="Q2051" s="2" t="str">
        <f>IF($C2051="","",IFERROR(VLOOKUP($C2051,sources!$A$2:$N$200,2,FALSE()),"?"))</f>
        <v>Map</v>
      </c>
      <c r="R2051" s="2" t="str">
        <f t="shared" si="32"/>
        <v>Map</v>
      </c>
      <c r="S2051" s="2" t="str">
        <f>IF($C2051="","",IFERROR(VLOOKUP($C2051,sources!$A$2:$N$200,9,FALSE()),"?"))</f>
        <v>French state survey</v>
      </c>
      <c r="T2051" t="s">
        <v>5692</v>
      </c>
      <c r="U2051">
        <f>IF(OR(B2051="",C2051="",T2051="Retracted",LEFT(D2051,8)="Negative"),0,IF(COUNTIFS($B$2:B2051,B2051,$C$2:C2051,C2051,$D$2:D2051,"&lt;&gt;Negative*",$T$2:T2051,"&lt;&gt;Retracted")=1,1,0))</f>
        <v>1</v>
      </c>
    </row>
    <row r="2052" spans="1:21" ht="26" x14ac:dyDescent="0.2">
      <c r="A2052" t="s">
        <v>4222</v>
      </c>
      <c r="B2052" t="s">
        <v>360</v>
      </c>
      <c r="C2052" t="s">
        <v>1475</v>
      </c>
      <c r="D2052" t="s">
        <v>1564</v>
      </c>
      <c r="E2052" t="s">
        <v>361</v>
      </c>
      <c r="F2052" t="s">
        <v>2423</v>
      </c>
      <c r="I2052" t="s">
        <v>1058</v>
      </c>
      <c r="K2052">
        <v>1844</v>
      </c>
      <c r="L2052">
        <v>1844</v>
      </c>
      <c r="M2052" t="s">
        <v>209</v>
      </c>
      <c r="N2052" t="s">
        <v>203</v>
      </c>
      <c r="Q2052" s="2" t="str">
        <f>IF($C2052="","",IFERROR(VLOOKUP($C2052,sources!$A$2:$N$200,2,FALSE()),"?"))</f>
        <v>Map</v>
      </c>
      <c r="R2052" s="2" t="str">
        <f t="shared" si="32"/>
        <v>Map</v>
      </c>
      <c r="S2052" s="2" t="str">
        <f>IF($C2052="","",IFERROR(VLOOKUP($C2052,sources!$A$2:$N$200,9,FALSE()),"?"))</f>
        <v>French state survey</v>
      </c>
      <c r="T2052" t="s">
        <v>5692</v>
      </c>
      <c r="U2052">
        <f>IF(OR(B2052="",C2052="",T2052="Retracted",LEFT(D2052,8)="Negative"),0,IF(COUNTIFS($B$2:B2052,B2052,$C$2:C2052,C2052,$D$2:D2052,"&lt;&gt;Negative*",$T$2:T2052,"&lt;&gt;Retracted")=1,1,0))</f>
        <v>1</v>
      </c>
    </row>
    <row r="2053" spans="1:21" ht="26" x14ac:dyDescent="0.2">
      <c r="A2053" t="s">
        <v>4223</v>
      </c>
      <c r="B2053" t="s">
        <v>783</v>
      </c>
      <c r="C2053" t="s">
        <v>1475</v>
      </c>
      <c r="D2053" t="s">
        <v>1564</v>
      </c>
      <c r="E2053" t="s">
        <v>784</v>
      </c>
      <c r="F2053" t="s">
        <v>2423</v>
      </c>
      <c r="I2053" t="s">
        <v>1058</v>
      </c>
      <c r="K2053">
        <v>1844</v>
      </c>
      <c r="L2053">
        <v>1844</v>
      </c>
      <c r="M2053" t="s">
        <v>209</v>
      </c>
      <c r="N2053" t="s">
        <v>203</v>
      </c>
      <c r="Q2053" s="2" t="str">
        <f>IF($C2053="","",IFERROR(VLOOKUP($C2053,sources!$A$2:$N$200,2,FALSE()),"?"))</f>
        <v>Map</v>
      </c>
      <c r="R2053" s="2" t="str">
        <f t="shared" si="32"/>
        <v>Map</v>
      </c>
      <c r="S2053" s="2" t="str">
        <f>IF($C2053="","",IFERROR(VLOOKUP($C2053,sources!$A$2:$N$200,9,FALSE()),"?"))</f>
        <v>French state survey</v>
      </c>
      <c r="T2053" t="s">
        <v>5692</v>
      </c>
      <c r="U2053">
        <f>IF(OR(B2053="",C2053="",T2053="Retracted",LEFT(D2053,8)="Negative"),0,IF(COUNTIFS($B$2:B2053,B2053,$C$2:C2053,C2053,$D$2:D2053,"&lt;&gt;Negative*",$T$2:T2053,"&lt;&gt;Retracted")=1,1,0))</f>
        <v>1</v>
      </c>
    </row>
    <row r="2054" spans="1:21" ht="26" x14ac:dyDescent="0.2">
      <c r="A2054" t="s">
        <v>4224</v>
      </c>
      <c r="B2054" t="s">
        <v>354</v>
      </c>
      <c r="C2054" t="s">
        <v>1475</v>
      </c>
      <c r="D2054" t="s">
        <v>1564</v>
      </c>
      <c r="E2054" t="s">
        <v>4225</v>
      </c>
      <c r="F2054" t="s">
        <v>2423</v>
      </c>
      <c r="I2054" t="s">
        <v>1058</v>
      </c>
      <c r="K2054">
        <v>1844</v>
      </c>
      <c r="L2054">
        <v>1844</v>
      </c>
      <c r="M2054" t="s">
        <v>209</v>
      </c>
      <c r="N2054" t="s">
        <v>209</v>
      </c>
      <c r="Q2054" s="2" t="str">
        <f>IF($C2054="","",IFERROR(VLOOKUP($C2054,sources!$A$2:$N$200,2,FALSE()),"?"))</f>
        <v>Map</v>
      </c>
      <c r="R2054" s="2" t="str">
        <f t="shared" si="32"/>
        <v>Map</v>
      </c>
      <c r="S2054" s="2" t="str">
        <f>IF($C2054="","",IFERROR(VLOOKUP($C2054,sources!$A$2:$N$200,9,FALSE()),"?"))</f>
        <v>French state survey</v>
      </c>
      <c r="T2054" t="s">
        <v>5692</v>
      </c>
      <c r="U2054">
        <f>IF(OR(B2054="",C2054="",T2054="Retracted",LEFT(D2054,8)="Negative"),0,IF(COUNTIFS($B$2:B2054,B2054,$C$2:C2054,C2054,$D$2:D2054,"&lt;&gt;Negative*",$T$2:T2054,"&lt;&gt;Retracted")=1,1,0))</f>
        <v>1</v>
      </c>
    </row>
    <row r="2055" spans="1:21" ht="26" x14ac:dyDescent="0.2">
      <c r="A2055" t="s">
        <v>4226</v>
      </c>
      <c r="B2055" t="s">
        <v>892</v>
      </c>
      <c r="C2055" t="s">
        <v>1475</v>
      </c>
      <c r="D2055" t="s">
        <v>1575</v>
      </c>
      <c r="E2055" t="s">
        <v>4227</v>
      </c>
      <c r="F2055" t="s">
        <v>2423</v>
      </c>
      <c r="I2055" t="s">
        <v>1058</v>
      </c>
      <c r="K2055">
        <v>1844</v>
      </c>
      <c r="L2055">
        <v>1844</v>
      </c>
      <c r="M2055" t="s">
        <v>209</v>
      </c>
      <c r="N2055" t="s">
        <v>209</v>
      </c>
      <c r="Q2055" s="2" t="str">
        <f>IF($C2055="","",IFERROR(VLOOKUP($C2055,sources!$A$2:$N$200,2,FALSE()),"?"))</f>
        <v>Map</v>
      </c>
      <c r="R2055" s="2" t="str">
        <f t="shared" si="32"/>
        <v>Map</v>
      </c>
      <c r="S2055" s="2" t="str">
        <f>IF($C2055="","",IFERROR(VLOOKUP($C2055,sources!$A$2:$N$200,9,FALSE()),"?"))</f>
        <v>French state survey</v>
      </c>
      <c r="T2055" t="s">
        <v>5692</v>
      </c>
      <c r="U2055">
        <f>IF(OR(B2055="",C2055="",T2055="Retracted",LEFT(D2055,8)="Negative"),0,IF(COUNTIFS($B$2:B2055,B2055,$C$2:C2055,C2055,$D$2:D2055,"&lt;&gt;Negative*",$T$2:T2055,"&lt;&gt;Retracted")=1,1,0))</f>
        <v>1</v>
      </c>
    </row>
    <row r="2056" spans="1:21" ht="26" x14ac:dyDescent="0.2">
      <c r="A2056" t="s">
        <v>4228</v>
      </c>
      <c r="B2056" t="s">
        <v>443</v>
      </c>
      <c r="C2056" t="s">
        <v>1475</v>
      </c>
      <c r="D2056" t="s">
        <v>1575</v>
      </c>
      <c r="E2056" t="s">
        <v>3855</v>
      </c>
      <c r="F2056" t="s">
        <v>2423</v>
      </c>
      <c r="I2056" t="s">
        <v>1058</v>
      </c>
      <c r="K2056">
        <v>1844</v>
      </c>
      <c r="L2056">
        <v>1844</v>
      </c>
      <c r="M2056" t="s">
        <v>209</v>
      </c>
      <c r="N2056" t="s">
        <v>203</v>
      </c>
      <c r="Q2056" s="2" t="str">
        <f>IF($C2056="","",IFERROR(VLOOKUP($C2056,sources!$A$2:$N$200,2,FALSE()),"?"))</f>
        <v>Map</v>
      </c>
      <c r="R2056" s="2" t="str">
        <f t="shared" si="32"/>
        <v>Map</v>
      </c>
      <c r="S2056" s="2" t="str">
        <f>IF($C2056="","",IFERROR(VLOOKUP($C2056,sources!$A$2:$N$200,9,FALSE()),"?"))</f>
        <v>French state survey</v>
      </c>
      <c r="T2056" t="s">
        <v>5692</v>
      </c>
      <c r="U2056">
        <f>IF(OR(B2056="",C2056="",T2056="Retracted",LEFT(D2056,8)="Negative"),0,IF(COUNTIFS($B$2:B2056,B2056,$C$2:C2056,C2056,$D$2:D2056,"&lt;&gt;Negative*",$T$2:T2056,"&lt;&gt;Retracted")=1,1,0))</f>
        <v>1</v>
      </c>
    </row>
    <row r="2057" spans="1:21" ht="26" x14ac:dyDescent="0.2">
      <c r="A2057" t="s">
        <v>4229</v>
      </c>
      <c r="B2057" t="s">
        <v>420</v>
      </c>
      <c r="C2057" t="s">
        <v>1475</v>
      </c>
      <c r="D2057" t="s">
        <v>1575</v>
      </c>
      <c r="E2057" t="s">
        <v>4230</v>
      </c>
      <c r="F2057" t="s">
        <v>2423</v>
      </c>
      <c r="I2057" t="s">
        <v>1058</v>
      </c>
      <c r="K2057">
        <v>1844</v>
      </c>
      <c r="L2057">
        <v>1844</v>
      </c>
      <c r="M2057" t="s">
        <v>209</v>
      </c>
      <c r="N2057" t="s">
        <v>203</v>
      </c>
      <c r="Q2057" s="2" t="str">
        <f>IF($C2057="","",IFERROR(VLOOKUP($C2057,sources!$A$2:$N$200,2,FALSE()),"?"))</f>
        <v>Map</v>
      </c>
      <c r="R2057" s="2" t="str">
        <f t="shared" si="32"/>
        <v>Map</v>
      </c>
      <c r="S2057" s="2" t="str">
        <f>IF($C2057="","",IFERROR(VLOOKUP($C2057,sources!$A$2:$N$200,9,FALSE()),"?"))</f>
        <v>French state survey</v>
      </c>
      <c r="T2057" t="s">
        <v>5692</v>
      </c>
      <c r="U2057">
        <f>IF(OR(B2057="",C2057="",T2057="Retracted",LEFT(D2057,8)="Negative"),0,IF(COUNTIFS($B$2:B2057,B2057,$C$2:C2057,C2057,$D$2:D2057,"&lt;&gt;Negative*",$T$2:T2057,"&lt;&gt;Retracted")=1,1,0))</f>
        <v>1</v>
      </c>
    </row>
    <row r="2058" spans="1:21" ht="26" x14ac:dyDescent="0.2">
      <c r="A2058" t="s">
        <v>4231</v>
      </c>
      <c r="B2058" t="s">
        <v>510</v>
      </c>
      <c r="C2058" t="s">
        <v>1475</v>
      </c>
      <c r="D2058" t="s">
        <v>1564</v>
      </c>
      <c r="E2058" t="s">
        <v>4232</v>
      </c>
      <c r="F2058" t="s">
        <v>2423</v>
      </c>
      <c r="I2058" t="s">
        <v>1058</v>
      </c>
      <c r="K2058">
        <v>1844</v>
      </c>
      <c r="L2058">
        <v>1844</v>
      </c>
      <c r="M2058" t="s">
        <v>209</v>
      </c>
      <c r="N2058" t="s">
        <v>209</v>
      </c>
      <c r="Q2058" s="2" t="str">
        <f>IF($C2058="","",IFERROR(VLOOKUP($C2058,sources!$A$2:$N$200,2,FALSE()),"?"))</f>
        <v>Map</v>
      </c>
      <c r="R2058" s="2" t="str">
        <f t="shared" si="32"/>
        <v>Map</v>
      </c>
      <c r="S2058" s="2" t="str">
        <f>IF($C2058="","",IFERROR(VLOOKUP($C2058,sources!$A$2:$N$200,9,FALSE()),"?"))</f>
        <v>French state survey</v>
      </c>
      <c r="T2058" t="s">
        <v>5692</v>
      </c>
      <c r="U2058">
        <f>IF(OR(B2058="",C2058="",T2058="Retracted",LEFT(D2058,8)="Negative"),0,IF(COUNTIFS($B$2:B2058,B2058,$C$2:C2058,C2058,$D$2:D2058,"&lt;&gt;Negative*",$T$2:T2058,"&lt;&gt;Retracted")=1,1,0))</f>
        <v>1</v>
      </c>
    </row>
    <row r="2059" spans="1:21" ht="26" x14ac:dyDescent="0.2">
      <c r="A2059" t="s">
        <v>4233</v>
      </c>
      <c r="B2059" t="s">
        <v>966</v>
      </c>
      <c r="C2059" t="s">
        <v>1475</v>
      </c>
      <c r="D2059" t="s">
        <v>1564</v>
      </c>
      <c r="E2059" t="s">
        <v>4234</v>
      </c>
      <c r="F2059" t="s">
        <v>2423</v>
      </c>
      <c r="I2059" t="s">
        <v>1058</v>
      </c>
      <c r="K2059">
        <v>1844</v>
      </c>
      <c r="L2059">
        <v>1844</v>
      </c>
      <c r="M2059" t="s">
        <v>209</v>
      </c>
      <c r="N2059" t="s">
        <v>190</v>
      </c>
      <c r="Q2059" s="2" t="str">
        <f>IF($C2059="","",IFERROR(VLOOKUP($C2059,sources!$A$2:$N$200,2,FALSE()),"?"))</f>
        <v>Map</v>
      </c>
      <c r="R2059" s="2" t="str">
        <f t="shared" si="32"/>
        <v>Map</v>
      </c>
      <c r="S2059" s="2" t="str">
        <f>IF($C2059="","",IFERROR(VLOOKUP($C2059,sources!$A$2:$N$200,9,FALSE()),"?"))</f>
        <v>French state survey</v>
      </c>
      <c r="T2059" t="s">
        <v>5693</v>
      </c>
      <c r="U2059">
        <f>IF(OR(B2059="",C2059="",T2059="Retracted",LEFT(D2059,8)="Negative"),0,IF(COUNTIFS($B$2:B2059,B2059,$C$2:C2059,C2059,$D$2:D2059,"&lt;&gt;Negative*",$T$2:T2059,"&lt;&gt;Retracted")=1,1,0))</f>
        <v>0</v>
      </c>
    </row>
    <row r="2060" spans="1:21" ht="26" x14ac:dyDescent="0.2">
      <c r="A2060" t="s">
        <v>4235</v>
      </c>
      <c r="B2060" t="s">
        <v>335</v>
      </c>
      <c r="C2060" t="s">
        <v>1475</v>
      </c>
      <c r="D2060" t="s">
        <v>1564</v>
      </c>
      <c r="E2060" t="s">
        <v>4236</v>
      </c>
      <c r="F2060" t="s">
        <v>2423</v>
      </c>
      <c r="I2060" t="s">
        <v>1058</v>
      </c>
      <c r="K2060">
        <v>1844</v>
      </c>
      <c r="L2060">
        <v>1844</v>
      </c>
      <c r="M2060" t="s">
        <v>209</v>
      </c>
      <c r="N2060" t="s">
        <v>209</v>
      </c>
      <c r="Q2060" s="2" t="str">
        <f>IF($C2060="","",IFERROR(VLOOKUP($C2060,sources!$A$2:$N$200,2,FALSE()),"?"))</f>
        <v>Map</v>
      </c>
      <c r="R2060" s="2" t="str">
        <f t="shared" si="32"/>
        <v>Map</v>
      </c>
      <c r="S2060" s="2" t="str">
        <f>IF($C2060="","",IFERROR(VLOOKUP($C2060,sources!$A$2:$N$200,9,FALSE()),"?"))</f>
        <v>French state survey</v>
      </c>
      <c r="T2060" t="s">
        <v>5692</v>
      </c>
      <c r="U2060">
        <f>IF(OR(B2060="",C2060="",T2060="Retracted",LEFT(D2060,8)="Negative"),0,IF(COUNTIFS($B$2:B2060,B2060,$C$2:C2060,C2060,$D$2:D2060,"&lt;&gt;Negative*",$T$2:T2060,"&lt;&gt;Retracted")=1,1,0))</f>
        <v>1</v>
      </c>
    </row>
    <row r="2061" spans="1:21" ht="26" x14ac:dyDescent="0.2">
      <c r="A2061" t="s">
        <v>4237</v>
      </c>
      <c r="B2061" t="s">
        <v>205</v>
      </c>
      <c r="C2061" t="s">
        <v>1475</v>
      </c>
      <c r="D2061" t="s">
        <v>1613</v>
      </c>
      <c r="E2061" t="s">
        <v>206</v>
      </c>
      <c r="F2061" t="s">
        <v>2423</v>
      </c>
      <c r="I2061" t="s">
        <v>1058</v>
      </c>
      <c r="K2061">
        <v>1844</v>
      </c>
      <c r="L2061">
        <v>1844</v>
      </c>
      <c r="M2061" t="s">
        <v>209</v>
      </c>
      <c r="N2061" t="s">
        <v>209</v>
      </c>
      <c r="Q2061" s="2" t="str">
        <f>IF($C2061="","",IFERROR(VLOOKUP($C2061,sources!$A$2:$N$200,2,FALSE()),"?"))</f>
        <v>Map</v>
      </c>
      <c r="R2061" s="2" t="str">
        <f t="shared" si="32"/>
        <v>Map</v>
      </c>
      <c r="S2061" s="2" t="str">
        <f>IF($C2061="","",IFERROR(VLOOKUP($C2061,sources!$A$2:$N$200,9,FALSE()),"?"))</f>
        <v>French state survey</v>
      </c>
      <c r="T2061" t="s">
        <v>5692</v>
      </c>
      <c r="U2061">
        <f>IF(OR(B2061="",C2061="",T2061="Retracted",LEFT(D2061,8)="Negative"),0,IF(COUNTIFS($B$2:B2061,B2061,$C$2:C2061,C2061,$D$2:D2061,"&lt;&gt;Negative*",$T$2:T2061,"&lt;&gt;Retracted")=1,1,0))</f>
        <v>0</v>
      </c>
    </row>
    <row r="2062" spans="1:21" ht="26" x14ac:dyDescent="0.2">
      <c r="A2062" t="s">
        <v>4238</v>
      </c>
      <c r="B2062" t="s">
        <v>607</v>
      </c>
      <c r="C2062" t="s">
        <v>1475</v>
      </c>
      <c r="D2062" t="s">
        <v>1613</v>
      </c>
      <c r="E2062" t="s">
        <v>608</v>
      </c>
      <c r="F2062" t="s">
        <v>2423</v>
      </c>
      <c r="I2062" t="s">
        <v>1058</v>
      </c>
      <c r="K2062">
        <v>1844</v>
      </c>
      <c r="L2062">
        <v>1844</v>
      </c>
      <c r="M2062" t="s">
        <v>209</v>
      </c>
      <c r="N2062" t="s">
        <v>209</v>
      </c>
      <c r="Q2062" s="2" t="str">
        <f>IF($C2062="","",IFERROR(VLOOKUP($C2062,sources!$A$2:$N$200,2,FALSE()),"?"))</f>
        <v>Map</v>
      </c>
      <c r="R2062" s="2" t="str">
        <f t="shared" si="32"/>
        <v>Map</v>
      </c>
      <c r="S2062" s="2" t="str">
        <f>IF($C2062="","",IFERROR(VLOOKUP($C2062,sources!$A$2:$N$200,9,FALSE()),"?"))</f>
        <v>French state survey</v>
      </c>
      <c r="T2062" t="s">
        <v>5692</v>
      </c>
      <c r="U2062">
        <f>IF(OR(B2062="",C2062="",T2062="Retracted",LEFT(D2062,8)="Negative"),0,IF(COUNTIFS($B$2:B2062,B2062,$C$2:C2062,C2062,$D$2:D2062,"&lt;&gt;Negative*",$T$2:T2062,"&lt;&gt;Retracted")=1,1,0))</f>
        <v>0</v>
      </c>
    </row>
    <row r="2063" spans="1:21" ht="26" x14ac:dyDescent="0.2">
      <c r="A2063" t="s">
        <v>4239</v>
      </c>
      <c r="B2063" t="s">
        <v>896</v>
      </c>
      <c r="C2063" t="s">
        <v>1475</v>
      </c>
      <c r="D2063" t="s">
        <v>1613</v>
      </c>
      <c r="E2063" t="s">
        <v>897</v>
      </c>
      <c r="F2063" t="s">
        <v>2423</v>
      </c>
      <c r="I2063" t="s">
        <v>1058</v>
      </c>
      <c r="K2063">
        <v>1844</v>
      </c>
      <c r="L2063">
        <v>1844</v>
      </c>
      <c r="M2063" t="s">
        <v>209</v>
      </c>
      <c r="N2063" t="s">
        <v>209</v>
      </c>
      <c r="Q2063" s="2" t="str">
        <f>IF($C2063="","",IFERROR(VLOOKUP($C2063,sources!$A$2:$N$200,2,FALSE()),"?"))</f>
        <v>Map</v>
      </c>
      <c r="R2063" s="2" t="str">
        <f t="shared" si="32"/>
        <v>Map</v>
      </c>
      <c r="S2063" s="2" t="str">
        <f>IF($C2063="","",IFERROR(VLOOKUP($C2063,sources!$A$2:$N$200,9,FALSE()),"?"))</f>
        <v>French state survey</v>
      </c>
      <c r="T2063" t="s">
        <v>5692</v>
      </c>
      <c r="U2063">
        <f>IF(OR(B2063="",C2063="",T2063="Retracted",LEFT(D2063,8)="Negative"),0,IF(COUNTIFS($B$2:B2063,B2063,$C$2:C2063,C2063,$D$2:D2063,"&lt;&gt;Negative*",$T$2:T2063,"&lt;&gt;Retracted")=1,1,0))</f>
        <v>0</v>
      </c>
    </row>
    <row r="2064" spans="1:21" ht="26" x14ac:dyDescent="0.2">
      <c r="A2064" t="s">
        <v>4240</v>
      </c>
      <c r="B2064" t="s">
        <v>906</v>
      </c>
      <c r="C2064" t="s">
        <v>1475</v>
      </c>
      <c r="D2064" t="s">
        <v>1613</v>
      </c>
      <c r="E2064" t="s">
        <v>907</v>
      </c>
      <c r="F2064" t="s">
        <v>2423</v>
      </c>
      <c r="I2064" t="s">
        <v>1058</v>
      </c>
      <c r="K2064">
        <v>1844</v>
      </c>
      <c r="L2064">
        <v>1844</v>
      </c>
      <c r="M2064" t="s">
        <v>209</v>
      </c>
      <c r="N2064" t="s">
        <v>190</v>
      </c>
      <c r="Q2064" s="2" t="str">
        <f>IF($C2064="","",IFERROR(VLOOKUP($C2064,sources!$A$2:$N$200,2,FALSE()),"?"))</f>
        <v>Map</v>
      </c>
      <c r="R2064" s="2" t="str">
        <f t="shared" si="32"/>
        <v>Map</v>
      </c>
      <c r="S2064" s="2" t="str">
        <f>IF($C2064="","",IFERROR(VLOOKUP($C2064,sources!$A$2:$N$200,9,FALSE()),"?"))</f>
        <v>French state survey</v>
      </c>
      <c r="T2064" t="s">
        <v>5692</v>
      </c>
      <c r="U2064">
        <f>IF(OR(B2064="",C2064="",T2064="Retracted",LEFT(D2064,8)="Negative"),0,IF(COUNTIFS($B$2:B2064,B2064,$C$2:C2064,C2064,$D$2:D2064,"&lt;&gt;Negative*",$T$2:T2064,"&lt;&gt;Retracted")=1,1,0))</f>
        <v>0</v>
      </c>
    </row>
    <row r="2065" spans="1:21" ht="26" x14ac:dyDescent="0.2">
      <c r="A2065" t="s">
        <v>4241</v>
      </c>
      <c r="B2065" t="s">
        <v>936</v>
      </c>
      <c r="C2065" t="s">
        <v>1475</v>
      </c>
      <c r="D2065" t="s">
        <v>1613</v>
      </c>
      <c r="E2065" t="s">
        <v>951</v>
      </c>
      <c r="F2065" t="s">
        <v>2423</v>
      </c>
      <c r="I2065" t="s">
        <v>1058</v>
      </c>
      <c r="K2065">
        <v>1844</v>
      </c>
      <c r="L2065">
        <v>1844</v>
      </c>
      <c r="M2065" t="s">
        <v>209</v>
      </c>
      <c r="N2065" t="s">
        <v>190</v>
      </c>
      <c r="Q2065" s="2" t="str">
        <f>IF($C2065="","",IFERROR(VLOOKUP($C2065,sources!$A$2:$N$200,2,FALSE()),"?"))</f>
        <v>Map</v>
      </c>
      <c r="R2065" s="2" t="str">
        <f t="shared" si="32"/>
        <v>Map</v>
      </c>
      <c r="S2065" s="2" t="str">
        <f>IF($C2065="","",IFERROR(VLOOKUP($C2065,sources!$A$2:$N$200,9,FALSE()),"?"))</f>
        <v>French state survey</v>
      </c>
      <c r="T2065" t="s">
        <v>5692</v>
      </c>
      <c r="U2065">
        <f>IF(OR(B2065="",C2065="",T2065="Retracted",LEFT(D2065,8)="Negative"),0,IF(COUNTIFS($B$2:B2065,B2065,$C$2:C2065,C2065,$D$2:D2065,"&lt;&gt;Negative*",$T$2:T2065,"&lt;&gt;Retracted")=1,1,0))</f>
        <v>0</v>
      </c>
    </row>
    <row r="2066" spans="1:21" x14ac:dyDescent="0.2">
      <c r="A2066" t="s">
        <v>4242</v>
      </c>
      <c r="B2066" t="s">
        <v>783</v>
      </c>
      <c r="C2066" t="s">
        <v>1148</v>
      </c>
      <c r="D2066" t="s">
        <v>1564</v>
      </c>
      <c r="E2066" t="s">
        <v>4243</v>
      </c>
      <c r="F2066" t="s">
        <v>1583</v>
      </c>
      <c r="I2066" t="s">
        <v>1058</v>
      </c>
      <c r="K2066">
        <v>1917</v>
      </c>
      <c r="L2066">
        <v>1917</v>
      </c>
      <c r="M2066" t="s">
        <v>209</v>
      </c>
      <c r="N2066" t="s">
        <v>209</v>
      </c>
      <c r="Q2066" s="2" t="str">
        <f>IF($C2066="","",IFERROR(VLOOKUP($C2066,sources!$A$2:$N$200,2,FALSE()),"?"))</f>
        <v>Report</v>
      </c>
      <c r="R2066" s="2" t="str">
        <f t="shared" si="32"/>
        <v>Textual</v>
      </c>
      <c r="S2066" s="2" t="str">
        <f>IF($C2066="","",IFERROR(VLOOKUP($C2066,sources!$A$2:$N$200,9,FALSE()),"?"))</f>
        <v>US official</v>
      </c>
      <c r="T2066" t="s">
        <v>5692</v>
      </c>
      <c r="U2066">
        <f>IF(OR(B2066="",C2066="",T2066="Retracted",LEFT(D2066,8)="Negative"),0,IF(COUNTIFS($B$2:B2066,B2066,$C$2:C2066,C2066,$D$2:D2066,"&lt;&gt;Negative*",$T$2:T2066,"&lt;&gt;Retracted")=1,1,0))</f>
        <v>1</v>
      </c>
    </row>
    <row r="2067" spans="1:21" x14ac:dyDescent="0.2">
      <c r="A2067" t="s">
        <v>4244</v>
      </c>
      <c r="B2067" t="s">
        <v>786</v>
      </c>
      <c r="C2067" t="s">
        <v>1148</v>
      </c>
      <c r="D2067" t="s">
        <v>1575</v>
      </c>
      <c r="E2067" t="s">
        <v>787</v>
      </c>
      <c r="F2067" t="s">
        <v>1583</v>
      </c>
      <c r="I2067" t="s">
        <v>1058</v>
      </c>
      <c r="K2067">
        <v>1920</v>
      </c>
      <c r="L2067">
        <v>1920</v>
      </c>
      <c r="M2067" t="s">
        <v>209</v>
      </c>
      <c r="N2067" t="s">
        <v>190</v>
      </c>
      <c r="Q2067" s="2" t="str">
        <f>IF($C2067="","",IFERROR(VLOOKUP($C2067,sources!$A$2:$N$200,2,FALSE()),"?"))</f>
        <v>Report</v>
      </c>
      <c r="R2067" s="2" t="str">
        <f t="shared" si="32"/>
        <v>Textual</v>
      </c>
      <c r="S2067" s="2" t="str">
        <f>IF($C2067="","",IFERROR(VLOOKUP($C2067,sources!$A$2:$N$200,9,FALSE()),"?"))</f>
        <v>US official</v>
      </c>
      <c r="T2067" t="s">
        <v>5693</v>
      </c>
      <c r="U2067">
        <f>IF(OR(B2067="",C2067="",T2067="Retracted",LEFT(D2067,8)="Negative"),0,IF(COUNTIFS($B$2:B2067,B2067,$C$2:C2067,C2067,$D$2:D2067,"&lt;&gt;Negative*",$T$2:T2067,"&lt;&gt;Retracted")=1,1,0))</f>
        <v>0</v>
      </c>
    </row>
    <row r="2068" spans="1:21" x14ac:dyDescent="0.2">
      <c r="A2068" t="s">
        <v>4245</v>
      </c>
      <c r="B2068" t="s">
        <v>801</v>
      </c>
      <c r="C2068" t="s">
        <v>1148</v>
      </c>
      <c r="D2068" t="s">
        <v>1575</v>
      </c>
      <c r="E2068" t="s">
        <v>802</v>
      </c>
      <c r="F2068" t="s">
        <v>1583</v>
      </c>
      <c r="I2068" t="s">
        <v>1058</v>
      </c>
      <c r="K2068">
        <v>1907</v>
      </c>
      <c r="L2068">
        <v>1941</v>
      </c>
      <c r="M2068" t="s">
        <v>209</v>
      </c>
      <c r="N2068" t="s">
        <v>203</v>
      </c>
      <c r="Q2068" s="2" t="str">
        <f>IF($C2068="","",IFERROR(VLOOKUP($C2068,sources!$A$2:$N$200,2,FALSE()),"?"))</f>
        <v>Report</v>
      </c>
      <c r="R2068" s="2" t="str">
        <f t="shared" si="32"/>
        <v>Textual</v>
      </c>
      <c r="S2068" s="2" t="str">
        <f>IF($C2068="","",IFERROR(VLOOKUP($C2068,sources!$A$2:$N$200,9,FALSE()),"?"))</f>
        <v>US official</v>
      </c>
      <c r="T2068" t="s">
        <v>5692</v>
      </c>
      <c r="U2068">
        <f>IF(OR(B2068="",C2068="",T2068="Retracted",LEFT(D2068,8)="Negative"),0,IF(COUNTIFS($B$2:B2068,B2068,$C$2:C2068,C2068,$D$2:D2068,"&lt;&gt;Negative*",$T$2:T2068,"&lt;&gt;Retracted")=1,1,0))</f>
        <v>1</v>
      </c>
    </row>
    <row r="2069" spans="1:21" x14ac:dyDescent="0.2">
      <c r="A2069" t="s">
        <v>4246</v>
      </c>
      <c r="B2069" t="s">
        <v>805</v>
      </c>
      <c r="C2069" t="s">
        <v>1148</v>
      </c>
      <c r="D2069" t="s">
        <v>1575</v>
      </c>
      <c r="E2069" t="s">
        <v>4247</v>
      </c>
      <c r="F2069" t="s">
        <v>1583</v>
      </c>
      <c r="I2069" t="s">
        <v>1058</v>
      </c>
      <c r="K2069">
        <v>1907</v>
      </c>
      <c r="L2069">
        <v>1914</v>
      </c>
      <c r="M2069" t="s">
        <v>209</v>
      </c>
      <c r="N2069" t="s">
        <v>203</v>
      </c>
      <c r="Q2069" s="2" t="str">
        <f>IF($C2069="","",IFERROR(VLOOKUP($C2069,sources!$A$2:$N$200,2,FALSE()),"?"))</f>
        <v>Report</v>
      </c>
      <c r="R2069" s="2" t="str">
        <f t="shared" si="32"/>
        <v>Textual</v>
      </c>
      <c r="S2069" s="2" t="str">
        <f>IF($C2069="","",IFERROR(VLOOKUP($C2069,sources!$A$2:$N$200,9,FALSE()),"?"))</f>
        <v>US official</v>
      </c>
      <c r="T2069" t="s">
        <v>5692</v>
      </c>
      <c r="U2069">
        <f>IF(OR(B2069="",C2069="",T2069="Retracted",LEFT(D2069,8)="Negative"),0,IF(COUNTIFS($B$2:B2069,B2069,$C$2:C2069,C2069,$D$2:D2069,"&lt;&gt;Negative*",$T$2:T2069,"&lt;&gt;Retracted")=1,1,0))</f>
        <v>1</v>
      </c>
    </row>
    <row r="2070" spans="1:21" x14ac:dyDescent="0.2">
      <c r="A2070" t="s">
        <v>4248</v>
      </c>
      <c r="B2070" t="s">
        <v>808</v>
      </c>
      <c r="C2070" t="s">
        <v>1148</v>
      </c>
      <c r="D2070" t="s">
        <v>1613</v>
      </c>
      <c r="E2070" t="s">
        <v>3356</v>
      </c>
      <c r="F2070" t="s">
        <v>1583</v>
      </c>
      <c r="I2070" t="s">
        <v>1058</v>
      </c>
      <c r="K2070">
        <v>1907</v>
      </c>
      <c r="L2070">
        <v>1941</v>
      </c>
      <c r="M2070" t="s">
        <v>209</v>
      </c>
      <c r="N2070" t="s">
        <v>203</v>
      </c>
      <c r="Q2070" s="2" t="str">
        <f>IF($C2070="","",IFERROR(VLOOKUP($C2070,sources!$A$2:$N$200,2,FALSE()),"?"))</f>
        <v>Report</v>
      </c>
      <c r="R2070" s="2" t="str">
        <f t="shared" si="32"/>
        <v>Textual</v>
      </c>
      <c r="S2070" s="2" t="str">
        <f>IF($C2070="","",IFERROR(VLOOKUP($C2070,sources!$A$2:$N$200,9,FALSE()),"?"))</f>
        <v>US official</v>
      </c>
      <c r="T2070" t="s">
        <v>5692</v>
      </c>
      <c r="U2070">
        <f>IF(OR(B2070="",C2070="",T2070="Retracted",LEFT(D2070,8)="Negative"),0,IF(COUNTIFS($B$2:B2070,B2070,$C$2:C2070,C2070,$D$2:D2070,"&lt;&gt;Negative*",$T$2:T2070,"&lt;&gt;Retracted")=1,1,0))</f>
        <v>0</v>
      </c>
    </row>
    <row r="2071" spans="1:21" x14ac:dyDescent="0.2">
      <c r="A2071" t="s">
        <v>4249</v>
      </c>
      <c r="B2071" t="s">
        <v>811</v>
      </c>
      <c r="C2071" t="s">
        <v>1148</v>
      </c>
      <c r="D2071" t="s">
        <v>1575</v>
      </c>
      <c r="E2071" t="s">
        <v>812</v>
      </c>
      <c r="F2071" t="s">
        <v>1583</v>
      </c>
      <c r="I2071" t="s">
        <v>1058</v>
      </c>
      <c r="K2071">
        <v>1915</v>
      </c>
      <c r="L2071">
        <v>1916</v>
      </c>
      <c r="M2071" t="s">
        <v>209</v>
      </c>
      <c r="N2071" t="s">
        <v>209</v>
      </c>
      <c r="Q2071" s="2" t="str">
        <f>IF($C2071="","",IFERROR(VLOOKUP($C2071,sources!$A$2:$N$200,2,FALSE()),"?"))</f>
        <v>Report</v>
      </c>
      <c r="R2071" s="2" t="str">
        <f t="shared" si="32"/>
        <v>Textual</v>
      </c>
      <c r="S2071" s="2" t="str">
        <f>IF($C2071="","",IFERROR(VLOOKUP($C2071,sources!$A$2:$N$200,9,FALSE()),"?"))</f>
        <v>US official</v>
      </c>
      <c r="T2071" t="s">
        <v>5692</v>
      </c>
      <c r="U2071">
        <f>IF(OR(B2071="",C2071="",T2071="Retracted",LEFT(D2071,8)="Negative"),0,IF(COUNTIFS($B$2:B2071,B2071,$C$2:C2071,C2071,$D$2:D2071,"&lt;&gt;Negative*",$T$2:T2071,"&lt;&gt;Retracted")=1,1,0))</f>
        <v>1</v>
      </c>
    </row>
    <row r="2072" spans="1:21" x14ac:dyDescent="0.2">
      <c r="A2072" t="s">
        <v>4250</v>
      </c>
      <c r="B2072" t="s">
        <v>816</v>
      </c>
      <c r="C2072" t="s">
        <v>1148</v>
      </c>
      <c r="D2072" t="s">
        <v>1575</v>
      </c>
      <c r="E2072" t="s">
        <v>4251</v>
      </c>
      <c r="F2072" t="s">
        <v>1583</v>
      </c>
      <c r="I2072" t="s">
        <v>1058</v>
      </c>
      <c r="K2072">
        <v>1913</v>
      </c>
      <c r="L2072">
        <v>1914</v>
      </c>
      <c r="M2072" t="s">
        <v>209</v>
      </c>
      <c r="N2072" t="s">
        <v>209</v>
      </c>
      <c r="Q2072" s="2" t="str">
        <f>IF($C2072="","",IFERROR(VLOOKUP($C2072,sources!$A$2:$N$200,2,FALSE()),"?"))</f>
        <v>Report</v>
      </c>
      <c r="R2072" s="2" t="str">
        <f t="shared" si="32"/>
        <v>Textual</v>
      </c>
      <c r="S2072" s="2" t="str">
        <f>IF($C2072="","",IFERROR(VLOOKUP($C2072,sources!$A$2:$N$200,9,FALSE()),"?"))</f>
        <v>US official</v>
      </c>
      <c r="T2072" t="s">
        <v>5692</v>
      </c>
      <c r="U2072">
        <f>IF(OR(B2072="",C2072="",T2072="Retracted",LEFT(D2072,8)="Negative"),0,IF(COUNTIFS($B$2:B2072,B2072,$C$2:C2072,C2072,$D$2:D2072,"&lt;&gt;Negative*",$T$2:T2072,"&lt;&gt;Retracted")=1,1,0))</f>
        <v>1</v>
      </c>
    </row>
    <row r="2073" spans="1:21" x14ac:dyDescent="0.2">
      <c r="A2073" t="s">
        <v>4252</v>
      </c>
      <c r="B2073" t="s">
        <v>819</v>
      </c>
      <c r="C2073" t="s">
        <v>1148</v>
      </c>
      <c r="D2073" t="s">
        <v>1564</v>
      </c>
      <c r="E2073" t="s">
        <v>4253</v>
      </c>
      <c r="F2073" t="s">
        <v>1583</v>
      </c>
      <c r="I2073" t="s">
        <v>1058</v>
      </c>
      <c r="K2073">
        <v>1910</v>
      </c>
      <c r="L2073">
        <v>1915</v>
      </c>
      <c r="M2073" t="s">
        <v>209</v>
      </c>
      <c r="N2073" t="s">
        <v>203</v>
      </c>
      <c r="Q2073" s="2" t="str">
        <f>IF($C2073="","",IFERROR(VLOOKUP($C2073,sources!$A$2:$N$200,2,FALSE()),"?"))</f>
        <v>Report</v>
      </c>
      <c r="R2073" s="2" t="str">
        <f t="shared" si="32"/>
        <v>Textual</v>
      </c>
      <c r="S2073" s="2" t="str">
        <f>IF($C2073="","",IFERROR(VLOOKUP($C2073,sources!$A$2:$N$200,9,FALSE()),"?"))</f>
        <v>US official</v>
      </c>
      <c r="T2073" t="s">
        <v>5692</v>
      </c>
      <c r="U2073">
        <f>IF(OR(B2073="",C2073="",T2073="Retracted",LEFT(D2073,8)="Negative"),0,IF(COUNTIFS($B$2:B2073,B2073,$C$2:C2073,C2073,$D$2:D2073,"&lt;&gt;Negative*",$T$2:T2073,"&lt;&gt;Retracted")=1,1,0))</f>
        <v>1</v>
      </c>
    </row>
    <row r="2074" spans="1:21" x14ac:dyDescent="0.2">
      <c r="A2074" t="s">
        <v>4254</v>
      </c>
      <c r="B2074" t="s">
        <v>824</v>
      </c>
      <c r="C2074" t="s">
        <v>1148</v>
      </c>
      <c r="D2074" t="s">
        <v>1613</v>
      </c>
      <c r="E2074" t="s">
        <v>825</v>
      </c>
      <c r="F2074" t="s">
        <v>1583</v>
      </c>
      <c r="I2074" t="s">
        <v>1058</v>
      </c>
      <c r="K2074">
        <v>1907</v>
      </c>
      <c r="L2074">
        <v>1941</v>
      </c>
      <c r="M2074" t="s">
        <v>209</v>
      </c>
      <c r="N2074" t="s">
        <v>203</v>
      </c>
      <c r="Q2074" s="2" t="str">
        <f>IF($C2074="","",IFERROR(VLOOKUP($C2074,sources!$A$2:$N$200,2,FALSE()),"?"))</f>
        <v>Report</v>
      </c>
      <c r="R2074" s="2" t="str">
        <f t="shared" si="32"/>
        <v>Textual</v>
      </c>
      <c r="S2074" s="2" t="str">
        <f>IF($C2074="","",IFERROR(VLOOKUP($C2074,sources!$A$2:$N$200,9,FALSE()),"?"))</f>
        <v>US official</v>
      </c>
      <c r="T2074" t="s">
        <v>5692</v>
      </c>
      <c r="U2074">
        <f>IF(OR(B2074="",C2074="",T2074="Retracted",LEFT(D2074,8)="Negative"),0,IF(COUNTIFS($B$2:B2074,B2074,$C$2:C2074,C2074,$D$2:D2074,"&lt;&gt;Negative*",$T$2:T2074,"&lt;&gt;Retracted")=1,1,0))</f>
        <v>0</v>
      </c>
    </row>
    <row r="2075" spans="1:21" x14ac:dyDescent="0.2">
      <c r="A2075" t="s">
        <v>4255</v>
      </c>
      <c r="B2075" t="s">
        <v>828</v>
      </c>
      <c r="C2075" t="s">
        <v>1148</v>
      </c>
      <c r="D2075" t="s">
        <v>1575</v>
      </c>
      <c r="E2075" t="s">
        <v>829</v>
      </c>
      <c r="F2075" t="s">
        <v>1583</v>
      </c>
      <c r="I2075" t="s">
        <v>1058</v>
      </c>
      <c r="K2075">
        <v>1917</v>
      </c>
      <c r="L2075">
        <v>1929</v>
      </c>
      <c r="M2075" t="s">
        <v>209</v>
      </c>
      <c r="N2075" t="s">
        <v>203</v>
      </c>
      <c r="Q2075" s="2" t="str">
        <f>IF($C2075="","",IFERROR(VLOOKUP($C2075,sources!$A$2:$N$200,2,FALSE()),"?"))</f>
        <v>Report</v>
      </c>
      <c r="R2075" s="2" t="str">
        <f t="shared" si="32"/>
        <v>Textual</v>
      </c>
      <c r="S2075" s="2" t="str">
        <f>IF($C2075="","",IFERROR(VLOOKUP($C2075,sources!$A$2:$N$200,9,FALSE()),"?"))</f>
        <v>US official</v>
      </c>
      <c r="T2075" t="s">
        <v>5692</v>
      </c>
      <c r="U2075">
        <f>IF(OR(B2075="",C2075="",T2075="Retracted",LEFT(D2075,8)="Negative"),0,IF(COUNTIFS($B$2:B2075,B2075,$C$2:C2075,C2075,$D$2:D2075,"&lt;&gt;Negative*",$T$2:T2075,"&lt;&gt;Retracted")=1,1,0))</f>
        <v>1</v>
      </c>
    </row>
    <row r="2076" spans="1:21" x14ac:dyDescent="0.2">
      <c r="A2076" t="s">
        <v>4256</v>
      </c>
      <c r="B2076" t="s">
        <v>832</v>
      </c>
      <c r="C2076" t="s">
        <v>1148</v>
      </c>
      <c r="D2076" t="s">
        <v>1613</v>
      </c>
      <c r="E2076" t="s">
        <v>833</v>
      </c>
      <c r="F2076" t="s">
        <v>1583</v>
      </c>
      <c r="I2076" t="s">
        <v>1058</v>
      </c>
      <c r="K2076">
        <v>1907</v>
      </c>
      <c r="L2076">
        <v>1941</v>
      </c>
      <c r="M2076" t="s">
        <v>209</v>
      </c>
      <c r="N2076" t="s">
        <v>203</v>
      </c>
      <c r="Q2076" s="2" t="str">
        <f>IF($C2076="","",IFERROR(VLOOKUP($C2076,sources!$A$2:$N$200,2,FALSE()),"?"))</f>
        <v>Report</v>
      </c>
      <c r="R2076" s="2" t="str">
        <f t="shared" si="32"/>
        <v>Textual</v>
      </c>
      <c r="S2076" s="2" t="str">
        <f>IF($C2076="","",IFERROR(VLOOKUP($C2076,sources!$A$2:$N$200,9,FALSE()),"?"))</f>
        <v>US official</v>
      </c>
      <c r="T2076" t="s">
        <v>5692</v>
      </c>
      <c r="U2076">
        <f>IF(OR(B2076="",C2076="",T2076="Retracted",LEFT(D2076,8)="Negative"),0,IF(COUNTIFS($B$2:B2076,B2076,$C$2:C2076,C2076,$D$2:D2076,"&lt;&gt;Negative*",$T$2:T2076,"&lt;&gt;Retracted")=1,1,0))</f>
        <v>0</v>
      </c>
    </row>
    <row r="2077" spans="1:21" x14ac:dyDescent="0.2">
      <c r="A2077" t="s">
        <v>4257</v>
      </c>
      <c r="B2077" t="s">
        <v>852</v>
      </c>
      <c r="C2077" t="s">
        <v>1148</v>
      </c>
      <c r="D2077" t="s">
        <v>1613</v>
      </c>
      <c r="E2077" t="s">
        <v>853</v>
      </c>
      <c r="F2077" t="s">
        <v>1583</v>
      </c>
      <c r="I2077" t="s">
        <v>1058</v>
      </c>
      <c r="K2077">
        <v>1907</v>
      </c>
      <c r="L2077">
        <v>1941</v>
      </c>
      <c r="M2077" t="s">
        <v>209</v>
      </c>
      <c r="N2077" t="s">
        <v>209</v>
      </c>
      <c r="Q2077" s="2" t="str">
        <f>IF($C2077="","",IFERROR(VLOOKUP($C2077,sources!$A$2:$N$200,2,FALSE()),"?"))</f>
        <v>Report</v>
      </c>
      <c r="R2077" s="2" t="str">
        <f t="shared" si="32"/>
        <v>Textual</v>
      </c>
      <c r="S2077" s="2" t="str">
        <f>IF($C2077="","",IFERROR(VLOOKUP($C2077,sources!$A$2:$N$200,9,FALSE()),"?"))</f>
        <v>US official</v>
      </c>
      <c r="T2077" t="s">
        <v>5692</v>
      </c>
      <c r="U2077">
        <f>IF(OR(B2077="",C2077="",T2077="Retracted",LEFT(D2077,8)="Negative"),0,IF(COUNTIFS($B$2:B2077,B2077,$C$2:C2077,C2077,$D$2:D2077,"&lt;&gt;Negative*",$T$2:T2077,"&lt;&gt;Retracted")=1,1,0))</f>
        <v>0</v>
      </c>
    </row>
    <row r="2078" spans="1:21" x14ac:dyDescent="0.2">
      <c r="A2078" t="s">
        <v>4258</v>
      </c>
      <c r="B2078" t="s">
        <v>1008</v>
      </c>
      <c r="C2078" t="s">
        <v>1148</v>
      </c>
      <c r="D2078" t="s">
        <v>1613</v>
      </c>
      <c r="E2078" t="s">
        <v>4259</v>
      </c>
      <c r="F2078" t="s">
        <v>1583</v>
      </c>
      <c r="I2078" t="s">
        <v>1058</v>
      </c>
      <c r="K2078">
        <v>1907</v>
      </c>
      <c r="L2078">
        <v>1941</v>
      </c>
      <c r="M2078" t="s">
        <v>209</v>
      </c>
      <c r="N2078" t="s">
        <v>190</v>
      </c>
      <c r="Q2078" s="2" t="str">
        <f>IF($C2078="","",IFERROR(VLOOKUP($C2078,sources!$A$2:$N$200,2,FALSE()),"?"))</f>
        <v>Report</v>
      </c>
      <c r="R2078" s="2" t="str">
        <f t="shared" si="32"/>
        <v>Textual</v>
      </c>
      <c r="S2078" s="2" t="str">
        <f>IF($C2078="","",IFERROR(VLOOKUP($C2078,sources!$A$2:$N$200,9,FALSE()),"?"))</f>
        <v>US official</v>
      </c>
      <c r="T2078" t="s">
        <v>5693</v>
      </c>
      <c r="U2078">
        <f>IF(OR(B2078="",C2078="",T2078="Retracted",LEFT(D2078,8)="Negative"),0,IF(COUNTIFS($B$2:B2078,B2078,$C$2:C2078,C2078,$D$2:D2078,"&lt;&gt;Negative*",$T$2:T2078,"&lt;&gt;Retracted")=1,1,0))</f>
        <v>0</v>
      </c>
    </row>
    <row r="2079" spans="1:21" x14ac:dyDescent="0.2">
      <c r="A2079" t="s">
        <v>4260</v>
      </c>
      <c r="B2079" t="s">
        <v>860</v>
      </c>
      <c r="C2079" t="s">
        <v>1148</v>
      </c>
      <c r="D2079" t="s">
        <v>1575</v>
      </c>
      <c r="E2079" t="s">
        <v>3322</v>
      </c>
      <c r="F2079" t="s">
        <v>1583</v>
      </c>
      <c r="I2079" t="s">
        <v>1058</v>
      </c>
      <c r="K2079">
        <v>1909</v>
      </c>
      <c r="L2079">
        <v>1915</v>
      </c>
      <c r="M2079" t="s">
        <v>209</v>
      </c>
      <c r="N2079" t="s">
        <v>203</v>
      </c>
      <c r="Q2079" s="2" t="str">
        <f>IF($C2079="","",IFERROR(VLOOKUP($C2079,sources!$A$2:$N$200,2,FALSE()),"?"))</f>
        <v>Report</v>
      </c>
      <c r="R2079" s="2" t="str">
        <f t="shared" si="32"/>
        <v>Textual</v>
      </c>
      <c r="S2079" s="2" t="str">
        <f>IF($C2079="","",IFERROR(VLOOKUP($C2079,sources!$A$2:$N$200,9,FALSE()),"?"))</f>
        <v>US official</v>
      </c>
      <c r="T2079" t="s">
        <v>5692</v>
      </c>
      <c r="U2079">
        <f>IF(OR(B2079="",C2079="",T2079="Retracted",LEFT(D2079,8)="Negative"),0,IF(COUNTIFS($B$2:B2079,B2079,$C$2:C2079,C2079,$D$2:D2079,"&lt;&gt;Negative*",$T$2:T2079,"&lt;&gt;Retracted")=1,1,0))</f>
        <v>1</v>
      </c>
    </row>
    <row r="2080" spans="1:21" x14ac:dyDescent="0.2">
      <c r="A2080" t="s">
        <v>4261</v>
      </c>
      <c r="B2080" t="s">
        <v>865</v>
      </c>
      <c r="C2080" t="s">
        <v>1148</v>
      </c>
      <c r="D2080" t="s">
        <v>1613</v>
      </c>
      <c r="E2080" t="s">
        <v>3324</v>
      </c>
      <c r="F2080" t="s">
        <v>1583</v>
      </c>
      <c r="I2080" t="s">
        <v>1058</v>
      </c>
      <c r="K2080">
        <v>1907</v>
      </c>
      <c r="L2080">
        <v>1941</v>
      </c>
      <c r="M2080" t="s">
        <v>209</v>
      </c>
      <c r="N2080" t="s">
        <v>203</v>
      </c>
      <c r="Q2080" s="2" t="str">
        <f>IF($C2080="","",IFERROR(VLOOKUP($C2080,sources!$A$2:$N$200,2,FALSE()),"?"))</f>
        <v>Report</v>
      </c>
      <c r="R2080" s="2" t="str">
        <f t="shared" si="32"/>
        <v>Textual</v>
      </c>
      <c r="S2080" s="2" t="str">
        <f>IF($C2080="","",IFERROR(VLOOKUP($C2080,sources!$A$2:$N$200,9,FALSE()),"?"))</f>
        <v>US official</v>
      </c>
      <c r="T2080" t="s">
        <v>5692</v>
      </c>
      <c r="U2080">
        <f>IF(OR(B2080="",C2080="",T2080="Retracted",LEFT(D2080,8)="Negative"),0,IF(COUNTIFS($B$2:B2080,B2080,$C$2:C2080,C2080,$D$2:D2080,"&lt;&gt;Negative*",$T$2:T2080,"&lt;&gt;Retracted")=1,1,0))</f>
        <v>0</v>
      </c>
    </row>
    <row r="2081" spans="1:21" x14ac:dyDescent="0.2">
      <c r="A2081" t="s">
        <v>4262</v>
      </c>
      <c r="B2081" t="s">
        <v>876</v>
      </c>
      <c r="C2081" t="s">
        <v>1148</v>
      </c>
      <c r="D2081" t="s">
        <v>1575</v>
      </c>
      <c r="E2081" t="s">
        <v>4263</v>
      </c>
      <c r="F2081" t="s">
        <v>1583</v>
      </c>
      <c r="I2081" t="s">
        <v>1058</v>
      </c>
      <c r="K2081">
        <v>1907</v>
      </c>
      <c r="L2081">
        <v>1914</v>
      </c>
      <c r="M2081" t="s">
        <v>209</v>
      </c>
      <c r="N2081" t="s">
        <v>203</v>
      </c>
      <c r="Q2081" s="2" t="str">
        <f>IF($C2081="","",IFERROR(VLOOKUP($C2081,sources!$A$2:$N$200,2,FALSE()),"?"))</f>
        <v>Report</v>
      </c>
      <c r="R2081" s="2" t="str">
        <f t="shared" si="32"/>
        <v>Textual</v>
      </c>
      <c r="S2081" s="2" t="str">
        <f>IF($C2081="","",IFERROR(VLOOKUP($C2081,sources!$A$2:$N$200,9,FALSE()),"?"))</f>
        <v>US official</v>
      </c>
      <c r="T2081" t="s">
        <v>5692</v>
      </c>
      <c r="U2081">
        <f>IF(OR(B2081="",C2081="",T2081="Retracted",LEFT(D2081,8)="Negative"),0,IF(COUNTIFS($B$2:B2081,B2081,$C$2:C2081,C2081,$D$2:D2081,"&lt;&gt;Negative*",$T$2:T2081,"&lt;&gt;Retracted")=1,1,0))</f>
        <v>1</v>
      </c>
    </row>
    <row r="2082" spans="1:21" x14ac:dyDescent="0.2">
      <c r="A2082" t="s">
        <v>4264</v>
      </c>
      <c r="B2082" t="s">
        <v>888</v>
      </c>
      <c r="C2082" t="s">
        <v>1148</v>
      </c>
      <c r="D2082" t="s">
        <v>1564</v>
      </c>
      <c r="E2082" t="s">
        <v>4265</v>
      </c>
      <c r="F2082" t="s">
        <v>1583</v>
      </c>
      <c r="I2082" t="s">
        <v>1058</v>
      </c>
      <c r="K2082">
        <v>1912</v>
      </c>
      <c r="L2082">
        <v>1913</v>
      </c>
      <c r="M2082" t="s">
        <v>209</v>
      </c>
      <c r="N2082" t="s">
        <v>203</v>
      </c>
      <c r="Q2082" s="2" t="str">
        <f>IF($C2082="","",IFERROR(VLOOKUP($C2082,sources!$A$2:$N$200,2,FALSE()),"?"))</f>
        <v>Report</v>
      </c>
      <c r="R2082" s="2" t="str">
        <f t="shared" si="32"/>
        <v>Textual</v>
      </c>
      <c r="S2082" s="2" t="str">
        <f>IF($C2082="","",IFERROR(VLOOKUP($C2082,sources!$A$2:$N$200,9,FALSE()),"?"))</f>
        <v>US official</v>
      </c>
      <c r="T2082" t="s">
        <v>5692</v>
      </c>
      <c r="U2082">
        <f>IF(OR(B2082="",C2082="",T2082="Retracted",LEFT(D2082,8)="Negative"),0,IF(COUNTIFS($B$2:B2082,B2082,$C$2:C2082,C2082,$D$2:D2082,"&lt;&gt;Negative*",$T$2:T2082,"&lt;&gt;Retracted")=1,1,0))</f>
        <v>1</v>
      </c>
    </row>
    <row r="2083" spans="1:21" x14ac:dyDescent="0.2">
      <c r="A2083" t="s">
        <v>4266</v>
      </c>
      <c r="B2083" t="s">
        <v>892</v>
      </c>
      <c r="C2083" t="s">
        <v>1148</v>
      </c>
      <c r="D2083" t="s">
        <v>1613</v>
      </c>
      <c r="E2083" t="s">
        <v>893</v>
      </c>
      <c r="F2083" t="s">
        <v>1583</v>
      </c>
      <c r="I2083" t="s">
        <v>1058</v>
      </c>
      <c r="K2083">
        <v>1907</v>
      </c>
      <c r="L2083">
        <v>1941</v>
      </c>
      <c r="M2083" t="s">
        <v>209</v>
      </c>
      <c r="N2083" t="s">
        <v>209</v>
      </c>
      <c r="Q2083" s="2" t="str">
        <f>IF($C2083="","",IFERROR(VLOOKUP($C2083,sources!$A$2:$N$200,2,FALSE()),"?"))</f>
        <v>Report</v>
      </c>
      <c r="R2083" s="2" t="str">
        <f t="shared" si="32"/>
        <v>Textual</v>
      </c>
      <c r="S2083" s="2" t="str">
        <f>IF($C2083="","",IFERROR(VLOOKUP($C2083,sources!$A$2:$N$200,9,FALSE()),"?"))</f>
        <v>US official</v>
      </c>
      <c r="T2083" t="s">
        <v>5692</v>
      </c>
      <c r="U2083">
        <f>IF(OR(B2083="",C2083="",T2083="Retracted",LEFT(D2083,8)="Negative"),0,IF(COUNTIFS($B$2:B2083,B2083,$C$2:C2083,C2083,$D$2:D2083,"&lt;&gt;Negative*",$T$2:T2083,"&lt;&gt;Retracted")=1,1,0))</f>
        <v>0</v>
      </c>
    </row>
    <row r="2084" spans="1:21" x14ac:dyDescent="0.2">
      <c r="A2084" t="s">
        <v>4267</v>
      </c>
      <c r="B2084" t="s">
        <v>896</v>
      </c>
      <c r="C2084" t="s">
        <v>1148</v>
      </c>
      <c r="D2084" t="s">
        <v>1613</v>
      </c>
      <c r="E2084" t="s">
        <v>897</v>
      </c>
      <c r="F2084" t="s">
        <v>1583</v>
      </c>
      <c r="I2084" t="s">
        <v>1058</v>
      </c>
      <c r="K2084">
        <v>1907</v>
      </c>
      <c r="L2084">
        <v>1941</v>
      </c>
      <c r="M2084" t="s">
        <v>209</v>
      </c>
      <c r="N2084" t="s">
        <v>203</v>
      </c>
      <c r="Q2084" s="2" t="str">
        <f>IF($C2084="","",IFERROR(VLOOKUP($C2084,sources!$A$2:$N$200,2,FALSE()),"?"))</f>
        <v>Report</v>
      </c>
      <c r="R2084" s="2" t="str">
        <f t="shared" si="32"/>
        <v>Textual</v>
      </c>
      <c r="S2084" s="2" t="str">
        <f>IF($C2084="","",IFERROR(VLOOKUP($C2084,sources!$A$2:$N$200,9,FALSE()),"?"))</f>
        <v>US official</v>
      </c>
      <c r="T2084" t="s">
        <v>5692</v>
      </c>
      <c r="U2084">
        <f>IF(OR(B2084="",C2084="",T2084="Retracted",LEFT(D2084,8)="Negative"),0,IF(COUNTIFS($B$2:B2084,B2084,$C$2:C2084,C2084,$D$2:D2084,"&lt;&gt;Negative*",$T$2:T2084,"&lt;&gt;Retracted")=1,1,0))</f>
        <v>0</v>
      </c>
    </row>
    <row r="2085" spans="1:21" x14ac:dyDescent="0.2">
      <c r="A2085" t="s">
        <v>4268</v>
      </c>
      <c r="B2085" t="s">
        <v>899</v>
      </c>
      <c r="C2085" t="s">
        <v>1148</v>
      </c>
      <c r="D2085" t="s">
        <v>1564</v>
      </c>
      <c r="E2085" t="s">
        <v>4269</v>
      </c>
      <c r="F2085" t="s">
        <v>1583</v>
      </c>
      <c r="I2085" t="s">
        <v>1058</v>
      </c>
      <c r="K2085">
        <v>1917</v>
      </c>
      <c r="L2085">
        <v>1917</v>
      </c>
      <c r="M2085" t="s">
        <v>209</v>
      </c>
      <c r="N2085" t="s">
        <v>203</v>
      </c>
      <c r="Q2085" s="2" t="str">
        <f>IF($C2085="","",IFERROR(VLOOKUP($C2085,sources!$A$2:$N$200,2,FALSE()),"?"))</f>
        <v>Report</v>
      </c>
      <c r="R2085" s="2" t="str">
        <f t="shared" si="32"/>
        <v>Textual</v>
      </c>
      <c r="S2085" s="2" t="str">
        <f>IF($C2085="","",IFERROR(VLOOKUP($C2085,sources!$A$2:$N$200,9,FALSE()),"?"))</f>
        <v>US official</v>
      </c>
      <c r="T2085" t="s">
        <v>5692</v>
      </c>
      <c r="U2085">
        <f>IF(OR(B2085="",C2085="",T2085="Retracted",LEFT(D2085,8)="Negative"),0,IF(COUNTIFS($B$2:B2085,B2085,$C$2:C2085,C2085,$D$2:D2085,"&lt;&gt;Negative*",$T$2:T2085,"&lt;&gt;Retracted")=1,1,0))</f>
        <v>1</v>
      </c>
    </row>
    <row r="2086" spans="1:21" x14ac:dyDescent="0.2">
      <c r="A2086" t="s">
        <v>4270</v>
      </c>
      <c r="B2086" t="s">
        <v>902</v>
      </c>
      <c r="C2086" t="s">
        <v>1148</v>
      </c>
      <c r="D2086" t="s">
        <v>1564</v>
      </c>
      <c r="E2086" t="s">
        <v>4271</v>
      </c>
      <c r="F2086" t="s">
        <v>1583</v>
      </c>
      <c r="I2086" t="s">
        <v>1058</v>
      </c>
      <c r="K2086">
        <v>1908</v>
      </c>
      <c r="L2086">
        <v>1913</v>
      </c>
      <c r="M2086" t="s">
        <v>209</v>
      </c>
      <c r="N2086" t="s">
        <v>203</v>
      </c>
      <c r="Q2086" s="2" t="str">
        <f>IF($C2086="","",IFERROR(VLOOKUP($C2086,sources!$A$2:$N$200,2,FALSE()),"?"))</f>
        <v>Report</v>
      </c>
      <c r="R2086" s="2" t="str">
        <f t="shared" si="32"/>
        <v>Textual</v>
      </c>
      <c r="S2086" s="2" t="str">
        <f>IF($C2086="","",IFERROR(VLOOKUP($C2086,sources!$A$2:$N$200,9,FALSE()),"?"))</f>
        <v>US official</v>
      </c>
      <c r="T2086" t="s">
        <v>5692</v>
      </c>
      <c r="U2086">
        <f>IF(OR(B2086="",C2086="",T2086="Retracted",LEFT(D2086,8)="Negative"),0,IF(COUNTIFS($B$2:B2086,B2086,$C$2:C2086,C2086,$D$2:D2086,"&lt;&gt;Negative*",$T$2:T2086,"&lt;&gt;Retracted")=1,1,0))</f>
        <v>0</v>
      </c>
    </row>
    <row r="2087" spans="1:21" x14ac:dyDescent="0.2">
      <c r="A2087" t="s">
        <v>4272</v>
      </c>
      <c r="B2087" t="s">
        <v>906</v>
      </c>
      <c r="C2087" t="s">
        <v>1148</v>
      </c>
      <c r="D2087" t="s">
        <v>1613</v>
      </c>
      <c r="E2087" t="s">
        <v>908</v>
      </c>
      <c r="F2087" t="s">
        <v>1583</v>
      </c>
      <c r="I2087" t="s">
        <v>1058</v>
      </c>
      <c r="K2087">
        <v>1907</v>
      </c>
      <c r="L2087">
        <v>1941</v>
      </c>
      <c r="M2087" t="s">
        <v>209</v>
      </c>
      <c r="N2087" t="s">
        <v>203</v>
      </c>
      <c r="Q2087" s="2" t="str">
        <f>IF($C2087="","",IFERROR(VLOOKUP($C2087,sources!$A$2:$N$200,2,FALSE()),"?"))</f>
        <v>Report</v>
      </c>
      <c r="R2087" s="2" t="str">
        <f t="shared" si="32"/>
        <v>Textual</v>
      </c>
      <c r="S2087" s="2" t="str">
        <f>IF($C2087="","",IFERROR(VLOOKUP($C2087,sources!$A$2:$N$200,9,FALSE()),"?"))</f>
        <v>US official</v>
      </c>
      <c r="T2087" t="s">
        <v>5692</v>
      </c>
      <c r="U2087">
        <f>IF(OR(B2087="",C2087="",T2087="Retracted",LEFT(D2087,8)="Negative"),0,IF(COUNTIFS($B$2:B2087,B2087,$C$2:C2087,C2087,$D$2:D2087,"&lt;&gt;Negative*",$T$2:T2087,"&lt;&gt;Retracted")=1,1,0))</f>
        <v>0</v>
      </c>
    </row>
    <row r="2088" spans="1:21" x14ac:dyDescent="0.2">
      <c r="A2088" t="s">
        <v>4273</v>
      </c>
      <c r="B2088" t="s">
        <v>910</v>
      </c>
      <c r="C2088" t="s">
        <v>1148</v>
      </c>
      <c r="D2088" t="s">
        <v>1613</v>
      </c>
      <c r="E2088" t="s">
        <v>4274</v>
      </c>
      <c r="F2088" t="s">
        <v>1583</v>
      </c>
      <c r="I2088" t="s">
        <v>1058</v>
      </c>
      <c r="K2088">
        <v>1907</v>
      </c>
      <c r="L2088">
        <v>1941</v>
      </c>
      <c r="M2088" t="s">
        <v>209</v>
      </c>
      <c r="N2088" t="s">
        <v>203</v>
      </c>
      <c r="Q2088" s="2" t="str">
        <f>IF($C2088="","",IFERROR(VLOOKUP($C2088,sources!$A$2:$N$200,2,FALSE()),"?"))</f>
        <v>Report</v>
      </c>
      <c r="R2088" s="2" t="str">
        <f t="shared" si="32"/>
        <v>Textual</v>
      </c>
      <c r="S2088" s="2" t="str">
        <f>IF($C2088="","",IFERROR(VLOOKUP($C2088,sources!$A$2:$N$200,9,FALSE()),"?"))</f>
        <v>US official</v>
      </c>
      <c r="T2088" t="s">
        <v>5692</v>
      </c>
      <c r="U2088">
        <f>IF(OR(B2088="",C2088="",T2088="Retracted",LEFT(D2088,8)="Negative"),0,IF(COUNTIFS($B$2:B2088,B2088,$C$2:C2088,C2088,$D$2:D2088,"&lt;&gt;Negative*",$T$2:T2088,"&lt;&gt;Retracted")=1,1,0))</f>
        <v>0</v>
      </c>
    </row>
    <row r="2089" spans="1:21" x14ac:dyDescent="0.2">
      <c r="A2089" t="s">
        <v>4275</v>
      </c>
      <c r="B2089" t="s">
        <v>914</v>
      </c>
      <c r="C2089" t="s">
        <v>1148</v>
      </c>
      <c r="D2089" t="s">
        <v>1613</v>
      </c>
      <c r="E2089" t="s">
        <v>915</v>
      </c>
      <c r="F2089" t="s">
        <v>1583</v>
      </c>
      <c r="I2089" t="s">
        <v>1058</v>
      </c>
      <c r="K2089">
        <v>1907</v>
      </c>
      <c r="L2089">
        <v>1941</v>
      </c>
      <c r="M2089" t="s">
        <v>209</v>
      </c>
      <c r="N2089" t="s">
        <v>203</v>
      </c>
      <c r="Q2089" s="2" t="str">
        <f>IF($C2089="","",IFERROR(VLOOKUP($C2089,sources!$A$2:$N$200,2,FALSE()),"?"))</f>
        <v>Report</v>
      </c>
      <c r="R2089" s="2" t="str">
        <f t="shared" si="32"/>
        <v>Textual</v>
      </c>
      <c r="S2089" s="2" t="str">
        <f>IF($C2089="","",IFERROR(VLOOKUP($C2089,sources!$A$2:$N$200,9,FALSE()),"?"))</f>
        <v>US official</v>
      </c>
      <c r="T2089" t="s">
        <v>5692</v>
      </c>
      <c r="U2089">
        <f>IF(OR(B2089="",C2089="",T2089="Retracted",LEFT(D2089,8)="Negative"),0,IF(COUNTIFS($B$2:B2089,B2089,$C$2:C2089,C2089,$D$2:D2089,"&lt;&gt;Negative*",$T$2:T2089,"&lt;&gt;Retracted")=1,1,0))</f>
        <v>0</v>
      </c>
    </row>
    <row r="2090" spans="1:21" x14ac:dyDescent="0.2">
      <c r="A2090" t="s">
        <v>4276</v>
      </c>
      <c r="B2090" t="s">
        <v>917</v>
      </c>
      <c r="C2090" t="s">
        <v>1148</v>
      </c>
      <c r="D2090" t="s">
        <v>1564</v>
      </c>
      <c r="E2090" t="s">
        <v>4277</v>
      </c>
      <c r="F2090" t="s">
        <v>1583</v>
      </c>
      <c r="I2090" t="s">
        <v>1058</v>
      </c>
      <c r="K2090">
        <v>1913</v>
      </c>
      <c r="L2090">
        <v>1914</v>
      </c>
      <c r="M2090" t="s">
        <v>209</v>
      </c>
      <c r="N2090" t="s">
        <v>203</v>
      </c>
      <c r="Q2090" s="2" t="str">
        <f>IF($C2090="","",IFERROR(VLOOKUP($C2090,sources!$A$2:$N$200,2,FALSE()),"?"))</f>
        <v>Report</v>
      </c>
      <c r="R2090" s="2" t="str">
        <f t="shared" si="32"/>
        <v>Textual</v>
      </c>
      <c r="S2090" s="2" t="str">
        <f>IF($C2090="","",IFERROR(VLOOKUP($C2090,sources!$A$2:$N$200,9,FALSE()),"?"))</f>
        <v>US official</v>
      </c>
      <c r="T2090" t="s">
        <v>5692</v>
      </c>
      <c r="U2090">
        <f>IF(OR(B2090="",C2090="",T2090="Retracted",LEFT(D2090,8)="Negative"),0,IF(COUNTIFS($B$2:B2090,B2090,$C$2:C2090,C2090,$D$2:D2090,"&lt;&gt;Negative*",$T$2:T2090,"&lt;&gt;Retracted")=1,1,0))</f>
        <v>1</v>
      </c>
    </row>
    <row r="2091" spans="1:21" x14ac:dyDescent="0.2">
      <c r="A2091" t="s">
        <v>4278</v>
      </c>
      <c r="B2091" t="s">
        <v>920</v>
      </c>
      <c r="C2091" t="s">
        <v>1148</v>
      </c>
      <c r="D2091" t="s">
        <v>1564</v>
      </c>
      <c r="E2091" t="s">
        <v>4279</v>
      </c>
      <c r="F2091" t="s">
        <v>1583</v>
      </c>
      <c r="I2091" t="s">
        <v>1058</v>
      </c>
      <c r="K2091">
        <v>1907</v>
      </c>
      <c r="L2091">
        <v>1941</v>
      </c>
      <c r="M2091" t="s">
        <v>209</v>
      </c>
      <c r="N2091" t="s">
        <v>203</v>
      </c>
      <c r="Q2091" s="2" t="str">
        <f>IF($C2091="","",IFERROR(VLOOKUP($C2091,sources!$A$2:$N$200,2,FALSE()),"?"))</f>
        <v>Report</v>
      </c>
      <c r="R2091" s="2" t="str">
        <f t="shared" si="32"/>
        <v>Textual</v>
      </c>
      <c r="S2091" s="2" t="str">
        <f>IF($C2091="","",IFERROR(VLOOKUP($C2091,sources!$A$2:$N$200,9,FALSE()),"?"))</f>
        <v>US official</v>
      </c>
      <c r="T2091" t="s">
        <v>5692</v>
      </c>
      <c r="U2091">
        <f>IF(OR(B2091="",C2091="",T2091="Retracted",LEFT(D2091,8)="Negative"),0,IF(COUNTIFS($B$2:B2091,B2091,$C$2:C2091,C2091,$D$2:D2091,"&lt;&gt;Negative*",$T$2:T2091,"&lt;&gt;Retracted")=1,1,0))</f>
        <v>1</v>
      </c>
    </row>
    <row r="2092" spans="1:21" x14ac:dyDescent="0.2">
      <c r="A2092" t="s">
        <v>4280</v>
      </c>
      <c r="B2092" t="s">
        <v>924</v>
      </c>
      <c r="C2092" t="s">
        <v>1148</v>
      </c>
      <c r="D2092" t="s">
        <v>1613</v>
      </c>
      <c r="E2092" t="s">
        <v>4281</v>
      </c>
      <c r="F2092" t="s">
        <v>1583</v>
      </c>
      <c r="I2092" t="s">
        <v>1058</v>
      </c>
      <c r="K2092">
        <v>1907</v>
      </c>
      <c r="L2092">
        <v>1941</v>
      </c>
      <c r="M2092" t="s">
        <v>209</v>
      </c>
      <c r="N2092" t="s">
        <v>203</v>
      </c>
      <c r="Q2092" s="2" t="str">
        <f>IF($C2092="","",IFERROR(VLOOKUP($C2092,sources!$A$2:$N$200,2,FALSE()),"?"))</f>
        <v>Report</v>
      </c>
      <c r="R2092" s="2" t="str">
        <f t="shared" si="32"/>
        <v>Textual</v>
      </c>
      <c r="S2092" s="2" t="str">
        <f>IF($C2092="","",IFERROR(VLOOKUP($C2092,sources!$A$2:$N$200,9,FALSE()),"?"))</f>
        <v>US official</v>
      </c>
      <c r="T2092" t="s">
        <v>5692</v>
      </c>
      <c r="U2092">
        <f>IF(OR(B2092="",C2092="",T2092="Retracted",LEFT(D2092,8)="Negative"),0,IF(COUNTIFS($B$2:B2092,B2092,$C$2:C2092,C2092,$D$2:D2092,"&lt;&gt;Negative*",$T$2:T2092,"&lt;&gt;Retracted")=1,1,0))</f>
        <v>0</v>
      </c>
    </row>
    <row r="2093" spans="1:21" x14ac:dyDescent="0.2">
      <c r="A2093" t="s">
        <v>4282</v>
      </c>
      <c r="B2093" t="s">
        <v>932</v>
      </c>
      <c r="C2093" t="s">
        <v>1148</v>
      </c>
      <c r="D2093" t="s">
        <v>1575</v>
      </c>
      <c r="E2093" t="s">
        <v>934</v>
      </c>
      <c r="F2093" t="s">
        <v>1583</v>
      </c>
      <c r="I2093" t="s">
        <v>1058</v>
      </c>
      <c r="K2093">
        <v>1914</v>
      </c>
      <c r="L2093">
        <v>1914</v>
      </c>
      <c r="M2093" t="s">
        <v>209</v>
      </c>
      <c r="N2093" t="s">
        <v>203</v>
      </c>
      <c r="Q2093" s="2" t="str">
        <f>IF($C2093="","",IFERROR(VLOOKUP($C2093,sources!$A$2:$N$200,2,FALSE()),"?"))</f>
        <v>Report</v>
      </c>
      <c r="R2093" s="2" t="str">
        <f t="shared" si="32"/>
        <v>Textual</v>
      </c>
      <c r="S2093" s="2" t="str">
        <f>IF($C2093="","",IFERROR(VLOOKUP($C2093,sources!$A$2:$N$200,9,FALSE()),"?"))</f>
        <v>US official</v>
      </c>
      <c r="T2093" t="s">
        <v>5692</v>
      </c>
      <c r="U2093">
        <f>IF(OR(B2093="",C2093="",T2093="Retracted",LEFT(D2093,8)="Negative"),0,IF(COUNTIFS($B$2:B2093,B2093,$C$2:C2093,C2093,$D$2:D2093,"&lt;&gt;Negative*",$T$2:T2093,"&lt;&gt;Retracted")=1,1,0))</f>
        <v>1</v>
      </c>
    </row>
    <row r="2094" spans="1:21" x14ac:dyDescent="0.2">
      <c r="A2094" t="s">
        <v>4283</v>
      </c>
      <c r="B2094" t="s">
        <v>938</v>
      </c>
      <c r="C2094" t="s">
        <v>1148</v>
      </c>
      <c r="D2094" t="s">
        <v>1575</v>
      </c>
      <c r="E2094" t="s">
        <v>939</v>
      </c>
      <c r="F2094" t="s">
        <v>1583</v>
      </c>
      <c r="I2094" t="s">
        <v>1058</v>
      </c>
      <c r="K2094">
        <v>1907</v>
      </c>
      <c r="L2094">
        <v>1911</v>
      </c>
      <c r="M2094" t="s">
        <v>209</v>
      </c>
      <c r="N2094" t="s">
        <v>203</v>
      </c>
      <c r="Q2094" s="2" t="str">
        <f>IF($C2094="","",IFERROR(VLOOKUP($C2094,sources!$A$2:$N$200,2,FALSE()),"?"))</f>
        <v>Report</v>
      </c>
      <c r="R2094" s="2" t="str">
        <f t="shared" si="32"/>
        <v>Textual</v>
      </c>
      <c r="S2094" s="2" t="str">
        <f>IF($C2094="","",IFERROR(VLOOKUP($C2094,sources!$A$2:$N$200,9,FALSE()),"?"))</f>
        <v>US official</v>
      </c>
      <c r="T2094" t="s">
        <v>5692</v>
      </c>
      <c r="U2094">
        <f>IF(OR(B2094="",C2094="",T2094="Retracted",LEFT(D2094,8)="Negative"),0,IF(COUNTIFS($B$2:B2094,B2094,$C$2:C2094,C2094,$D$2:D2094,"&lt;&gt;Negative*",$T$2:T2094,"&lt;&gt;Retracted")=1,1,0))</f>
        <v>1</v>
      </c>
    </row>
    <row r="2095" spans="1:21" x14ac:dyDescent="0.2">
      <c r="A2095" t="s">
        <v>4284</v>
      </c>
      <c r="B2095" t="s">
        <v>943</v>
      </c>
      <c r="C2095" t="s">
        <v>1148</v>
      </c>
      <c r="D2095" t="s">
        <v>1564</v>
      </c>
      <c r="E2095" t="s">
        <v>4033</v>
      </c>
      <c r="F2095" t="s">
        <v>1583</v>
      </c>
      <c r="I2095" t="s">
        <v>1058</v>
      </c>
      <c r="K2095">
        <v>1912</v>
      </c>
      <c r="L2095">
        <v>1915</v>
      </c>
      <c r="M2095" t="s">
        <v>209</v>
      </c>
      <c r="N2095" t="s">
        <v>209</v>
      </c>
      <c r="Q2095" s="2" t="str">
        <f>IF($C2095="","",IFERROR(VLOOKUP($C2095,sources!$A$2:$N$200,2,FALSE()),"?"))</f>
        <v>Report</v>
      </c>
      <c r="R2095" s="2" t="str">
        <f t="shared" si="32"/>
        <v>Textual</v>
      </c>
      <c r="S2095" s="2" t="str">
        <f>IF($C2095="","",IFERROR(VLOOKUP($C2095,sources!$A$2:$N$200,9,FALSE()),"?"))</f>
        <v>US official</v>
      </c>
      <c r="T2095" t="s">
        <v>5692</v>
      </c>
      <c r="U2095">
        <f>IF(OR(B2095="",C2095="",T2095="Retracted",LEFT(D2095,8)="Negative"),0,IF(COUNTIFS($B$2:B2095,B2095,$C$2:C2095,C2095,$D$2:D2095,"&lt;&gt;Negative*",$T$2:T2095,"&lt;&gt;Retracted")=1,1,0))</f>
        <v>1</v>
      </c>
    </row>
    <row r="2096" spans="1:21" x14ac:dyDescent="0.2">
      <c r="A2096" t="s">
        <v>4285</v>
      </c>
      <c r="B2096" t="s">
        <v>947</v>
      </c>
      <c r="C2096" t="s">
        <v>1148</v>
      </c>
      <c r="D2096" t="s">
        <v>1575</v>
      </c>
      <c r="E2096" t="s">
        <v>4286</v>
      </c>
      <c r="F2096" t="s">
        <v>1583</v>
      </c>
      <c r="I2096" t="s">
        <v>1058</v>
      </c>
      <c r="M2096" t="s">
        <v>190</v>
      </c>
      <c r="N2096" t="s">
        <v>209</v>
      </c>
      <c r="Q2096" s="2" t="str">
        <f>IF($C2096="","",IFERROR(VLOOKUP($C2096,sources!$A$2:$N$200,2,FALSE()),"?"))</f>
        <v>Report</v>
      </c>
      <c r="R2096" s="2" t="str">
        <f t="shared" si="32"/>
        <v>Textual</v>
      </c>
      <c r="S2096" s="2" t="str">
        <f>IF($C2096="","",IFERROR(VLOOKUP($C2096,sources!$A$2:$N$200,9,FALSE()),"?"))</f>
        <v>US official</v>
      </c>
      <c r="T2096" t="s">
        <v>5692</v>
      </c>
      <c r="U2096">
        <f>IF(OR(B2096="",C2096="",T2096="Retracted",LEFT(D2096,8)="Negative"),0,IF(COUNTIFS($B$2:B2096,B2096,$C$2:C2096,C2096,$D$2:D2096,"&lt;&gt;Negative*",$T$2:T2096,"&lt;&gt;Retracted")=1,1,0))</f>
        <v>1</v>
      </c>
    </row>
    <row r="2097" spans="1:21" x14ac:dyDescent="0.2">
      <c r="A2097" t="s">
        <v>4287</v>
      </c>
      <c r="B2097" t="s">
        <v>936</v>
      </c>
      <c r="C2097" t="s">
        <v>1148</v>
      </c>
      <c r="D2097" t="s">
        <v>1575</v>
      </c>
      <c r="E2097" t="s">
        <v>4288</v>
      </c>
      <c r="F2097" t="s">
        <v>1583</v>
      </c>
      <c r="I2097" t="s">
        <v>1058</v>
      </c>
      <c r="K2097">
        <v>1908</v>
      </c>
      <c r="L2097">
        <v>1941</v>
      </c>
      <c r="M2097" t="s">
        <v>209</v>
      </c>
      <c r="N2097" t="s">
        <v>203</v>
      </c>
      <c r="Q2097" s="2" t="str">
        <f>IF($C2097="","",IFERROR(VLOOKUP($C2097,sources!$A$2:$N$200,2,FALSE()),"?"))</f>
        <v>Report</v>
      </c>
      <c r="R2097" s="2" t="str">
        <f t="shared" si="32"/>
        <v>Textual</v>
      </c>
      <c r="S2097" s="2" t="str">
        <f>IF($C2097="","",IFERROR(VLOOKUP($C2097,sources!$A$2:$N$200,9,FALSE()),"?"))</f>
        <v>US official</v>
      </c>
      <c r="T2097" t="s">
        <v>5692</v>
      </c>
      <c r="U2097">
        <f>IF(OR(B2097="",C2097="",T2097="Retracted",LEFT(D2097,8)="Negative"),0,IF(COUNTIFS($B$2:B2097,B2097,$C$2:C2097,C2097,$D$2:D2097,"&lt;&gt;Negative*",$T$2:T2097,"&lt;&gt;Retracted")=1,1,0))</f>
        <v>1</v>
      </c>
    </row>
    <row r="2098" spans="1:21" x14ac:dyDescent="0.2">
      <c r="A2098" t="s">
        <v>4289</v>
      </c>
      <c r="B2098" t="s">
        <v>955</v>
      </c>
      <c r="C2098" t="s">
        <v>1148</v>
      </c>
      <c r="D2098" t="s">
        <v>1613</v>
      </c>
      <c r="E2098" t="s">
        <v>4290</v>
      </c>
      <c r="F2098" t="s">
        <v>1583</v>
      </c>
      <c r="I2098" t="s">
        <v>1058</v>
      </c>
      <c r="K2098">
        <v>1907</v>
      </c>
      <c r="L2098">
        <v>1941</v>
      </c>
      <c r="M2098" t="s">
        <v>209</v>
      </c>
      <c r="N2098" t="s">
        <v>203</v>
      </c>
      <c r="Q2098" s="2" t="str">
        <f>IF($C2098="","",IFERROR(VLOOKUP($C2098,sources!$A$2:$N$200,2,FALSE()),"?"))</f>
        <v>Report</v>
      </c>
      <c r="R2098" s="2" t="str">
        <f t="shared" si="32"/>
        <v>Textual</v>
      </c>
      <c r="S2098" s="2" t="str">
        <f>IF($C2098="","",IFERROR(VLOOKUP($C2098,sources!$A$2:$N$200,9,FALSE()),"?"))</f>
        <v>US official</v>
      </c>
      <c r="T2098" t="s">
        <v>5692</v>
      </c>
      <c r="U2098">
        <f>IF(OR(B2098="",C2098="",T2098="Retracted",LEFT(D2098,8)="Negative"),0,IF(COUNTIFS($B$2:B2098,B2098,$C$2:C2098,C2098,$D$2:D2098,"&lt;&gt;Negative*",$T$2:T2098,"&lt;&gt;Retracted")=1,1,0))</f>
        <v>0</v>
      </c>
    </row>
    <row r="2099" spans="1:21" x14ac:dyDescent="0.2">
      <c r="A2099" t="s">
        <v>4291</v>
      </c>
      <c r="B2099" t="s">
        <v>959</v>
      </c>
      <c r="C2099" t="s">
        <v>1148</v>
      </c>
      <c r="D2099" t="s">
        <v>1575</v>
      </c>
      <c r="E2099" t="s">
        <v>4292</v>
      </c>
      <c r="F2099" t="s">
        <v>1583</v>
      </c>
      <c r="I2099" t="s">
        <v>1058</v>
      </c>
      <c r="K2099">
        <v>1906</v>
      </c>
      <c r="L2099">
        <v>1912</v>
      </c>
      <c r="M2099" t="s">
        <v>209</v>
      </c>
      <c r="N2099" t="s">
        <v>203</v>
      </c>
      <c r="Q2099" s="2" t="str">
        <f>IF($C2099="","",IFERROR(VLOOKUP($C2099,sources!$A$2:$N$200,2,FALSE()),"?"))</f>
        <v>Report</v>
      </c>
      <c r="R2099" s="2" t="str">
        <f t="shared" si="32"/>
        <v>Textual</v>
      </c>
      <c r="S2099" s="2" t="str">
        <f>IF($C2099="","",IFERROR(VLOOKUP($C2099,sources!$A$2:$N$200,9,FALSE()),"?"))</f>
        <v>US official</v>
      </c>
      <c r="T2099" t="s">
        <v>5692</v>
      </c>
      <c r="U2099">
        <f>IF(OR(B2099="",C2099="",T2099="Retracted",LEFT(D2099,8)="Negative"),0,IF(COUNTIFS($B$2:B2099,B2099,$C$2:C2099,C2099,$D$2:D2099,"&lt;&gt;Negative*",$T$2:T2099,"&lt;&gt;Retracted")=1,1,0))</f>
        <v>1</v>
      </c>
    </row>
    <row r="2100" spans="1:21" x14ac:dyDescent="0.2">
      <c r="A2100" t="s">
        <v>4293</v>
      </c>
      <c r="B2100" t="s">
        <v>962</v>
      </c>
      <c r="C2100" t="s">
        <v>1148</v>
      </c>
      <c r="D2100" t="s">
        <v>1613</v>
      </c>
      <c r="E2100" t="s">
        <v>963</v>
      </c>
      <c r="F2100" t="s">
        <v>1583</v>
      </c>
      <c r="I2100" t="s">
        <v>1058</v>
      </c>
      <c r="K2100">
        <v>1907</v>
      </c>
      <c r="L2100">
        <v>1941</v>
      </c>
      <c r="M2100" t="s">
        <v>209</v>
      </c>
      <c r="N2100" t="s">
        <v>203</v>
      </c>
      <c r="Q2100" s="2" t="str">
        <f>IF($C2100="","",IFERROR(VLOOKUP($C2100,sources!$A$2:$N$200,2,FALSE()),"?"))</f>
        <v>Report</v>
      </c>
      <c r="R2100" s="2" t="str">
        <f t="shared" si="32"/>
        <v>Textual</v>
      </c>
      <c r="S2100" s="2" t="str">
        <f>IF($C2100="","",IFERROR(VLOOKUP($C2100,sources!$A$2:$N$200,9,FALSE()),"?"))</f>
        <v>US official</v>
      </c>
      <c r="T2100" t="s">
        <v>5692</v>
      </c>
      <c r="U2100">
        <f>IF(OR(B2100="",C2100="",T2100="Retracted",LEFT(D2100,8)="Negative"),0,IF(COUNTIFS($B$2:B2100,B2100,$C$2:C2100,C2100,$D$2:D2100,"&lt;&gt;Negative*",$T$2:T2100,"&lt;&gt;Retracted")=1,1,0))</f>
        <v>0</v>
      </c>
    </row>
    <row r="2101" spans="1:21" x14ac:dyDescent="0.2">
      <c r="A2101" t="s">
        <v>4294</v>
      </c>
      <c r="B2101" t="s">
        <v>966</v>
      </c>
      <c r="C2101" t="s">
        <v>1148</v>
      </c>
      <c r="D2101" t="s">
        <v>1564</v>
      </c>
      <c r="E2101" t="s">
        <v>3598</v>
      </c>
      <c r="F2101" t="s">
        <v>1583</v>
      </c>
      <c r="I2101" t="s">
        <v>1058</v>
      </c>
      <c r="K2101">
        <v>1916</v>
      </c>
      <c r="L2101">
        <v>1917</v>
      </c>
      <c r="M2101" t="s">
        <v>209</v>
      </c>
      <c r="N2101" t="s">
        <v>190</v>
      </c>
      <c r="Q2101" s="2" t="str">
        <f>IF($C2101="","",IFERROR(VLOOKUP($C2101,sources!$A$2:$N$200,2,FALSE()),"?"))</f>
        <v>Report</v>
      </c>
      <c r="R2101" s="2" t="str">
        <f t="shared" si="32"/>
        <v>Textual</v>
      </c>
      <c r="S2101" s="2" t="str">
        <f>IF($C2101="","",IFERROR(VLOOKUP($C2101,sources!$A$2:$N$200,9,FALSE()),"?"))</f>
        <v>US official</v>
      </c>
      <c r="T2101" t="s">
        <v>5693</v>
      </c>
      <c r="U2101">
        <f>IF(OR(B2101="",C2101="",T2101="Retracted",LEFT(D2101,8)="Negative"),0,IF(COUNTIFS($B$2:B2101,B2101,$C$2:C2101,C2101,$D$2:D2101,"&lt;&gt;Negative*",$T$2:T2101,"&lt;&gt;Retracted")=1,1,0))</f>
        <v>0</v>
      </c>
    </row>
    <row r="2102" spans="1:21" x14ac:dyDescent="0.2">
      <c r="A2102" t="s">
        <v>4295</v>
      </c>
      <c r="B2102" t="s">
        <v>971</v>
      </c>
      <c r="C2102" t="s">
        <v>1148</v>
      </c>
      <c r="D2102" t="s">
        <v>1575</v>
      </c>
      <c r="E2102" t="s">
        <v>4296</v>
      </c>
      <c r="F2102" t="s">
        <v>1583</v>
      </c>
      <c r="I2102" t="s">
        <v>1058</v>
      </c>
      <c r="K2102">
        <v>1907</v>
      </c>
      <c r="L2102">
        <v>1941</v>
      </c>
      <c r="M2102" t="s">
        <v>209</v>
      </c>
      <c r="N2102" t="s">
        <v>203</v>
      </c>
      <c r="Q2102" s="2" t="str">
        <f>IF($C2102="","",IFERROR(VLOOKUP($C2102,sources!$A$2:$N$200,2,FALSE()),"?"))</f>
        <v>Report</v>
      </c>
      <c r="R2102" s="2" t="str">
        <f t="shared" si="32"/>
        <v>Textual</v>
      </c>
      <c r="S2102" s="2" t="str">
        <f>IF($C2102="","",IFERROR(VLOOKUP($C2102,sources!$A$2:$N$200,9,FALSE()),"?"))</f>
        <v>US official</v>
      </c>
      <c r="T2102" t="s">
        <v>5692</v>
      </c>
      <c r="U2102">
        <f>IF(OR(B2102="",C2102="",T2102="Retracted",LEFT(D2102,8)="Negative"),0,IF(COUNTIFS($B$2:B2102,B2102,$C$2:C2102,C2102,$D$2:D2102,"&lt;&gt;Negative*",$T$2:T2102,"&lt;&gt;Retracted")=1,1,0))</f>
        <v>1</v>
      </c>
    </row>
    <row r="2103" spans="1:21" x14ac:dyDescent="0.2">
      <c r="A2103" t="s">
        <v>4297</v>
      </c>
      <c r="B2103" t="s">
        <v>974</v>
      </c>
      <c r="C2103" t="s">
        <v>1148</v>
      </c>
      <c r="D2103" t="s">
        <v>1575</v>
      </c>
      <c r="E2103" t="s">
        <v>4298</v>
      </c>
      <c r="F2103" t="s">
        <v>1583</v>
      </c>
      <c r="I2103" t="s">
        <v>1058</v>
      </c>
      <c r="K2103">
        <v>1911</v>
      </c>
      <c r="L2103">
        <v>1911</v>
      </c>
      <c r="M2103" t="s">
        <v>209</v>
      </c>
      <c r="N2103" t="s">
        <v>203</v>
      </c>
      <c r="Q2103" s="2" t="str">
        <f>IF($C2103="","",IFERROR(VLOOKUP($C2103,sources!$A$2:$N$200,2,FALSE()),"?"))</f>
        <v>Report</v>
      </c>
      <c r="R2103" s="2" t="str">
        <f t="shared" si="32"/>
        <v>Textual</v>
      </c>
      <c r="S2103" s="2" t="str">
        <f>IF($C2103="","",IFERROR(VLOOKUP($C2103,sources!$A$2:$N$200,9,FALSE()),"?"))</f>
        <v>US official</v>
      </c>
      <c r="T2103" t="s">
        <v>5692</v>
      </c>
      <c r="U2103">
        <f>IF(OR(B2103="",C2103="",T2103="Retracted",LEFT(D2103,8)="Negative"),0,IF(COUNTIFS($B$2:B2103,B2103,$C$2:C2103,C2103,$D$2:D2103,"&lt;&gt;Negative*",$T$2:T2103,"&lt;&gt;Retracted")=1,1,0))</f>
        <v>1</v>
      </c>
    </row>
    <row r="2104" spans="1:21" x14ac:dyDescent="0.2">
      <c r="A2104" t="s">
        <v>4299</v>
      </c>
      <c r="B2104" t="s">
        <v>796</v>
      </c>
      <c r="C2104" t="s">
        <v>1148</v>
      </c>
      <c r="D2104" t="s">
        <v>1564</v>
      </c>
      <c r="E2104" t="s">
        <v>4300</v>
      </c>
      <c r="F2104" t="s">
        <v>1583</v>
      </c>
      <c r="I2104" t="s">
        <v>1058</v>
      </c>
      <c r="K2104">
        <v>1911</v>
      </c>
      <c r="L2104">
        <v>1911</v>
      </c>
      <c r="M2104" t="s">
        <v>209</v>
      </c>
      <c r="N2104" t="s">
        <v>209</v>
      </c>
      <c r="Q2104" s="2" t="str">
        <f>IF($C2104="","",IFERROR(VLOOKUP($C2104,sources!$A$2:$N$200,2,FALSE()),"?"))</f>
        <v>Report</v>
      </c>
      <c r="R2104" s="2" t="str">
        <f t="shared" si="32"/>
        <v>Textual</v>
      </c>
      <c r="S2104" s="2" t="str">
        <f>IF($C2104="","",IFERROR(VLOOKUP($C2104,sources!$A$2:$N$200,9,FALSE()),"?"))</f>
        <v>US official</v>
      </c>
      <c r="T2104" t="s">
        <v>5692</v>
      </c>
      <c r="U2104">
        <f>IF(OR(B2104="",C2104="",T2104="Retracted",LEFT(D2104,8)="Negative"),0,IF(COUNTIFS($B$2:B2104,B2104,$C$2:C2104,C2104,$D$2:D2104,"&lt;&gt;Negative*",$T$2:T2104,"&lt;&gt;Retracted")=1,1,0))</f>
        <v>1</v>
      </c>
    </row>
    <row r="2105" spans="1:21" x14ac:dyDescent="0.2">
      <c r="A2105" t="s">
        <v>4301</v>
      </c>
      <c r="B2105" t="s">
        <v>979</v>
      </c>
      <c r="C2105" t="s">
        <v>1148</v>
      </c>
      <c r="D2105" t="s">
        <v>1613</v>
      </c>
      <c r="E2105" t="s">
        <v>981</v>
      </c>
      <c r="F2105" t="s">
        <v>1583</v>
      </c>
      <c r="I2105" t="s">
        <v>1058</v>
      </c>
      <c r="K2105">
        <v>1907</v>
      </c>
      <c r="L2105">
        <v>1941</v>
      </c>
      <c r="M2105" t="s">
        <v>209</v>
      </c>
      <c r="N2105" t="s">
        <v>209</v>
      </c>
      <c r="Q2105" s="2" t="str">
        <f>IF($C2105="","",IFERROR(VLOOKUP($C2105,sources!$A$2:$N$200,2,FALSE()),"?"))</f>
        <v>Report</v>
      </c>
      <c r="R2105" s="2" t="str">
        <f t="shared" si="32"/>
        <v>Textual</v>
      </c>
      <c r="S2105" s="2" t="str">
        <f>IF($C2105="","",IFERROR(VLOOKUP($C2105,sources!$A$2:$N$200,9,FALSE()),"?"))</f>
        <v>US official</v>
      </c>
      <c r="T2105" t="s">
        <v>5692</v>
      </c>
      <c r="U2105">
        <f>IF(OR(B2105="",C2105="",T2105="Retracted",LEFT(D2105,8)="Negative"),0,IF(COUNTIFS($B$2:B2105,B2105,$C$2:C2105,C2105,$D$2:D2105,"&lt;&gt;Negative*",$T$2:T2105,"&lt;&gt;Retracted")=1,1,0))</f>
        <v>0</v>
      </c>
    </row>
    <row r="2106" spans="1:21" x14ac:dyDescent="0.2">
      <c r="A2106" t="s">
        <v>4302</v>
      </c>
      <c r="B2106" t="s">
        <v>983</v>
      </c>
      <c r="C2106" t="s">
        <v>1148</v>
      </c>
      <c r="D2106" t="s">
        <v>1575</v>
      </c>
      <c r="E2106" t="s">
        <v>985</v>
      </c>
      <c r="F2106" t="s">
        <v>1583</v>
      </c>
      <c r="I2106" t="s">
        <v>1058</v>
      </c>
      <c r="K2106">
        <v>1909</v>
      </c>
      <c r="L2106">
        <v>1913</v>
      </c>
      <c r="M2106" t="s">
        <v>209</v>
      </c>
      <c r="N2106" t="s">
        <v>203</v>
      </c>
      <c r="Q2106" s="2" t="str">
        <f>IF($C2106="","",IFERROR(VLOOKUP($C2106,sources!$A$2:$N$200,2,FALSE()),"?"))</f>
        <v>Report</v>
      </c>
      <c r="R2106" s="2" t="str">
        <f t="shared" si="32"/>
        <v>Textual</v>
      </c>
      <c r="S2106" s="2" t="str">
        <f>IF($C2106="","",IFERROR(VLOOKUP($C2106,sources!$A$2:$N$200,9,FALSE()),"?"))</f>
        <v>US official</v>
      </c>
      <c r="T2106" t="s">
        <v>5692</v>
      </c>
      <c r="U2106">
        <f>IF(OR(B2106="",C2106="",T2106="Retracted",LEFT(D2106,8)="Negative"),0,IF(COUNTIFS($B$2:B2106,B2106,$C$2:C2106,C2106,$D$2:D2106,"&lt;&gt;Negative*",$T$2:T2106,"&lt;&gt;Retracted")=1,1,0))</f>
        <v>1</v>
      </c>
    </row>
    <row r="2107" spans="1:21" x14ac:dyDescent="0.2">
      <c r="A2107" t="s">
        <v>4303</v>
      </c>
      <c r="B2107" t="s">
        <v>994</v>
      </c>
      <c r="C2107" t="s">
        <v>1148</v>
      </c>
      <c r="D2107" t="s">
        <v>1575</v>
      </c>
      <c r="E2107" t="s">
        <v>995</v>
      </c>
      <c r="F2107" t="s">
        <v>1583</v>
      </c>
      <c r="I2107" t="s">
        <v>1058</v>
      </c>
      <c r="K2107">
        <v>1907</v>
      </c>
      <c r="L2107">
        <v>1914</v>
      </c>
      <c r="M2107" t="s">
        <v>209</v>
      </c>
      <c r="N2107" t="s">
        <v>203</v>
      </c>
      <c r="Q2107" s="2" t="str">
        <f>IF($C2107="","",IFERROR(VLOOKUP($C2107,sources!$A$2:$N$200,2,FALSE()),"?"))</f>
        <v>Report</v>
      </c>
      <c r="R2107" s="2" t="str">
        <f t="shared" si="32"/>
        <v>Textual</v>
      </c>
      <c r="S2107" s="2" t="str">
        <f>IF($C2107="","",IFERROR(VLOOKUP($C2107,sources!$A$2:$N$200,9,FALSE()),"?"))</f>
        <v>US official</v>
      </c>
      <c r="T2107" t="s">
        <v>5692</v>
      </c>
      <c r="U2107">
        <f>IF(OR(B2107="",C2107="",T2107="Retracted",LEFT(D2107,8)="Negative"),0,IF(COUNTIFS($B$2:B2107,B2107,$C$2:C2107,C2107,$D$2:D2107,"&lt;&gt;Negative*",$T$2:T2107,"&lt;&gt;Retracted")=1,1,0))</f>
        <v>1</v>
      </c>
    </row>
    <row r="2108" spans="1:21" x14ac:dyDescent="0.2">
      <c r="A2108" t="s">
        <v>4304</v>
      </c>
      <c r="B2108" t="s">
        <v>997</v>
      </c>
      <c r="C2108" t="s">
        <v>1148</v>
      </c>
      <c r="D2108" t="s">
        <v>1575</v>
      </c>
      <c r="E2108" t="s">
        <v>4305</v>
      </c>
      <c r="F2108" t="s">
        <v>1583</v>
      </c>
      <c r="I2108" t="s">
        <v>1058</v>
      </c>
      <c r="K2108">
        <v>1909</v>
      </c>
      <c r="L2108">
        <v>1910</v>
      </c>
      <c r="M2108" t="s">
        <v>209</v>
      </c>
      <c r="N2108" t="s">
        <v>203</v>
      </c>
      <c r="Q2108" s="2" t="str">
        <f>IF($C2108="","",IFERROR(VLOOKUP($C2108,sources!$A$2:$N$200,2,FALSE()),"?"))</f>
        <v>Report</v>
      </c>
      <c r="R2108" s="2" t="str">
        <f t="shared" si="32"/>
        <v>Textual</v>
      </c>
      <c r="S2108" s="2" t="str">
        <f>IF($C2108="","",IFERROR(VLOOKUP($C2108,sources!$A$2:$N$200,9,FALSE()),"?"))</f>
        <v>US official</v>
      </c>
      <c r="T2108" t="s">
        <v>5692</v>
      </c>
      <c r="U2108">
        <f>IF(OR(B2108="",C2108="",T2108="Retracted",LEFT(D2108,8)="Negative"),0,IF(COUNTIFS($B$2:B2108,B2108,$C$2:C2108,C2108,$D$2:D2108,"&lt;&gt;Negative*",$T$2:T2108,"&lt;&gt;Retracted")=1,1,0))</f>
        <v>1</v>
      </c>
    </row>
    <row r="2109" spans="1:21" x14ac:dyDescent="0.2">
      <c r="A2109" t="s">
        <v>4306</v>
      </c>
      <c r="B2109" t="s">
        <v>1002</v>
      </c>
      <c r="C2109" t="s">
        <v>1148</v>
      </c>
      <c r="D2109" t="s">
        <v>1575</v>
      </c>
      <c r="E2109" t="s">
        <v>1003</v>
      </c>
      <c r="F2109" t="s">
        <v>1583</v>
      </c>
      <c r="I2109" t="s">
        <v>1058</v>
      </c>
      <c r="K2109">
        <v>1917</v>
      </c>
      <c r="L2109">
        <v>1927</v>
      </c>
      <c r="M2109" t="s">
        <v>209</v>
      </c>
      <c r="N2109" t="s">
        <v>203</v>
      </c>
      <c r="Q2109" s="2" t="str">
        <f>IF($C2109="","",IFERROR(VLOOKUP($C2109,sources!$A$2:$N$200,2,FALSE()),"?"))</f>
        <v>Report</v>
      </c>
      <c r="R2109" s="2" t="str">
        <f t="shared" si="32"/>
        <v>Textual</v>
      </c>
      <c r="S2109" s="2" t="str">
        <f>IF($C2109="","",IFERROR(VLOOKUP($C2109,sources!$A$2:$N$200,9,FALSE()),"?"))</f>
        <v>US official</v>
      </c>
      <c r="T2109" t="s">
        <v>5692</v>
      </c>
      <c r="U2109">
        <f>IF(OR(B2109="",C2109="",T2109="Retracted",LEFT(D2109,8)="Negative"),0,IF(COUNTIFS($B$2:B2109,B2109,$C$2:C2109,C2109,$D$2:D2109,"&lt;&gt;Negative*",$T$2:T2109,"&lt;&gt;Retracted")=1,1,0))</f>
        <v>1</v>
      </c>
    </row>
    <row r="2110" spans="1:21" x14ac:dyDescent="0.2">
      <c r="A2110" t="s">
        <v>4307</v>
      </c>
      <c r="B2110" t="s">
        <v>773</v>
      </c>
      <c r="C2110" t="s">
        <v>1148</v>
      </c>
      <c r="D2110" t="s">
        <v>1613</v>
      </c>
      <c r="E2110" t="s">
        <v>3208</v>
      </c>
      <c r="F2110" t="s">
        <v>1583</v>
      </c>
      <c r="I2110" t="s">
        <v>1058</v>
      </c>
      <c r="K2110">
        <v>1907</v>
      </c>
      <c r="L2110">
        <v>1941</v>
      </c>
      <c r="M2110" t="s">
        <v>209</v>
      </c>
      <c r="N2110" t="s">
        <v>209</v>
      </c>
      <c r="Q2110" s="2" t="str">
        <f>IF($C2110="","",IFERROR(VLOOKUP($C2110,sources!$A$2:$N$200,2,FALSE()),"?"))</f>
        <v>Report</v>
      </c>
      <c r="R2110" s="2" t="str">
        <f t="shared" si="32"/>
        <v>Textual</v>
      </c>
      <c r="S2110" s="2" t="str">
        <f>IF($C2110="","",IFERROR(VLOOKUP($C2110,sources!$A$2:$N$200,9,FALSE()),"?"))</f>
        <v>US official</v>
      </c>
      <c r="T2110" t="s">
        <v>5692</v>
      </c>
      <c r="U2110">
        <f>IF(OR(B2110="",C2110="",T2110="Retracted",LEFT(D2110,8)="Negative"),0,IF(COUNTIFS($B$2:B2110,B2110,$C$2:C2110,C2110,$D$2:D2110,"&lt;&gt;Negative*",$T$2:T2110,"&lt;&gt;Retracted")=1,1,0))</f>
        <v>0</v>
      </c>
    </row>
    <row r="2111" spans="1:21" x14ac:dyDescent="0.2">
      <c r="A2111" t="s">
        <v>4308</v>
      </c>
      <c r="B2111" t="s">
        <v>791</v>
      </c>
      <c r="C2111" t="s">
        <v>1148</v>
      </c>
      <c r="D2111" t="s">
        <v>1575</v>
      </c>
      <c r="E2111" t="s">
        <v>4309</v>
      </c>
      <c r="F2111" t="s">
        <v>1583</v>
      </c>
      <c r="I2111" t="s">
        <v>1058</v>
      </c>
      <c r="K2111">
        <v>1909</v>
      </c>
      <c r="L2111">
        <v>1911</v>
      </c>
      <c r="M2111" t="s">
        <v>190</v>
      </c>
      <c r="N2111" t="s">
        <v>190</v>
      </c>
      <c r="Q2111" s="2" t="str">
        <f>IF($C2111="","",IFERROR(VLOOKUP($C2111,sources!$A$2:$N$200,2,FALSE()),"?"))</f>
        <v>Report</v>
      </c>
      <c r="R2111" s="2" t="str">
        <f t="shared" si="32"/>
        <v>Textual</v>
      </c>
      <c r="S2111" s="2" t="str">
        <f>IF($C2111="","",IFERROR(VLOOKUP($C2111,sources!$A$2:$N$200,9,FALSE()),"?"))</f>
        <v>US official</v>
      </c>
      <c r="T2111" t="s">
        <v>5692</v>
      </c>
      <c r="U2111">
        <f>IF(OR(B2111="",C2111="",T2111="Retracted",LEFT(D2111,8)="Negative"),0,IF(COUNTIFS($B$2:B2111,B2111,$C$2:C2111,C2111,$D$2:D2111,"&lt;&gt;Negative*",$T$2:T2111,"&lt;&gt;Retracted")=1,1,0))</f>
        <v>1</v>
      </c>
    </row>
    <row r="2112" spans="1:21" x14ac:dyDescent="0.2">
      <c r="A2112" t="s">
        <v>4310</v>
      </c>
      <c r="B2112" t="s">
        <v>873</v>
      </c>
      <c r="C2112" t="s">
        <v>1148</v>
      </c>
      <c r="D2112" t="s">
        <v>1575</v>
      </c>
      <c r="E2112" t="s">
        <v>4311</v>
      </c>
      <c r="F2112" t="s">
        <v>1583</v>
      </c>
      <c r="I2112" t="s">
        <v>1058</v>
      </c>
      <c r="K2112">
        <v>1912</v>
      </c>
      <c r="L2112">
        <v>1913</v>
      </c>
      <c r="M2112" t="s">
        <v>190</v>
      </c>
      <c r="N2112" t="s">
        <v>190</v>
      </c>
      <c r="Q2112" s="2" t="str">
        <f>IF($C2112="","",IFERROR(VLOOKUP($C2112,sources!$A$2:$N$200,2,FALSE()),"?"))</f>
        <v>Report</v>
      </c>
      <c r="R2112" s="2" t="str">
        <f t="shared" si="32"/>
        <v>Textual</v>
      </c>
      <c r="S2112" s="2" t="str">
        <f>IF($C2112="","",IFERROR(VLOOKUP($C2112,sources!$A$2:$N$200,9,FALSE()),"?"))</f>
        <v>US official</v>
      </c>
      <c r="T2112" t="s">
        <v>5692</v>
      </c>
      <c r="U2112">
        <f>IF(OR(B2112="",C2112="",T2112="Retracted",LEFT(D2112,8)="Negative"),0,IF(COUNTIFS($B$2:B2112,B2112,$C$2:C2112,C2112,$D$2:D2112,"&lt;&gt;Negative*",$T$2:T2112,"&lt;&gt;Retracted")=1,1,0))</f>
        <v>1</v>
      </c>
    </row>
    <row r="2113" spans="1:21" x14ac:dyDescent="0.2">
      <c r="A2113" t="s">
        <v>4312</v>
      </c>
      <c r="B2113" t="s">
        <v>879</v>
      </c>
      <c r="C2113" t="s">
        <v>1148</v>
      </c>
      <c r="D2113" t="s">
        <v>1575</v>
      </c>
      <c r="E2113" t="s">
        <v>4313</v>
      </c>
      <c r="F2113" t="s">
        <v>1583</v>
      </c>
      <c r="I2113" t="s">
        <v>1058</v>
      </c>
      <c r="K2113">
        <v>1919</v>
      </c>
      <c r="L2113">
        <v>1919</v>
      </c>
      <c r="M2113" t="s">
        <v>190</v>
      </c>
      <c r="N2113" t="s">
        <v>190</v>
      </c>
      <c r="Q2113" s="2" t="str">
        <f>IF($C2113="","",IFERROR(VLOOKUP($C2113,sources!$A$2:$N$200,2,FALSE()),"?"))</f>
        <v>Report</v>
      </c>
      <c r="R2113" s="2" t="str">
        <f t="shared" si="32"/>
        <v>Textual</v>
      </c>
      <c r="S2113" s="2" t="str">
        <f>IF($C2113="","",IFERROR(VLOOKUP($C2113,sources!$A$2:$N$200,9,FALSE()),"?"))</f>
        <v>US official</v>
      </c>
      <c r="T2113" t="s">
        <v>5692</v>
      </c>
      <c r="U2113">
        <f>IF(OR(B2113="",C2113="",T2113="Retracted",LEFT(D2113,8)="Negative"),0,IF(COUNTIFS($B$2:B2113,B2113,$C$2:C2113,C2113,$D$2:D2113,"&lt;&gt;Negative*",$T$2:T2113,"&lt;&gt;Retracted")=1,1,0))</f>
        <v>1</v>
      </c>
    </row>
    <row r="2114" spans="1:21" x14ac:dyDescent="0.2">
      <c r="A2114" t="s">
        <v>4314</v>
      </c>
      <c r="B2114" t="s">
        <v>776</v>
      </c>
      <c r="C2114" t="s">
        <v>1258</v>
      </c>
      <c r="D2114" t="s">
        <v>1613</v>
      </c>
      <c r="E2114" t="s">
        <v>777</v>
      </c>
      <c r="F2114" t="s">
        <v>1583</v>
      </c>
      <c r="I2114" t="s">
        <v>1058</v>
      </c>
      <c r="M2114" t="s">
        <v>190</v>
      </c>
      <c r="N2114" t="s">
        <v>209</v>
      </c>
      <c r="Q2114" s="2" t="str">
        <f>IF($C2114="","",IFERROR(VLOOKUP($C2114,sources!$A$2:$N$200,2,FALSE()),"?"))</f>
        <v>Administrative</v>
      </c>
      <c r="R2114" s="2" t="str">
        <f t="shared" ref="R2114:R2177" si="33">IF($Q2114="","",IF($Q2114="Map","Map",IF(OR($Q2114="Photograph",$Q2114="Postcard"),"Image",IF(OR($Q2114="Census or roll",$Q2114="Report",$Q2114="Newspaper",$Q2114="Letter",$Q2114="Memoir",$Q2114="Administrative",$Q2114="Web compilation"),"Textual",IF($Q2114="Legal claim","Legal/admin",IF($Q2114="Secondary","Secondary","Other"))))))</f>
        <v>Textual</v>
      </c>
      <c r="S2114" s="2" t="str">
        <f>IF($C2114="","",IFERROR(VLOOKUP($C2114,sources!$A$2:$N$200,9,FALSE()),"?"))</f>
        <v>US official</v>
      </c>
      <c r="T2114" t="s">
        <v>5692</v>
      </c>
      <c r="U2114">
        <f>IF(OR(B2114="",C2114="",T2114="Retracted",LEFT(D2114,8)="Negative"),0,IF(COUNTIFS($B$2:B2114,B2114,$C$2:C2114,C2114,$D$2:D2114,"&lt;&gt;Negative*",$T$2:T2114,"&lt;&gt;Retracted")=1,1,0))</f>
        <v>0</v>
      </c>
    </row>
    <row r="2115" spans="1:21" x14ac:dyDescent="0.2">
      <c r="A2115" t="s">
        <v>4315</v>
      </c>
      <c r="B2115" t="s">
        <v>783</v>
      </c>
      <c r="C2115" t="s">
        <v>1258</v>
      </c>
      <c r="D2115" t="s">
        <v>1613</v>
      </c>
      <c r="E2115" t="s">
        <v>784</v>
      </c>
      <c r="F2115" t="s">
        <v>1583</v>
      </c>
      <c r="I2115" t="s">
        <v>1058</v>
      </c>
      <c r="M2115" t="s">
        <v>190</v>
      </c>
      <c r="N2115" t="s">
        <v>209</v>
      </c>
      <c r="Q2115" s="2" t="str">
        <f>IF($C2115="","",IFERROR(VLOOKUP($C2115,sources!$A$2:$N$200,2,FALSE()),"?"))</f>
        <v>Administrative</v>
      </c>
      <c r="R2115" s="2" t="str">
        <f t="shared" si="33"/>
        <v>Textual</v>
      </c>
      <c r="S2115" s="2" t="str">
        <f>IF($C2115="","",IFERROR(VLOOKUP($C2115,sources!$A$2:$N$200,9,FALSE()),"?"))</f>
        <v>US official</v>
      </c>
      <c r="T2115" t="s">
        <v>5692</v>
      </c>
      <c r="U2115">
        <f>IF(OR(B2115="",C2115="",T2115="Retracted",LEFT(D2115,8)="Negative"),0,IF(COUNTIFS($B$2:B2115,B2115,$C$2:C2115,C2115,$D$2:D2115,"&lt;&gt;Negative*",$T$2:T2115,"&lt;&gt;Retracted")=1,1,0))</f>
        <v>0</v>
      </c>
    </row>
    <row r="2116" spans="1:21" x14ac:dyDescent="0.2">
      <c r="A2116" t="s">
        <v>4316</v>
      </c>
      <c r="B2116" t="s">
        <v>786</v>
      </c>
      <c r="C2116" t="s">
        <v>1258</v>
      </c>
      <c r="D2116" t="s">
        <v>1613</v>
      </c>
      <c r="E2116" t="s">
        <v>787</v>
      </c>
      <c r="F2116" t="s">
        <v>1583</v>
      </c>
      <c r="I2116" t="s">
        <v>1058</v>
      </c>
      <c r="M2116" t="s">
        <v>190</v>
      </c>
      <c r="N2116" t="s">
        <v>209</v>
      </c>
      <c r="Q2116" s="2" t="str">
        <f>IF($C2116="","",IFERROR(VLOOKUP($C2116,sources!$A$2:$N$200,2,FALSE()),"?"))</f>
        <v>Administrative</v>
      </c>
      <c r="R2116" s="2" t="str">
        <f t="shared" si="33"/>
        <v>Textual</v>
      </c>
      <c r="S2116" s="2" t="str">
        <f>IF($C2116="","",IFERROR(VLOOKUP($C2116,sources!$A$2:$N$200,9,FALSE()),"?"))</f>
        <v>US official</v>
      </c>
      <c r="T2116" t="s">
        <v>5692</v>
      </c>
      <c r="U2116">
        <f>IF(OR(B2116="",C2116="",T2116="Retracted",LEFT(D2116,8)="Negative"),0,IF(COUNTIFS($B$2:B2116,B2116,$C$2:C2116,C2116,$D$2:D2116,"&lt;&gt;Negative*",$T$2:T2116,"&lt;&gt;Retracted")=1,1,0))</f>
        <v>0</v>
      </c>
    </row>
    <row r="2117" spans="1:21" x14ac:dyDescent="0.2">
      <c r="A2117" t="s">
        <v>4317</v>
      </c>
      <c r="B2117" t="s">
        <v>791</v>
      </c>
      <c r="C2117" t="s">
        <v>1258</v>
      </c>
      <c r="D2117" t="s">
        <v>1613</v>
      </c>
      <c r="E2117" t="s">
        <v>4309</v>
      </c>
      <c r="F2117" t="s">
        <v>1583</v>
      </c>
      <c r="I2117" t="s">
        <v>1058</v>
      </c>
      <c r="M2117" t="s">
        <v>190</v>
      </c>
      <c r="N2117" t="s">
        <v>209</v>
      </c>
      <c r="Q2117" s="2" t="str">
        <f>IF($C2117="","",IFERROR(VLOOKUP($C2117,sources!$A$2:$N$200,2,FALSE()),"?"))</f>
        <v>Administrative</v>
      </c>
      <c r="R2117" s="2" t="str">
        <f t="shared" si="33"/>
        <v>Textual</v>
      </c>
      <c r="S2117" s="2" t="str">
        <f>IF($C2117="","",IFERROR(VLOOKUP($C2117,sources!$A$2:$N$200,9,FALSE()),"?"))</f>
        <v>US official</v>
      </c>
      <c r="T2117" t="s">
        <v>5692</v>
      </c>
      <c r="U2117">
        <f>IF(OR(B2117="",C2117="",T2117="Retracted",LEFT(D2117,8)="Negative"),0,IF(COUNTIFS($B$2:B2117,B2117,$C$2:C2117,C2117,$D$2:D2117,"&lt;&gt;Negative*",$T$2:T2117,"&lt;&gt;Retracted")=1,1,0))</f>
        <v>0</v>
      </c>
    </row>
    <row r="2118" spans="1:21" x14ac:dyDescent="0.2">
      <c r="A2118" t="s">
        <v>4318</v>
      </c>
      <c r="B2118" t="s">
        <v>796</v>
      </c>
      <c r="C2118" t="s">
        <v>1258</v>
      </c>
      <c r="D2118" t="s">
        <v>1613</v>
      </c>
      <c r="E2118" t="s">
        <v>4319</v>
      </c>
      <c r="F2118" t="s">
        <v>1583</v>
      </c>
      <c r="I2118" t="s">
        <v>1058</v>
      </c>
      <c r="M2118" t="s">
        <v>190</v>
      </c>
      <c r="N2118" t="s">
        <v>209</v>
      </c>
      <c r="Q2118" s="2" t="str">
        <f>IF($C2118="","",IFERROR(VLOOKUP($C2118,sources!$A$2:$N$200,2,FALSE()),"?"))</f>
        <v>Administrative</v>
      </c>
      <c r="R2118" s="2" t="str">
        <f t="shared" si="33"/>
        <v>Textual</v>
      </c>
      <c r="S2118" s="2" t="str">
        <f>IF($C2118="","",IFERROR(VLOOKUP($C2118,sources!$A$2:$N$200,9,FALSE()),"?"))</f>
        <v>US official</v>
      </c>
      <c r="T2118" t="s">
        <v>5692</v>
      </c>
      <c r="U2118">
        <f>IF(OR(B2118="",C2118="",T2118="Retracted",LEFT(D2118,8)="Negative"),0,IF(COUNTIFS($B$2:B2118,B2118,$C$2:C2118,C2118,$D$2:D2118,"&lt;&gt;Negative*",$T$2:T2118,"&lt;&gt;Retracted")=1,1,0))</f>
        <v>0</v>
      </c>
    </row>
    <row r="2119" spans="1:21" x14ac:dyDescent="0.2">
      <c r="A2119" t="s">
        <v>4320</v>
      </c>
      <c r="B2119" t="s">
        <v>801</v>
      </c>
      <c r="C2119" t="s">
        <v>1258</v>
      </c>
      <c r="D2119" t="s">
        <v>1613</v>
      </c>
      <c r="E2119" t="s">
        <v>802</v>
      </c>
      <c r="F2119" t="s">
        <v>1583</v>
      </c>
      <c r="I2119" t="s">
        <v>1058</v>
      </c>
      <c r="M2119" t="s">
        <v>190</v>
      </c>
      <c r="N2119" t="s">
        <v>209</v>
      </c>
      <c r="Q2119" s="2" t="str">
        <f>IF($C2119="","",IFERROR(VLOOKUP($C2119,sources!$A$2:$N$200,2,FALSE()),"?"))</f>
        <v>Administrative</v>
      </c>
      <c r="R2119" s="2" t="str">
        <f t="shared" si="33"/>
        <v>Textual</v>
      </c>
      <c r="S2119" s="2" t="str">
        <f>IF($C2119="","",IFERROR(VLOOKUP($C2119,sources!$A$2:$N$200,9,FALSE()),"?"))</f>
        <v>US official</v>
      </c>
      <c r="T2119" t="s">
        <v>5692</v>
      </c>
      <c r="U2119">
        <f>IF(OR(B2119="",C2119="",T2119="Retracted",LEFT(D2119,8)="Negative"),0,IF(COUNTIFS($B$2:B2119,B2119,$C$2:C2119,C2119,$D$2:D2119,"&lt;&gt;Negative*",$T$2:T2119,"&lt;&gt;Retracted")=1,1,0))</f>
        <v>0</v>
      </c>
    </row>
    <row r="2120" spans="1:21" x14ac:dyDescent="0.2">
      <c r="A2120" t="s">
        <v>4321</v>
      </c>
      <c r="B2120" t="s">
        <v>805</v>
      </c>
      <c r="C2120" t="s">
        <v>1258</v>
      </c>
      <c r="D2120" t="s">
        <v>1613</v>
      </c>
      <c r="E2120" t="s">
        <v>806</v>
      </c>
      <c r="F2120" t="s">
        <v>1583</v>
      </c>
      <c r="I2120" t="s">
        <v>1058</v>
      </c>
      <c r="M2120" t="s">
        <v>190</v>
      </c>
      <c r="N2120" t="s">
        <v>209</v>
      </c>
      <c r="Q2120" s="2" t="str">
        <f>IF($C2120="","",IFERROR(VLOOKUP($C2120,sources!$A$2:$N$200,2,FALSE()),"?"))</f>
        <v>Administrative</v>
      </c>
      <c r="R2120" s="2" t="str">
        <f t="shared" si="33"/>
        <v>Textual</v>
      </c>
      <c r="S2120" s="2" t="str">
        <f>IF($C2120="","",IFERROR(VLOOKUP($C2120,sources!$A$2:$N$200,9,FALSE()),"?"))</f>
        <v>US official</v>
      </c>
      <c r="T2120" t="s">
        <v>5692</v>
      </c>
      <c r="U2120">
        <f>IF(OR(B2120="",C2120="",T2120="Retracted",LEFT(D2120,8)="Negative"),0,IF(COUNTIFS($B$2:B2120,B2120,$C$2:C2120,C2120,$D$2:D2120,"&lt;&gt;Negative*",$T$2:T2120,"&lt;&gt;Retracted")=1,1,0))</f>
        <v>0</v>
      </c>
    </row>
    <row r="2121" spans="1:21" x14ac:dyDescent="0.2">
      <c r="A2121" t="s">
        <v>4322</v>
      </c>
      <c r="B2121" t="s">
        <v>808</v>
      </c>
      <c r="C2121" t="s">
        <v>1258</v>
      </c>
      <c r="D2121" t="s">
        <v>1613</v>
      </c>
      <c r="E2121" t="s">
        <v>3356</v>
      </c>
      <c r="F2121" t="s">
        <v>1583</v>
      </c>
      <c r="I2121" t="s">
        <v>1058</v>
      </c>
      <c r="M2121" t="s">
        <v>190</v>
      </c>
      <c r="N2121" t="s">
        <v>209</v>
      </c>
      <c r="Q2121" s="2" t="str">
        <f>IF($C2121="","",IFERROR(VLOOKUP($C2121,sources!$A$2:$N$200,2,FALSE()),"?"))</f>
        <v>Administrative</v>
      </c>
      <c r="R2121" s="2" t="str">
        <f t="shared" si="33"/>
        <v>Textual</v>
      </c>
      <c r="S2121" s="2" t="str">
        <f>IF($C2121="","",IFERROR(VLOOKUP($C2121,sources!$A$2:$N$200,9,FALSE()),"?"))</f>
        <v>US official</v>
      </c>
      <c r="T2121" t="s">
        <v>5692</v>
      </c>
      <c r="U2121">
        <f>IF(OR(B2121="",C2121="",T2121="Retracted",LEFT(D2121,8)="Negative"),0,IF(COUNTIFS($B$2:B2121,B2121,$C$2:C2121,C2121,$D$2:D2121,"&lt;&gt;Negative*",$T$2:T2121,"&lt;&gt;Retracted")=1,1,0))</f>
        <v>0</v>
      </c>
    </row>
    <row r="2122" spans="1:21" x14ac:dyDescent="0.2">
      <c r="A2122" t="s">
        <v>4323</v>
      </c>
      <c r="B2122" t="s">
        <v>811</v>
      </c>
      <c r="C2122" t="s">
        <v>1258</v>
      </c>
      <c r="D2122" t="s">
        <v>1564</v>
      </c>
      <c r="E2122" t="s">
        <v>4324</v>
      </c>
      <c r="F2122" t="s">
        <v>1583</v>
      </c>
      <c r="I2122" t="s">
        <v>1058</v>
      </c>
      <c r="M2122" t="s">
        <v>190</v>
      </c>
      <c r="N2122" t="s">
        <v>209</v>
      </c>
      <c r="Q2122" s="2" t="str">
        <f>IF($C2122="","",IFERROR(VLOOKUP($C2122,sources!$A$2:$N$200,2,FALSE()),"?"))</f>
        <v>Administrative</v>
      </c>
      <c r="R2122" s="2" t="str">
        <f t="shared" si="33"/>
        <v>Textual</v>
      </c>
      <c r="S2122" s="2" t="str">
        <f>IF($C2122="","",IFERROR(VLOOKUP($C2122,sources!$A$2:$N$200,9,FALSE()),"?"))</f>
        <v>US official</v>
      </c>
      <c r="T2122" t="s">
        <v>5692</v>
      </c>
      <c r="U2122">
        <f>IF(OR(B2122="",C2122="",T2122="Retracted",LEFT(D2122,8)="Negative"),0,IF(COUNTIFS($B$2:B2122,B2122,$C$2:C2122,C2122,$D$2:D2122,"&lt;&gt;Negative*",$T$2:T2122,"&lt;&gt;Retracted")=1,1,0))</f>
        <v>1</v>
      </c>
    </row>
    <row r="2123" spans="1:21" x14ac:dyDescent="0.2">
      <c r="A2123" t="s">
        <v>4325</v>
      </c>
      <c r="B2123" t="s">
        <v>816</v>
      </c>
      <c r="C2123" t="s">
        <v>1258</v>
      </c>
      <c r="D2123" t="s">
        <v>1564</v>
      </c>
      <c r="E2123" t="s">
        <v>4251</v>
      </c>
      <c r="F2123" t="s">
        <v>1583</v>
      </c>
      <c r="I2123" t="s">
        <v>1058</v>
      </c>
      <c r="K2123">
        <v>1911</v>
      </c>
      <c r="L2123">
        <v>1941</v>
      </c>
      <c r="M2123" t="s">
        <v>209</v>
      </c>
      <c r="N2123" t="s">
        <v>203</v>
      </c>
      <c r="Q2123" s="2" t="str">
        <f>IF($C2123="","",IFERROR(VLOOKUP($C2123,sources!$A$2:$N$200,2,FALSE()),"?"))</f>
        <v>Administrative</v>
      </c>
      <c r="R2123" s="2" t="str">
        <f t="shared" si="33"/>
        <v>Textual</v>
      </c>
      <c r="S2123" s="2" t="str">
        <f>IF($C2123="","",IFERROR(VLOOKUP($C2123,sources!$A$2:$N$200,9,FALSE()),"?"))</f>
        <v>US official</v>
      </c>
      <c r="T2123" t="s">
        <v>5692</v>
      </c>
      <c r="U2123">
        <f>IF(OR(B2123="",C2123="",T2123="Retracted",LEFT(D2123,8)="Negative"),0,IF(COUNTIFS($B$2:B2123,B2123,$C$2:C2123,C2123,$D$2:D2123,"&lt;&gt;Negative*",$T$2:T2123,"&lt;&gt;Retracted")=1,1,0))</f>
        <v>1</v>
      </c>
    </row>
    <row r="2124" spans="1:21" x14ac:dyDescent="0.2">
      <c r="A2124" t="s">
        <v>4326</v>
      </c>
      <c r="B2124" t="s">
        <v>819</v>
      </c>
      <c r="C2124" t="s">
        <v>1258</v>
      </c>
      <c r="D2124" t="s">
        <v>1575</v>
      </c>
      <c r="E2124" t="s">
        <v>820</v>
      </c>
      <c r="F2124" t="s">
        <v>1583</v>
      </c>
      <c r="I2124" t="s">
        <v>1058</v>
      </c>
      <c r="K2124">
        <v>1952</v>
      </c>
      <c r="L2124">
        <v>1982</v>
      </c>
      <c r="M2124" t="s">
        <v>209</v>
      </c>
      <c r="N2124" t="s">
        <v>209</v>
      </c>
      <c r="Q2124" s="2" t="str">
        <f>IF($C2124="","",IFERROR(VLOOKUP($C2124,sources!$A$2:$N$200,2,FALSE()),"?"))</f>
        <v>Administrative</v>
      </c>
      <c r="R2124" s="2" t="str">
        <f t="shared" si="33"/>
        <v>Textual</v>
      </c>
      <c r="S2124" s="2" t="str">
        <f>IF($C2124="","",IFERROR(VLOOKUP($C2124,sources!$A$2:$N$200,9,FALSE()),"?"))</f>
        <v>US official</v>
      </c>
      <c r="T2124" t="s">
        <v>5692</v>
      </c>
      <c r="U2124">
        <f>IF(OR(B2124="",C2124="",T2124="Retracted",LEFT(D2124,8)="Negative"),0,IF(COUNTIFS($B$2:B2124,B2124,$C$2:C2124,C2124,$D$2:D2124,"&lt;&gt;Negative*",$T$2:T2124,"&lt;&gt;Retracted")=1,1,0))</f>
        <v>1</v>
      </c>
    </row>
    <row r="2125" spans="1:21" x14ac:dyDescent="0.2">
      <c r="A2125" t="s">
        <v>4327</v>
      </c>
      <c r="B2125" t="s">
        <v>824</v>
      </c>
      <c r="C2125" t="s">
        <v>1258</v>
      </c>
      <c r="D2125" t="s">
        <v>1613</v>
      </c>
      <c r="E2125" t="s">
        <v>825</v>
      </c>
      <c r="F2125" t="s">
        <v>1583</v>
      </c>
      <c r="I2125" t="s">
        <v>1058</v>
      </c>
      <c r="M2125" t="s">
        <v>190</v>
      </c>
      <c r="N2125" t="s">
        <v>209</v>
      </c>
      <c r="Q2125" s="2" t="str">
        <f>IF($C2125="","",IFERROR(VLOOKUP($C2125,sources!$A$2:$N$200,2,FALSE()),"?"))</f>
        <v>Administrative</v>
      </c>
      <c r="R2125" s="2" t="str">
        <f t="shared" si="33"/>
        <v>Textual</v>
      </c>
      <c r="S2125" s="2" t="str">
        <f>IF($C2125="","",IFERROR(VLOOKUP($C2125,sources!$A$2:$N$200,9,FALSE()),"?"))</f>
        <v>US official</v>
      </c>
      <c r="T2125" t="s">
        <v>5692</v>
      </c>
      <c r="U2125">
        <f>IF(OR(B2125="",C2125="",T2125="Retracted",LEFT(D2125,8)="Negative"),0,IF(COUNTIFS($B$2:B2125,B2125,$C$2:C2125,C2125,$D$2:D2125,"&lt;&gt;Negative*",$T$2:T2125,"&lt;&gt;Retracted")=1,1,0))</f>
        <v>0</v>
      </c>
    </row>
    <row r="2126" spans="1:21" x14ac:dyDescent="0.2">
      <c r="A2126" t="s">
        <v>4328</v>
      </c>
      <c r="B2126" t="s">
        <v>828</v>
      </c>
      <c r="C2126" t="s">
        <v>1258</v>
      </c>
      <c r="D2126" t="s">
        <v>1613</v>
      </c>
      <c r="E2126" t="s">
        <v>829</v>
      </c>
      <c r="F2126" t="s">
        <v>1583</v>
      </c>
      <c r="I2126" t="s">
        <v>1058</v>
      </c>
      <c r="M2126" t="s">
        <v>190</v>
      </c>
      <c r="N2126" t="s">
        <v>209</v>
      </c>
      <c r="Q2126" s="2" t="str">
        <f>IF($C2126="","",IFERROR(VLOOKUP($C2126,sources!$A$2:$N$200,2,FALSE()),"?"))</f>
        <v>Administrative</v>
      </c>
      <c r="R2126" s="2" t="str">
        <f t="shared" si="33"/>
        <v>Textual</v>
      </c>
      <c r="S2126" s="2" t="str">
        <f>IF($C2126="","",IFERROR(VLOOKUP($C2126,sources!$A$2:$N$200,9,FALSE()),"?"))</f>
        <v>US official</v>
      </c>
      <c r="T2126" t="s">
        <v>5692</v>
      </c>
      <c r="U2126">
        <f>IF(OR(B2126="",C2126="",T2126="Retracted",LEFT(D2126,8)="Negative"),0,IF(COUNTIFS($B$2:B2126,B2126,$C$2:C2126,C2126,$D$2:D2126,"&lt;&gt;Negative*",$T$2:T2126,"&lt;&gt;Retracted")=1,1,0))</f>
        <v>0</v>
      </c>
    </row>
    <row r="2127" spans="1:21" x14ac:dyDescent="0.2">
      <c r="A2127" t="s">
        <v>4329</v>
      </c>
      <c r="B2127" t="s">
        <v>832</v>
      </c>
      <c r="C2127" t="s">
        <v>1258</v>
      </c>
      <c r="D2127" t="s">
        <v>1613</v>
      </c>
      <c r="E2127" t="s">
        <v>833</v>
      </c>
      <c r="F2127" t="s">
        <v>1583</v>
      </c>
      <c r="I2127" t="s">
        <v>1058</v>
      </c>
      <c r="M2127" t="s">
        <v>190</v>
      </c>
      <c r="N2127" t="s">
        <v>209</v>
      </c>
      <c r="Q2127" s="2" t="str">
        <f>IF($C2127="","",IFERROR(VLOOKUP($C2127,sources!$A$2:$N$200,2,FALSE()),"?"))</f>
        <v>Administrative</v>
      </c>
      <c r="R2127" s="2" t="str">
        <f t="shared" si="33"/>
        <v>Textual</v>
      </c>
      <c r="S2127" s="2" t="str">
        <f>IF($C2127="","",IFERROR(VLOOKUP($C2127,sources!$A$2:$N$200,9,FALSE()),"?"))</f>
        <v>US official</v>
      </c>
      <c r="T2127" t="s">
        <v>5692</v>
      </c>
      <c r="U2127">
        <f>IF(OR(B2127="",C2127="",T2127="Retracted",LEFT(D2127,8)="Negative"),0,IF(COUNTIFS($B$2:B2127,B2127,$C$2:C2127,C2127,$D$2:D2127,"&lt;&gt;Negative*",$T$2:T2127,"&lt;&gt;Retracted")=1,1,0))</f>
        <v>0</v>
      </c>
    </row>
    <row r="2128" spans="1:21" x14ac:dyDescent="0.2">
      <c r="A2128" t="s">
        <v>4330</v>
      </c>
      <c r="B2128" t="s">
        <v>835</v>
      </c>
      <c r="C2128" t="s">
        <v>1258</v>
      </c>
      <c r="D2128" t="s">
        <v>1613</v>
      </c>
      <c r="E2128" t="s">
        <v>504</v>
      </c>
      <c r="F2128" t="s">
        <v>1583</v>
      </c>
      <c r="I2128" t="s">
        <v>1058</v>
      </c>
      <c r="M2128" t="s">
        <v>190</v>
      </c>
      <c r="N2128" t="s">
        <v>209</v>
      </c>
      <c r="Q2128" s="2" t="str">
        <f>IF($C2128="","",IFERROR(VLOOKUP($C2128,sources!$A$2:$N$200,2,FALSE()),"?"))</f>
        <v>Administrative</v>
      </c>
      <c r="R2128" s="2" t="str">
        <f t="shared" si="33"/>
        <v>Textual</v>
      </c>
      <c r="S2128" s="2" t="str">
        <f>IF($C2128="","",IFERROR(VLOOKUP($C2128,sources!$A$2:$N$200,9,FALSE()),"?"))</f>
        <v>US official</v>
      </c>
      <c r="T2128" t="s">
        <v>5692</v>
      </c>
      <c r="U2128">
        <f>IF(OR(B2128="",C2128="",T2128="Retracted",LEFT(D2128,8)="Negative"),0,IF(COUNTIFS($B$2:B2128,B2128,$C$2:C2128,C2128,$D$2:D2128,"&lt;&gt;Negative*",$T$2:T2128,"&lt;&gt;Retracted")=1,1,0))</f>
        <v>0</v>
      </c>
    </row>
    <row r="2129" spans="1:21" x14ac:dyDescent="0.2">
      <c r="A2129" t="s">
        <v>4331</v>
      </c>
      <c r="B2129" t="s">
        <v>847</v>
      </c>
      <c r="C2129" t="s">
        <v>1258</v>
      </c>
      <c r="D2129" t="s">
        <v>1575</v>
      </c>
      <c r="E2129" t="s">
        <v>848</v>
      </c>
      <c r="F2129" t="s">
        <v>1583</v>
      </c>
      <c r="I2129" t="s">
        <v>1058</v>
      </c>
      <c r="K2129">
        <v>1911</v>
      </c>
      <c r="L2129">
        <v>1914</v>
      </c>
      <c r="M2129" t="s">
        <v>209</v>
      </c>
      <c r="N2129" t="s">
        <v>203</v>
      </c>
      <c r="Q2129" s="2" t="str">
        <f>IF($C2129="","",IFERROR(VLOOKUP($C2129,sources!$A$2:$N$200,2,FALSE()),"?"))</f>
        <v>Administrative</v>
      </c>
      <c r="R2129" s="2" t="str">
        <f t="shared" si="33"/>
        <v>Textual</v>
      </c>
      <c r="S2129" s="2" t="str">
        <f>IF($C2129="","",IFERROR(VLOOKUP($C2129,sources!$A$2:$N$200,9,FALSE()),"?"))</f>
        <v>US official</v>
      </c>
      <c r="T2129" t="s">
        <v>5692</v>
      </c>
      <c r="U2129">
        <f>IF(OR(B2129="",C2129="",T2129="Retracted",LEFT(D2129,8)="Negative"),0,IF(COUNTIFS($B$2:B2129,B2129,$C$2:C2129,C2129,$D$2:D2129,"&lt;&gt;Negative*",$T$2:T2129,"&lt;&gt;Retracted")=1,1,0))</f>
        <v>1</v>
      </c>
    </row>
    <row r="2130" spans="1:21" x14ac:dyDescent="0.2">
      <c r="A2130" t="s">
        <v>4332</v>
      </c>
      <c r="B2130" t="s">
        <v>852</v>
      </c>
      <c r="C2130" t="s">
        <v>1258</v>
      </c>
      <c r="D2130" t="s">
        <v>1613</v>
      </c>
      <c r="E2130" t="s">
        <v>854</v>
      </c>
      <c r="F2130" t="s">
        <v>1583</v>
      </c>
      <c r="I2130" t="s">
        <v>1058</v>
      </c>
      <c r="M2130" t="s">
        <v>190</v>
      </c>
      <c r="N2130" t="s">
        <v>209</v>
      </c>
      <c r="Q2130" s="2" t="str">
        <f>IF($C2130="","",IFERROR(VLOOKUP($C2130,sources!$A$2:$N$200,2,FALSE()),"?"))</f>
        <v>Administrative</v>
      </c>
      <c r="R2130" s="2" t="str">
        <f t="shared" si="33"/>
        <v>Textual</v>
      </c>
      <c r="S2130" s="2" t="str">
        <f>IF($C2130="","",IFERROR(VLOOKUP($C2130,sources!$A$2:$N$200,9,FALSE()),"?"))</f>
        <v>US official</v>
      </c>
      <c r="T2130" t="s">
        <v>5692</v>
      </c>
      <c r="U2130">
        <f>IF(OR(B2130="",C2130="",T2130="Retracted",LEFT(D2130,8)="Negative"),0,IF(COUNTIFS($B$2:B2130,B2130,$C$2:C2130,C2130,$D$2:D2130,"&lt;&gt;Negative*",$T$2:T2130,"&lt;&gt;Retracted")=1,1,0))</f>
        <v>0</v>
      </c>
    </row>
    <row r="2131" spans="1:21" x14ac:dyDescent="0.2">
      <c r="A2131" t="s">
        <v>4333</v>
      </c>
      <c r="B2131" t="s">
        <v>856</v>
      </c>
      <c r="C2131" t="s">
        <v>1258</v>
      </c>
      <c r="D2131" t="s">
        <v>1613</v>
      </c>
      <c r="E2131" t="s">
        <v>4334</v>
      </c>
      <c r="F2131" t="s">
        <v>1583</v>
      </c>
      <c r="I2131" t="s">
        <v>1058</v>
      </c>
      <c r="M2131" t="s">
        <v>190</v>
      </c>
      <c r="N2131" t="s">
        <v>209</v>
      </c>
      <c r="Q2131" s="2" t="str">
        <f>IF($C2131="","",IFERROR(VLOOKUP($C2131,sources!$A$2:$N$200,2,FALSE()),"?"))</f>
        <v>Administrative</v>
      </c>
      <c r="R2131" s="2" t="str">
        <f t="shared" si="33"/>
        <v>Textual</v>
      </c>
      <c r="S2131" s="2" t="str">
        <f>IF($C2131="","",IFERROR(VLOOKUP($C2131,sources!$A$2:$N$200,9,FALSE()),"?"))</f>
        <v>US official</v>
      </c>
      <c r="T2131" t="s">
        <v>5692</v>
      </c>
      <c r="U2131">
        <f>IF(OR(B2131="",C2131="",T2131="Retracted",LEFT(D2131,8)="Negative"),0,IF(COUNTIFS($B$2:B2131,B2131,$C$2:C2131,C2131,$D$2:D2131,"&lt;&gt;Negative*",$T$2:T2131,"&lt;&gt;Retracted")=1,1,0))</f>
        <v>0</v>
      </c>
    </row>
    <row r="2132" spans="1:21" x14ac:dyDescent="0.2">
      <c r="A2132" t="s">
        <v>4335</v>
      </c>
      <c r="B2132" t="s">
        <v>860</v>
      </c>
      <c r="C2132" t="s">
        <v>1258</v>
      </c>
      <c r="D2132" t="s">
        <v>1613</v>
      </c>
      <c r="E2132" t="s">
        <v>3322</v>
      </c>
      <c r="F2132" t="s">
        <v>1583</v>
      </c>
      <c r="I2132" t="s">
        <v>1058</v>
      </c>
      <c r="M2132" t="s">
        <v>190</v>
      </c>
      <c r="N2132" t="s">
        <v>209</v>
      </c>
      <c r="Q2132" s="2" t="str">
        <f>IF($C2132="","",IFERROR(VLOOKUP($C2132,sources!$A$2:$N$200,2,FALSE()),"?"))</f>
        <v>Administrative</v>
      </c>
      <c r="R2132" s="2" t="str">
        <f t="shared" si="33"/>
        <v>Textual</v>
      </c>
      <c r="S2132" s="2" t="str">
        <f>IF($C2132="","",IFERROR(VLOOKUP($C2132,sources!$A$2:$N$200,9,FALSE()),"?"))</f>
        <v>US official</v>
      </c>
      <c r="T2132" t="s">
        <v>5692</v>
      </c>
      <c r="U2132">
        <f>IF(OR(B2132="",C2132="",T2132="Retracted",LEFT(D2132,8)="Negative"),0,IF(COUNTIFS($B$2:B2132,B2132,$C$2:C2132,C2132,$D$2:D2132,"&lt;&gt;Negative*",$T$2:T2132,"&lt;&gt;Retracted")=1,1,0))</f>
        <v>0</v>
      </c>
    </row>
    <row r="2133" spans="1:21" x14ac:dyDescent="0.2">
      <c r="A2133" t="s">
        <v>4336</v>
      </c>
      <c r="B2133" t="s">
        <v>865</v>
      </c>
      <c r="C2133" t="s">
        <v>1258</v>
      </c>
      <c r="D2133" t="s">
        <v>1613</v>
      </c>
      <c r="E2133" t="s">
        <v>3324</v>
      </c>
      <c r="F2133" t="s">
        <v>1583</v>
      </c>
      <c r="I2133" t="s">
        <v>1058</v>
      </c>
      <c r="M2133" t="s">
        <v>190</v>
      </c>
      <c r="N2133" t="s">
        <v>209</v>
      </c>
      <c r="Q2133" s="2" t="str">
        <f>IF($C2133="","",IFERROR(VLOOKUP($C2133,sources!$A$2:$N$200,2,FALSE()),"?"))</f>
        <v>Administrative</v>
      </c>
      <c r="R2133" s="2" t="str">
        <f t="shared" si="33"/>
        <v>Textual</v>
      </c>
      <c r="S2133" s="2" t="str">
        <f>IF($C2133="","",IFERROR(VLOOKUP($C2133,sources!$A$2:$N$200,9,FALSE()),"?"))</f>
        <v>US official</v>
      </c>
      <c r="T2133" t="s">
        <v>5692</v>
      </c>
      <c r="U2133">
        <f>IF(OR(B2133="",C2133="",T2133="Retracted",LEFT(D2133,8)="Negative"),0,IF(COUNTIFS($B$2:B2133,B2133,$C$2:C2133,C2133,$D$2:D2133,"&lt;&gt;Negative*",$T$2:T2133,"&lt;&gt;Retracted")=1,1,0))</f>
        <v>0</v>
      </c>
    </row>
    <row r="2134" spans="1:21" x14ac:dyDescent="0.2">
      <c r="A2134" t="s">
        <v>4337</v>
      </c>
      <c r="B2134" t="s">
        <v>869</v>
      </c>
      <c r="C2134" t="s">
        <v>1258</v>
      </c>
      <c r="D2134" t="s">
        <v>1613</v>
      </c>
      <c r="E2134" t="s">
        <v>4338</v>
      </c>
      <c r="F2134" t="s">
        <v>1583</v>
      </c>
      <c r="I2134" t="s">
        <v>1058</v>
      </c>
      <c r="M2134" t="s">
        <v>190</v>
      </c>
      <c r="N2134" t="s">
        <v>209</v>
      </c>
      <c r="Q2134" s="2" t="str">
        <f>IF($C2134="","",IFERROR(VLOOKUP($C2134,sources!$A$2:$N$200,2,FALSE()),"?"))</f>
        <v>Administrative</v>
      </c>
      <c r="R2134" s="2" t="str">
        <f t="shared" si="33"/>
        <v>Textual</v>
      </c>
      <c r="S2134" s="2" t="str">
        <f>IF($C2134="","",IFERROR(VLOOKUP($C2134,sources!$A$2:$N$200,9,FALSE()),"?"))</f>
        <v>US official</v>
      </c>
      <c r="T2134" t="s">
        <v>5692</v>
      </c>
      <c r="U2134">
        <f>IF(OR(B2134="",C2134="",T2134="Retracted",LEFT(D2134,8)="Negative"),0,IF(COUNTIFS($B$2:B2134,B2134,$C$2:C2134,C2134,$D$2:D2134,"&lt;&gt;Negative*",$T$2:T2134,"&lt;&gt;Retracted")=1,1,0))</f>
        <v>0</v>
      </c>
    </row>
    <row r="2135" spans="1:21" x14ac:dyDescent="0.2">
      <c r="A2135" t="s">
        <v>4339</v>
      </c>
      <c r="B2135" t="s">
        <v>873</v>
      </c>
      <c r="C2135" t="s">
        <v>1258</v>
      </c>
      <c r="D2135" t="s">
        <v>1613</v>
      </c>
      <c r="E2135" t="s">
        <v>4311</v>
      </c>
      <c r="F2135" t="s">
        <v>1583</v>
      </c>
      <c r="I2135" t="s">
        <v>1058</v>
      </c>
      <c r="M2135" t="s">
        <v>190</v>
      </c>
      <c r="N2135" t="s">
        <v>209</v>
      </c>
      <c r="Q2135" s="2" t="str">
        <f>IF($C2135="","",IFERROR(VLOOKUP($C2135,sources!$A$2:$N$200,2,FALSE()),"?"))</f>
        <v>Administrative</v>
      </c>
      <c r="R2135" s="2" t="str">
        <f t="shared" si="33"/>
        <v>Textual</v>
      </c>
      <c r="S2135" s="2" t="str">
        <f>IF($C2135="","",IFERROR(VLOOKUP($C2135,sources!$A$2:$N$200,9,FALSE()),"?"))</f>
        <v>US official</v>
      </c>
      <c r="T2135" t="s">
        <v>5692</v>
      </c>
      <c r="U2135">
        <f>IF(OR(B2135="",C2135="",T2135="Retracted",LEFT(D2135,8)="Negative"),0,IF(COUNTIFS($B$2:B2135,B2135,$C$2:C2135,C2135,$D$2:D2135,"&lt;&gt;Negative*",$T$2:T2135,"&lt;&gt;Retracted")=1,1,0))</f>
        <v>0</v>
      </c>
    </row>
    <row r="2136" spans="1:21" x14ac:dyDescent="0.2">
      <c r="A2136" t="s">
        <v>4340</v>
      </c>
      <c r="B2136" t="s">
        <v>876</v>
      </c>
      <c r="C2136" t="s">
        <v>1258</v>
      </c>
      <c r="D2136" t="s">
        <v>1613</v>
      </c>
      <c r="E2136" t="s">
        <v>4263</v>
      </c>
      <c r="F2136" t="s">
        <v>1583</v>
      </c>
      <c r="I2136" t="s">
        <v>1058</v>
      </c>
      <c r="M2136" t="s">
        <v>190</v>
      </c>
      <c r="N2136" t="s">
        <v>209</v>
      </c>
      <c r="Q2136" s="2" t="str">
        <f>IF($C2136="","",IFERROR(VLOOKUP($C2136,sources!$A$2:$N$200,2,FALSE()),"?"))</f>
        <v>Administrative</v>
      </c>
      <c r="R2136" s="2" t="str">
        <f t="shared" si="33"/>
        <v>Textual</v>
      </c>
      <c r="S2136" s="2" t="str">
        <f>IF($C2136="","",IFERROR(VLOOKUP($C2136,sources!$A$2:$N$200,9,FALSE()),"?"))</f>
        <v>US official</v>
      </c>
      <c r="T2136" t="s">
        <v>5692</v>
      </c>
      <c r="U2136">
        <f>IF(OR(B2136="",C2136="",T2136="Retracted",LEFT(D2136,8)="Negative"),0,IF(COUNTIFS($B$2:B2136,B2136,$C$2:C2136,C2136,$D$2:D2136,"&lt;&gt;Negative*",$T$2:T2136,"&lt;&gt;Retracted")=1,1,0))</f>
        <v>0</v>
      </c>
    </row>
    <row r="2137" spans="1:21" x14ac:dyDescent="0.2">
      <c r="A2137" t="s">
        <v>4341</v>
      </c>
      <c r="B2137" t="s">
        <v>879</v>
      </c>
      <c r="C2137" t="s">
        <v>1258</v>
      </c>
      <c r="D2137" t="s">
        <v>1613</v>
      </c>
      <c r="E2137" t="s">
        <v>4313</v>
      </c>
      <c r="F2137" t="s">
        <v>1583</v>
      </c>
      <c r="I2137" t="s">
        <v>1058</v>
      </c>
      <c r="M2137" t="s">
        <v>190</v>
      </c>
      <c r="N2137" t="s">
        <v>209</v>
      </c>
      <c r="Q2137" s="2" t="str">
        <f>IF($C2137="","",IFERROR(VLOOKUP($C2137,sources!$A$2:$N$200,2,FALSE()),"?"))</f>
        <v>Administrative</v>
      </c>
      <c r="R2137" s="2" t="str">
        <f t="shared" si="33"/>
        <v>Textual</v>
      </c>
      <c r="S2137" s="2" t="str">
        <f>IF($C2137="","",IFERROR(VLOOKUP($C2137,sources!$A$2:$N$200,9,FALSE()),"?"))</f>
        <v>US official</v>
      </c>
      <c r="T2137" t="s">
        <v>5692</v>
      </c>
      <c r="U2137">
        <f>IF(OR(B2137="",C2137="",T2137="Retracted",LEFT(D2137,8)="Negative"),0,IF(COUNTIFS($B$2:B2137,B2137,$C$2:C2137,C2137,$D$2:D2137,"&lt;&gt;Negative*",$T$2:T2137,"&lt;&gt;Retracted")=1,1,0))</f>
        <v>0</v>
      </c>
    </row>
    <row r="2138" spans="1:21" x14ac:dyDescent="0.2">
      <c r="A2138" t="s">
        <v>4342</v>
      </c>
      <c r="B2138" t="s">
        <v>883</v>
      </c>
      <c r="C2138" t="s">
        <v>1258</v>
      </c>
      <c r="D2138" t="s">
        <v>1575</v>
      </c>
      <c r="E2138" t="s">
        <v>884</v>
      </c>
      <c r="F2138" t="s">
        <v>1583</v>
      </c>
      <c r="I2138" t="s">
        <v>1058</v>
      </c>
      <c r="K2138">
        <v>1964</v>
      </c>
      <c r="L2138">
        <v>1996</v>
      </c>
      <c r="M2138" t="s">
        <v>209</v>
      </c>
      <c r="N2138" t="s">
        <v>203</v>
      </c>
      <c r="Q2138" s="2" t="str">
        <f>IF($C2138="","",IFERROR(VLOOKUP($C2138,sources!$A$2:$N$200,2,FALSE()),"?"))</f>
        <v>Administrative</v>
      </c>
      <c r="R2138" s="2" t="str">
        <f t="shared" si="33"/>
        <v>Textual</v>
      </c>
      <c r="S2138" s="2" t="str">
        <f>IF($C2138="","",IFERROR(VLOOKUP($C2138,sources!$A$2:$N$200,9,FALSE()),"?"))</f>
        <v>US official</v>
      </c>
      <c r="T2138" t="s">
        <v>5692</v>
      </c>
      <c r="U2138">
        <f>IF(OR(B2138="",C2138="",T2138="Retracted",LEFT(D2138,8)="Negative"),0,IF(COUNTIFS($B$2:B2138,B2138,$C$2:C2138,C2138,$D$2:D2138,"&lt;&gt;Negative*",$T$2:T2138,"&lt;&gt;Retracted")=1,1,0))</f>
        <v>1</v>
      </c>
    </row>
    <row r="2139" spans="1:21" x14ac:dyDescent="0.2">
      <c r="A2139" t="s">
        <v>4343</v>
      </c>
      <c r="B2139" t="s">
        <v>888</v>
      </c>
      <c r="C2139" t="s">
        <v>1258</v>
      </c>
      <c r="D2139" t="s">
        <v>1613</v>
      </c>
      <c r="E2139" t="s">
        <v>4265</v>
      </c>
      <c r="F2139" t="s">
        <v>1583</v>
      </c>
      <c r="I2139" t="s">
        <v>1058</v>
      </c>
      <c r="M2139" t="s">
        <v>190</v>
      </c>
      <c r="N2139" t="s">
        <v>209</v>
      </c>
      <c r="Q2139" s="2" t="str">
        <f>IF($C2139="","",IFERROR(VLOOKUP($C2139,sources!$A$2:$N$200,2,FALSE()),"?"))</f>
        <v>Administrative</v>
      </c>
      <c r="R2139" s="2" t="str">
        <f t="shared" si="33"/>
        <v>Textual</v>
      </c>
      <c r="S2139" s="2" t="str">
        <f>IF($C2139="","",IFERROR(VLOOKUP($C2139,sources!$A$2:$N$200,9,FALSE()),"?"))</f>
        <v>US official</v>
      </c>
      <c r="T2139" t="s">
        <v>5692</v>
      </c>
      <c r="U2139">
        <f>IF(OR(B2139="",C2139="",T2139="Retracted",LEFT(D2139,8)="Negative"),0,IF(COUNTIFS($B$2:B2139,B2139,$C$2:C2139,C2139,$D$2:D2139,"&lt;&gt;Negative*",$T$2:T2139,"&lt;&gt;Retracted")=1,1,0))</f>
        <v>0</v>
      </c>
    </row>
    <row r="2140" spans="1:21" x14ac:dyDescent="0.2">
      <c r="A2140" t="s">
        <v>4344</v>
      </c>
      <c r="B2140" t="s">
        <v>892</v>
      </c>
      <c r="C2140" t="s">
        <v>1258</v>
      </c>
      <c r="D2140" t="s">
        <v>1613</v>
      </c>
      <c r="E2140" t="s">
        <v>4345</v>
      </c>
      <c r="F2140" t="s">
        <v>1583</v>
      </c>
      <c r="I2140" t="s">
        <v>1058</v>
      </c>
      <c r="M2140" t="s">
        <v>190</v>
      </c>
      <c r="N2140" t="s">
        <v>209</v>
      </c>
      <c r="Q2140" s="2" t="str">
        <f>IF($C2140="","",IFERROR(VLOOKUP($C2140,sources!$A$2:$N$200,2,FALSE()),"?"))</f>
        <v>Administrative</v>
      </c>
      <c r="R2140" s="2" t="str">
        <f t="shared" si="33"/>
        <v>Textual</v>
      </c>
      <c r="S2140" s="2" t="str">
        <f>IF($C2140="","",IFERROR(VLOOKUP($C2140,sources!$A$2:$N$200,9,FALSE()),"?"))</f>
        <v>US official</v>
      </c>
      <c r="T2140" t="s">
        <v>5692</v>
      </c>
      <c r="U2140">
        <f>IF(OR(B2140="",C2140="",T2140="Retracted",LEFT(D2140,8)="Negative"),0,IF(COUNTIFS($B$2:B2140,B2140,$C$2:C2140,C2140,$D$2:D2140,"&lt;&gt;Negative*",$T$2:T2140,"&lt;&gt;Retracted")=1,1,0))</f>
        <v>0</v>
      </c>
    </row>
    <row r="2141" spans="1:21" x14ac:dyDescent="0.2">
      <c r="A2141" t="s">
        <v>4346</v>
      </c>
      <c r="B2141" t="s">
        <v>896</v>
      </c>
      <c r="C2141" t="s">
        <v>1258</v>
      </c>
      <c r="D2141" t="s">
        <v>1613</v>
      </c>
      <c r="E2141" t="s">
        <v>897</v>
      </c>
      <c r="F2141" t="s">
        <v>1583</v>
      </c>
      <c r="I2141" t="s">
        <v>1058</v>
      </c>
      <c r="M2141" t="s">
        <v>190</v>
      </c>
      <c r="N2141" t="s">
        <v>209</v>
      </c>
      <c r="Q2141" s="2" t="str">
        <f>IF($C2141="","",IFERROR(VLOOKUP($C2141,sources!$A$2:$N$200,2,FALSE()),"?"))</f>
        <v>Administrative</v>
      </c>
      <c r="R2141" s="2" t="str">
        <f t="shared" si="33"/>
        <v>Textual</v>
      </c>
      <c r="S2141" s="2" t="str">
        <f>IF($C2141="","",IFERROR(VLOOKUP($C2141,sources!$A$2:$N$200,9,FALSE()),"?"))</f>
        <v>US official</v>
      </c>
      <c r="T2141" t="s">
        <v>5692</v>
      </c>
      <c r="U2141">
        <f>IF(OR(B2141="",C2141="",T2141="Retracted",LEFT(D2141,8)="Negative"),0,IF(COUNTIFS($B$2:B2141,B2141,$C$2:C2141,C2141,$D$2:D2141,"&lt;&gt;Negative*",$T$2:T2141,"&lt;&gt;Retracted")=1,1,0))</f>
        <v>0</v>
      </c>
    </row>
    <row r="2142" spans="1:21" x14ac:dyDescent="0.2">
      <c r="A2142" t="s">
        <v>4347</v>
      </c>
      <c r="B2142" t="s">
        <v>899</v>
      </c>
      <c r="C2142" t="s">
        <v>1258</v>
      </c>
      <c r="D2142" t="s">
        <v>1613</v>
      </c>
      <c r="E2142" t="s">
        <v>900</v>
      </c>
      <c r="F2142" t="s">
        <v>1583</v>
      </c>
      <c r="I2142" t="s">
        <v>1058</v>
      </c>
      <c r="M2142" t="s">
        <v>190</v>
      </c>
      <c r="N2142" t="s">
        <v>209</v>
      </c>
      <c r="Q2142" s="2" t="str">
        <f>IF($C2142="","",IFERROR(VLOOKUP($C2142,sources!$A$2:$N$200,2,FALSE()),"?"))</f>
        <v>Administrative</v>
      </c>
      <c r="R2142" s="2" t="str">
        <f t="shared" si="33"/>
        <v>Textual</v>
      </c>
      <c r="S2142" s="2" t="str">
        <f>IF($C2142="","",IFERROR(VLOOKUP($C2142,sources!$A$2:$N$200,9,FALSE()),"?"))</f>
        <v>US official</v>
      </c>
      <c r="T2142" t="s">
        <v>5692</v>
      </c>
      <c r="U2142">
        <f>IF(OR(B2142="",C2142="",T2142="Retracted",LEFT(D2142,8)="Negative"),0,IF(COUNTIFS($B$2:B2142,B2142,$C$2:C2142,C2142,$D$2:D2142,"&lt;&gt;Negative*",$T$2:T2142,"&lt;&gt;Retracted")=1,1,0))</f>
        <v>0</v>
      </c>
    </row>
    <row r="2143" spans="1:21" x14ac:dyDescent="0.2">
      <c r="A2143" t="s">
        <v>4348</v>
      </c>
      <c r="B2143" t="s">
        <v>902</v>
      </c>
      <c r="C2143" t="s">
        <v>1258</v>
      </c>
      <c r="D2143" t="s">
        <v>1613</v>
      </c>
      <c r="E2143" t="s">
        <v>903</v>
      </c>
      <c r="F2143" t="s">
        <v>1583</v>
      </c>
      <c r="I2143" t="s">
        <v>1058</v>
      </c>
      <c r="M2143" t="s">
        <v>190</v>
      </c>
      <c r="N2143" t="s">
        <v>209</v>
      </c>
      <c r="Q2143" s="2" t="str">
        <f>IF($C2143="","",IFERROR(VLOOKUP($C2143,sources!$A$2:$N$200,2,FALSE()),"?"))</f>
        <v>Administrative</v>
      </c>
      <c r="R2143" s="2" t="str">
        <f t="shared" si="33"/>
        <v>Textual</v>
      </c>
      <c r="S2143" s="2" t="str">
        <f>IF($C2143="","",IFERROR(VLOOKUP($C2143,sources!$A$2:$N$200,9,FALSE()),"?"))</f>
        <v>US official</v>
      </c>
      <c r="T2143" t="s">
        <v>5692</v>
      </c>
      <c r="U2143">
        <f>IF(OR(B2143="",C2143="",T2143="Retracted",LEFT(D2143,8)="Negative"),0,IF(COUNTIFS($B$2:B2143,B2143,$C$2:C2143,C2143,$D$2:D2143,"&lt;&gt;Negative*",$T$2:T2143,"&lt;&gt;Retracted")=1,1,0))</f>
        <v>0</v>
      </c>
    </row>
    <row r="2144" spans="1:21" x14ac:dyDescent="0.2">
      <c r="A2144" t="s">
        <v>4349</v>
      </c>
      <c r="B2144" t="s">
        <v>906</v>
      </c>
      <c r="C2144" t="s">
        <v>1258</v>
      </c>
      <c r="D2144" t="s">
        <v>1613</v>
      </c>
      <c r="E2144" t="s">
        <v>908</v>
      </c>
      <c r="F2144" t="s">
        <v>1583</v>
      </c>
      <c r="I2144" t="s">
        <v>1058</v>
      </c>
      <c r="M2144" t="s">
        <v>190</v>
      </c>
      <c r="N2144" t="s">
        <v>209</v>
      </c>
      <c r="Q2144" s="2" t="str">
        <f>IF($C2144="","",IFERROR(VLOOKUP($C2144,sources!$A$2:$N$200,2,FALSE()),"?"))</f>
        <v>Administrative</v>
      </c>
      <c r="R2144" s="2" t="str">
        <f t="shared" si="33"/>
        <v>Textual</v>
      </c>
      <c r="S2144" s="2" t="str">
        <f>IF($C2144="","",IFERROR(VLOOKUP($C2144,sources!$A$2:$N$200,9,FALSE()),"?"))</f>
        <v>US official</v>
      </c>
      <c r="T2144" t="s">
        <v>5692</v>
      </c>
      <c r="U2144">
        <f>IF(OR(B2144="",C2144="",T2144="Retracted",LEFT(D2144,8)="Negative"),0,IF(COUNTIFS($B$2:B2144,B2144,$C$2:C2144,C2144,$D$2:D2144,"&lt;&gt;Negative*",$T$2:T2144,"&lt;&gt;Retracted")=1,1,0))</f>
        <v>0</v>
      </c>
    </row>
    <row r="2145" spans="1:21" x14ac:dyDescent="0.2">
      <c r="A2145" t="s">
        <v>4350</v>
      </c>
      <c r="B2145" t="s">
        <v>910</v>
      </c>
      <c r="C2145" t="s">
        <v>1258</v>
      </c>
      <c r="D2145" t="s">
        <v>1613</v>
      </c>
      <c r="E2145" t="s">
        <v>911</v>
      </c>
      <c r="F2145" t="s">
        <v>1583</v>
      </c>
      <c r="I2145" t="s">
        <v>1058</v>
      </c>
      <c r="M2145" t="s">
        <v>190</v>
      </c>
      <c r="N2145" t="s">
        <v>209</v>
      </c>
      <c r="Q2145" s="2" t="str">
        <f>IF($C2145="","",IFERROR(VLOOKUP($C2145,sources!$A$2:$N$200,2,FALSE()),"?"))</f>
        <v>Administrative</v>
      </c>
      <c r="R2145" s="2" t="str">
        <f t="shared" si="33"/>
        <v>Textual</v>
      </c>
      <c r="S2145" s="2" t="str">
        <f>IF($C2145="","",IFERROR(VLOOKUP($C2145,sources!$A$2:$N$200,9,FALSE()),"?"))</f>
        <v>US official</v>
      </c>
      <c r="T2145" t="s">
        <v>5692</v>
      </c>
      <c r="U2145">
        <f>IF(OR(B2145="",C2145="",T2145="Retracted",LEFT(D2145,8)="Negative"),0,IF(COUNTIFS($B$2:B2145,B2145,$C$2:C2145,C2145,$D$2:D2145,"&lt;&gt;Negative*",$T$2:T2145,"&lt;&gt;Retracted")=1,1,0))</f>
        <v>0</v>
      </c>
    </row>
    <row r="2146" spans="1:21" x14ac:dyDescent="0.2">
      <c r="A2146" t="s">
        <v>4351</v>
      </c>
      <c r="B2146" t="s">
        <v>914</v>
      </c>
      <c r="C2146" t="s">
        <v>1258</v>
      </c>
      <c r="D2146" t="s">
        <v>1613</v>
      </c>
      <c r="E2146" t="s">
        <v>915</v>
      </c>
      <c r="F2146" t="s">
        <v>1583</v>
      </c>
      <c r="I2146" t="s">
        <v>1058</v>
      </c>
      <c r="M2146" t="s">
        <v>190</v>
      </c>
      <c r="N2146" t="s">
        <v>209</v>
      </c>
      <c r="Q2146" s="2" t="str">
        <f>IF($C2146="","",IFERROR(VLOOKUP($C2146,sources!$A$2:$N$200,2,FALSE()),"?"))</f>
        <v>Administrative</v>
      </c>
      <c r="R2146" s="2" t="str">
        <f t="shared" si="33"/>
        <v>Textual</v>
      </c>
      <c r="S2146" s="2" t="str">
        <f>IF($C2146="","",IFERROR(VLOOKUP($C2146,sources!$A$2:$N$200,9,FALSE()),"?"))</f>
        <v>US official</v>
      </c>
      <c r="T2146" t="s">
        <v>5692</v>
      </c>
      <c r="U2146">
        <f>IF(OR(B2146="",C2146="",T2146="Retracted",LEFT(D2146,8)="Negative"),0,IF(COUNTIFS($B$2:B2146,B2146,$C$2:C2146,C2146,$D$2:D2146,"&lt;&gt;Negative*",$T$2:T2146,"&lt;&gt;Retracted")=1,1,0))</f>
        <v>0</v>
      </c>
    </row>
    <row r="2147" spans="1:21" x14ac:dyDescent="0.2">
      <c r="A2147" t="s">
        <v>4352</v>
      </c>
      <c r="B2147" t="s">
        <v>917</v>
      </c>
      <c r="C2147" t="s">
        <v>1258</v>
      </c>
      <c r="D2147" t="s">
        <v>1613</v>
      </c>
      <c r="E2147" t="s">
        <v>918</v>
      </c>
      <c r="F2147" t="s">
        <v>1583</v>
      </c>
      <c r="I2147" t="s">
        <v>1058</v>
      </c>
      <c r="M2147" t="s">
        <v>190</v>
      </c>
      <c r="N2147" t="s">
        <v>209</v>
      </c>
      <c r="Q2147" s="2" t="str">
        <f>IF($C2147="","",IFERROR(VLOOKUP($C2147,sources!$A$2:$N$200,2,FALSE()),"?"))</f>
        <v>Administrative</v>
      </c>
      <c r="R2147" s="2" t="str">
        <f t="shared" si="33"/>
        <v>Textual</v>
      </c>
      <c r="S2147" s="2" t="str">
        <f>IF($C2147="","",IFERROR(VLOOKUP($C2147,sources!$A$2:$N$200,9,FALSE()),"?"))</f>
        <v>US official</v>
      </c>
      <c r="T2147" t="s">
        <v>5692</v>
      </c>
      <c r="U2147">
        <f>IF(OR(B2147="",C2147="",T2147="Retracted",LEFT(D2147,8)="Negative"),0,IF(COUNTIFS($B$2:B2147,B2147,$C$2:C2147,C2147,$D$2:D2147,"&lt;&gt;Negative*",$T$2:T2147,"&lt;&gt;Retracted")=1,1,0))</f>
        <v>0</v>
      </c>
    </row>
    <row r="2148" spans="1:21" x14ac:dyDescent="0.2">
      <c r="A2148" t="s">
        <v>4353</v>
      </c>
      <c r="B2148" t="s">
        <v>920</v>
      </c>
      <c r="C2148" t="s">
        <v>1258</v>
      </c>
      <c r="D2148" t="s">
        <v>1564</v>
      </c>
      <c r="E2148" t="s">
        <v>4160</v>
      </c>
      <c r="F2148" t="s">
        <v>1583</v>
      </c>
      <c r="I2148" t="s">
        <v>1058</v>
      </c>
      <c r="K2148">
        <v>1911</v>
      </c>
      <c r="L2148">
        <v>1965</v>
      </c>
      <c r="M2148" t="s">
        <v>209</v>
      </c>
      <c r="N2148" t="s">
        <v>203</v>
      </c>
      <c r="Q2148" s="2" t="str">
        <f>IF($C2148="","",IFERROR(VLOOKUP($C2148,sources!$A$2:$N$200,2,FALSE()),"?"))</f>
        <v>Administrative</v>
      </c>
      <c r="R2148" s="2" t="str">
        <f t="shared" si="33"/>
        <v>Textual</v>
      </c>
      <c r="S2148" s="2" t="str">
        <f>IF($C2148="","",IFERROR(VLOOKUP($C2148,sources!$A$2:$N$200,9,FALSE()),"?"))</f>
        <v>US official</v>
      </c>
      <c r="T2148" t="s">
        <v>5692</v>
      </c>
      <c r="U2148">
        <f>IF(OR(B2148="",C2148="",T2148="Retracted",LEFT(D2148,8)="Negative"),0,IF(COUNTIFS($B$2:B2148,B2148,$C$2:C2148,C2148,$D$2:D2148,"&lt;&gt;Negative*",$T$2:T2148,"&lt;&gt;Retracted")=1,1,0))</f>
        <v>1</v>
      </c>
    </row>
    <row r="2149" spans="1:21" x14ac:dyDescent="0.2">
      <c r="A2149" t="s">
        <v>4354</v>
      </c>
      <c r="B2149" t="s">
        <v>924</v>
      </c>
      <c r="C2149" t="s">
        <v>1258</v>
      </c>
      <c r="D2149" t="s">
        <v>1613</v>
      </c>
      <c r="E2149" t="s">
        <v>4355</v>
      </c>
      <c r="F2149" t="s">
        <v>1583</v>
      </c>
      <c r="I2149" t="s">
        <v>1058</v>
      </c>
      <c r="M2149" t="s">
        <v>190</v>
      </c>
      <c r="N2149" t="s">
        <v>209</v>
      </c>
      <c r="Q2149" s="2" t="str">
        <f>IF($C2149="","",IFERROR(VLOOKUP($C2149,sources!$A$2:$N$200,2,FALSE()),"?"))</f>
        <v>Administrative</v>
      </c>
      <c r="R2149" s="2" t="str">
        <f t="shared" si="33"/>
        <v>Textual</v>
      </c>
      <c r="S2149" s="2" t="str">
        <f>IF($C2149="","",IFERROR(VLOOKUP($C2149,sources!$A$2:$N$200,9,FALSE()),"?"))</f>
        <v>US official</v>
      </c>
      <c r="T2149" t="s">
        <v>5692</v>
      </c>
      <c r="U2149">
        <f>IF(OR(B2149="",C2149="",T2149="Retracted",LEFT(D2149,8)="Negative"),0,IF(COUNTIFS($B$2:B2149,B2149,$C$2:C2149,C2149,$D$2:D2149,"&lt;&gt;Negative*",$T$2:T2149,"&lt;&gt;Retracted")=1,1,0))</f>
        <v>0</v>
      </c>
    </row>
    <row r="2150" spans="1:21" x14ac:dyDescent="0.2">
      <c r="A2150" t="s">
        <v>4356</v>
      </c>
      <c r="B2150" t="s">
        <v>932</v>
      </c>
      <c r="C2150" t="s">
        <v>1258</v>
      </c>
      <c r="D2150" t="s">
        <v>1613</v>
      </c>
      <c r="E2150" t="s">
        <v>934</v>
      </c>
      <c r="F2150" t="s">
        <v>1583</v>
      </c>
      <c r="I2150" t="s">
        <v>1058</v>
      </c>
      <c r="M2150" t="s">
        <v>190</v>
      </c>
      <c r="N2150" t="s">
        <v>209</v>
      </c>
      <c r="Q2150" s="2" t="str">
        <f>IF($C2150="","",IFERROR(VLOOKUP($C2150,sources!$A$2:$N$200,2,FALSE()),"?"))</f>
        <v>Administrative</v>
      </c>
      <c r="R2150" s="2" t="str">
        <f t="shared" si="33"/>
        <v>Textual</v>
      </c>
      <c r="S2150" s="2" t="str">
        <f>IF($C2150="","",IFERROR(VLOOKUP($C2150,sources!$A$2:$N$200,9,FALSE()),"?"))</f>
        <v>US official</v>
      </c>
      <c r="T2150" t="s">
        <v>5692</v>
      </c>
      <c r="U2150">
        <f>IF(OR(B2150="",C2150="",T2150="Retracted",LEFT(D2150,8)="Negative"),0,IF(COUNTIFS($B$2:B2150,B2150,$C$2:C2150,C2150,$D$2:D2150,"&lt;&gt;Negative*",$T$2:T2150,"&lt;&gt;Retracted")=1,1,0))</f>
        <v>0</v>
      </c>
    </row>
    <row r="2151" spans="1:21" x14ac:dyDescent="0.2">
      <c r="A2151" t="s">
        <v>4357</v>
      </c>
      <c r="B2151" t="s">
        <v>938</v>
      </c>
      <c r="C2151" t="s">
        <v>1258</v>
      </c>
      <c r="D2151" t="s">
        <v>1575</v>
      </c>
      <c r="E2151" t="s">
        <v>939</v>
      </c>
      <c r="F2151" t="s">
        <v>1583</v>
      </c>
      <c r="I2151" t="s">
        <v>1058</v>
      </c>
      <c r="M2151" t="s">
        <v>190</v>
      </c>
      <c r="N2151" t="s">
        <v>209</v>
      </c>
      <c r="Q2151" s="2" t="str">
        <f>IF($C2151="","",IFERROR(VLOOKUP($C2151,sources!$A$2:$N$200,2,FALSE()),"?"))</f>
        <v>Administrative</v>
      </c>
      <c r="R2151" s="2" t="str">
        <f t="shared" si="33"/>
        <v>Textual</v>
      </c>
      <c r="S2151" s="2" t="str">
        <f>IF($C2151="","",IFERROR(VLOOKUP($C2151,sources!$A$2:$N$200,9,FALSE()),"?"))</f>
        <v>US official</v>
      </c>
      <c r="T2151" t="s">
        <v>5692</v>
      </c>
      <c r="U2151">
        <f>IF(OR(B2151="",C2151="",T2151="Retracted",LEFT(D2151,8)="Negative"),0,IF(COUNTIFS($B$2:B2151,B2151,$C$2:C2151,C2151,$D$2:D2151,"&lt;&gt;Negative*",$T$2:T2151,"&lt;&gt;Retracted")=1,1,0))</f>
        <v>1</v>
      </c>
    </row>
    <row r="2152" spans="1:21" x14ac:dyDescent="0.2">
      <c r="A2152" t="s">
        <v>4358</v>
      </c>
      <c r="B2152" t="s">
        <v>943</v>
      </c>
      <c r="C2152" t="s">
        <v>1258</v>
      </c>
      <c r="D2152" t="s">
        <v>1613</v>
      </c>
      <c r="E2152" t="s">
        <v>4033</v>
      </c>
      <c r="F2152" t="s">
        <v>1583</v>
      </c>
      <c r="I2152" t="s">
        <v>1058</v>
      </c>
      <c r="M2152" t="s">
        <v>190</v>
      </c>
      <c r="N2152" t="s">
        <v>209</v>
      </c>
      <c r="Q2152" s="2" t="str">
        <f>IF($C2152="","",IFERROR(VLOOKUP($C2152,sources!$A$2:$N$200,2,FALSE()),"?"))</f>
        <v>Administrative</v>
      </c>
      <c r="R2152" s="2" t="str">
        <f t="shared" si="33"/>
        <v>Textual</v>
      </c>
      <c r="S2152" s="2" t="str">
        <f>IF($C2152="","",IFERROR(VLOOKUP($C2152,sources!$A$2:$N$200,9,FALSE()),"?"))</f>
        <v>US official</v>
      </c>
      <c r="T2152" t="s">
        <v>5692</v>
      </c>
      <c r="U2152">
        <f>IF(OR(B2152="",C2152="",T2152="Retracted",LEFT(D2152,8)="Negative"),0,IF(COUNTIFS($B$2:B2152,B2152,$C$2:C2152,C2152,$D$2:D2152,"&lt;&gt;Negative*",$T$2:T2152,"&lt;&gt;Retracted")=1,1,0))</f>
        <v>0</v>
      </c>
    </row>
    <row r="2153" spans="1:21" x14ac:dyDescent="0.2">
      <c r="A2153" t="s">
        <v>4359</v>
      </c>
      <c r="B2153" t="s">
        <v>947</v>
      </c>
      <c r="C2153" t="s">
        <v>1258</v>
      </c>
      <c r="D2153" t="s">
        <v>1613</v>
      </c>
      <c r="E2153" t="s">
        <v>4360</v>
      </c>
      <c r="F2153" t="s">
        <v>1583</v>
      </c>
      <c r="I2153" t="s">
        <v>1058</v>
      </c>
      <c r="M2153" t="s">
        <v>190</v>
      </c>
      <c r="N2153" t="s">
        <v>209</v>
      </c>
      <c r="Q2153" s="2" t="str">
        <f>IF($C2153="","",IFERROR(VLOOKUP($C2153,sources!$A$2:$N$200,2,FALSE()),"?"))</f>
        <v>Administrative</v>
      </c>
      <c r="R2153" s="2" t="str">
        <f t="shared" si="33"/>
        <v>Textual</v>
      </c>
      <c r="S2153" s="2" t="str">
        <f>IF($C2153="","",IFERROR(VLOOKUP($C2153,sources!$A$2:$N$200,9,FALSE()),"?"))</f>
        <v>US official</v>
      </c>
      <c r="T2153" t="s">
        <v>5692</v>
      </c>
      <c r="U2153">
        <f>IF(OR(B2153="",C2153="",T2153="Retracted",LEFT(D2153,8)="Negative"),0,IF(COUNTIFS($B$2:B2153,B2153,$C$2:C2153,C2153,$D$2:D2153,"&lt;&gt;Negative*",$T$2:T2153,"&lt;&gt;Retracted")=1,1,0))</f>
        <v>0</v>
      </c>
    </row>
    <row r="2154" spans="1:21" x14ac:dyDescent="0.2">
      <c r="A2154" t="s">
        <v>4361</v>
      </c>
      <c r="B2154" t="s">
        <v>936</v>
      </c>
      <c r="C2154" t="s">
        <v>1258</v>
      </c>
      <c r="D2154" t="s">
        <v>1613</v>
      </c>
      <c r="E2154" t="s">
        <v>4362</v>
      </c>
      <c r="F2154" t="s">
        <v>1583</v>
      </c>
      <c r="I2154" t="s">
        <v>1058</v>
      </c>
      <c r="M2154" t="s">
        <v>190</v>
      </c>
      <c r="N2154" t="s">
        <v>209</v>
      </c>
      <c r="Q2154" s="2" t="str">
        <f>IF($C2154="","",IFERROR(VLOOKUP($C2154,sources!$A$2:$N$200,2,FALSE()),"?"))</f>
        <v>Administrative</v>
      </c>
      <c r="R2154" s="2" t="str">
        <f t="shared" si="33"/>
        <v>Textual</v>
      </c>
      <c r="S2154" s="2" t="str">
        <f>IF($C2154="","",IFERROR(VLOOKUP($C2154,sources!$A$2:$N$200,9,FALSE()),"?"))</f>
        <v>US official</v>
      </c>
      <c r="T2154" t="s">
        <v>5692</v>
      </c>
      <c r="U2154">
        <f>IF(OR(B2154="",C2154="",T2154="Retracted",LEFT(D2154,8)="Negative"),0,IF(COUNTIFS($B$2:B2154,B2154,$C$2:C2154,C2154,$D$2:D2154,"&lt;&gt;Negative*",$T$2:T2154,"&lt;&gt;Retracted")=1,1,0))</f>
        <v>0</v>
      </c>
    </row>
    <row r="2155" spans="1:21" x14ac:dyDescent="0.2">
      <c r="A2155" t="s">
        <v>4363</v>
      </c>
      <c r="B2155" t="s">
        <v>955</v>
      </c>
      <c r="C2155" t="s">
        <v>1258</v>
      </c>
      <c r="D2155" t="s">
        <v>1613</v>
      </c>
      <c r="E2155" t="s">
        <v>4290</v>
      </c>
      <c r="F2155" t="s">
        <v>1583</v>
      </c>
      <c r="I2155" t="s">
        <v>1058</v>
      </c>
      <c r="M2155" t="s">
        <v>190</v>
      </c>
      <c r="N2155" t="s">
        <v>209</v>
      </c>
      <c r="Q2155" s="2" t="str">
        <f>IF($C2155="","",IFERROR(VLOOKUP($C2155,sources!$A$2:$N$200,2,FALSE()),"?"))</f>
        <v>Administrative</v>
      </c>
      <c r="R2155" s="2" t="str">
        <f t="shared" si="33"/>
        <v>Textual</v>
      </c>
      <c r="S2155" s="2" t="str">
        <f>IF($C2155="","",IFERROR(VLOOKUP($C2155,sources!$A$2:$N$200,9,FALSE()),"?"))</f>
        <v>US official</v>
      </c>
      <c r="T2155" t="s">
        <v>5692</v>
      </c>
      <c r="U2155">
        <f>IF(OR(B2155="",C2155="",T2155="Retracted",LEFT(D2155,8)="Negative"),0,IF(COUNTIFS($B$2:B2155,B2155,$C$2:C2155,C2155,$D$2:D2155,"&lt;&gt;Negative*",$T$2:T2155,"&lt;&gt;Retracted")=1,1,0))</f>
        <v>0</v>
      </c>
    </row>
    <row r="2156" spans="1:21" x14ac:dyDescent="0.2">
      <c r="A2156" t="s">
        <v>4364</v>
      </c>
      <c r="B2156" t="s">
        <v>959</v>
      </c>
      <c r="C2156" t="s">
        <v>1258</v>
      </c>
      <c r="D2156" t="s">
        <v>1613</v>
      </c>
      <c r="E2156" t="s">
        <v>960</v>
      </c>
      <c r="F2156" t="s">
        <v>1583</v>
      </c>
      <c r="I2156" t="s">
        <v>1058</v>
      </c>
      <c r="M2156" t="s">
        <v>190</v>
      </c>
      <c r="N2156" t="s">
        <v>209</v>
      </c>
      <c r="Q2156" s="2" t="str">
        <f>IF($C2156="","",IFERROR(VLOOKUP($C2156,sources!$A$2:$N$200,2,FALSE()),"?"))</f>
        <v>Administrative</v>
      </c>
      <c r="R2156" s="2" t="str">
        <f t="shared" si="33"/>
        <v>Textual</v>
      </c>
      <c r="S2156" s="2" t="str">
        <f>IF($C2156="","",IFERROR(VLOOKUP($C2156,sources!$A$2:$N$200,9,FALSE()),"?"))</f>
        <v>US official</v>
      </c>
      <c r="T2156" t="s">
        <v>5692</v>
      </c>
      <c r="U2156">
        <f>IF(OR(B2156="",C2156="",T2156="Retracted",LEFT(D2156,8)="Negative"),0,IF(COUNTIFS($B$2:B2156,B2156,$C$2:C2156,C2156,$D$2:D2156,"&lt;&gt;Negative*",$T$2:T2156,"&lt;&gt;Retracted")=1,1,0))</f>
        <v>0</v>
      </c>
    </row>
    <row r="2157" spans="1:21" x14ac:dyDescent="0.2">
      <c r="A2157" t="s">
        <v>4365</v>
      </c>
      <c r="B2157" t="s">
        <v>962</v>
      </c>
      <c r="C2157" t="s">
        <v>1258</v>
      </c>
      <c r="D2157" t="s">
        <v>1613</v>
      </c>
      <c r="E2157" t="s">
        <v>963</v>
      </c>
      <c r="F2157" t="s">
        <v>1583</v>
      </c>
      <c r="I2157" t="s">
        <v>1058</v>
      </c>
      <c r="M2157" t="s">
        <v>190</v>
      </c>
      <c r="N2157" t="s">
        <v>209</v>
      </c>
      <c r="Q2157" s="2" t="str">
        <f>IF($C2157="","",IFERROR(VLOOKUP($C2157,sources!$A$2:$N$200,2,FALSE()),"?"))</f>
        <v>Administrative</v>
      </c>
      <c r="R2157" s="2" t="str">
        <f t="shared" si="33"/>
        <v>Textual</v>
      </c>
      <c r="S2157" s="2" t="str">
        <f>IF($C2157="","",IFERROR(VLOOKUP($C2157,sources!$A$2:$N$200,9,FALSE()),"?"))</f>
        <v>US official</v>
      </c>
      <c r="T2157" t="s">
        <v>5692</v>
      </c>
      <c r="U2157">
        <f>IF(OR(B2157="",C2157="",T2157="Retracted",LEFT(D2157,8)="Negative"),0,IF(COUNTIFS($B$2:B2157,B2157,$C$2:C2157,C2157,$D$2:D2157,"&lt;&gt;Negative*",$T$2:T2157,"&lt;&gt;Retracted")=1,1,0))</f>
        <v>0</v>
      </c>
    </row>
    <row r="2158" spans="1:21" x14ac:dyDescent="0.2">
      <c r="A2158" t="s">
        <v>4366</v>
      </c>
      <c r="B2158" t="s">
        <v>966</v>
      </c>
      <c r="C2158" t="s">
        <v>1258</v>
      </c>
      <c r="D2158" t="s">
        <v>1564</v>
      </c>
      <c r="E2158" t="s">
        <v>3598</v>
      </c>
      <c r="F2158" t="s">
        <v>1583</v>
      </c>
      <c r="I2158" t="s">
        <v>1058</v>
      </c>
      <c r="M2158" t="s">
        <v>190</v>
      </c>
      <c r="N2158" t="s">
        <v>190</v>
      </c>
      <c r="Q2158" s="2" t="str">
        <f>IF($C2158="","",IFERROR(VLOOKUP($C2158,sources!$A$2:$N$200,2,FALSE()),"?"))</f>
        <v>Administrative</v>
      </c>
      <c r="R2158" s="2" t="str">
        <f t="shared" si="33"/>
        <v>Textual</v>
      </c>
      <c r="S2158" s="2" t="str">
        <f>IF($C2158="","",IFERROR(VLOOKUP($C2158,sources!$A$2:$N$200,9,FALSE()),"?"))</f>
        <v>US official</v>
      </c>
      <c r="T2158" t="s">
        <v>5693</v>
      </c>
      <c r="U2158">
        <f>IF(OR(B2158="",C2158="",T2158="Retracted",LEFT(D2158,8)="Negative"),0,IF(COUNTIFS($B$2:B2158,B2158,$C$2:C2158,C2158,$D$2:D2158,"&lt;&gt;Negative*",$T$2:T2158,"&lt;&gt;Retracted")=1,1,0))</f>
        <v>0</v>
      </c>
    </row>
    <row r="2159" spans="1:21" x14ac:dyDescent="0.2">
      <c r="A2159" t="s">
        <v>4367</v>
      </c>
      <c r="B2159" t="s">
        <v>971</v>
      </c>
      <c r="C2159" t="s">
        <v>1258</v>
      </c>
      <c r="D2159" t="s">
        <v>1575</v>
      </c>
      <c r="E2159" t="s">
        <v>972</v>
      </c>
      <c r="F2159" t="s">
        <v>1583</v>
      </c>
      <c r="I2159" t="s">
        <v>1058</v>
      </c>
      <c r="K2159">
        <v>1919</v>
      </c>
      <c r="L2159">
        <v>1964</v>
      </c>
      <c r="M2159" t="s">
        <v>209</v>
      </c>
      <c r="N2159" t="s">
        <v>203</v>
      </c>
      <c r="Q2159" s="2" t="str">
        <f>IF($C2159="","",IFERROR(VLOOKUP($C2159,sources!$A$2:$N$200,2,FALSE()),"?"))</f>
        <v>Administrative</v>
      </c>
      <c r="R2159" s="2" t="str">
        <f t="shared" si="33"/>
        <v>Textual</v>
      </c>
      <c r="S2159" s="2" t="str">
        <f>IF($C2159="","",IFERROR(VLOOKUP($C2159,sources!$A$2:$N$200,9,FALSE()),"?"))</f>
        <v>US official</v>
      </c>
      <c r="T2159" t="s">
        <v>5692</v>
      </c>
      <c r="U2159">
        <f>IF(OR(B2159="",C2159="",T2159="Retracted",LEFT(D2159,8)="Negative"),0,IF(COUNTIFS($B$2:B2159,B2159,$C$2:C2159,C2159,$D$2:D2159,"&lt;&gt;Negative*",$T$2:T2159,"&lt;&gt;Retracted")=1,1,0))</f>
        <v>1</v>
      </c>
    </row>
    <row r="2160" spans="1:21" x14ac:dyDescent="0.2">
      <c r="A2160" t="s">
        <v>4368</v>
      </c>
      <c r="B2160" t="s">
        <v>974</v>
      </c>
      <c r="C2160" t="s">
        <v>1258</v>
      </c>
      <c r="D2160" t="s">
        <v>1613</v>
      </c>
      <c r="E2160" t="s">
        <v>4298</v>
      </c>
      <c r="F2160" t="s">
        <v>1583</v>
      </c>
      <c r="I2160" t="s">
        <v>1058</v>
      </c>
      <c r="M2160" t="s">
        <v>190</v>
      </c>
      <c r="N2160" t="s">
        <v>209</v>
      </c>
      <c r="Q2160" s="2" t="str">
        <f>IF($C2160="","",IFERROR(VLOOKUP($C2160,sources!$A$2:$N$200,2,FALSE()),"?"))</f>
        <v>Administrative</v>
      </c>
      <c r="R2160" s="2" t="str">
        <f t="shared" si="33"/>
        <v>Textual</v>
      </c>
      <c r="S2160" s="2" t="str">
        <f>IF($C2160="","",IFERROR(VLOOKUP($C2160,sources!$A$2:$N$200,9,FALSE()),"?"))</f>
        <v>US official</v>
      </c>
      <c r="T2160" t="s">
        <v>5692</v>
      </c>
      <c r="U2160">
        <f>IF(OR(B2160="",C2160="",T2160="Retracted",LEFT(D2160,8)="Negative"),0,IF(COUNTIFS($B$2:B2160,B2160,$C$2:C2160,C2160,$D$2:D2160,"&lt;&gt;Negative*",$T$2:T2160,"&lt;&gt;Retracted")=1,1,0))</f>
        <v>0</v>
      </c>
    </row>
    <row r="2161" spans="1:21" x14ac:dyDescent="0.2">
      <c r="A2161" t="s">
        <v>4369</v>
      </c>
      <c r="B2161" t="s">
        <v>979</v>
      </c>
      <c r="C2161" t="s">
        <v>1258</v>
      </c>
      <c r="D2161" t="s">
        <v>1613</v>
      </c>
      <c r="E2161" t="s">
        <v>981</v>
      </c>
      <c r="F2161" t="s">
        <v>1583</v>
      </c>
      <c r="I2161" t="s">
        <v>1058</v>
      </c>
      <c r="M2161" t="s">
        <v>190</v>
      </c>
      <c r="N2161" t="s">
        <v>209</v>
      </c>
      <c r="Q2161" s="2" t="str">
        <f>IF($C2161="","",IFERROR(VLOOKUP($C2161,sources!$A$2:$N$200,2,FALSE()),"?"))</f>
        <v>Administrative</v>
      </c>
      <c r="R2161" s="2" t="str">
        <f t="shared" si="33"/>
        <v>Textual</v>
      </c>
      <c r="S2161" s="2" t="str">
        <f>IF($C2161="","",IFERROR(VLOOKUP($C2161,sources!$A$2:$N$200,9,FALSE()),"?"))</f>
        <v>US official</v>
      </c>
      <c r="T2161" t="s">
        <v>5692</v>
      </c>
      <c r="U2161">
        <f>IF(OR(B2161="",C2161="",T2161="Retracted",LEFT(D2161,8)="Negative"),0,IF(COUNTIFS($B$2:B2161,B2161,$C$2:C2161,C2161,$D$2:D2161,"&lt;&gt;Negative*",$T$2:T2161,"&lt;&gt;Retracted")=1,1,0))</f>
        <v>0</v>
      </c>
    </row>
    <row r="2162" spans="1:21" x14ac:dyDescent="0.2">
      <c r="A2162" t="s">
        <v>4370</v>
      </c>
      <c r="B2162" t="s">
        <v>983</v>
      </c>
      <c r="C2162" t="s">
        <v>1258</v>
      </c>
      <c r="D2162" t="s">
        <v>1613</v>
      </c>
      <c r="E2162" t="s">
        <v>985</v>
      </c>
      <c r="F2162" t="s">
        <v>1583</v>
      </c>
      <c r="I2162" t="s">
        <v>1058</v>
      </c>
      <c r="M2162" t="s">
        <v>190</v>
      </c>
      <c r="N2162" t="s">
        <v>209</v>
      </c>
      <c r="Q2162" s="2" t="str">
        <f>IF($C2162="","",IFERROR(VLOOKUP($C2162,sources!$A$2:$N$200,2,FALSE()),"?"))</f>
        <v>Administrative</v>
      </c>
      <c r="R2162" s="2" t="str">
        <f t="shared" si="33"/>
        <v>Textual</v>
      </c>
      <c r="S2162" s="2" t="str">
        <f>IF($C2162="","",IFERROR(VLOOKUP($C2162,sources!$A$2:$N$200,9,FALSE()),"?"))</f>
        <v>US official</v>
      </c>
      <c r="T2162" t="s">
        <v>5692</v>
      </c>
      <c r="U2162">
        <f>IF(OR(B2162="",C2162="",T2162="Retracted",LEFT(D2162,8)="Negative"),0,IF(COUNTIFS($B$2:B2162,B2162,$C$2:C2162,C2162,$D$2:D2162,"&lt;&gt;Negative*",$T$2:T2162,"&lt;&gt;Retracted")=1,1,0))</f>
        <v>0</v>
      </c>
    </row>
    <row r="2163" spans="1:21" x14ac:dyDescent="0.2">
      <c r="A2163" t="s">
        <v>4371</v>
      </c>
      <c r="B2163" t="s">
        <v>786</v>
      </c>
      <c r="C2163" t="s">
        <v>1258</v>
      </c>
      <c r="D2163" t="s">
        <v>1613</v>
      </c>
      <c r="E2163" t="s">
        <v>787</v>
      </c>
      <c r="F2163" t="s">
        <v>1583</v>
      </c>
      <c r="I2163" t="s">
        <v>1058</v>
      </c>
      <c r="M2163" t="s">
        <v>190</v>
      </c>
      <c r="N2163" t="s">
        <v>190</v>
      </c>
      <c r="Q2163" s="2" t="str">
        <f>IF($C2163="","",IFERROR(VLOOKUP($C2163,sources!$A$2:$N$200,2,FALSE()),"?"))</f>
        <v>Administrative</v>
      </c>
      <c r="R2163" s="2" t="str">
        <f t="shared" si="33"/>
        <v>Textual</v>
      </c>
      <c r="S2163" s="2" t="str">
        <f>IF($C2163="","",IFERROR(VLOOKUP($C2163,sources!$A$2:$N$200,9,FALSE()),"?"))</f>
        <v>US official</v>
      </c>
      <c r="T2163" t="s">
        <v>5693</v>
      </c>
      <c r="U2163">
        <f>IF(OR(B2163="",C2163="",T2163="Retracted",LEFT(D2163,8)="Negative"),0,IF(COUNTIFS($B$2:B2163,B2163,$C$2:C2163,C2163,$D$2:D2163,"&lt;&gt;Negative*",$T$2:T2163,"&lt;&gt;Retracted")=1,1,0))</f>
        <v>0</v>
      </c>
    </row>
    <row r="2164" spans="1:21" x14ac:dyDescent="0.2">
      <c r="A2164" t="s">
        <v>4372</v>
      </c>
      <c r="B2164" t="s">
        <v>994</v>
      </c>
      <c r="C2164" t="s">
        <v>1258</v>
      </c>
      <c r="D2164" t="s">
        <v>1613</v>
      </c>
      <c r="E2164" t="s">
        <v>995</v>
      </c>
      <c r="F2164" t="s">
        <v>1583</v>
      </c>
      <c r="I2164" t="s">
        <v>1058</v>
      </c>
      <c r="M2164" t="s">
        <v>190</v>
      </c>
      <c r="N2164" t="s">
        <v>209</v>
      </c>
      <c r="Q2164" s="2" t="str">
        <f>IF($C2164="","",IFERROR(VLOOKUP($C2164,sources!$A$2:$N$200,2,FALSE()),"?"))</f>
        <v>Administrative</v>
      </c>
      <c r="R2164" s="2" t="str">
        <f t="shared" si="33"/>
        <v>Textual</v>
      </c>
      <c r="S2164" s="2" t="str">
        <f>IF($C2164="","",IFERROR(VLOOKUP($C2164,sources!$A$2:$N$200,9,FALSE()),"?"))</f>
        <v>US official</v>
      </c>
      <c r="T2164" t="s">
        <v>5692</v>
      </c>
      <c r="U2164">
        <f>IF(OR(B2164="",C2164="",T2164="Retracted",LEFT(D2164,8)="Negative"),0,IF(COUNTIFS($B$2:B2164,B2164,$C$2:C2164,C2164,$D$2:D2164,"&lt;&gt;Negative*",$T$2:T2164,"&lt;&gt;Retracted")=1,1,0))</f>
        <v>0</v>
      </c>
    </row>
    <row r="2165" spans="1:21" x14ac:dyDescent="0.2">
      <c r="A2165" t="s">
        <v>4373</v>
      </c>
      <c r="B2165" t="s">
        <v>997</v>
      </c>
      <c r="C2165" t="s">
        <v>1258</v>
      </c>
      <c r="D2165" t="s">
        <v>1575</v>
      </c>
      <c r="E2165" t="s">
        <v>998</v>
      </c>
      <c r="F2165" t="s">
        <v>1583</v>
      </c>
      <c r="I2165" t="s">
        <v>1058</v>
      </c>
      <c r="K2165">
        <v>1923</v>
      </c>
      <c r="L2165">
        <v>1923</v>
      </c>
      <c r="M2165" t="s">
        <v>209</v>
      </c>
      <c r="N2165" t="s">
        <v>203</v>
      </c>
      <c r="Q2165" s="2" t="str">
        <f>IF($C2165="","",IFERROR(VLOOKUP($C2165,sources!$A$2:$N$200,2,FALSE()),"?"))</f>
        <v>Administrative</v>
      </c>
      <c r="R2165" s="2" t="str">
        <f t="shared" si="33"/>
        <v>Textual</v>
      </c>
      <c r="S2165" s="2" t="str">
        <f>IF($C2165="","",IFERROR(VLOOKUP($C2165,sources!$A$2:$N$200,9,FALSE()),"?"))</f>
        <v>US official</v>
      </c>
      <c r="T2165" t="s">
        <v>5692</v>
      </c>
      <c r="U2165">
        <f>IF(OR(B2165="",C2165="",T2165="Retracted",LEFT(D2165,8)="Negative"),0,IF(COUNTIFS($B$2:B2165,B2165,$C$2:C2165,C2165,$D$2:D2165,"&lt;&gt;Negative*",$T$2:T2165,"&lt;&gt;Retracted")=1,1,0))</f>
        <v>1</v>
      </c>
    </row>
    <row r="2166" spans="1:21" x14ac:dyDescent="0.2">
      <c r="A2166" t="s">
        <v>4374</v>
      </c>
      <c r="B2166" t="s">
        <v>1002</v>
      </c>
      <c r="C2166" t="s">
        <v>1258</v>
      </c>
      <c r="D2166" t="s">
        <v>1613</v>
      </c>
      <c r="E2166" t="s">
        <v>1003</v>
      </c>
      <c r="F2166" t="s">
        <v>1583</v>
      </c>
      <c r="I2166" t="s">
        <v>1058</v>
      </c>
      <c r="M2166" t="s">
        <v>190</v>
      </c>
      <c r="N2166" t="s">
        <v>209</v>
      </c>
      <c r="Q2166" s="2" t="str">
        <f>IF($C2166="","",IFERROR(VLOOKUP($C2166,sources!$A$2:$N$200,2,FALSE()),"?"))</f>
        <v>Administrative</v>
      </c>
      <c r="R2166" s="2" t="str">
        <f t="shared" si="33"/>
        <v>Textual</v>
      </c>
      <c r="S2166" s="2" t="str">
        <f>IF($C2166="","",IFERROR(VLOOKUP($C2166,sources!$A$2:$N$200,9,FALSE()),"?"))</f>
        <v>US official</v>
      </c>
      <c r="T2166" t="s">
        <v>5692</v>
      </c>
      <c r="U2166">
        <f>IF(OR(B2166="",C2166="",T2166="Retracted",LEFT(D2166,8)="Negative"),0,IF(COUNTIFS($B$2:B2166,B2166,$C$2:C2166,C2166,$D$2:D2166,"&lt;&gt;Negative*",$T$2:T2166,"&lt;&gt;Retracted")=1,1,0))</f>
        <v>0</v>
      </c>
    </row>
    <row r="2167" spans="1:21" x14ac:dyDescent="0.2">
      <c r="A2167" t="s">
        <v>4375</v>
      </c>
      <c r="B2167" t="s">
        <v>1008</v>
      </c>
      <c r="C2167" t="s">
        <v>1258</v>
      </c>
      <c r="D2167" t="s">
        <v>1613</v>
      </c>
      <c r="E2167" t="s">
        <v>854</v>
      </c>
      <c r="F2167" t="s">
        <v>1583</v>
      </c>
      <c r="I2167" t="s">
        <v>1058</v>
      </c>
      <c r="M2167" t="s">
        <v>190</v>
      </c>
      <c r="N2167" t="s">
        <v>209</v>
      </c>
      <c r="Q2167" s="2" t="str">
        <f>IF($C2167="","",IFERROR(VLOOKUP($C2167,sources!$A$2:$N$200,2,FALSE()),"?"))</f>
        <v>Administrative</v>
      </c>
      <c r="R2167" s="2" t="str">
        <f t="shared" si="33"/>
        <v>Textual</v>
      </c>
      <c r="S2167" s="2" t="str">
        <f>IF($C2167="","",IFERROR(VLOOKUP($C2167,sources!$A$2:$N$200,9,FALSE()),"?"))</f>
        <v>US official</v>
      </c>
      <c r="T2167" t="s">
        <v>5692</v>
      </c>
      <c r="U2167">
        <f>IF(OR(B2167="",C2167="",T2167="Retracted",LEFT(D2167,8)="Negative"),0,IF(COUNTIFS($B$2:B2167,B2167,$C$2:C2167,C2167,$D$2:D2167,"&lt;&gt;Negative*",$T$2:T2167,"&lt;&gt;Retracted")=1,1,0))</f>
        <v>0</v>
      </c>
    </row>
    <row r="2168" spans="1:21" x14ac:dyDescent="0.2">
      <c r="A2168" t="s">
        <v>4376</v>
      </c>
      <c r="B2168" t="s">
        <v>1012</v>
      </c>
      <c r="C2168" t="s">
        <v>1258</v>
      </c>
      <c r="D2168" t="s">
        <v>1613</v>
      </c>
      <c r="E2168" t="s">
        <v>1013</v>
      </c>
      <c r="F2168" t="s">
        <v>1583</v>
      </c>
      <c r="I2168" t="s">
        <v>1058</v>
      </c>
      <c r="M2168" t="s">
        <v>190</v>
      </c>
      <c r="N2168" t="s">
        <v>209</v>
      </c>
      <c r="Q2168" s="2" t="str">
        <f>IF($C2168="","",IFERROR(VLOOKUP($C2168,sources!$A$2:$N$200,2,FALSE()),"?"))</f>
        <v>Administrative</v>
      </c>
      <c r="R2168" s="2" t="str">
        <f t="shared" si="33"/>
        <v>Textual</v>
      </c>
      <c r="S2168" s="2" t="str">
        <f>IF($C2168="","",IFERROR(VLOOKUP($C2168,sources!$A$2:$N$200,9,FALSE()),"?"))</f>
        <v>US official</v>
      </c>
      <c r="T2168" t="s">
        <v>5692</v>
      </c>
      <c r="U2168">
        <f>IF(OR(B2168="",C2168="",T2168="Retracted",LEFT(D2168,8)="Negative"),0,IF(COUNTIFS($B$2:B2168,B2168,$C$2:C2168,C2168,$D$2:D2168,"&lt;&gt;Negative*",$T$2:T2168,"&lt;&gt;Retracted")=1,1,0))</f>
        <v>0</v>
      </c>
    </row>
    <row r="2169" spans="1:21" x14ac:dyDescent="0.2">
      <c r="A2169" t="s">
        <v>4377</v>
      </c>
      <c r="B2169" t="s">
        <v>902</v>
      </c>
      <c r="C2169" t="s">
        <v>1258</v>
      </c>
      <c r="D2169" t="s">
        <v>1613</v>
      </c>
      <c r="E2169" t="s">
        <v>904</v>
      </c>
      <c r="F2169" t="s">
        <v>1583</v>
      </c>
      <c r="I2169" t="s">
        <v>1058</v>
      </c>
      <c r="M2169" t="s">
        <v>190</v>
      </c>
      <c r="N2169" t="s">
        <v>209</v>
      </c>
      <c r="Q2169" s="2" t="str">
        <f>IF($C2169="","",IFERROR(VLOOKUP($C2169,sources!$A$2:$N$200,2,FALSE()),"?"))</f>
        <v>Administrative</v>
      </c>
      <c r="R2169" s="2" t="str">
        <f t="shared" si="33"/>
        <v>Textual</v>
      </c>
      <c r="S2169" s="2" t="str">
        <f>IF($C2169="","",IFERROR(VLOOKUP($C2169,sources!$A$2:$N$200,9,FALSE()),"?"))</f>
        <v>US official</v>
      </c>
      <c r="T2169" t="s">
        <v>5692</v>
      </c>
      <c r="U2169">
        <f>IF(OR(B2169="",C2169="",T2169="Retracted",LEFT(D2169,8)="Negative"),0,IF(COUNTIFS($B$2:B2169,B2169,$C$2:C2169,C2169,$D$2:D2169,"&lt;&gt;Negative*",$T$2:T2169,"&lt;&gt;Retracted")=1,1,0))</f>
        <v>0</v>
      </c>
    </row>
    <row r="2170" spans="1:21" x14ac:dyDescent="0.2">
      <c r="A2170" t="s">
        <v>4378</v>
      </c>
      <c r="B2170" t="s">
        <v>1017</v>
      </c>
      <c r="C2170" t="s">
        <v>1258</v>
      </c>
      <c r="D2170" t="s">
        <v>1613</v>
      </c>
      <c r="E2170" t="s">
        <v>1018</v>
      </c>
      <c r="F2170" t="s">
        <v>1583</v>
      </c>
      <c r="I2170" t="s">
        <v>1058</v>
      </c>
      <c r="M2170" t="s">
        <v>190</v>
      </c>
      <c r="N2170" t="s">
        <v>209</v>
      </c>
      <c r="Q2170" s="2" t="str">
        <f>IF($C2170="","",IFERROR(VLOOKUP($C2170,sources!$A$2:$N$200,2,FALSE()),"?"))</f>
        <v>Administrative</v>
      </c>
      <c r="R2170" s="2" t="str">
        <f t="shared" si="33"/>
        <v>Textual</v>
      </c>
      <c r="S2170" s="2" t="str">
        <f>IF($C2170="","",IFERROR(VLOOKUP($C2170,sources!$A$2:$N$200,9,FALSE()),"?"))</f>
        <v>US official</v>
      </c>
      <c r="T2170" t="s">
        <v>5692</v>
      </c>
      <c r="U2170">
        <f>IF(OR(B2170="",C2170="",T2170="Retracted",LEFT(D2170,8)="Negative"),0,IF(COUNTIFS($B$2:B2170,B2170,$C$2:C2170,C2170,$D$2:D2170,"&lt;&gt;Negative*",$T$2:T2170,"&lt;&gt;Retracted")=1,1,0))</f>
        <v>0</v>
      </c>
    </row>
    <row r="2171" spans="1:21" x14ac:dyDescent="0.2">
      <c r="A2171" t="s">
        <v>4379</v>
      </c>
      <c r="B2171" t="s">
        <v>1021</v>
      </c>
      <c r="C2171" t="s">
        <v>1258</v>
      </c>
      <c r="D2171" t="s">
        <v>1613</v>
      </c>
      <c r="E2171" t="s">
        <v>1022</v>
      </c>
      <c r="F2171" t="s">
        <v>1583</v>
      </c>
      <c r="I2171" t="s">
        <v>1058</v>
      </c>
      <c r="M2171" t="s">
        <v>190</v>
      </c>
      <c r="N2171" t="s">
        <v>209</v>
      </c>
      <c r="Q2171" s="2" t="str">
        <f>IF($C2171="","",IFERROR(VLOOKUP($C2171,sources!$A$2:$N$200,2,FALSE()),"?"))</f>
        <v>Administrative</v>
      </c>
      <c r="R2171" s="2" t="str">
        <f t="shared" si="33"/>
        <v>Textual</v>
      </c>
      <c r="S2171" s="2" t="str">
        <f>IF($C2171="","",IFERROR(VLOOKUP($C2171,sources!$A$2:$N$200,9,FALSE()),"?"))</f>
        <v>US official</v>
      </c>
      <c r="T2171" t="s">
        <v>5692</v>
      </c>
      <c r="U2171">
        <f>IF(OR(B2171="",C2171="",T2171="Retracted",LEFT(D2171,8)="Negative"),0,IF(COUNTIFS($B$2:B2171,B2171,$C$2:C2171,C2171,$D$2:D2171,"&lt;&gt;Negative*",$T$2:T2171,"&lt;&gt;Retracted")=1,1,0))</f>
        <v>0</v>
      </c>
    </row>
    <row r="2172" spans="1:21" x14ac:dyDescent="0.2">
      <c r="A2172" t="s">
        <v>4380</v>
      </c>
      <c r="B2172" t="s">
        <v>906</v>
      </c>
      <c r="C2172" t="s">
        <v>1258</v>
      </c>
      <c r="D2172" t="s">
        <v>1613</v>
      </c>
      <c r="E2172" t="s">
        <v>908</v>
      </c>
      <c r="F2172" t="s">
        <v>1583</v>
      </c>
      <c r="I2172" t="s">
        <v>1058</v>
      </c>
      <c r="M2172" t="s">
        <v>190</v>
      </c>
      <c r="N2172" t="s">
        <v>190</v>
      </c>
      <c r="Q2172" s="2" t="str">
        <f>IF($C2172="","",IFERROR(VLOOKUP($C2172,sources!$A$2:$N$200,2,FALSE()),"?"))</f>
        <v>Administrative</v>
      </c>
      <c r="R2172" s="2" t="str">
        <f t="shared" si="33"/>
        <v>Textual</v>
      </c>
      <c r="S2172" s="2" t="str">
        <f>IF($C2172="","",IFERROR(VLOOKUP($C2172,sources!$A$2:$N$200,9,FALSE()),"?"))</f>
        <v>US official</v>
      </c>
      <c r="T2172" t="s">
        <v>5693</v>
      </c>
      <c r="U2172">
        <f>IF(OR(B2172="",C2172="",T2172="Retracted",LEFT(D2172,8)="Negative"),0,IF(COUNTIFS($B$2:B2172,B2172,$C$2:C2172,C2172,$D$2:D2172,"&lt;&gt;Negative*",$T$2:T2172,"&lt;&gt;Retracted")=1,1,0))</f>
        <v>0</v>
      </c>
    </row>
    <row r="2173" spans="1:21" ht="26" x14ac:dyDescent="0.2">
      <c r="A2173" t="s">
        <v>4381</v>
      </c>
      <c r="B2173" t="s">
        <v>773</v>
      </c>
      <c r="C2173" t="s">
        <v>1384</v>
      </c>
      <c r="D2173" t="s">
        <v>1613</v>
      </c>
      <c r="E2173" t="s">
        <v>3208</v>
      </c>
      <c r="F2173" t="s">
        <v>1583</v>
      </c>
      <c r="I2173" t="s">
        <v>1058</v>
      </c>
      <c r="N2173" t="s">
        <v>209</v>
      </c>
      <c r="Q2173" s="2" t="str">
        <f>IF($C2173="","",IFERROR(VLOOKUP($C2173,sources!$A$2:$N$200,2,FALSE()),"?"))</f>
        <v>Newspaper</v>
      </c>
      <c r="R2173" s="2" t="str">
        <f t="shared" si="33"/>
        <v>Textual</v>
      </c>
      <c r="S2173" s="2" t="str">
        <f>IF($C2173="","",IFERROR(VLOOKUP($C2173,sources!$A$2:$N$200,9,FALSE()),"?"))</f>
        <v>Caribbean community</v>
      </c>
      <c r="T2173" t="s">
        <v>5692</v>
      </c>
      <c r="U2173">
        <f>IF(OR(B2173="",C2173="",T2173="Retracted",LEFT(D2173,8)="Negative"),0,IF(COUNTIFS($B$2:B2173,B2173,$C$2:C2173,C2173,$D$2:D2173,"&lt;&gt;Negative*",$T$2:T2173,"&lt;&gt;Retracted")=1,1,0))</f>
        <v>0</v>
      </c>
    </row>
    <row r="2174" spans="1:21" ht="26" x14ac:dyDescent="0.2">
      <c r="A2174" t="s">
        <v>4382</v>
      </c>
      <c r="B2174" t="s">
        <v>786</v>
      </c>
      <c r="C2174" t="s">
        <v>1384</v>
      </c>
      <c r="D2174" t="s">
        <v>1575</v>
      </c>
      <c r="E2174" t="s">
        <v>787</v>
      </c>
      <c r="F2174" t="s">
        <v>1583</v>
      </c>
      <c r="I2174" t="s">
        <v>1058</v>
      </c>
      <c r="M2174" t="s">
        <v>190</v>
      </c>
      <c r="N2174" t="s">
        <v>190</v>
      </c>
      <c r="Q2174" s="2" t="str">
        <f>IF($C2174="","",IFERROR(VLOOKUP($C2174,sources!$A$2:$N$200,2,FALSE()),"?"))</f>
        <v>Newspaper</v>
      </c>
      <c r="R2174" s="2" t="str">
        <f t="shared" si="33"/>
        <v>Textual</v>
      </c>
      <c r="S2174" s="2" t="str">
        <f>IF($C2174="","",IFERROR(VLOOKUP($C2174,sources!$A$2:$N$200,9,FALSE()),"?"))</f>
        <v>Caribbean community</v>
      </c>
      <c r="T2174" t="s">
        <v>5692</v>
      </c>
      <c r="U2174">
        <f>IF(OR(B2174="",C2174="",T2174="Retracted",LEFT(D2174,8)="Negative"),0,IF(COUNTIFS($B$2:B2174,B2174,$C$2:C2174,C2174,$D$2:D2174,"&lt;&gt;Negative*",$T$2:T2174,"&lt;&gt;Retracted")=1,1,0))</f>
        <v>1</v>
      </c>
    </row>
    <row r="2175" spans="1:21" ht="26" x14ac:dyDescent="0.2">
      <c r="A2175" t="s">
        <v>4383</v>
      </c>
      <c r="B2175" t="s">
        <v>791</v>
      </c>
      <c r="C2175" t="s">
        <v>1384</v>
      </c>
      <c r="D2175" t="s">
        <v>1613</v>
      </c>
      <c r="E2175" t="s">
        <v>4309</v>
      </c>
      <c r="F2175" t="s">
        <v>1583</v>
      </c>
      <c r="I2175" t="s">
        <v>1058</v>
      </c>
      <c r="N2175" t="s">
        <v>209</v>
      </c>
      <c r="Q2175" s="2" t="str">
        <f>IF($C2175="","",IFERROR(VLOOKUP($C2175,sources!$A$2:$N$200,2,FALSE()),"?"))</f>
        <v>Newspaper</v>
      </c>
      <c r="R2175" s="2" t="str">
        <f t="shared" si="33"/>
        <v>Textual</v>
      </c>
      <c r="S2175" s="2" t="str">
        <f>IF($C2175="","",IFERROR(VLOOKUP($C2175,sources!$A$2:$N$200,9,FALSE()),"?"))</f>
        <v>Caribbean community</v>
      </c>
      <c r="T2175" t="s">
        <v>5692</v>
      </c>
      <c r="U2175">
        <f>IF(OR(B2175="",C2175="",T2175="Retracted",LEFT(D2175,8)="Negative"),0,IF(COUNTIFS($B$2:B2175,B2175,$C$2:C2175,C2175,$D$2:D2175,"&lt;&gt;Negative*",$T$2:T2175,"&lt;&gt;Retracted")=1,1,0))</f>
        <v>0</v>
      </c>
    </row>
    <row r="2176" spans="1:21" ht="26" x14ac:dyDescent="0.2">
      <c r="A2176" t="s">
        <v>4384</v>
      </c>
      <c r="B2176" t="s">
        <v>796</v>
      </c>
      <c r="C2176" t="s">
        <v>1384</v>
      </c>
      <c r="D2176" t="s">
        <v>1613</v>
      </c>
      <c r="E2176" t="s">
        <v>4319</v>
      </c>
      <c r="F2176" t="s">
        <v>1583</v>
      </c>
      <c r="I2176" t="s">
        <v>1058</v>
      </c>
      <c r="N2176" t="s">
        <v>209</v>
      </c>
      <c r="Q2176" s="2" t="str">
        <f>IF($C2176="","",IFERROR(VLOOKUP($C2176,sources!$A$2:$N$200,2,FALSE()),"?"))</f>
        <v>Newspaper</v>
      </c>
      <c r="R2176" s="2" t="str">
        <f t="shared" si="33"/>
        <v>Textual</v>
      </c>
      <c r="S2176" s="2" t="str">
        <f>IF($C2176="","",IFERROR(VLOOKUP($C2176,sources!$A$2:$N$200,9,FALSE()),"?"))</f>
        <v>Caribbean community</v>
      </c>
      <c r="T2176" t="s">
        <v>5692</v>
      </c>
      <c r="U2176">
        <f>IF(OR(B2176="",C2176="",T2176="Retracted",LEFT(D2176,8)="Negative"),0,IF(COUNTIFS($B$2:B2176,B2176,$C$2:C2176,C2176,$D$2:D2176,"&lt;&gt;Negative*",$T$2:T2176,"&lt;&gt;Retracted")=1,1,0))</f>
        <v>0</v>
      </c>
    </row>
    <row r="2177" spans="1:21" ht="26" x14ac:dyDescent="0.2">
      <c r="A2177" t="s">
        <v>4385</v>
      </c>
      <c r="B2177" t="s">
        <v>801</v>
      </c>
      <c r="C2177" t="s">
        <v>1384</v>
      </c>
      <c r="D2177" t="s">
        <v>1575</v>
      </c>
      <c r="E2177" t="s">
        <v>802</v>
      </c>
      <c r="F2177" t="s">
        <v>1583</v>
      </c>
      <c r="I2177" t="s">
        <v>1058</v>
      </c>
      <c r="M2177" t="s">
        <v>190</v>
      </c>
      <c r="N2177" t="s">
        <v>190</v>
      </c>
      <c r="Q2177" s="2" t="str">
        <f>IF($C2177="","",IFERROR(VLOOKUP($C2177,sources!$A$2:$N$200,2,FALSE()),"?"))</f>
        <v>Newspaper</v>
      </c>
      <c r="R2177" s="2" t="str">
        <f t="shared" si="33"/>
        <v>Textual</v>
      </c>
      <c r="S2177" s="2" t="str">
        <f>IF($C2177="","",IFERROR(VLOOKUP($C2177,sources!$A$2:$N$200,9,FALSE()),"?"))</f>
        <v>Caribbean community</v>
      </c>
      <c r="T2177" t="s">
        <v>5692</v>
      </c>
      <c r="U2177">
        <f>IF(OR(B2177="",C2177="",T2177="Retracted",LEFT(D2177,8)="Negative"),0,IF(COUNTIFS($B$2:B2177,B2177,$C$2:C2177,C2177,$D$2:D2177,"&lt;&gt;Negative*",$T$2:T2177,"&lt;&gt;Retracted")=1,1,0))</f>
        <v>1</v>
      </c>
    </row>
    <row r="2178" spans="1:21" ht="26" x14ac:dyDescent="0.2">
      <c r="A2178" t="s">
        <v>4386</v>
      </c>
      <c r="B2178" t="s">
        <v>805</v>
      </c>
      <c r="C2178" t="s">
        <v>1384</v>
      </c>
      <c r="D2178" t="s">
        <v>1613</v>
      </c>
      <c r="E2178" t="s">
        <v>806</v>
      </c>
      <c r="F2178" t="s">
        <v>1583</v>
      </c>
      <c r="I2178" t="s">
        <v>1058</v>
      </c>
      <c r="N2178" t="s">
        <v>209</v>
      </c>
      <c r="Q2178" s="2" t="str">
        <f>IF($C2178="","",IFERROR(VLOOKUP($C2178,sources!$A$2:$N$200,2,FALSE()),"?"))</f>
        <v>Newspaper</v>
      </c>
      <c r="R2178" s="2" t="str">
        <f t="shared" ref="R2178:R2241" si="34">IF($Q2178="","",IF($Q2178="Map","Map",IF(OR($Q2178="Photograph",$Q2178="Postcard"),"Image",IF(OR($Q2178="Census or roll",$Q2178="Report",$Q2178="Newspaper",$Q2178="Letter",$Q2178="Memoir",$Q2178="Administrative",$Q2178="Web compilation"),"Textual",IF($Q2178="Legal claim","Legal/admin",IF($Q2178="Secondary","Secondary","Other"))))))</f>
        <v>Textual</v>
      </c>
      <c r="S2178" s="2" t="str">
        <f>IF($C2178="","",IFERROR(VLOOKUP($C2178,sources!$A$2:$N$200,9,FALSE()),"?"))</f>
        <v>Caribbean community</v>
      </c>
      <c r="T2178" t="s">
        <v>5692</v>
      </c>
      <c r="U2178">
        <f>IF(OR(B2178="",C2178="",T2178="Retracted",LEFT(D2178,8)="Negative"),0,IF(COUNTIFS($B$2:B2178,B2178,$C$2:C2178,C2178,$D$2:D2178,"&lt;&gt;Negative*",$T$2:T2178,"&lt;&gt;Retracted")=1,1,0))</f>
        <v>0</v>
      </c>
    </row>
    <row r="2179" spans="1:21" ht="26" x14ac:dyDescent="0.2">
      <c r="A2179" t="s">
        <v>4387</v>
      </c>
      <c r="B2179" t="s">
        <v>808</v>
      </c>
      <c r="C2179" t="s">
        <v>1384</v>
      </c>
      <c r="D2179" t="s">
        <v>1575</v>
      </c>
      <c r="E2179" t="s">
        <v>3356</v>
      </c>
      <c r="F2179" t="s">
        <v>1583</v>
      </c>
      <c r="I2179" t="s">
        <v>1058</v>
      </c>
      <c r="M2179" t="s">
        <v>190</v>
      </c>
      <c r="N2179" t="s">
        <v>190</v>
      </c>
      <c r="Q2179" s="2" t="str">
        <f>IF($C2179="","",IFERROR(VLOOKUP($C2179,sources!$A$2:$N$200,2,FALSE()),"?"))</f>
        <v>Newspaper</v>
      </c>
      <c r="R2179" s="2" t="str">
        <f t="shared" si="34"/>
        <v>Textual</v>
      </c>
      <c r="S2179" s="2" t="str">
        <f>IF($C2179="","",IFERROR(VLOOKUP($C2179,sources!$A$2:$N$200,9,FALSE()),"?"))</f>
        <v>Caribbean community</v>
      </c>
      <c r="T2179" t="s">
        <v>5692</v>
      </c>
      <c r="U2179">
        <f>IF(OR(B2179="",C2179="",T2179="Retracted",LEFT(D2179,8)="Negative"),0,IF(COUNTIFS($B$2:B2179,B2179,$C$2:C2179,C2179,$D$2:D2179,"&lt;&gt;Negative*",$T$2:T2179,"&lt;&gt;Retracted")=1,1,0))</f>
        <v>1</v>
      </c>
    </row>
    <row r="2180" spans="1:21" ht="26" x14ac:dyDescent="0.2">
      <c r="A2180" t="s">
        <v>4388</v>
      </c>
      <c r="B2180" t="s">
        <v>811</v>
      </c>
      <c r="C2180" t="s">
        <v>1384</v>
      </c>
      <c r="D2180" t="s">
        <v>1613</v>
      </c>
      <c r="E2180" t="s">
        <v>812</v>
      </c>
      <c r="F2180" t="s">
        <v>1583</v>
      </c>
      <c r="I2180" t="s">
        <v>1058</v>
      </c>
      <c r="N2180" t="s">
        <v>209</v>
      </c>
      <c r="Q2180" s="2" t="str">
        <f>IF($C2180="","",IFERROR(VLOOKUP($C2180,sources!$A$2:$N$200,2,FALSE()),"?"))</f>
        <v>Newspaper</v>
      </c>
      <c r="R2180" s="2" t="str">
        <f t="shared" si="34"/>
        <v>Textual</v>
      </c>
      <c r="S2180" s="2" t="str">
        <f>IF($C2180="","",IFERROR(VLOOKUP($C2180,sources!$A$2:$N$200,9,FALSE()),"?"))</f>
        <v>Caribbean community</v>
      </c>
      <c r="T2180" t="s">
        <v>5692</v>
      </c>
      <c r="U2180">
        <f>IF(OR(B2180="",C2180="",T2180="Retracted",LEFT(D2180,8)="Negative"),0,IF(COUNTIFS($B$2:B2180,B2180,$C$2:C2180,C2180,$D$2:D2180,"&lt;&gt;Negative*",$T$2:T2180,"&lt;&gt;Retracted")=1,1,0))</f>
        <v>0</v>
      </c>
    </row>
    <row r="2181" spans="1:21" ht="26" x14ac:dyDescent="0.2">
      <c r="A2181" t="s">
        <v>4389</v>
      </c>
      <c r="B2181" t="s">
        <v>832</v>
      </c>
      <c r="C2181" t="s">
        <v>1384</v>
      </c>
      <c r="D2181" t="s">
        <v>1575</v>
      </c>
      <c r="E2181" t="s">
        <v>833</v>
      </c>
      <c r="F2181" t="s">
        <v>1583</v>
      </c>
      <c r="I2181" t="s">
        <v>1058</v>
      </c>
      <c r="M2181" t="s">
        <v>190</v>
      </c>
      <c r="N2181" t="s">
        <v>190</v>
      </c>
      <c r="Q2181" s="2" t="str">
        <f>IF($C2181="","",IFERROR(VLOOKUP($C2181,sources!$A$2:$N$200,2,FALSE()),"?"))</f>
        <v>Newspaper</v>
      </c>
      <c r="R2181" s="2" t="str">
        <f t="shared" si="34"/>
        <v>Textual</v>
      </c>
      <c r="S2181" s="2" t="str">
        <f>IF($C2181="","",IFERROR(VLOOKUP($C2181,sources!$A$2:$N$200,9,FALSE()),"?"))</f>
        <v>Caribbean community</v>
      </c>
      <c r="T2181" t="s">
        <v>5692</v>
      </c>
      <c r="U2181">
        <f>IF(OR(B2181="",C2181="",T2181="Retracted",LEFT(D2181,8)="Negative"),0,IF(COUNTIFS($B$2:B2181,B2181,$C$2:C2181,C2181,$D$2:D2181,"&lt;&gt;Negative*",$T$2:T2181,"&lt;&gt;Retracted")=1,1,0))</f>
        <v>1</v>
      </c>
    </row>
    <row r="2182" spans="1:21" ht="26" x14ac:dyDescent="0.2">
      <c r="A2182" t="s">
        <v>4390</v>
      </c>
      <c r="B2182" t="s">
        <v>835</v>
      </c>
      <c r="C2182" t="s">
        <v>1384</v>
      </c>
      <c r="D2182" t="s">
        <v>1613</v>
      </c>
      <c r="E2182" t="s">
        <v>504</v>
      </c>
      <c r="F2182" t="s">
        <v>1583</v>
      </c>
      <c r="I2182" t="s">
        <v>1058</v>
      </c>
      <c r="N2182" t="s">
        <v>209</v>
      </c>
      <c r="Q2182" s="2" t="str">
        <f>IF($C2182="","",IFERROR(VLOOKUP($C2182,sources!$A$2:$N$200,2,FALSE()),"?"))</f>
        <v>Newspaper</v>
      </c>
      <c r="R2182" s="2" t="str">
        <f t="shared" si="34"/>
        <v>Textual</v>
      </c>
      <c r="S2182" s="2" t="str">
        <f>IF($C2182="","",IFERROR(VLOOKUP($C2182,sources!$A$2:$N$200,9,FALSE()),"?"))</f>
        <v>Caribbean community</v>
      </c>
      <c r="T2182" t="s">
        <v>5692</v>
      </c>
      <c r="U2182">
        <f>IF(OR(B2182="",C2182="",T2182="Retracted",LEFT(D2182,8)="Negative"),0,IF(COUNTIFS($B$2:B2182,B2182,$C$2:C2182,C2182,$D$2:D2182,"&lt;&gt;Negative*",$T$2:T2182,"&lt;&gt;Retracted")=1,1,0))</f>
        <v>0</v>
      </c>
    </row>
    <row r="2183" spans="1:21" ht="26" x14ac:dyDescent="0.2">
      <c r="A2183" t="s">
        <v>4391</v>
      </c>
      <c r="B2183" t="s">
        <v>856</v>
      </c>
      <c r="C2183" t="s">
        <v>1384</v>
      </c>
      <c r="D2183" t="s">
        <v>1613</v>
      </c>
      <c r="E2183" t="s">
        <v>4334</v>
      </c>
      <c r="F2183" t="s">
        <v>1583</v>
      </c>
      <c r="I2183" t="s">
        <v>1058</v>
      </c>
      <c r="N2183" t="s">
        <v>209</v>
      </c>
      <c r="Q2183" s="2" t="str">
        <f>IF($C2183="","",IFERROR(VLOOKUP($C2183,sources!$A$2:$N$200,2,FALSE()),"?"))</f>
        <v>Newspaper</v>
      </c>
      <c r="R2183" s="2" t="str">
        <f t="shared" si="34"/>
        <v>Textual</v>
      </c>
      <c r="S2183" s="2" t="str">
        <f>IF($C2183="","",IFERROR(VLOOKUP($C2183,sources!$A$2:$N$200,9,FALSE()),"?"))</f>
        <v>Caribbean community</v>
      </c>
      <c r="T2183" t="s">
        <v>5692</v>
      </c>
      <c r="U2183">
        <f>IF(OR(B2183="",C2183="",T2183="Retracted",LEFT(D2183,8)="Negative"),0,IF(COUNTIFS($B$2:B2183,B2183,$C$2:C2183,C2183,$D$2:D2183,"&lt;&gt;Negative*",$T$2:T2183,"&lt;&gt;Retracted")=1,1,0))</f>
        <v>0</v>
      </c>
    </row>
    <row r="2184" spans="1:21" ht="26" x14ac:dyDescent="0.2">
      <c r="A2184" t="s">
        <v>4392</v>
      </c>
      <c r="B2184" t="s">
        <v>860</v>
      </c>
      <c r="C2184" t="s">
        <v>1384</v>
      </c>
      <c r="D2184" t="s">
        <v>1613</v>
      </c>
      <c r="E2184" t="s">
        <v>3322</v>
      </c>
      <c r="F2184" t="s">
        <v>1583</v>
      </c>
      <c r="I2184" t="s">
        <v>1058</v>
      </c>
      <c r="N2184" t="s">
        <v>209</v>
      </c>
      <c r="Q2184" s="2" t="str">
        <f>IF($C2184="","",IFERROR(VLOOKUP($C2184,sources!$A$2:$N$200,2,FALSE()),"?"))</f>
        <v>Newspaper</v>
      </c>
      <c r="R2184" s="2" t="str">
        <f t="shared" si="34"/>
        <v>Textual</v>
      </c>
      <c r="S2184" s="2" t="str">
        <f>IF($C2184="","",IFERROR(VLOOKUP($C2184,sources!$A$2:$N$200,9,FALSE()),"?"))</f>
        <v>Caribbean community</v>
      </c>
      <c r="T2184" t="s">
        <v>5692</v>
      </c>
      <c r="U2184">
        <f>IF(OR(B2184="",C2184="",T2184="Retracted",LEFT(D2184,8)="Negative"),0,IF(COUNTIFS($B$2:B2184,B2184,$C$2:C2184,C2184,$D$2:D2184,"&lt;&gt;Negative*",$T$2:T2184,"&lt;&gt;Retracted")=1,1,0))</f>
        <v>0</v>
      </c>
    </row>
    <row r="2185" spans="1:21" ht="26" x14ac:dyDescent="0.2">
      <c r="A2185" t="s">
        <v>4393</v>
      </c>
      <c r="B2185" t="s">
        <v>865</v>
      </c>
      <c r="C2185" t="s">
        <v>1384</v>
      </c>
      <c r="D2185" t="s">
        <v>1613</v>
      </c>
      <c r="E2185" t="s">
        <v>3324</v>
      </c>
      <c r="F2185" t="s">
        <v>1583</v>
      </c>
      <c r="I2185" t="s">
        <v>1058</v>
      </c>
      <c r="N2185" t="s">
        <v>209</v>
      </c>
      <c r="Q2185" s="2" t="str">
        <f>IF($C2185="","",IFERROR(VLOOKUP($C2185,sources!$A$2:$N$200,2,FALSE()),"?"))</f>
        <v>Newspaper</v>
      </c>
      <c r="R2185" s="2" t="str">
        <f t="shared" si="34"/>
        <v>Textual</v>
      </c>
      <c r="S2185" s="2" t="str">
        <f>IF($C2185="","",IFERROR(VLOOKUP($C2185,sources!$A$2:$N$200,9,FALSE()),"?"))</f>
        <v>Caribbean community</v>
      </c>
      <c r="T2185" t="s">
        <v>5692</v>
      </c>
      <c r="U2185">
        <f>IF(OR(B2185="",C2185="",T2185="Retracted",LEFT(D2185,8)="Negative"),0,IF(COUNTIFS($B$2:B2185,B2185,$C$2:C2185,C2185,$D$2:D2185,"&lt;&gt;Negative*",$T$2:T2185,"&lt;&gt;Retracted")=1,1,0))</f>
        <v>0</v>
      </c>
    </row>
    <row r="2186" spans="1:21" ht="26" x14ac:dyDescent="0.2">
      <c r="A2186" t="s">
        <v>4394</v>
      </c>
      <c r="B2186" t="s">
        <v>869</v>
      </c>
      <c r="C2186" t="s">
        <v>1384</v>
      </c>
      <c r="D2186" t="s">
        <v>1613</v>
      </c>
      <c r="E2186" t="s">
        <v>4338</v>
      </c>
      <c r="F2186" t="s">
        <v>1583</v>
      </c>
      <c r="I2186" t="s">
        <v>1058</v>
      </c>
      <c r="N2186" t="s">
        <v>209</v>
      </c>
      <c r="Q2186" s="2" t="str">
        <f>IF($C2186="","",IFERROR(VLOOKUP($C2186,sources!$A$2:$N$200,2,FALSE()),"?"))</f>
        <v>Newspaper</v>
      </c>
      <c r="R2186" s="2" t="str">
        <f t="shared" si="34"/>
        <v>Textual</v>
      </c>
      <c r="S2186" s="2" t="str">
        <f>IF($C2186="","",IFERROR(VLOOKUP($C2186,sources!$A$2:$N$200,9,FALSE()),"?"))</f>
        <v>Caribbean community</v>
      </c>
      <c r="T2186" t="s">
        <v>5692</v>
      </c>
      <c r="U2186">
        <f>IF(OR(B2186="",C2186="",T2186="Retracted",LEFT(D2186,8)="Negative"),0,IF(COUNTIFS($B$2:B2186,B2186,$C$2:C2186,C2186,$D$2:D2186,"&lt;&gt;Negative*",$T$2:T2186,"&lt;&gt;Retracted")=1,1,0))</f>
        <v>0</v>
      </c>
    </row>
    <row r="2187" spans="1:21" ht="26" x14ac:dyDescent="0.2">
      <c r="A2187" t="s">
        <v>4395</v>
      </c>
      <c r="B2187" t="s">
        <v>873</v>
      </c>
      <c r="C2187" t="s">
        <v>1384</v>
      </c>
      <c r="D2187" t="s">
        <v>1613</v>
      </c>
      <c r="E2187" t="s">
        <v>4311</v>
      </c>
      <c r="F2187" t="s">
        <v>1583</v>
      </c>
      <c r="I2187" t="s">
        <v>1058</v>
      </c>
      <c r="N2187" t="s">
        <v>209</v>
      </c>
      <c r="Q2187" s="2" t="str">
        <f>IF($C2187="","",IFERROR(VLOOKUP($C2187,sources!$A$2:$N$200,2,FALSE()),"?"))</f>
        <v>Newspaper</v>
      </c>
      <c r="R2187" s="2" t="str">
        <f t="shared" si="34"/>
        <v>Textual</v>
      </c>
      <c r="S2187" s="2" t="str">
        <f>IF($C2187="","",IFERROR(VLOOKUP($C2187,sources!$A$2:$N$200,9,FALSE()),"?"))</f>
        <v>Caribbean community</v>
      </c>
      <c r="T2187" t="s">
        <v>5692</v>
      </c>
      <c r="U2187">
        <f>IF(OR(B2187="",C2187="",T2187="Retracted",LEFT(D2187,8)="Negative"),0,IF(COUNTIFS($B$2:B2187,B2187,$C$2:C2187,C2187,$D$2:D2187,"&lt;&gt;Negative*",$T$2:T2187,"&lt;&gt;Retracted")=1,1,0))</f>
        <v>0</v>
      </c>
    </row>
    <row r="2188" spans="1:21" ht="26" x14ac:dyDescent="0.2">
      <c r="A2188" t="s">
        <v>4396</v>
      </c>
      <c r="B2188" t="s">
        <v>876</v>
      </c>
      <c r="C2188" t="s">
        <v>1384</v>
      </c>
      <c r="D2188" t="s">
        <v>1613</v>
      </c>
      <c r="E2188" t="s">
        <v>4263</v>
      </c>
      <c r="F2188" t="s">
        <v>1583</v>
      </c>
      <c r="I2188" t="s">
        <v>1058</v>
      </c>
      <c r="N2188" t="s">
        <v>209</v>
      </c>
      <c r="Q2188" s="2" t="str">
        <f>IF($C2188="","",IFERROR(VLOOKUP($C2188,sources!$A$2:$N$200,2,FALSE()),"?"))</f>
        <v>Newspaper</v>
      </c>
      <c r="R2188" s="2" t="str">
        <f t="shared" si="34"/>
        <v>Textual</v>
      </c>
      <c r="S2188" s="2" t="str">
        <f>IF($C2188="","",IFERROR(VLOOKUP($C2188,sources!$A$2:$N$200,9,FALSE()),"?"))</f>
        <v>Caribbean community</v>
      </c>
      <c r="T2188" t="s">
        <v>5692</v>
      </c>
      <c r="U2188">
        <f>IF(OR(B2188="",C2188="",T2188="Retracted",LEFT(D2188,8)="Negative"),0,IF(COUNTIFS($B$2:B2188,B2188,$C$2:C2188,C2188,$D$2:D2188,"&lt;&gt;Negative*",$T$2:T2188,"&lt;&gt;Retracted")=1,1,0))</f>
        <v>0</v>
      </c>
    </row>
    <row r="2189" spans="1:21" ht="26" x14ac:dyDescent="0.2">
      <c r="A2189" t="s">
        <v>4397</v>
      </c>
      <c r="B2189" t="s">
        <v>879</v>
      </c>
      <c r="C2189" t="s">
        <v>1384</v>
      </c>
      <c r="D2189" t="s">
        <v>1613</v>
      </c>
      <c r="E2189" t="s">
        <v>4313</v>
      </c>
      <c r="F2189" t="s">
        <v>1583</v>
      </c>
      <c r="I2189" t="s">
        <v>1058</v>
      </c>
      <c r="N2189" t="s">
        <v>209</v>
      </c>
      <c r="Q2189" s="2" t="str">
        <f>IF($C2189="","",IFERROR(VLOOKUP($C2189,sources!$A$2:$N$200,2,FALSE()),"?"))</f>
        <v>Newspaper</v>
      </c>
      <c r="R2189" s="2" t="str">
        <f t="shared" si="34"/>
        <v>Textual</v>
      </c>
      <c r="S2189" s="2" t="str">
        <f>IF($C2189="","",IFERROR(VLOOKUP($C2189,sources!$A$2:$N$200,9,FALSE()),"?"))</f>
        <v>Caribbean community</v>
      </c>
      <c r="T2189" t="s">
        <v>5692</v>
      </c>
      <c r="U2189">
        <f>IF(OR(B2189="",C2189="",T2189="Retracted",LEFT(D2189,8)="Negative"),0,IF(COUNTIFS($B$2:B2189,B2189,$C$2:C2189,C2189,$D$2:D2189,"&lt;&gt;Negative*",$T$2:T2189,"&lt;&gt;Retracted")=1,1,0))</f>
        <v>0</v>
      </c>
    </row>
    <row r="2190" spans="1:21" ht="26" x14ac:dyDescent="0.2">
      <c r="A2190" t="s">
        <v>4398</v>
      </c>
      <c r="B2190" t="s">
        <v>883</v>
      </c>
      <c r="C2190" t="s">
        <v>1384</v>
      </c>
      <c r="D2190" t="s">
        <v>1575</v>
      </c>
      <c r="E2190" t="s">
        <v>884</v>
      </c>
      <c r="F2190" t="s">
        <v>1583</v>
      </c>
      <c r="I2190" t="s">
        <v>1058</v>
      </c>
      <c r="M2190" t="s">
        <v>190</v>
      </c>
      <c r="N2190" t="s">
        <v>190</v>
      </c>
      <c r="Q2190" s="2" t="str">
        <f>IF($C2190="","",IFERROR(VLOOKUP($C2190,sources!$A$2:$N$200,2,FALSE()),"?"))</f>
        <v>Newspaper</v>
      </c>
      <c r="R2190" s="2" t="str">
        <f t="shared" si="34"/>
        <v>Textual</v>
      </c>
      <c r="S2190" s="2" t="str">
        <f>IF($C2190="","",IFERROR(VLOOKUP($C2190,sources!$A$2:$N$200,9,FALSE()),"?"))</f>
        <v>Caribbean community</v>
      </c>
      <c r="T2190" t="s">
        <v>5692</v>
      </c>
      <c r="U2190">
        <f>IF(OR(B2190="",C2190="",T2190="Retracted",LEFT(D2190,8)="Negative"),0,IF(COUNTIFS($B$2:B2190,B2190,$C$2:C2190,C2190,$D$2:D2190,"&lt;&gt;Negative*",$T$2:T2190,"&lt;&gt;Retracted")=1,1,0))</f>
        <v>1</v>
      </c>
    </row>
    <row r="2191" spans="1:21" ht="26" x14ac:dyDescent="0.2">
      <c r="A2191" t="s">
        <v>4399</v>
      </c>
      <c r="B2191" t="s">
        <v>888</v>
      </c>
      <c r="C2191" t="s">
        <v>1384</v>
      </c>
      <c r="D2191" t="s">
        <v>1613</v>
      </c>
      <c r="E2191" t="s">
        <v>4265</v>
      </c>
      <c r="F2191" t="s">
        <v>1583</v>
      </c>
      <c r="I2191" t="s">
        <v>1058</v>
      </c>
      <c r="N2191" t="s">
        <v>209</v>
      </c>
      <c r="Q2191" s="2" t="str">
        <f>IF($C2191="","",IFERROR(VLOOKUP($C2191,sources!$A$2:$N$200,2,FALSE()),"?"))</f>
        <v>Newspaper</v>
      </c>
      <c r="R2191" s="2" t="str">
        <f t="shared" si="34"/>
        <v>Textual</v>
      </c>
      <c r="S2191" s="2" t="str">
        <f>IF($C2191="","",IFERROR(VLOOKUP($C2191,sources!$A$2:$N$200,9,FALSE()),"?"))</f>
        <v>Caribbean community</v>
      </c>
      <c r="T2191" t="s">
        <v>5692</v>
      </c>
      <c r="U2191">
        <f>IF(OR(B2191="",C2191="",T2191="Retracted",LEFT(D2191,8)="Negative"),0,IF(COUNTIFS($B$2:B2191,B2191,$C$2:C2191,C2191,$D$2:D2191,"&lt;&gt;Negative*",$T$2:T2191,"&lt;&gt;Retracted")=1,1,0))</f>
        <v>0</v>
      </c>
    </row>
    <row r="2192" spans="1:21" ht="26" x14ac:dyDescent="0.2">
      <c r="A2192" t="s">
        <v>4400</v>
      </c>
      <c r="B2192" t="s">
        <v>892</v>
      </c>
      <c r="C2192" t="s">
        <v>1384</v>
      </c>
      <c r="D2192" t="s">
        <v>1613</v>
      </c>
      <c r="E2192" t="s">
        <v>4345</v>
      </c>
      <c r="F2192" t="s">
        <v>1583</v>
      </c>
      <c r="I2192" t="s">
        <v>1058</v>
      </c>
      <c r="N2192" t="s">
        <v>209</v>
      </c>
      <c r="Q2192" s="2" t="str">
        <f>IF($C2192="","",IFERROR(VLOOKUP($C2192,sources!$A$2:$N$200,2,FALSE()),"?"))</f>
        <v>Newspaper</v>
      </c>
      <c r="R2192" s="2" t="str">
        <f t="shared" si="34"/>
        <v>Textual</v>
      </c>
      <c r="S2192" s="2" t="str">
        <f>IF($C2192="","",IFERROR(VLOOKUP($C2192,sources!$A$2:$N$200,9,FALSE()),"?"))</f>
        <v>Caribbean community</v>
      </c>
      <c r="T2192" t="s">
        <v>5692</v>
      </c>
      <c r="U2192">
        <f>IF(OR(B2192="",C2192="",T2192="Retracted",LEFT(D2192,8)="Negative"),0,IF(COUNTIFS($B$2:B2192,B2192,$C$2:C2192,C2192,$D$2:D2192,"&lt;&gt;Negative*",$T$2:T2192,"&lt;&gt;Retracted")=1,1,0))</f>
        <v>0</v>
      </c>
    </row>
    <row r="2193" spans="1:21" ht="26" x14ac:dyDescent="0.2">
      <c r="A2193" t="s">
        <v>4401</v>
      </c>
      <c r="B2193" t="s">
        <v>896</v>
      </c>
      <c r="C2193" t="s">
        <v>1384</v>
      </c>
      <c r="D2193" t="s">
        <v>1613</v>
      </c>
      <c r="E2193" t="s">
        <v>897</v>
      </c>
      <c r="F2193" t="s">
        <v>1583</v>
      </c>
      <c r="I2193" t="s">
        <v>1058</v>
      </c>
      <c r="N2193" t="s">
        <v>209</v>
      </c>
      <c r="Q2193" s="2" t="str">
        <f>IF($C2193="","",IFERROR(VLOOKUP($C2193,sources!$A$2:$N$200,2,FALSE()),"?"))</f>
        <v>Newspaper</v>
      </c>
      <c r="R2193" s="2" t="str">
        <f t="shared" si="34"/>
        <v>Textual</v>
      </c>
      <c r="S2193" s="2" t="str">
        <f>IF($C2193="","",IFERROR(VLOOKUP($C2193,sources!$A$2:$N$200,9,FALSE()),"?"))</f>
        <v>Caribbean community</v>
      </c>
      <c r="T2193" t="s">
        <v>5692</v>
      </c>
      <c r="U2193">
        <f>IF(OR(B2193="",C2193="",T2193="Retracted",LEFT(D2193,8)="Negative"),0,IF(COUNTIFS($B$2:B2193,B2193,$C$2:C2193,C2193,$D$2:D2193,"&lt;&gt;Negative*",$T$2:T2193,"&lt;&gt;Retracted")=1,1,0))</f>
        <v>0</v>
      </c>
    </row>
    <row r="2194" spans="1:21" ht="26" x14ac:dyDescent="0.2">
      <c r="A2194" t="s">
        <v>4402</v>
      </c>
      <c r="B2194" t="s">
        <v>899</v>
      </c>
      <c r="C2194" t="s">
        <v>1384</v>
      </c>
      <c r="D2194" t="s">
        <v>1613</v>
      </c>
      <c r="E2194" t="s">
        <v>900</v>
      </c>
      <c r="F2194" t="s">
        <v>1583</v>
      </c>
      <c r="I2194" t="s">
        <v>1058</v>
      </c>
      <c r="N2194" t="s">
        <v>209</v>
      </c>
      <c r="Q2194" s="2" t="str">
        <f>IF($C2194="","",IFERROR(VLOOKUP($C2194,sources!$A$2:$N$200,2,FALSE()),"?"))</f>
        <v>Newspaper</v>
      </c>
      <c r="R2194" s="2" t="str">
        <f t="shared" si="34"/>
        <v>Textual</v>
      </c>
      <c r="S2194" s="2" t="str">
        <f>IF($C2194="","",IFERROR(VLOOKUP($C2194,sources!$A$2:$N$200,9,FALSE()),"?"))</f>
        <v>Caribbean community</v>
      </c>
      <c r="T2194" t="s">
        <v>5692</v>
      </c>
      <c r="U2194">
        <f>IF(OR(B2194="",C2194="",T2194="Retracted",LEFT(D2194,8)="Negative"),0,IF(COUNTIFS($B$2:B2194,B2194,$C$2:C2194,C2194,$D$2:D2194,"&lt;&gt;Negative*",$T$2:T2194,"&lt;&gt;Retracted")=1,1,0))</f>
        <v>0</v>
      </c>
    </row>
    <row r="2195" spans="1:21" ht="26" x14ac:dyDescent="0.2">
      <c r="A2195" t="s">
        <v>4403</v>
      </c>
      <c r="B2195" t="s">
        <v>902</v>
      </c>
      <c r="C2195" t="s">
        <v>1384</v>
      </c>
      <c r="D2195" t="s">
        <v>1613</v>
      </c>
      <c r="E2195" t="s">
        <v>903</v>
      </c>
      <c r="F2195" t="s">
        <v>1583</v>
      </c>
      <c r="I2195" t="s">
        <v>1058</v>
      </c>
      <c r="N2195" t="s">
        <v>209</v>
      </c>
      <c r="Q2195" s="2" t="str">
        <f>IF($C2195="","",IFERROR(VLOOKUP($C2195,sources!$A$2:$N$200,2,FALSE()),"?"))</f>
        <v>Newspaper</v>
      </c>
      <c r="R2195" s="2" t="str">
        <f t="shared" si="34"/>
        <v>Textual</v>
      </c>
      <c r="S2195" s="2" t="str">
        <f>IF($C2195="","",IFERROR(VLOOKUP($C2195,sources!$A$2:$N$200,9,FALSE()),"?"))</f>
        <v>Caribbean community</v>
      </c>
      <c r="T2195" t="s">
        <v>5692</v>
      </c>
      <c r="U2195">
        <f>IF(OR(B2195="",C2195="",T2195="Retracted",LEFT(D2195,8)="Negative"),0,IF(COUNTIFS($B$2:B2195,B2195,$C$2:C2195,C2195,$D$2:D2195,"&lt;&gt;Negative*",$T$2:T2195,"&lt;&gt;Retracted")=1,1,0))</f>
        <v>0</v>
      </c>
    </row>
    <row r="2196" spans="1:21" ht="26" x14ac:dyDescent="0.2">
      <c r="A2196" t="s">
        <v>4404</v>
      </c>
      <c r="B2196" t="s">
        <v>906</v>
      </c>
      <c r="C2196" t="s">
        <v>1384</v>
      </c>
      <c r="D2196" t="s">
        <v>1613</v>
      </c>
      <c r="E2196" t="s">
        <v>908</v>
      </c>
      <c r="F2196" t="s">
        <v>1583</v>
      </c>
      <c r="I2196" t="s">
        <v>1058</v>
      </c>
      <c r="N2196" t="s">
        <v>209</v>
      </c>
      <c r="Q2196" s="2" t="str">
        <f>IF($C2196="","",IFERROR(VLOOKUP($C2196,sources!$A$2:$N$200,2,FALSE()),"?"))</f>
        <v>Newspaper</v>
      </c>
      <c r="R2196" s="2" t="str">
        <f t="shared" si="34"/>
        <v>Textual</v>
      </c>
      <c r="S2196" s="2" t="str">
        <f>IF($C2196="","",IFERROR(VLOOKUP($C2196,sources!$A$2:$N$200,9,FALSE()),"?"))</f>
        <v>Caribbean community</v>
      </c>
      <c r="T2196" t="s">
        <v>5692</v>
      </c>
      <c r="U2196">
        <f>IF(OR(B2196="",C2196="",T2196="Retracted",LEFT(D2196,8)="Negative"),0,IF(COUNTIFS($B$2:B2196,B2196,$C$2:C2196,C2196,$D$2:D2196,"&lt;&gt;Negative*",$T$2:T2196,"&lt;&gt;Retracted")=1,1,0))</f>
        <v>0</v>
      </c>
    </row>
    <row r="2197" spans="1:21" ht="26" x14ac:dyDescent="0.2">
      <c r="A2197" t="s">
        <v>4405</v>
      </c>
      <c r="B2197" t="s">
        <v>910</v>
      </c>
      <c r="C2197" t="s">
        <v>1384</v>
      </c>
      <c r="D2197" t="s">
        <v>1613</v>
      </c>
      <c r="E2197" t="s">
        <v>911</v>
      </c>
      <c r="F2197" t="s">
        <v>1583</v>
      </c>
      <c r="I2197" t="s">
        <v>1058</v>
      </c>
      <c r="N2197" t="s">
        <v>209</v>
      </c>
      <c r="Q2197" s="2" t="str">
        <f>IF($C2197="","",IFERROR(VLOOKUP($C2197,sources!$A$2:$N$200,2,FALSE()),"?"))</f>
        <v>Newspaper</v>
      </c>
      <c r="R2197" s="2" t="str">
        <f t="shared" si="34"/>
        <v>Textual</v>
      </c>
      <c r="S2197" s="2" t="str">
        <f>IF($C2197="","",IFERROR(VLOOKUP($C2197,sources!$A$2:$N$200,9,FALSE()),"?"))</f>
        <v>Caribbean community</v>
      </c>
      <c r="T2197" t="s">
        <v>5692</v>
      </c>
      <c r="U2197">
        <f>IF(OR(B2197="",C2197="",T2197="Retracted",LEFT(D2197,8)="Negative"),0,IF(COUNTIFS($B$2:B2197,B2197,$C$2:C2197,C2197,$D$2:D2197,"&lt;&gt;Negative*",$T$2:T2197,"&lt;&gt;Retracted")=1,1,0))</f>
        <v>0</v>
      </c>
    </row>
    <row r="2198" spans="1:21" ht="26" x14ac:dyDescent="0.2">
      <c r="A2198" t="s">
        <v>4406</v>
      </c>
      <c r="B2198" t="s">
        <v>914</v>
      </c>
      <c r="C2198" t="s">
        <v>1384</v>
      </c>
      <c r="D2198" t="s">
        <v>1613</v>
      </c>
      <c r="E2198" t="s">
        <v>915</v>
      </c>
      <c r="F2198" t="s">
        <v>1583</v>
      </c>
      <c r="I2198" t="s">
        <v>1058</v>
      </c>
      <c r="N2198" t="s">
        <v>209</v>
      </c>
      <c r="Q2198" s="2" t="str">
        <f>IF($C2198="","",IFERROR(VLOOKUP($C2198,sources!$A$2:$N$200,2,FALSE()),"?"))</f>
        <v>Newspaper</v>
      </c>
      <c r="R2198" s="2" t="str">
        <f t="shared" si="34"/>
        <v>Textual</v>
      </c>
      <c r="S2198" s="2" t="str">
        <f>IF($C2198="","",IFERROR(VLOOKUP($C2198,sources!$A$2:$N$200,9,FALSE()),"?"))</f>
        <v>Caribbean community</v>
      </c>
      <c r="T2198" t="s">
        <v>5692</v>
      </c>
      <c r="U2198">
        <f>IF(OR(B2198="",C2198="",T2198="Retracted",LEFT(D2198,8)="Negative"),0,IF(COUNTIFS($B$2:B2198,B2198,$C$2:C2198,C2198,$D$2:D2198,"&lt;&gt;Negative*",$T$2:T2198,"&lt;&gt;Retracted")=1,1,0))</f>
        <v>0</v>
      </c>
    </row>
    <row r="2199" spans="1:21" ht="26" x14ac:dyDescent="0.2">
      <c r="A2199" t="s">
        <v>4407</v>
      </c>
      <c r="B2199" t="s">
        <v>924</v>
      </c>
      <c r="C2199" t="s">
        <v>1384</v>
      </c>
      <c r="D2199" t="s">
        <v>1613</v>
      </c>
      <c r="E2199" t="s">
        <v>4355</v>
      </c>
      <c r="F2199" t="s">
        <v>1583</v>
      </c>
      <c r="I2199" t="s">
        <v>1058</v>
      </c>
      <c r="N2199" t="s">
        <v>209</v>
      </c>
      <c r="Q2199" s="2" t="str">
        <f>IF($C2199="","",IFERROR(VLOOKUP($C2199,sources!$A$2:$N$200,2,FALSE()),"?"))</f>
        <v>Newspaper</v>
      </c>
      <c r="R2199" s="2" t="str">
        <f t="shared" si="34"/>
        <v>Textual</v>
      </c>
      <c r="S2199" s="2" t="str">
        <f>IF($C2199="","",IFERROR(VLOOKUP($C2199,sources!$A$2:$N$200,9,FALSE()),"?"))</f>
        <v>Caribbean community</v>
      </c>
      <c r="T2199" t="s">
        <v>5692</v>
      </c>
      <c r="U2199">
        <f>IF(OR(B2199="",C2199="",T2199="Retracted",LEFT(D2199,8)="Negative"),0,IF(COUNTIFS($B$2:B2199,B2199,$C$2:C2199,C2199,$D$2:D2199,"&lt;&gt;Negative*",$T$2:T2199,"&lt;&gt;Retracted")=1,1,0))</f>
        <v>0</v>
      </c>
    </row>
    <row r="2200" spans="1:21" ht="26" x14ac:dyDescent="0.2">
      <c r="A2200" t="s">
        <v>4408</v>
      </c>
      <c r="B2200" t="s">
        <v>932</v>
      </c>
      <c r="C2200" t="s">
        <v>1384</v>
      </c>
      <c r="D2200" t="s">
        <v>1613</v>
      </c>
      <c r="E2200" t="s">
        <v>934</v>
      </c>
      <c r="F2200" t="s">
        <v>1583</v>
      </c>
      <c r="I2200" t="s">
        <v>1058</v>
      </c>
      <c r="N2200" t="s">
        <v>209</v>
      </c>
      <c r="Q2200" s="2" t="str">
        <f>IF($C2200="","",IFERROR(VLOOKUP($C2200,sources!$A$2:$N$200,2,FALSE()),"?"))</f>
        <v>Newspaper</v>
      </c>
      <c r="R2200" s="2" t="str">
        <f t="shared" si="34"/>
        <v>Textual</v>
      </c>
      <c r="S2200" s="2" t="str">
        <f>IF($C2200="","",IFERROR(VLOOKUP($C2200,sources!$A$2:$N$200,9,FALSE()),"?"))</f>
        <v>Caribbean community</v>
      </c>
      <c r="T2200" t="s">
        <v>5692</v>
      </c>
      <c r="U2200">
        <f>IF(OR(B2200="",C2200="",T2200="Retracted",LEFT(D2200,8)="Negative"),0,IF(COUNTIFS($B$2:B2200,B2200,$C$2:C2200,C2200,$D$2:D2200,"&lt;&gt;Negative*",$T$2:T2200,"&lt;&gt;Retracted")=1,1,0))</f>
        <v>0</v>
      </c>
    </row>
    <row r="2201" spans="1:21" ht="26" x14ac:dyDescent="0.2">
      <c r="A2201" t="s">
        <v>4409</v>
      </c>
      <c r="B2201" t="s">
        <v>938</v>
      </c>
      <c r="C2201" t="s">
        <v>1384</v>
      </c>
      <c r="D2201" t="s">
        <v>1613</v>
      </c>
      <c r="E2201" t="s">
        <v>939</v>
      </c>
      <c r="F2201" t="s">
        <v>1583</v>
      </c>
      <c r="I2201" t="s">
        <v>1058</v>
      </c>
      <c r="N2201" t="s">
        <v>209</v>
      </c>
      <c r="Q2201" s="2" t="str">
        <f>IF($C2201="","",IFERROR(VLOOKUP($C2201,sources!$A$2:$N$200,2,FALSE()),"?"))</f>
        <v>Newspaper</v>
      </c>
      <c r="R2201" s="2" t="str">
        <f t="shared" si="34"/>
        <v>Textual</v>
      </c>
      <c r="S2201" s="2" t="str">
        <f>IF($C2201="","",IFERROR(VLOOKUP($C2201,sources!$A$2:$N$200,9,FALSE()),"?"))</f>
        <v>Caribbean community</v>
      </c>
      <c r="T2201" t="s">
        <v>5692</v>
      </c>
      <c r="U2201">
        <f>IF(OR(B2201="",C2201="",T2201="Retracted",LEFT(D2201,8)="Negative"),0,IF(COUNTIFS($B$2:B2201,B2201,$C$2:C2201,C2201,$D$2:D2201,"&lt;&gt;Negative*",$T$2:T2201,"&lt;&gt;Retracted")=1,1,0))</f>
        <v>0</v>
      </c>
    </row>
    <row r="2202" spans="1:21" ht="26" x14ac:dyDescent="0.2">
      <c r="A2202" t="s">
        <v>4410</v>
      </c>
      <c r="B2202" t="s">
        <v>955</v>
      </c>
      <c r="C2202" t="s">
        <v>1384</v>
      </c>
      <c r="D2202" t="s">
        <v>1613</v>
      </c>
      <c r="E2202" t="s">
        <v>4290</v>
      </c>
      <c r="F2202" t="s">
        <v>1583</v>
      </c>
      <c r="I2202" t="s">
        <v>1058</v>
      </c>
      <c r="N2202" t="s">
        <v>209</v>
      </c>
      <c r="Q2202" s="2" t="str">
        <f>IF($C2202="","",IFERROR(VLOOKUP($C2202,sources!$A$2:$N$200,2,FALSE()),"?"))</f>
        <v>Newspaper</v>
      </c>
      <c r="R2202" s="2" t="str">
        <f t="shared" si="34"/>
        <v>Textual</v>
      </c>
      <c r="S2202" s="2" t="str">
        <f>IF($C2202="","",IFERROR(VLOOKUP($C2202,sources!$A$2:$N$200,9,FALSE()),"?"))</f>
        <v>Caribbean community</v>
      </c>
      <c r="T2202" t="s">
        <v>5692</v>
      </c>
      <c r="U2202">
        <f>IF(OR(B2202="",C2202="",T2202="Retracted",LEFT(D2202,8)="Negative"),0,IF(COUNTIFS($B$2:B2202,B2202,$C$2:C2202,C2202,$D$2:D2202,"&lt;&gt;Negative*",$T$2:T2202,"&lt;&gt;Retracted")=1,1,0))</f>
        <v>0</v>
      </c>
    </row>
    <row r="2203" spans="1:21" ht="26" x14ac:dyDescent="0.2">
      <c r="A2203" t="s">
        <v>4411</v>
      </c>
      <c r="B2203" t="s">
        <v>959</v>
      </c>
      <c r="C2203" t="s">
        <v>1384</v>
      </c>
      <c r="D2203" t="s">
        <v>1575</v>
      </c>
      <c r="E2203" t="s">
        <v>960</v>
      </c>
      <c r="F2203" t="s">
        <v>1583</v>
      </c>
      <c r="I2203" t="s">
        <v>1058</v>
      </c>
      <c r="M2203" t="s">
        <v>190</v>
      </c>
      <c r="N2203" t="s">
        <v>190</v>
      </c>
      <c r="Q2203" s="2" t="str">
        <f>IF($C2203="","",IFERROR(VLOOKUP($C2203,sources!$A$2:$N$200,2,FALSE()),"?"))</f>
        <v>Newspaper</v>
      </c>
      <c r="R2203" s="2" t="str">
        <f t="shared" si="34"/>
        <v>Textual</v>
      </c>
      <c r="S2203" s="2" t="str">
        <f>IF($C2203="","",IFERROR(VLOOKUP($C2203,sources!$A$2:$N$200,9,FALSE()),"?"))</f>
        <v>Caribbean community</v>
      </c>
      <c r="T2203" t="s">
        <v>5692</v>
      </c>
      <c r="U2203">
        <f>IF(OR(B2203="",C2203="",T2203="Retracted",LEFT(D2203,8)="Negative"),0,IF(COUNTIFS($B$2:B2203,B2203,$C$2:C2203,C2203,$D$2:D2203,"&lt;&gt;Negative*",$T$2:T2203,"&lt;&gt;Retracted")=1,1,0))</f>
        <v>1</v>
      </c>
    </row>
    <row r="2204" spans="1:21" ht="26" x14ac:dyDescent="0.2">
      <c r="A2204" t="s">
        <v>4412</v>
      </c>
      <c r="B2204" t="s">
        <v>962</v>
      </c>
      <c r="C2204" t="s">
        <v>1384</v>
      </c>
      <c r="D2204" t="s">
        <v>1575</v>
      </c>
      <c r="E2204" t="s">
        <v>963</v>
      </c>
      <c r="F2204" t="s">
        <v>1583</v>
      </c>
      <c r="I2204" t="s">
        <v>1058</v>
      </c>
      <c r="M2204" t="s">
        <v>190</v>
      </c>
      <c r="N2204" t="s">
        <v>190</v>
      </c>
      <c r="Q2204" s="2" t="str">
        <f>IF($C2204="","",IFERROR(VLOOKUP($C2204,sources!$A$2:$N$200,2,FALSE()),"?"))</f>
        <v>Newspaper</v>
      </c>
      <c r="R2204" s="2" t="str">
        <f t="shared" si="34"/>
        <v>Textual</v>
      </c>
      <c r="S2204" s="2" t="str">
        <f>IF($C2204="","",IFERROR(VLOOKUP($C2204,sources!$A$2:$N$200,9,FALSE()),"?"))</f>
        <v>Caribbean community</v>
      </c>
      <c r="T2204" t="s">
        <v>5692</v>
      </c>
      <c r="U2204">
        <f>IF(OR(B2204="",C2204="",T2204="Retracted",LEFT(D2204,8)="Negative"),0,IF(COUNTIFS($B$2:B2204,B2204,$C$2:C2204,C2204,$D$2:D2204,"&lt;&gt;Negative*",$T$2:T2204,"&lt;&gt;Retracted")=1,1,0))</f>
        <v>1</v>
      </c>
    </row>
    <row r="2205" spans="1:21" ht="26" x14ac:dyDescent="0.2">
      <c r="A2205" t="s">
        <v>4413</v>
      </c>
      <c r="B2205" t="s">
        <v>966</v>
      </c>
      <c r="C2205" t="s">
        <v>1384</v>
      </c>
      <c r="D2205" t="s">
        <v>1613</v>
      </c>
      <c r="E2205" t="s">
        <v>3598</v>
      </c>
      <c r="F2205" t="s">
        <v>1583</v>
      </c>
      <c r="I2205" t="s">
        <v>1058</v>
      </c>
      <c r="N2205" t="s">
        <v>190</v>
      </c>
      <c r="Q2205" s="2" t="str">
        <f>IF($C2205="","",IFERROR(VLOOKUP($C2205,sources!$A$2:$N$200,2,FALSE()),"?"))</f>
        <v>Newspaper</v>
      </c>
      <c r="R2205" s="2" t="str">
        <f t="shared" si="34"/>
        <v>Textual</v>
      </c>
      <c r="S2205" s="2" t="str">
        <f>IF($C2205="","",IFERROR(VLOOKUP($C2205,sources!$A$2:$N$200,9,FALSE()),"?"))</f>
        <v>Caribbean community</v>
      </c>
      <c r="T2205" t="s">
        <v>5693</v>
      </c>
      <c r="U2205">
        <f>IF(OR(B2205="",C2205="",T2205="Retracted",LEFT(D2205,8)="Negative"),0,IF(COUNTIFS($B$2:B2205,B2205,$C$2:C2205,C2205,$D$2:D2205,"&lt;&gt;Negative*",$T$2:T2205,"&lt;&gt;Retracted")=1,1,0))</f>
        <v>0</v>
      </c>
    </row>
    <row r="2206" spans="1:21" ht="26" x14ac:dyDescent="0.2">
      <c r="A2206" t="s">
        <v>4414</v>
      </c>
      <c r="B2206" t="s">
        <v>971</v>
      </c>
      <c r="C2206" t="s">
        <v>1384</v>
      </c>
      <c r="D2206" t="s">
        <v>1575</v>
      </c>
      <c r="E2206" t="s">
        <v>4296</v>
      </c>
      <c r="F2206" t="s">
        <v>1583</v>
      </c>
      <c r="I2206" t="s">
        <v>1058</v>
      </c>
      <c r="M2206" t="s">
        <v>190</v>
      </c>
      <c r="N2206" t="s">
        <v>190</v>
      </c>
      <c r="Q2206" s="2" t="str">
        <f>IF($C2206="","",IFERROR(VLOOKUP($C2206,sources!$A$2:$N$200,2,FALSE()),"?"))</f>
        <v>Newspaper</v>
      </c>
      <c r="R2206" s="2" t="str">
        <f t="shared" si="34"/>
        <v>Textual</v>
      </c>
      <c r="S2206" s="2" t="str">
        <f>IF($C2206="","",IFERROR(VLOOKUP($C2206,sources!$A$2:$N$200,9,FALSE()),"?"))</f>
        <v>Caribbean community</v>
      </c>
      <c r="T2206" t="s">
        <v>5692</v>
      </c>
      <c r="U2206">
        <f>IF(OR(B2206="",C2206="",T2206="Retracted",LEFT(D2206,8)="Negative"),0,IF(COUNTIFS($B$2:B2206,B2206,$C$2:C2206,C2206,$D$2:D2206,"&lt;&gt;Negative*",$T$2:T2206,"&lt;&gt;Retracted")=1,1,0))</f>
        <v>1</v>
      </c>
    </row>
    <row r="2207" spans="1:21" ht="26" x14ac:dyDescent="0.2">
      <c r="A2207" t="s">
        <v>4415</v>
      </c>
      <c r="B2207" t="s">
        <v>974</v>
      </c>
      <c r="C2207" t="s">
        <v>1384</v>
      </c>
      <c r="D2207" t="s">
        <v>1613</v>
      </c>
      <c r="E2207" t="s">
        <v>4298</v>
      </c>
      <c r="F2207" t="s">
        <v>1583</v>
      </c>
      <c r="I2207" t="s">
        <v>1058</v>
      </c>
      <c r="N2207" t="s">
        <v>209</v>
      </c>
      <c r="Q2207" s="2" t="str">
        <f>IF($C2207="","",IFERROR(VLOOKUP($C2207,sources!$A$2:$N$200,2,FALSE()),"?"))</f>
        <v>Newspaper</v>
      </c>
      <c r="R2207" s="2" t="str">
        <f t="shared" si="34"/>
        <v>Textual</v>
      </c>
      <c r="S2207" s="2" t="str">
        <f>IF($C2207="","",IFERROR(VLOOKUP($C2207,sources!$A$2:$N$200,9,FALSE()),"?"))</f>
        <v>Caribbean community</v>
      </c>
      <c r="T2207" t="s">
        <v>5692</v>
      </c>
      <c r="U2207">
        <f>IF(OR(B2207="",C2207="",T2207="Retracted",LEFT(D2207,8)="Negative"),0,IF(COUNTIFS($B$2:B2207,B2207,$C$2:C2207,C2207,$D$2:D2207,"&lt;&gt;Negative*",$T$2:T2207,"&lt;&gt;Retracted")=1,1,0))</f>
        <v>0</v>
      </c>
    </row>
    <row r="2208" spans="1:21" ht="26" x14ac:dyDescent="0.2">
      <c r="A2208" t="s">
        <v>4416</v>
      </c>
      <c r="B2208" t="s">
        <v>979</v>
      </c>
      <c r="C2208" t="s">
        <v>1384</v>
      </c>
      <c r="D2208" t="s">
        <v>1613</v>
      </c>
      <c r="E2208" t="s">
        <v>981</v>
      </c>
      <c r="F2208" t="s">
        <v>1583</v>
      </c>
      <c r="I2208" t="s">
        <v>1058</v>
      </c>
      <c r="N2208" t="s">
        <v>209</v>
      </c>
      <c r="Q2208" s="2" t="str">
        <f>IF($C2208="","",IFERROR(VLOOKUP($C2208,sources!$A$2:$N$200,2,FALSE()),"?"))</f>
        <v>Newspaper</v>
      </c>
      <c r="R2208" s="2" t="str">
        <f t="shared" si="34"/>
        <v>Textual</v>
      </c>
      <c r="S2208" s="2" t="str">
        <f>IF($C2208="","",IFERROR(VLOOKUP($C2208,sources!$A$2:$N$200,9,FALSE()),"?"))</f>
        <v>Caribbean community</v>
      </c>
      <c r="T2208" t="s">
        <v>5692</v>
      </c>
      <c r="U2208">
        <f>IF(OR(B2208="",C2208="",T2208="Retracted",LEFT(D2208,8)="Negative"),0,IF(COUNTIFS($B$2:B2208,B2208,$C$2:C2208,C2208,$D$2:D2208,"&lt;&gt;Negative*",$T$2:T2208,"&lt;&gt;Retracted")=1,1,0))</f>
        <v>0</v>
      </c>
    </row>
    <row r="2209" spans="1:21" ht="26" x14ac:dyDescent="0.2">
      <c r="A2209" t="s">
        <v>4417</v>
      </c>
      <c r="B2209" t="s">
        <v>983</v>
      </c>
      <c r="C2209" t="s">
        <v>1384</v>
      </c>
      <c r="D2209" t="s">
        <v>1613</v>
      </c>
      <c r="E2209" t="s">
        <v>985</v>
      </c>
      <c r="F2209" t="s">
        <v>1583</v>
      </c>
      <c r="I2209" t="s">
        <v>1058</v>
      </c>
      <c r="N2209" t="s">
        <v>209</v>
      </c>
      <c r="Q2209" s="2" t="str">
        <f>IF($C2209="","",IFERROR(VLOOKUP($C2209,sources!$A$2:$N$200,2,FALSE()),"?"))</f>
        <v>Newspaper</v>
      </c>
      <c r="R2209" s="2" t="str">
        <f t="shared" si="34"/>
        <v>Textual</v>
      </c>
      <c r="S2209" s="2" t="str">
        <f>IF($C2209="","",IFERROR(VLOOKUP($C2209,sources!$A$2:$N$200,9,FALSE()),"?"))</f>
        <v>Caribbean community</v>
      </c>
      <c r="T2209" t="s">
        <v>5692</v>
      </c>
      <c r="U2209">
        <f>IF(OR(B2209="",C2209="",T2209="Retracted",LEFT(D2209,8)="Negative"),0,IF(COUNTIFS($B$2:B2209,B2209,$C$2:C2209,C2209,$D$2:D2209,"&lt;&gt;Negative*",$T$2:T2209,"&lt;&gt;Retracted")=1,1,0))</f>
        <v>0</v>
      </c>
    </row>
    <row r="2210" spans="1:21" ht="26" x14ac:dyDescent="0.2">
      <c r="A2210" t="s">
        <v>4418</v>
      </c>
      <c r="B2210" t="s">
        <v>786</v>
      </c>
      <c r="C2210" t="s">
        <v>1384</v>
      </c>
      <c r="D2210" t="s">
        <v>1575</v>
      </c>
      <c r="E2210" t="s">
        <v>787</v>
      </c>
      <c r="F2210" t="s">
        <v>1583</v>
      </c>
      <c r="I2210" t="s">
        <v>1058</v>
      </c>
      <c r="M2210" t="s">
        <v>190</v>
      </c>
      <c r="N2210" t="s">
        <v>190</v>
      </c>
      <c r="Q2210" s="2" t="str">
        <f>IF($C2210="","",IFERROR(VLOOKUP($C2210,sources!$A$2:$N$200,2,FALSE()),"?"))</f>
        <v>Newspaper</v>
      </c>
      <c r="R2210" s="2" t="str">
        <f t="shared" si="34"/>
        <v>Textual</v>
      </c>
      <c r="S2210" s="2" t="str">
        <f>IF($C2210="","",IFERROR(VLOOKUP($C2210,sources!$A$2:$N$200,9,FALSE()),"?"))</f>
        <v>Caribbean community</v>
      </c>
      <c r="T2210" t="s">
        <v>5693</v>
      </c>
      <c r="U2210">
        <f>IF(OR(B2210="",C2210="",T2210="Retracted",LEFT(D2210,8)="Negative"),0,IF(COUNTIFS($B$2:B2210,B2210,$C$2:C2210,C2210,$D$2:D2210,"&lt;&gt;Negative*",$T$2:T2210,"&lt;&gt;Retracted")=1,1,0))</f>
        <v>0</v>
      </c>
    </row>
    <row r="2211" spans="1:21" ht="26" x14ac:dyDescent="0.2">
      <c r="A2211" t="s">
        <v>4419</v>
      </c>
      <c r="B2211" t="s">
        <v>994</v>
      </c>
      <c r="C2211" t="s">
        <v>1384</v>
      </c>
      <c r="D2211" t="s">
        <v>1575</v>
      </c>
      <c r="E2211" t="s">
        <v>995</v>
      </c>
      <c r="F2211" t="s">
        <v>1583</v>
      </c>
      <c r="I2211" t="s">
        <v>1058</v>
      </c>
      <c r="M2211" t="s">
        <v>190</v>
      </c>
      <c r="N2211" t="s">
        <v>190</v>
      </c>
      <c r="Q2211" s="2" t="str">
        <f>IF($C2211="","",IFERROR(VLOOKUP($C2211,sources!$A$2:$N$200,2,FALSE()),"?"))</f>
        <v>Newspaper</v>
      </c>
      <c r="R2211" s="2" t="str">
        <f t="shared" si="34"/>
        <v>Textual</v>
      </c>
      <c r="S2211" s="2" t="str">
        <f>IF($C2211="","",IFERROR(VLOOKUP($C2211,sources!$A$2:$N$200,9,FALSE()),"?"))</f>
        <v>Caribbean community</v>
      </c>
      <c r="T2211" t="s">
        <v>5692</v>
      </c>
      <c r="U2211">
        <f>IF(OR(B2211="",C2211="",T2211="Retracted",LEFT(D2211,8)="Negative"),0,IF(COUNTIFS($B$2:B2211,B2211,$C$2:C2211,C2211,$D$2:D2211,"&lt;&gt;Negative*",$T$2:T2211,"&lt;&gt;Retracted")=1,1,0))</f>
        <v>1</v>
      </c>
    </row>
    <row r="2212" spans="1:21" ht="26" x14ac:dyDescent="0.2">
      <c r="A2212" t="s">
        <v>4420</v>
      </c>
      <c r="B2212" t="s">
        <v>997</v>
      </c>
      <c r="C2212" t="s">
        <v>1384</v>
      </c>
      <c r="D2212" t="s">
        <v>1575</v>
      </c>
      <c r="E2212" t="s">
        <v>4305</v>
      </c>
      <c r="F2212" t="s">
        <v>1583</v>
      </c>
      <c r="I2212" t="s">
        <v>1058</v>
      </c>
      <c r="M2212" t="s">
        <v>190</v>
      </c>
      <c r="N2212" t="s">
        <v>190</v>
      </c>
      <c r="Q2212" s="2" t="str">
        <f>IF($C2212="","",IFERROR(VLOOKUP($C2212,sources!$A$2:$N$200,2,FALSE()),"?"))</f>
        <v>Newspaper</v>
      </c>
      <c r="R2212" s="2" t="str">
        <f t="shared" si="34"/>
        <v>Textual</v>
      </c>
      <c r="S2212" s="2" t="str">
        <f>IF($C2212="","",IFERROR(VLOOKUP($C2212,sources!$A$2:$N$200,9,FALSE()),"?"))</f>
        <v>Caribbean community</v>
      </c>
      <c r="T2212" t="s">
        <v>5692</v>
      </c>
      <c r="U2212">
        <f>IF(OR(B2212="",C2212="",T2212="Retracted",LEFT(D2212,8)="Negative"),0,IF(COUNTIFS($B$2:B2212,B2212,$C$2:C2212,C2212,$D$2:D2212,"&lt;&gt;Negative*",$T$2:T2212,"&lt;&gt;Retracted")=1,1,0))</f>
        <v>1</v>
      </c>
    </row>
    <row r="2213" spans="1:21" ht="26" x14ac:dyDescent="0.2">
      <c r="A2213" t="s">
        <v>4421</v>
      </c>
      <c r="B2213" t="s">
        <v>1002</v>
      </c>
      <c r="C2213" t="s">
        <v>1384</v>
      </c>
      <c r="D2213" t="s">
        <v>1613</v>
      </c>
      <c r="E2213" t="s">
        <v>1003</v>
      </c>
      <c r="F2213" t="s">
        <v>1583</v>
      </c>
      <c r="I2213" t="s">
        <v>1058</v>
      </c>
      <c r="N2213" t="s">
        <v>209</v>
      </c>
      <c r="Q2213" s="2" t="str">
        <f>IF($C2213="","",IFERROR(VLOOKUP($C2213,sources!$A$2:$N$200,2,FALSE()),"?"))</f>
        <v>Newspaper</v>
      </c>
      <c r="R2213" s="2" t="str">
        <f t="shared" si="34"/>
        <v>Textual</v>
      </c>
      <c r="S2213" s="2" t="str">
        <f>IF($C2213="","",IFERROR(VLOOKUP($C2213,sources!$A$2:$N$200,9,FALSE()),"?"))</f>
        <v>Caribbean community</v>
      </c>
      <c r="T2213" t="s">
        <v>5692</v>
      </c>
      <c r="U2213">
        <f>IF(OR(B2213="",C2213="",T2213="Retracted",LEFT(D2213,8)="Negative"),0,IF(COUNTIFS($B$2:B2213,B2213,$C$2:C2213,C2213,$D$2:D2213,"&lt;&gt;Negative*",$T$2:T2213,"&lt;&gt;Retracted")=1,1,0))</f>
        <v>0</v>
      </c>
    </row>
    <row r="2214" spans="1:21" ht="26" x14ac:dyDescent="0.2">
      <c r="A2214" t="s">
        <v>4422</v>
      </c>
      <c r="B2214" t="s">
        <v>902</v>
      </c>
      <c r="C2214" t="s">
        <v>1384</v>
      </c>
      <c r="D2214" t="s">
        <v>1613</v>
      </c>
      <c r="E2214" t="s">
        <v>904</v>
      </c>
      <c r="F2214" t="s">
        <v>1583</v>
      </c>
      <c r="I2214" t="s">
        <v>1058</v>
      </c>
      <c r="N2214" t="s">
        <v>209</v>
      </c>
      <c r="Q2214" s="2" t="str">
        <f>IF($C2214="","",IFERROR(VLOOKUP($C2214,sources!$A$2:$N$200,2,FALSE()),"?"))</f>
        <v>Newspaper</v>
      </c>
      <c r="R2214" s="2" t="str">
        <f t="shared" si="34"/>
        <v>Textual</v>
      </c>
      <c r="S2214" s="2" t="str">
        <f>IF($C2214="","",IFERROR(VLOOKUP($C2214,sources!$A$2:$N$200,9,FALSE()),"?"))</f>
        <v>Caribbean community</v>
      </c>
      <c r="T2214" t="s">
        <v>5692</v>
      </c>
      <c r="U2214">
        <f>IF(OR(B2214="",C2214="",T2214="Retracted",LEFT(D2214,8)="Negative"),0,IF(COUNTIFS($B$2:B2214,B2214,$C$2:C2214,C2214,$D$2:D2214,"&lt;&gt;Negative*",$T$2:T2214,"&lt;&gt;Retracted")=1,1,0))</f>
        <v>0</v>
      </c>
    </row>
    <row r="2215" spans="1:21" ht="26" x14ac:dyDescent="0.2">
      <c r="A2215" t="s">
        <v>4423</v>
      </c>
      <c r="B2215" t="s">
        <v>1017</v>
      </c>
      <c r="C2215" t="s">
        <v>1384</v>
      </c>
      <c r="D2215" t="s">
        <v>1613</v>
      </c>
      <c r="E2215" t="s">
        <v>1018</v>
      </c>
      <c r="F2215" t="s">
        <v>1583</v>
      </c>
      <c r="I2215" t="s">
        <v>1058</v>
      </c>
      <c r="N2215" t="s">
        <v>209</v>
      </c>
      <c r="Q2215" s="2" t="str">
        <f>IF($C2215="","",IFERROR(VLOOKUP($C2215,sources!$A$2:$N$200,2,FALSE()),"?"))</f>
        <v>Newspaper</v>
      </c>
      <c r="R2215" s="2" t="str">
        <f t="shared" si="34"/>
        <v>Textual</v>
      </c>
      <c r="S2215" s="2" t="str">
        <f>IF($C2215="","",IFERROR(VLOOKUP($C2215,sources!$A$2:$N$200,9,FALSE()),"?"))</f>
        <v>Caribbean community</v>
      </c>
      <c r="T2215" t="s">
        <v>5692</v>
      </c>
      <c r="U2215">
        <f>IF(OR(B2215="",C2215="",T2215="Retracted",LEFT(D2215,8)="Negative"),0,IF(COUNTIFS($B$2:B2215,B2215,$C$2:C2215,C2215,$D$2:D2215,"&lt;&gt;Negative*",$T$2:T2215,"&lt;&gt;Retracted")=1,1,0))</f>
        <v>0</v>
      </c>
    </row>
    <row r="2216" spans="1:21" ht="26" x14ac:dyDescent="0.2">
      <c r="A2216" t="s">
        <v>4424</v>
      </c>
      <c r="B2216" t="s">
        <v>1021</v>
      </c>
      <c r="C2216" t="s">
        <v>1384</v>
      </c>
      <c r="D2216" t="s">
        <v>1613</v>
      </c>
      <c r="E2216" t="s">
        <v>1022</v>
      </c>
      <c r="F2216" t="s">
        <v>1583</v>
      </c>
      <c r="I2216" t="s">
        <v>1058</v>
      </c>
      <c r="N2216" t="s">
        <v>209</v>
      </c>
      <c r="Q2216" s="2" t="str">
        <f>IF($C2216="","",IFERROR(VLOOKUP($C2216,sources!$A$2:$N$200,2,FALSE()),"?"))</f>
        <v>Newspaper</v>
      </c>
      <c r="R2216" s="2" t="str">
        <f t="shared" si="34"/>
        <v>Textual</v>
      </c>
      <c r="S2216" s="2" t="str">
        <f>IF($C2216="","",IFERROR(VLOOKUP($C2216,sources!$A$2:$N$200,9,FALSE()),"?"))</f>
        <v>Caribbean community</v>
      </c>
      <c r="T2216" t="s">
        <v>5692</v>
      </c>
      <c r="U2216">
        <f>IF(OR(B2216="",C2216="",T2216="Retracted",LEFT(D2216,8)="Negative"),0,IF(COUNTIFS($B$2:B2216,B2216,$C$2:C2216,C2216,$D$2:D2216,"&lt;&gt;Negative*",$T$2:T2216,"&lt;&gt;Retracted")=1,1,0))</f>
        <v>0</v>
      </c>
    </row>
    <row r="2217" spans="1:21" ht="26" x14ac:dyDescent="0.2">
      <c r="A2217" t="s">
        <v>4425</v>
      </c>
      <c r="B2217" t="s">
        <v>906</v>
      </c>
      <c r="C2217" t="s">
        <v>1384</v>
      </c>
      <c r="D2217" t="s">
        <v>1613</v>
      </c>
      <c r="E2217" t="s">
        <v>908</v>
      </c>
      <c r="F2217" t="s">
        <v>1583</v>
      </c>
      <c r="I2217" t="s">
        <v>1058</v>
      </c>
      <c r="N2217" t="s">
        <v>190</v>
      </c>
      <c r="Q2217" s="2" t="str">
        <f>IF($C2217="","",IFERROR(VLOOKUP($C2217,sources!$A$2:$N$200,2,FALSE()),"?"))</f>
        <v>Newspaper</v>
      </c>
      <c r="R2217" s="2" t="str">
        <f t="shared" si="34"/>
        <v>Textual</v>
      </c>
      <c r="S2217" s="2" t="str">
        <f>IF($C2217="","",IFERROR(VLOOKUP($C2217,sources!$A$2:$N$200,9,FALSE()),"?"))</f>
        <v>Caribbean community</v>
      </c>
      <c r="T2217" t="s">
        <v>5693</v>
      </c>
      <c r="U2217">
        <f>IF(OR(B2217="",C2217="",T2217="Retracted",LEFT(D2217,8)="Negative"),0,IF(COUNTIFS($B$2:B2217,B2217,$C$2:C2217,C2217,$D$2:D2217,"&lt;&gt;Negative*",$T$2:T2217,"&lt;&gt;Retracted")=1,1,0))</f>
        <v>0</v>
      </c>
    </row>
    <row r="2218" spans="1:21" ht="26" x14ac:dyDescent="0.2">
      <c r="A2218" t="s">
        <v>4426</v>
      </c>
      <c r="B2218" t="s">
        <v>773</v>
      </c>
      <c r="C2218" t="s">
        <v>1393</v>
      </c>
      <c r="D2218" t="s">
        <v>1613</v>
      </c>
      <c r="E2218" t="s">
        <v>3208</v>
      </c>
      <c r="F2218" t="s">
        <v>1583</v>
      </c>
      <c r="I2218" t="s">
        <v>1058</v>
      </c>
      <c r="M2218" t="s">
        <v>190</v>
      </c>
      <c r="N2218" t="s">
        <v>209</v>
      </c>
      <c r="Q2218" s="2" t="str">
        <f>IF($C2218="","",IFERROR(VLOOKUP($C2218,sources!$A$2:$N$200,2,FALSE()),"?"))</f>
        <v>Web compilation</v>
      </c>
      <c r="R2218" s="2" t="str">
        <f t="shared" si="34"/>
        <v>Textual</v>
      </c>
      <c r="S2218" s="2" t="str">
        <f>IF($C2218="","",IFERROR(VLOOKUP($C2218,sources!$A$2:$N$200,9,FALSE()),"?"))</f>
        <v>Caribbean community</v>
      </c>
      <c r="T2218" t="s">
        <v>5692</v>
      </c>
      <c r="U2218">
        <f>IF(OR(B2218="",C2218="",T2218="Retracted",LEFT(D2218,8)="Negative"),0,IF(COUNTIFS($B$2:B2218,B2218,$C$2:C2218,C2218,$D$2:D2218,"&lt;&gt;Negative*",$T$2:T2218,"&lt;&gt;Retracted")=1,1,0))</f>
        <v>0</v>
      </c>
    </row>
    <row r="2219" spans="1:21" ht="26" x14ac:dyDescent="0.2">
      <c r="A2219" t="s">
        <v>4427</v>
      </c>
      <c r="B2219" t="s">
        <v>786</v>
      </c>
      <c r="C2219" t="s">
        <v>1393</v>
      </c>
      <c r="D2219" t="s">
        <v>1575</v>
      </c>
      <c r="E2219" t="s">
        <v>787</v>
      </c>
      <c r="F2219" t="s">
        <v>1583</v>
      </c>
      <c r="I2219" t="s">
        <v>1058</v>
      </c>
      <c r="M2219" t="s">
        <v>190</v>
      </c>
      <c r="N2219" t="s">
        <v>203</v>
      </c>
      <c r="Q2219" s="2" t="str">
        <f>IF($C2219="","",IFERROR(VLOOKUP($C2219,sources!$A$2:$N$200,2,FALSE()),"?"))</f>
        <v>Web compilation</v>
      </c>
      <c r="R2219" s="2" t="str">
        <f t="shared" si="34"/>
        <v>Textual</v>
      </c>
      <c r="S2219" s="2" t="str">
        <f>IF($C2219="","",IFERROR(VLOOKUP($C2219,sources!$A$2:$N$200,9,FALSE()),"?"))</f>
        <v>Caribbean community</v>
      </c>
      <c r="T2219" t="s">
        <v>5692</v>
      </c>
      <c r="U2219">
        <f>IF(OR(B2219="",C2219="",T2219="Retracted",LEFT(D2219,8)="Negative"),0,IF(COUNTIFS($B$2:B2219,B2219,$C$2:C2219,C2219,$D$2:D2219,"&lt;&gt;Negative*",$T$2:T2219,"&lt;&gt;Retracted")=1,1,0))</f>
        <v>1</v>
      </c>
    </row>
    <row r="2220" spans="1:21" ht="26" x14ac:dyDescent="0.2">
      <c r="A2220" t="s">
        <v>4428</v>
      </c>
      <c r="B2220" t="s">
        <v>791</v>
      </c>
      <c r="C2220" t="s">
        <v>1393</v>
      </c>
      <c r="D2220" t="s">
        <v>1613</v>
      </c>
      <c r="E2220" t="s">
        <v>4309</v>
      </c>
      <c r="F2220" t="s">
        <v>1583</v>
      </c>
      <c r="I2220" t="s">
        <v>1058</v>
      </c>
      <c r="M2220" t="s">
        <v>190</v>
      </c>
      <c r="N2220" t="s">
        <v>209</v>
      </c>
      <c r="Q2220" s="2" t="str">
        <f>IF($C2220="","",IFERROR(VLOOKUP($C2220,sources!$A$2:$N$200,2,FALSE()),"?"))</f>
        <v>Web compilation</v>
      </c>
      <c r="R2220" s="2" t="str">
        <f t="shared" si="34"/>
        <v>Textual</v>
      </c>
      <c r="S2220" s="2" t="str">
        <f>IF($C2220="","",IFERROR(VLOOKUP($C2220,sources!$A$2:$N$200,9,FALSE()),"?"))</f>
        <v>Caribbean community</v>
      </c>
      <c r="T2220" t="s">
        <v>5692</v>
      </c>
      <c r="U2220">
        <f>IF(OR(B2220="",C2220="",T2220="Retracted",LEFT(D2220,8)="Negative"),0,IF(COUNTIFS($B$2:B2220,B2220,$C$2:C2220,C2220,$D$2:D2220,"&lt;&gt;Negative*",$T$2:T2220,"&lt;&gt;Retracted")=1,1,0))</f>
        <v>0</v>
      </c>
    </row>
    <row r="2221" spans="1:21" ht="26" x14ac:dyDescent="0.2">
      <c r="A2221" t="s">
        <v>4429</v>
      </c>
      <c r="B2221" t="s">
        <v>796</v>
      </c>
      <c r="C2221" t="s">
        <v>1393</v>
      </c>
      <c r="D2221" t="s">
        <v>1613</v>
      </c>
      <c r="E2221" t="s">
        <v>4319</v>
      </c>
      <c r="F2221" t="s">
        <v>1583</v>
      </c>
      <c r="I2221" t="s">
        <v>1058</v>
      </c>
      <c r="M2221" t="s">
        <v>190</v>
      </c>
      <c r="N2221" t="s">
        <v>209</v>
      </c>
      <c r="Q2221" s="2" t="str">
        <f>IF($C2221="","",IFERROR(VLOOKUP($C2221,sources!$A$2:$N$200,2,FALSE()),"?"))</f>
        <v>Web compilation</v>
      </c>
      <c r="R2221" s="2" t="str">
        <f t="shared" si="34"/>
        <v>Textual</v>
      </c>
      <c r="S2221" s="2" t="str">
        <f>IF($C2221="","",IFERROR(VLOOKUP($C2221,sources!$A$2:$N$200,9,FALSE()),"?"))</f>
        <v>Caribbean community</v>
      </c>
      <c r="T2221" t="s">
        <v>5692</v>
      </c>
      <c r="U2221">
        <f>IF(OR(B2221="",C2221="",T2221="Retracted",LEFT(D2221,8)="Negative"),0,IF(COUNTIFS($B$2:B2221,B2221,$C$2:C2221,C2221,$D$2:D2221,"&lt;&gt;Negative*",$T$2:T2221,"&lt;&gt;Retracted")=1,1,0))</f>
        <v>0</v>
      </c>
    </row>
    <row r="2222" spans="1:21" ht="26" x14ac:dyDescent="0.2">
      <c r="A2222" t="s">
        <v>4430</v>
      </c>
      <c r="B2222" t="s">
        <v>808</v>
      </c>
      <c r="C2222" t="s">
        <v>1393</v>
      </c>
      <c r="D2222" t="s">
        <v>1613</v>
      </c>
      <c r="E2222" t="s">
        <v>3356</v>
      </c>
      <c r="F2222" t="s">
        <v>1583</v>
      </c>
      <c r="I2222" t="s">
        <v>1058</v>
      </c>
      <c r="M2222" t="s">
        <v>190</v>
      </c>
      <c r="N2222" t="s">
        <v>209</v>
      </c>
      <c r="Q2222" s="2" t="str">
        <f>IF($C2222="","",IFERROR(VLOOKUP($C2222,sources!$A$2:$N$200,2,FALSE()),"?"))</f>
        <v>Web compilation</v>
      </c>
      <c r="R2222" s="2" t="str">
        <f t="shared" si="34"/>
        <v>Textual</v>
      </c>
      <c r="S2222" s="2" t="str">
        <f>IF($C2222="","",IFERROR(VLOOKUP($C2222,sources!$A$2:$N$200,9,FALSE()),"?"))</f>
        <v>Caribbean community</v>
      </c>
      <c r="T2222" t="s">
        <v>5692</v>
      </c>
      <c r="U2222">
        <f>IF(OR(B2222="",C2222="",T2222="Retracted",LEFT(D2222,8)="Negative"),0,IF(COUNTIFS($B$2:B2222,B2222,$C$2:C2222,C2222,$D$2:D2222,"&lt;&gt;Negative*",$T$2:T2222,"&lt;&gt;Retracted")=1,1,0))</f>
        <v>0</v>
      </c>
    </row>
    <row r="2223" spans="1:21" ht="26" x14ac:dyDescent="0.2">
      <c r="A2223" t="s">
        <v>4431</v>
      </c>
      <c r="B2223" t="s">
        <v>811</v>
      </c>
      <c r="C2223" t="s">
        <v>1393</v>
      </c>
      <c r="D2223" t="s">
        <v>1613</v>
      </c>
      <c r="E2223" t="s">
        <v>812</v>
      </c>
      <c r="F2223" t="s">
        <v>1583</v>
      </c>
      <c r="I2223" t="s">
        <v>1058</v>
      </c>
      <c r="M2223" t="s">
        <v>190</v>
      </c>
      <c r="N2223" t="s">
        <v>209</v>
      </c>
      <c r="Q2223" s="2" t="str">
        <f>IF($C2223="","",IFERROR(VLOOKUP($C2223,sources!$A$2:$N$200,2,FALSE()),"?"))</f>
        <v>Web compilation</v>
      </c>
      <c r="R2223" s="2" t="str">
        <f t="shared" si="34"/>
        <v>Textual</v>
      </c>
      <c r="S2223" s="2" t="str">
        <f>IF($C2223="","",IFERROR(VLOOKUP($C2223,sources!$A$2:$N$200,9,FALSE()),"?"))</f>
        <v>Caribbean community</v>
      </c>
      <c r="T2223" t="s">
        <v>5692</v>
      </c>
      <c r="U2223">
        <f>IF(OR(B2223="",C2223="",T2223="Retracted",LEFT(D2223,8)="Negative"),0,IF(COUNTIFS($B$2:B2223,B2223,$C$2:C2223,C2223,$D$2:D2223,"&lt;&gt;Negative*",$T$2:T2223,"&lt;&gt;Retracted")=1,1,0))</f>
        <v>0</v>
      </c>
    </row>
    <row r="2224" spans="1:21" ht="26" x14ac:dyDescent="0.2">
      <c r="A2224" t="s">
        <v>4432</v>
      </c>
      <c r="B2224" t="s">
        <v>819</v>
      </c>
      <c r="C2224" t="s">
        <v>1393</v>
      </c>
      <c r="D2224" t="s">
        <v>1575</v>
      </c>
      <c r="E2224" t="s">
        <v>820</v>
      </c>
      <c r="F2224" t="s">
        <v>1583</v>
      </c>
      <c r="I2224" t="s">
        <v>1058</v>
      </c>
      <c r="M2224" t="s">
        <v>190</v>
      </c>
      <c r="N2224" t="s">
        <v>203</v>
      </c>
      <c r="Q2224" s="2" t="str">
        <f>IF($C2224="","",IFERROR(VLOOKUP($C2224,sources!$A$2:$N$200,2,FALSE()),"?"))</f>
        <v>Web compilation</v>
      </c>
      <c r="R2224" s="2" t="str">
        <f t="shared" si="34"/>
        <v>Textual</v>
      </c>
      <c r="S2224" s="2" t="str">
        <f>IF($C2224="","",IFERROR(VLOOKUP($C2224,sources!$A$2:$N$200,9,FALSE()),"?"))</f>
        <v>Caribbean community</v>
      </c>
      <c r="T2224" t="s">
        <v>5692</v>
      </c>
      <c r="U2224">
        <f>IF(OR(B2224="",C2224="",T2224="Retracted",LEFT(D2224,8)="Negative"),0,IF(COUNTIFS($B$2:B2224,B2224,$C$2:C2224,C2224,$D$2:D2224,"&lt;&gt;Negative*",$T$2:T2224,"&lt;&gt;Retracted")=1,1,0))</f>
        <v>1</v>
      </c>
    </row>
    <row r="2225" spans="1:21" ht="26" x14ac:dyDescent="0.2">
      <c r="A2225" t="s">
        <v>4433</v>
      </c>
      <c r="B2225" t="s">
        <v>824</v>
      </c>
      <c r="C2225" t="s">
        <v>1393</v>
      </c>
      <c r="D2225" t="s">
        <v>1613</v>
      </c>
      <c r="E2225" t="s">
        <v>825</v>
      </c>
      <c r="F2225" t="s">
        <v>1583</v>
      </c>
      <c r="I2225" t="s">
        <v>1058</v>
      </c>
      <c r="M2225" t="s">
        <v>190</v>
      </c>
      <c r="N2225" t="s">
        <v>209</v>
      </c>
      <c r="Q2225" s="2" t="str">
        <f>IF($C2225="","",IFERROR(VLOOKUP($C2225,sources!$A$2:$N$200,2,FALSE()),"?"))</f>
        <v>Web compilation</v>
      </c>
      <c r="R2225" s="2" t="str">
        <f t="shared" si="34"/>
        <v>Textual</v>
      </c>
      <c r="S2225" s="2" t="str">
        <f>IF($C2225="","",IFERROR(VLOOKUP($C2225,sources!$A$2:$N$200,9,FALSE()),"?"))</f>
        <v>Caribbean community</v>
      </c>
      <c r="T2225" t="s">
        <v>5692</v>
      </c>
      <c r="U2225">
        <f>IF(OR(B2225="",C2225="",T2225="Retracted",LEFT(D2225,8)="Negative"),0,IF(COUNTIFS($B$2:B2225,B2225,$C$2:C2225,C2225,$D$2:D2225,"&lt;&gt;Negative*",$T$2:T2225,"&lt;&gt;Retracted")=1,1,0))</f>
        <v>0</v>
      </c>
    </row>
    <row r="2226" spans="1:21" ht="26" x14ac:dyDescent="0.2">
      <c r="A2226" t="s">
        <v>4434</v>
      </c>
      <c r="B2226" t="s">
        <v>828</v>
      </c>
      <c r="C2226" t="s">
        <v>1393</v>
      </c>
      <c r="D2226" t="s">
        <v>1575</v>
      </c>
      <c r="E2226" t="s">
        <v>829</v>
      </c>
      <c r="F2226" t="s">
        <v>1583</v>
      </c>
      <c r="I2226" t="s">
        <v>1058</v>
      </c>
      <c r="M2226" t="s">
        <v>190</v>
      </c>
      <c r="N2226" t="s">
        <v>203</v>
      </c>
      <c r="Q2226" s="2" t="str">
        <f>IF($C2226="","",IFERROR(VLOOKUP($C2226,sources!$A$2:$N$200,2,FALSE()),"?"))</f>
        <v>Web compilation</v>
      </c>
      <c r="R2226" s="2" t="str">
        <f t="shared" si="34"/>
        <v>Textual</v>
      </c>
      <c r="S2226" s="2" t="str">
        <f>IF($C2226="","",IFERROR(VLOOKUP($C2226,sources!$A$2:$N$200,9,FALSE()),"?"))</f>
        <v>Caribbean community</v>
      </c>
      <c r="T2226" t="s">
        <v>5692</v>
      </c>
      <c r="U2226">
        <f>IF(OR(B2226="",C2226="",T2226="Retracted",LEFT(D2226,8)="Negative"),0,IF(COUNTIFS($B$2:B2226,B2226,$C$2:C2226,C2226,$D$2:D2226,"&lt;&gt;Negative*",$T$2:T2226,"&lt;&gt;Retracted")=1,1,0))</f>
        <v>1</v>
      </c>
    </row>
    <row r="2227" spans="1:21" ht="26" x14ac:dyDescent="0.2">
      <c r="A2227" t="s">
        <v>4435</v>
      </c>
      <c r="B2227" t="s">
        <v>832</v>
      </c>
      <c r="C2227" t="s">
        <v>1393</v>
      </c>
      <c r="D2227" t="s">
        <v>1613</v>
      </c>
      <c r="E2227" t="s">
        <v>833</v>
      </c>
      <c r="F2227" t="s">
        <v>1583</v>
      </c>
      <c r="I2227" t="s">
        <v>1058</v>
      </c>
      <c r="M2227" t="s">
        <v>190</v>
      </c>
      <c r="N2227" t="s">
        <v>209</v>
      </c>
      <c r="Q2227" s="2" t="str">
        <f>IF($C2227="","",IFERROR(VLOOKUP($C2227,sources!$A$2:$N$200,2,FALSE()),"?"))</f>
        <v>Web compilation</v>
      </c>
      <c r="R2227" s="2" t="str">
        <f t="shared" si="34"/>
        <v>Textual</v>
      </c>
      <c r="S2227" s="2" t="str">
        <f>IF($C2227="","",IFERROR(VLOOKUP($C2227,sources!$A$2:$N$200,9,FALSE()),"?"))</f>
        <v>Caribbean community</v>
      </c>
      <c r="T2227" t="s">
        <v>5692</v>
      </c>
      <c r="U2227">
        <f>IF(OR(B2227="",C2227="",T2227="Retracted",LEFT(D2227,8)="Negative"),0,IF(COUNTIFS($B$2:B2227,B2227,$C$2:C2227,C2227,$D$2:D2227,"&lt;&gt;Negative*",$T$2:T2227,"&lt;&gt;Retracted")=1,1,0))</f>
        <v>0</v>
      </c>
    </row>
    <row r="2228" spans="1:21" ht="26" x14ac:dyDescent="0.2">
      <c r="A2228" t="s">
        <v>4436</v>
      </c>
      <c r="B2228" t="s">
        <v>847</v>
      </c>
      <c r="C2228" t="s">
        <v>1393</v>
      </c>
      <c r="D2228" t="s">
        <v>1613</v>
      </c>
      <c r="E2228" t="s">
        <v>848</v>
      </c>
      <c r="F2228" t="s">
        <v>1583</v>
      </c>
      <c r="I2228" t="s">
        <v>1058</v>
      </c>
      <c r="M2228" t="s">
        <v>190</v>
      </c>
      <c r="N2228" t="s">
        <v>209</v>
      </c>
      <c r="Q2228" s="2" t="str">
        <f>IF($C2228="","",IFERROR(VLOOKUP($C2228,sources!$A$2:$N$200,2,FALSE()),"?"))</f>
        <v>Web compilation</v>
      </c>
      <c r="R2228" s="2" t="str">
        <f t="shared" si="34"/>
        <v>Textual</v>
      </c>
      <c r="S2228" s="2" t="str">
        <f>IF($C2228="","",IFERROR(VLOOKUP($C2228,sources!$A$2:$N$200,9,FALSE()),"?"))</f>
        <v>Caribbean community</v>
      </c>
      <c r="T2228" t="s">
        <v>5692</v>
      </c>
      <c r="U2228">
        <f>IF(OR(B2228="",C2228="",T2228="Retracted",LEFT(D2228,8)="Negative"),0,IF(COUNTIFS($B$2:B2228,B2228,$C$2:C2228,C2228,$D$2:D2228,"&lt;&gt;Negative*",$T$2:T2228,"&lt;&gt;Retracted")=1,1,0))</f>
        <v>0</v>
      </c>
    </row>
    <row r="2229" spans="1:21" ht="26" x14ac:dyDescent="0.2">
      <c r="A2229" t="s">
        <v>4437</v>
      </c>
      <c r="B2229" t="s">
        <v>873</v>
      </c>
      <c r="C2229" t="s">
        <v>1393</v>
      </c>
      <c r="D2229" t="s">
        <v>1613</v>
      </c>
      <c r="E2229" t="s">
        <v>4311</v>
      </c>
      <c r="F2229" t="s">
        <v>1583</v>
      </c>
      <c r="I2229" t="s">
        <v>1058</v>
      </c>
      <c r="M2229" t="s">
        <v>190</v>
      </c>
      <c r="N2229" t="s">
        <v>209</v>
      </c>
      <c r="Q2229" s="2" t="str">
        <f>IF($C2229="","",IFERROR(VLOOKUP($C2229,sources!$A$2:$N$200,2,FALSE()),"?"))</f>
        <v>Web compilation</v>
      </c>
      <c r="R2229" s="2" t="str">
        <f t="shared" si="34"/>
        <v>Textual</v>
      </c>
      <c r="S2229" s="2" t="str">
        <f>IF($C2229="","",IFERROR(VLOOKUP($C2229,sources!$A$2:$N$200,9,FALSE()),"?"))</f>
        <v>Caribbean community</v>
      </c>
      <c r="T2229" t="s">
        <v>5692</v>
      </c>
      <c r="U2229">
        <f>IF(OR(B2229="",C2229="",T2229="Retracted",LEFT(D2229,8)="Negative"),0,IF(COUNTIFS($B$2:B2229,B2229,$C$2:C2229,C2229,$D$2:D2229,"&lt;&gt;Negative*",$T$2:T2229,"&lt;&gt;Retracted")=1,1,0))</f>
        <v>0</v>
      </c>
    </row>
    <row r="2230" spans="1:21" ht="26" x14ac:dyDescent="0.2">
      <c r="A2230" t="s">
        <v>4438</v>
      </c>
      <c r="B2230" t="s">
        <v>876</v>
      </c>
      <c r="C2230" t="s">
        <v>1393</v>
      </c>
      <c r="D2230" t="s">
        <v>1613</v>
      </c>
      <c r="E2230" t="s">
        <v>4263</v>
      </c>
      <c r="F2230" t="s">
        <v>1583</v>
      </c>
      <c r="I2230" t="s">
        <v>1058</v>
      </c>
      <c r="M2230" t="s">
        <v>190</v>
      </c>
      <c r="N2230" t="s">
        <v>209</v>
      </c>
      <c r="Q2230" s="2" t="str">
        <f>IF($C2230="","",IFERROR(VLOOKUP($C2230,sources!$A$2:$N$200,2,FALSE()),"?"))</f>
        <v>Web compilation</v>
      </c>
      <c r="R2230" s="2" t="str">
        <f t="shared" si="34"/>
        <v>Textual</v>
      </c>
      <c r="S2230" s="2" t="str">
        <f>IF($C2230="","",IFERROR(VLOOKUP($C2230,sources!$A$2:$N$200,9,FALSE()),"?"))</f>
        <v>Caribbean community</v>
      </c>
      <c r="T2230" t="s">
        <v>5692</v>
      </c>
      <c r="U2230">
        <f>IF(OR(B2230="",C2230="",T2230="Retracted",LEFT(D2230,8)="Negative"),0,IF(COUNTIFS($B$2:B2230,B2230,$C$2:C2230,C2230,$D$2:D2230,"&lt;&gt;Negative*",$T$2:T2230,"&lt;&gt;Retracted")=1,1,0))</f>
        <v>0</v>
      </c>
    </row>
    <row r="2231" spans="1:21" ht="26" x14ac:dyDescent="0.2">
      <c r="A2231" t="s">
        <v>4439</v>
      </c>
      <c r="B2231" t="s">
        <v>879</v>
      </c>
      <c r="C2231" t="s">
        <v>1393</v>
      </c>
      <c r="D2231" t="s">
        <v>1613</v>
      </c>
      <c r="E2231" t="s">
        <v>4313</v>
      </c>
      <c r="F2231" t="s">
        <v>1583</v>
      </c>
      <c r="I2231" t="s">
        <v>1058</v>
      </c>
      <c r="M2231" t="s">
        <v>190</v>
      </c>
      <c r="N2231" t="s">
        <v>209</v>
      </c>
      <c r="Q2231" s="2" t="str">
        <f>IF($C2231="","",IFERROR(VLOOKUP($C2231,sources!$A$2:$N$200,2,FALSE()),"?"))</f>
        <v>Web compilation</v>
      </c>
      <c r="R2231" s="2" t="str">
        <f t="shared" si="34"/>
        <v>Textual</v>
      </c>
      <c r="S2231" s="2" t="str">
        <f>IF($C2231="","",IFERROR(VLOOKUP($C2231,sources!$A$2:$N$200,9,FALSE()),"?"))</f>
        <v>Caribbean community</v>
      </c>
      <c r="T2231" t="s">
        <v>5692</v>
      </c>
      <c r="U2231">
        <f>IF(OR(B2231="",C2231="",T2231="Retracted",LEFT(D2231,8)="Negative"),0,IF(COUNTIFS($B$2:B2231,B2231,$C$2:C2231,C2231,$D$2:D2231,"&lt;&gt;Negative*",$T$2:T2231,"&lt;&gt;Retracted")=1,1,0))</f>
        <v>0</v>
      </c>
    </row>
    <row r="2232" spans="1:21" ht="26" x14ac:dyDescent="0.2">
      <c r="A2232" t="s">
        <v>4440</v>
      </c>
      <c r="B2232" t="s">
        <v>883</v>
      </c>
      <c r="C2232" t="s">
        <v>1393</v>
      </c>
      <c r="D2232" t="s">
        <v>1613</v>
      </c>
      <c r="E2232" t="s">
        <v>884</v>
      </c>
      <c r="F2232" t="s">
        <v>1583</v>
      </c>
      <c r="I2232" t="s">
        <v>1058</v>
      </c>
      <c r="M2232" t="s">
        <v>190</v>
      </c>
      <c r="N2232" t="s">
        <v>209</v>
      </c>
      <c r="Q2232" s="2" t="str">
        <f>IF($C2232="","",IFERROR(VLOOKUP($C2232,sources!$A$2:$N$200,2,FALSE()),"?"))</f>
        <v>Web compilation</v>
      </c>
      <c r="R2232" s="2" t="str">
        <f t="shared" si="34"/>
        <v>Textual</v>
      </c>
      <c r="S2232" s="2" t="str">
        <f>IF($C2232="","",IFERROR(VLOOKUP($C2232,sources!$A$2:$N$200,9,FALSE()),"?"))</f>
        <v>Caribbean community</v>
      </c>
      <c r="T2232" t="s">
        <v>5692</v>
      </c>
      <c r="U2232">
        <f>IF(OR(B2232="",C2232="",T2232="Retracted",LEFT(D2232,8)="Negative"),0,IF(COUNTIFS($B$2:B2232,B2232,$C$2:C2232,C2232,$D$2:D2232,"&lt;&gt;Negative*",$T$2:T2232,"&lt;&gt;Retracted")=1,1,0))</f>
        <v>0</v>
      </c>
    </row>
    <row r="2233" spans="1:21" ht="26" x14ac:dyDescent="0.2">
      <c r="A2233" t="s">
        <v>4441</v>
      </c>
      <c r="B2233" t="s">
        <v>888</v>
      </c>
      <c r="C2233" t="s">
        <v>1393</v>
      </c>
      <c r="D2233" t="s">
        <v>1613</v>
      </c>
      <c r="E2233" t="s">
        <v>4265</v>
      </c>
      <c r="F2233" t="s">
        <v>1583</v>
      </c>
      <c r="I2233" t="s">
        <v>1058</v>
      </c>
      <c r="M2233" t="s">
        <v>190</v>
      </c>
      <c r="N2233" t="s">
        <v>209</v>
      </c>
      <c r="Q2233" s="2" t="str">
        <f>IF($C2233="","",IFERROR(VLOOKUP($C2233,sources!$A$2:$N$200,2,FALSE()),"?"))</f>
        <v>Web compilation</v>
      </c>
      <c r="R2233" s="2" t="str">
        <f t="shared" si="34"/>
        <v>Textual</v>
      </c>
      <c r="S2233" s="2" t="str">
        <f>IF($C2233="","",IFERROR(VLOOKUP($C2233,sources!$A$2:$N$200,9,FALSE()),"?"))</f>
        <v>Caribbean community</v>
      </c>
      <c r="T2233" t="s">
        <v>5692</v>
      </c>
      <c r="U2233">
        <f>IF(OR(B2233="",C2233="",T2233="Retracted",LEFT(D2233,8)="Negative"),0,IF(COUNTIFS($B$2:B2233,B2233,$C$2:C2233,C2233,$D$2:D2233,"&lt;&gt;Negative*",$T$2:T2233,"&lt;&gt;Retracted")=1,1,0))</f>
        <v>0</v>
      </c>
    </row>
    <row r="2234" spans="1:21" ht="26" x14ac:dyDescent="0.2">
      <c r="A2234" t="s">
        <v>4442</v>
      </c>
      <c r="B2234" t="s">
        <v>892</v>
      </c>
      <c r="C2234" t="s">
        <v>1393</v>
      </c>
      <c r="D2234" t="s">
        <v>1613</v>
      </c>
      <c r="E2234" t="s">
        <v>4345</v>
      </c>
      <c r="F2234" t="s">
        <v>1583</v>
      </c>
      <c r="I2234" t="s">
        <v>1058</v>
      </c>
      <c r="M2234" t="s">
        <v>190</v>
      </c>
      <c r="N2234" t="s">
        <v>209</v>
      </c>
      <c r="Q2234" s="2" t="str">
        <f>IF($C2234="","",IFERROR(VLOOKUP($C2234,sources!$A$2:$N$200,2,FALSE()),"?"))</f>
        <v>Web compilation</v>
      </c>
      <c r="R2234" s="2" t="str">
        <f t="shared" si="34"/>
        <v>Textual</v>
      </c>
      <c r="S2234" s="2" t="str">
        <f>IF($C2234="","",IFERROR(VLOOKUP($C2234,sources!$A$2:$N$200,9,FALSE()),"?"))</f>
        <v>Caribbean community</v>
      </c>
      <c r="T2234" t="s">
        <v>5692</v>
      </c>
      <c r="U2234">
        <f>IF(OR(B2234="",C2234="",T2234="Retracted",LEFT(D2234,8)="Negative"),0,IF(COUNTIFS($B$2:B2234,B2234,$C$2:C2234,C2234,$D$2:D2234,"&lt;&gt;Negative*",$T$2:T2234,"&lt;&gt;Retracted")=1,1,0))</f>
        <v>0</v>
      </c>
    </row>
    <row r="2235" spans="1:21" ht="26" x14ac:dyDescent="0.2">
      <c r="A2235" t="s">
        <v>4443</v>
      </c>
      <c r="B2235" t="s">
        <v>896</v>
      </c>
      <c r="C2235" t="s">
        <v>1393</v>
      </c>
      <c r="D2235" t="s">
        <v>1613</v>
      </c>
      <c r="E2235" t="s">
        <v>897</v>
      </c>
      <c r="F2235" t="s">
        <v>1583</v>
      </c>
      <c r="I2235" t="s">
        <v>1058</v>
      </c>
      <c r="M2235" t="s">
        <v>190</v>
      </c>
      <c r="N2235" t="s">
        <v>209</v>
      </c>
      <c r="Q2235" s="2" t="str">
        <f>IF($C2235="","",IFERROR(VLOOKUP($C2235,sources!$A$2:$N$200,2,FALSE()),"?"))</f>
        <v>Web compilation</v>
      </c>
      <c r="R2235" s="2" t="str">
        <f t="shared" si="34"/>
        <v>Textual</v>
      </c>
      <c r="S2235" s="2" t="str">
        <f>IF($C2235="","",IFERROR(VLOOKUP($C2235,sources!$A$2:$N$200,9,FALSE()),"?"))</f>
        <v>Caribbean community</v>
      </c>
      <c r="T2235" t="s">
        <v>5692</v>
      </c>
      <c r="U2235">
        <f>IF(OR(B2235="",C2235="",T2235="Retracted",LEFT(D2235,8)="Negative"),0,IF(COUNTIFS($B$2:B2235,B2235,$C$2:C2235,C2235,$D$2:D2235,"&lt;&gt;Negative*",$T$2:T2235,"&lt;&gt;Retracted")=1,1,0))</f>
        <v>0</v>
      </c>
    </row>
    <row r="2236" spans="1:21" ht="26" x14ac:dyDescent="0.2">
      <c r="A2236" t="s">
        <v>4444</v>
      </c>
      <c r="B2236" t="s">
        <v>899</v>
      </c>
      <c r="C2236" t="s">
        <v>1393</v>
      </c>
      <c r="D2236" t="s">
        <v>1613</v>
      </c>
      <c r="E2236" t="s">
        <v>900</v>
      </c>
      <c r="F2236" t="s">
        <v>1583</v>
      </c>
      <c r="I2236" t="s">
        <v>1058</v>
      </c>
      <c r="M2236" t="s">
        <v>190</v>
      </c>
      <c r="N2236" t="s">
        <v>209</v>
      </c>
      <c r="Q2236" s="2" t="str">
        <f>IF($C2236="","",IFERROR(VLOOKUP($C2236,sources!$A$2:$N$200,2,FALSE()),"?"))</f>
        <v>Web compilation</v>
      </c>
      <c r="R2236" s="2" t="str">
        <f t="shared" si="34"/>
        <v>Textual</v>
      </c>
      <c r="S2236" s="2" t="str">
        <f>IF($C2236="","",IFERROR(VLOOKUP($C2236,sources!$A$2:$N$200,9,FALSE()),"?"))</f>
        <v>Caribbean community</v>
      </c>
      <c r="T2236" t="s">
        <v>5692</v>
      </c>
      <c r="U2236">
        <f>IF(OR(B2236="",C2236="",T2236="Retracted",LEFT(D2236,8)="Negative"),0,IF(COUNTIFS($B$2:B2236,B2236,$C$2:C2236,C2236,$D$2:D2236,"&lt;&gt;Negative*",$T$2:T2236,"&lt;&gt;Retracted")=1,1,0))</f>
        <v>0</v>
      </c>
    </row>
    <row r="2237" spans="1:21" ht="26" x14ac:dyDescent="0.2">
      <c r="A2237" t="s">
        <v>4445</v>
      </c>
      <c r="B2237" t="s">
        <v>902</v>
      </c>
      <c r="C2237" t="s">
        <v>1393</v>
      </c>
      <c r="D2237" t="s">
        <v>1613</v>
      </c>
      <c r="E2237" t="s">
        <v>903</v>
      </c>
      <c r="F2237" t="s">
        <v>1583</v>
      </c>
      <c r="I2237" t="s">
        <v>1058</v>
      </c>
      <c r="M2237" t="s">
        <v>190</v>
      </c>
      <c r="N2237" t="s">
        <v>209</v>
      </c>
      <c r="Q2237" s="2" t="str">
        <f>IF($C2237="","",IFERROR(VLOOKUP($C2237,sources!$A$2:$N$200,2,FALSE()),"?"))</f>
        <v>Web compilation</v>
      </c>
      <c r="R2237" s="2" t="str">
        <f t="shared" si="34"/>
        <v>Textual</v>
      </c>
      <c r="S2237" s="2" t="str">
        <f>IF($C2237="","",IFERROR(VLOOKUP($C2237,sources!$A$2:$N$200,9,FALSE()),"?"))</f>
        <v>Caribbean community</v>
      </c>
      <c r="T2237" t="s">
        <v>5692</v>
      </c>
      <c r="U2237">
        <f>IF(OR(B2237="",C2237="",T2237="Retracted",LEFT(D2237,8)="Negative"),0,IF(COUNTIFS($B$2:B2237,B2237,$C$2:C2237,C2237,$D$2:D2237,"&lt;&gt;Negative*",$T$2:T2237,"&lt;&gt;Retracted")=1,1,0))</f>
        <v>0</v>
      </c>
    </row>
    <row r="2238" spans="1:21" ht="26" x14ac:dyDescent="0.2">
      <c r="A2238" t="s">
        <v>4446</v>
      </c>
      <c r="B2238" t="s">
        <v>906</v>
      </c>
      <c r="C2238" t="s">
        <v>1393</v>
      </c>
      <c r="D2238" t="s">
        <v>1613</v>
      </c>
      <c r="E2238" t="s">
        <v>908</v>
      </c>
      <c r="F2238" t="s">
        <v>1583</v>
      </c>
      <c r="I2238" t="s">
        <v>1058</v>
      </c>
      <c r="M2238" t="s">
        <v>190</v>
      </c>
      <c r="N2238" t="s">
        <v>209</v>
      </c>
      <c r="Q2238" s="2" t="str">
        <f>IF($C2238="","",IFERROR(VLOOKUP($C2238,sources!$A$2:$N$200,2,FALSE()),"?"))</f>
        <v>Web compilation</v>
      </c>
      <c r="R2238" s="2" t="str">
        <f t="shared" si="34"/>
        <v>Textual</v>
      </c>
      <c r="S2238" s="2" t="str">
        <f>IF($C2238="","",IFERROR(VLOOKUP($C2238,sources!$A$2:$N$200,9,FALSE()),"?"))</f>
        <v>Caribbean community</v>
      </c>
      <c r="T2238" t="s">
        <v>5692</v>
      </c>
      <c r="U2238">
        <f>IF(OR(B2238="",C2238="",T2238="Retracted",LEFT(D2238,8)="Negative"),0,IF(COUNTIFS($B$2:B2238,B2238,$C$2:C2238,C2238,$D$2:D2238,"&lt;&gt;Negative*",$T$2:T2238,"&lt;&gt;Retracted")=1,1,0))</f>
        <v>0</v>
      </c>
    </row>
    <row r="2239" spans="1:21" ht="26" x14ac:dyDescent="0.2">
      <c r="A2239" t="s">
        <v>4447</v>
      </c>
      <c r="B2239" t="s">
        <v>910</v>
      </c>
      <c r="C2239" t="s">
        <v>1393</v>
      </c>
      <c r="D2239" t="s">
        <v>1613</v>
      </c>
      <c r="E2239" t="s">
        <v>911</v>
      </c>
      <c r="F2239" t="s">
        <v>1583</v>
      </c>
      <c r="I2239" t="s">
        <v>1058</v>
      </c>
      <c r="M2239" t="s">
        <v>190</v>
      </c>
      <c r="N2239" t="s">
        <v>209</v>
      </c>
      <c r="Q2239" s="2" t="str">
        <f>IF($C2239="","",IFERROR(VLOOKUP($C2239,sources!$A$2:$N$200,2,FALSE()),"?"))</f>
        <v>Web compilation</v>
      </c>
      <c r="R2239" s="2" t="str">
        <f t="shared" si="34"/>
        <v>Textual</v>
      </c>
      <c r="S2239" s="2" t="str">
        <f>IF($C2239="","",IFERROR(VLOOKUP($C2239,sources!$A$2:$N$200,9,FALSE()),"?"))</f>
        <v>Caribbean community</v>
      </c>
      <c r="T2239" t="s">
        <v>5692</v>
      </c>
      <c r="U2239">
        <f>IF(OR(B2239="",C2239="",T2239="Retracted",LEFT(D2239,8)="Negative"),0,IF(COUNTIFS($B$2:B2239,B2239,$C$2:C2239,C2239,$D$2:D2239,"&lt;&gt;Negative*",$T$2:T2239,"&lt;&gt;Retracted")=1,1,0))</f>
        <v>0</v>
      </c>
    </row>
    <row r="2240" spans="1:21" ht="26" x14ac:dyDescent="0.2">
      <c r="A2240" t="s">
        <v>4448</v>
      </c>
      <c r="B2240" t="s">
        <v>914</v>
      </c>
      <c r="C2240" t="s">
        <v>1393</v>
      </c>
      <c r="D2240" t="s">
        <v>1613</v>
      </c>
      <c r="E2240" t="s">
        <v>915</v>
      </c>
      <c r="F2240" t="s">
        <v>1583</v>
      </c>
      <c r="I2240" t="s">
        <v>1058</v>
      </c>
      <c r="M2240" t="s">
        <v>190</v>
      </c>
      <c r="N2240" t="s">
        <v>209</v>
      </c>
      <c r="Q2240" s="2" t="str">
        <f>IF($C2240="","",IFERROR(VLOOKUP($C2240,sources!$A$2:$N$200,2,FALSE()),"?"))</f>
        <v>Web compilation</v>
      </c>
      <c r="R2240" s="2" t="str">
        <f t="shared" si="34"/>
        <v>Textual</v>
      </c>
      <c r="S2240" s="2" t="str">
        <f>IF($C2240="","",IFERROR(VLOOKUP($C2240,sources!$A$2:$N$200,9,FALSE()),"?"))</f>
        <v>Caribbean community</v>
      </c>
      <c r="T2240" t="s">
        <v>5692</v>
      </c>
      <c r="U2240">
        <f>IF(OR(B2240="",C2240="",T2240="Retracted",LEFT(D2240,8)="Negative"),0,IF(COUNTIFS($B$2:B2240,B2240,$C$2:C2240,C2240,$D$2:D2240,"&lt;&gt;Negative*",$T$2:T2240,"&lt;&gt;Retracted")=1,1,0))</f>
        <v>0</v>
      </c>
    </row>
    <row r="2241" spans="1:21" ht="26" x14ac:dyDescent="0.2">
      <c r="A2241" t="s">
        <v>4449</v>
      </c>
      <c r="B2241" t="s">
        <v>917</v>
      </c>
      <c r="C2241" t="s">
        <v>1393</v>
      </c>
      <c r="D2241" t="s">
        <v>1613</v>
      </c>
      <c r="E2241" t="s">
        <v>918</v>
      </c>
      <c r="F2241" t="s">
        <v>1583</v>
      </c>
      <c r="I2241" t="s">
        <v>1058</v>
      </c>
      <c r="M2241" t="s">
        <v>190</v>
      </c>
      <c r="N2241" t="s">
        <v>209</v>
      </c>
      <c r="Q2241" s="2" t="str">
        <f>IF($C2241="","",IFERROR(VLOOKUP($C2241,sources!$A$2:$N$200,2,FALSE()),"?"))</f>
        <v>Web compilation</v>
      </c>
      <c r="R2241" s="2" t="str">
        <f t="shared" si="34"/>
        <v>Textual</v>
      </c>
      <c r="S2241" s="2" t="str">
        <f>IF($C2241="","",IFERROR(VLOOKUP($C2241,sources!$A$2:$N$200,9,FALSE()),"?"))</f>
        <v>Caribbean community</v>
      </c>
      <c r="T2241" t="s">
        <v>5692</v>
      </c>
      <c r="U2241">
        <f>IF(OR(B2241="",C2241="",T2241="Retracted",LEFT(D2241,8)="Negative"),0,IF(COUNTIFS($B$2:B2241,B2241,$C$2:C2241,C2241,$D$2:D2241,"&lt;&gt;Negative*",$T$2:T2241,"&lt;&gt;Retracted")=1,1,0))</f>
        <v>0</v>
      </c>
    </row>
    <row r="2242" spans="1:21" ht="26" x14ac:dyDescent="0.2">
      <c r="A2242" t="s">
        <v>4450</v>
      </c>
      <c r="B2242" t="s">
        <v>920</v>
      </c>
      <c r="C2242" t="s">
        <v>1393</v>
      </c>
      <c r="D2242" t="s">
        <v>1613</v>
      </c>
      <c r="E2242" t="s">
        <v>921</v>
      </c>
      <c r="F2242" t="s">
        <v>1583</v>
      </c>
      <c r="I2242" t="s">
        <v>1058</v>
      </c>
      <c r="M2242" t="s">
        <v>190</v>
      </c>
      <c r="N2242" t="s">
        <v>209</v>
      </c>
      <c r="Q2242" s="2" t="str">
        <f>IF($C2242="","",IFERROR(VLOOKUP($C2242,sources!$A$2:$N$200,2,FALSE()),"?"))</f>
        <v>Web compilation</v>
      </c>
      <c r="R2242" s="2" t="str">
        <f t="shared" ref="R2242:R2305" si="35">IF($Q2242="","",IF($Q2242="Map","Map",IF(OR($Q2242="Photograph",$Q2242="Postcard"),"Image",IF(OR($Q2242="Census or roll",$Q2242="Report",$Q2242="Newspaper",$Q2242="Letter",$Q2242="Memoir",$Q2242="Administrative",$Q2242="Web compilation"),"Textual",IF($Q2242="Legal claim","Legal/admin",IF($Q2242="Secondary","Secondary","Other"))))))</f>
        <v>Textual</v>
      </c>
      <c r="S2242" s="2" t="str">
        <f>IF($C2242="","",IFERROR(VLOOKUP($C2242,sources!$A$2:$N$200,9,FALSE()),"?"))</f>
        <v>Caribbean community</v>
      </c>
      <c r="T2242" t="s">
        <v>5692</v>
      </c>
      <c r="U2242">
        <f>IF(OR(B2242="",C2242="",T2242="Retracted",LEFT(D2242,8)="Negative"),0,IF(COUNTIFS($B$2:B2242,B2242,$C$2:C2242,C2242,$D$2:D2242,"&lt;&gt;Negative*",$T$2:T2242,"&lt;&gt;Retracted")=1,1,0))</f>
        <v>0</v>
      </c>
    </row>
    <row r="2243" spans="1:21" ht="26" x14ac:dyDescent="0.2">
      <c r="A2243" t="s">
        <v>4451</v>
      </c>
      <c r="B2243" t="s">
        <v>924</v>
      </c>
      <c r="C2243" t="s">
        <v>1393</v>
      </c>
      <c r="D2243" t="s">
        <v>1613</v>
      </c>
      <c r="E2243" t="s">
        <v>4355</v>
      </c>
      <c r="F2243" t="s">
        <v>1583</v>
      </c>
      <c r="I2243" t="s">
        <v>1058</v>
      </c>
      <c r="M2243" t="s">
        <v>190</v>
      </c>
      <c r="N2243" t="s">
        <v>209</v>
      </c>
      <c r="Q2243" s="2" t="str">
        <f>IF($C2243="","",IFERROR(VLOOKUP($C2243,sources!$A$2:$N$200,2,FALSE()),"?"))</f>
        <v>Web compilation</v>
      </c>
      <c r="R2243" s="2" t="str">
        <f t="shared" si="35"/>
        <v>Textual</v>
      </c>
      <c r="S2243" s="2" t="str">
        <f>IF($C2243="","",IFERROR(VLOOKUP($C2243,sources!$A$2:$N$200,9,FALSE()),"?"))</f>
        <v>Caribbean community</v>
      </c>
      <c r="T2243" t="s">
        <v>5692</v>
      </c>
      <c r="U2243">
        <f>IF(OR(B2243="",C2243="",T2243="Retracted",LEFT(D2243,8)="Negative"),0,IF(COUNTIFS($B$2:B2243,B2243,$C$2:C2243,C2243,$D$2:D2243,"&lt;&gt;Negative*",$T$2:T2243,"&lt;&gt;Retracted")=1,1,0))</f>
        <v>0</v>
      </c>
    </row>
    <row r="2244" spans="1:21" ht="26" x14ac:dyDescent="0.2">
      <c r="A2244" t="s">
        <v>4452</v>
      </c>
      <c r="B2244" t="s">
        <v>932</v>
      </c>
      <c r="C2244" t="s">
        <v>1393</v>
      </c>
      <c r="D2244" t="s">
        <v>1613</v>
      </c>
      <c r="E2244" t="s">
        <v>934</v>
      </c>
      <c r="F2244" t="s">
        <v>1583</v>
      </c>
      <c r="I2244" t="s">
        <v>1058</v>
      </c>
      <c r="M2244" t="s">
        <v>190</v>
      </c>
      <c r="N2244" t="s">
        <v>209</v>
      </c>
      <c r="Q2244" s="2" t="str">
        <f>IF($C2244="","",IFERROR(VLOOKUP($C2244,sources!$A$2:$N$200,2,FALSE()),"?"))</f>
        <v>Web compilation</v>
      </c>
      <c r="R2244" s="2" t="str">
        <f t="shared" si="35"/>
        <v>Textual</v>
      </c>
      <c r="S2244" s="2" t="str">
        <f>IF($C2244="","",IFERROR(VLOOKUP($C2244,sources!$A$2:$N$200,9,FALSE()),"?"))</f>
        <v>Caribbean community</v>
      </c>
      <c r="T2244" t="s">
        <v>5692</v>
      </c>
      <c r="U2244">
        <f>IF(OR(B2244="",C2244="",T2244="Retracted",LEFT(D2244,8)="Negative"),0,IF(COUNTIFS($B$2:B2244,B2244,$C$2:C2244,C2244,$D$2:D2244,"&lt;&gt;Negative*",$T$2:T2244,"&lt;&gt;Retracted")=1,1,0))</f>
        <v>0</v>
      </c>
    </row>
    <row r="2245" spans="1:21" ht="26" x14ac:dyDescent="0.2">
      <c r="A2245" t="s">
        <v>4453</v>
      </c>
      <c r="B2245" t="s">
        <v>938</v>
      </c>
      <c r="C2245" t="s">
        <v>1393</v>
      </c>
      <c r="D2245" t="s">
        <v>1613</v>
      </c>
      <c r="E2245" t="s">
        <v>939</v>
      </c>
      <c r="F2245" t="s">
        <v>1583</v>
      </c>
      <c r="I2245" t="s">
        <v>1058</v>
      </c>
      <c r="M2245" t="s">
        <v>190</v>
      </c>
      <c r="N2245" t="s">
        <v>209</v>
      </c>
      <c r="Q2245" s="2" t="str">
        <f>IF($C2245="","",IFERROR(VLOOKUP($C2245,sources!$A$2:$N$200,2,FALSE()),"?"))</f>
        <v>Web compilation</v>
      </c>
      <c r="R2245" s="2" t="str">
        <f t="shared" si="35"/>
        <v>Textual</v>
      </c>
      <c r="S2245" s="2" t="str">
        <f>IF($C2245="","",IFERROR(VLOOKUP($C2245,sources!$A$2:$N$200,9,FALSE()),"?"))</f>
        <v>Caribbean community</v>
      </c>
      <c r="T2245" t="s">
        <v>5692</v>
      </c>
      <c r="U2245">
        <f>IF(OR(B2245="",C2245="",T2245="Retracted",LEFT(D2245,8)="Negative"),0,IF(COUNTIFS($B$2:B2245,B2245,$C$2:C2245,C2245,$D$2:D2245,"&lt;&gt;Negative*",$T$2:T2245,"&lt;&gt;Retracted")=1,1,0))</f>
        <v>0</v>
      </c>
    </row>
    <row r="2246" spans="1:21" ht="26" x14ac:dyDescent="0.2">
      <c r="A2246" t="s">
        <v>4454</v>
      </c>
      <c r="B2246" t="s">
        <v>943</v>
      </c>
      <c r="C2246" t="s">
        <v>1393</v>
      </c>
      <c r="D2246" t="s">
        <v>1575</v>
      </c>
      <c r="E2246" t="s">
        <v>4033</v>
      </c>
      <c r="F2246" t="s">
        <v>1583</v>
      </c>
      <c r="I2246" t="s">
        <v>1058</v>
      </c>
      <c r="M2246" t="s">
        <v>190</v>
      </c>
      <c r="N2246" t="s">
        <v>203</v>
      </c>
      <c r="Q2246" s="2" t="str">
        <f>IF($C2246="","",IFERROR(VLOOKUP($C2246,sources!$A$2:$N$200,2,FALSE()),"?"))</f>
        <v>Web compilation</v>
      </c>
      <c r="R2246" s="2" t="str">
        <f t="shared" si="35"/>
        <v>Textual</v>
      </c>
      <c r="S2246" s="2" t="str">
        <f>IF($C2246="","",IFERROR(VLOOKUP($C2246,sources!$A$2:$N$200,9,FALSE()),"?"))</f>
        <v>Caribbean community</v>
      </c>
      <c r="T2246" t="s">
        <v>5692</v>
      </c>
      <c r="U2246">
        <f>IF(OR(B2246="",C2246="",T2246="Retracted",LEFT(D2246,8)="Negative"),0,IF(COUNTIFS($B$2:B2246,B2246,$C$2:C2246,C2246,$D$2:D2246,"&lt;&gt;Negative*",$T$2:T2246,"&lt;&gt;Retracted")=1,1,0))</f>
        <v>1</v>
      </c>
    </row>
    <row r="2247" spans="1:21" ht="26" x14ac:dyDescent="0.2">
      <c r="A2247" t="s">
        <v>4455</v>
      </c>
      <c r="B2247" t="s">
        <v>947</v>
      </c>
      <c r="C2247" t="s">
        <v>1393</v>
      </c>
      <c r="D2247" t="s">
        <v>1613</v>
      </c>
      <c r="E2247" t="s">
        <v>4360</v>
      </c>
      <c r="F2247" t="s">
        <v>1583</v>
      </c>
      <c r="I2247" t="s">
        <v>1058</v>
      </c>
      <c r="M2247" t="s">
        <v>190</v>
      </c>
      <c r="N2247" t="s">
        <v>209</v>
      </c>
      <c r="Q2247" s="2" t="str">
        <f>IF($C2247="","",IFERROR(VLOOKUP($C2247,sources!$A$2:$N$200,2,FALSE()),"?"))</f>
        <v>Web compilation</v>
      </c>
      <c r="R2247" s="2" t="str">
        <f t="shared" si="35"/>
        <v>Textual</v>
      </c>
      <c r="S2247" s="2" t="str">
        <f>IF($C2247="","",IFERROR(VLOOKUP($C2247,sources!$A$2:$N$200,9,FALSE()),"?"))</f>
        <v>Caribbean community</v>
      </c>
      <c r="T2247" t="s">
        <v>5692</v>
      </c>
      <c r="U2247">
        <f>IF(OR(B2247="",C2247="",T2247="Retracted",LEFT(D2247,8)="Negative"),0,IF(COUNTIFS($B$2:B2247,B2247,$C$2:C2247,C2247,$D$2:D2247,"&lt;&gt;Negative*",$T$2:T2247,"&lt;&gt;Retracted")=1,1,0))</f>
        <v>0</v>
      </c>
    </row>
    <row r="2248" spans="1:21" ht="26" x14ac:dyDescent="0.2">
      <c r="A2248" t="s">
        <v>4456</v>
      </c>
      <c r="B2248" t="s">
        <v>936</v>
      </c>
      <c r="C2248" t="s">
        <v>1393</v>
      </c>
      <c r="D2248" t="s">
        <v>1575</v>
      </c>
      <c r="E2248" t="s">
        <v>4362</v>
      </c>
      <c r="F2248" t="s">
        <v>1583</v>
      </c>
      <c r="I2248" t="s">
        <v>1058</v>
      </c>
      <c r="M2248" t="s">
        <v>190</v>
      </c>
      <c r="N2248" t="s">
        <v>203</v>
      </c>
      <c r="Q2248" s="2" t="str">
        <f>IF($C2248="","",IFERROR(VLOOKUP($C2248,sources!$A$2:$N$200,2,FALSE()),"?"))</f>
        <v>Web compilation</v>
      </c>
      <c r="R2248" s="2" t="str">
        <f t="shared" si="35"/>
        <v>Textual</v>
      </c>
      <c r="S2248" s="2" t="str">
        <f>IF($C2248="","",IFERROR(VLOOKUP($C2248,sources!$A$2:$N$200,9,FALSE()),"?"))</f>
        <v>Caribbean community</v>
      </c>
      <c r="T2248" t="s">
        <v>5692</v>
      </c>
      <c r="U2248">
        <f>IF(OR(B2248="",C2248="",T2248="Retracted",LEFT(D2248,8)="Negative"),0,IF(COUNTIFS($B$2:B2248,B2248,$C$2:C2248,C2248,$D$2:D2248,"&lt;&gt;Negative*",$T$2:T2248,"&lt;&gt;Retracted")=1,1,0))</f>
        <v>1</v>
      </c>
    </row>
    <row r="2249" spans="1:21" ht="26" x14ac:dyDescent="0.2">
      <c r="A2249" t="s">
        <v>4457</v>
      </c>
      <c r="B2249" t="s">
        <v>955</v>
      </c>
      <c r="C2249" t="s">
        <v>1393</v>
      </c>
      <c r="D2249" t="s">
        <v>1613</v>
      </c>
      <c r="E2249" t="s">
        <v>4290</v>
      </c>
      <c r="F2249" t="s">
        <v>1583</v>
      </c>
      <c r="I2249" t="s">
        <v>1058</v>
      </c>
      <c r="M2249" t="s">
        <v>190</v>
      </c>
      <c r="N2249" t="s">
        <v>209</v>
      </c>
      <c r="Q2249" s="2" t="str">
        <f>IF($C2249="","",IFERROR(VLOOKUP($C2249,sources!$A$2:$N$200,2,FALSE()),"?"))</f>
        <v>Web compilation</v>
      </c>
      <c r="R2249" s="2" t="str">
        <f t="shared" si="35"/>
        <v>Textual</v>
      </c>
      <c r="S2249" s="2" t="str">
        <f>IF($C2249="","",IFERROR(VLOOKUP($C2249,sources!$A$2:$N$200,9,FALSE()),"?"))</f>
        <v>Caribbean community</v>
      </c>
      <c r="T2249" t="s">
        <v>5692</v>
      </c>
      <c r="U2249">
        <f>IF(OR(B2249="",C2249="",T2249="Retracted",LEFT(D2249,8)="Negative"),0,IF(COUNTIFS($B$2:B2249,B2249,$C$2:C2249,C2249,$D$2:D2249,"&lt;&gt;Negative*",$T$2:T2249,"&lt;&gt;Retracted")=1,1,0))</f>
        <v>0</v>
      </c>
    </row>
    <row r="2250" spans="1:21" ht="26" x14ac:dyDescent="0.2">
      <c r="A2250" t="s">
        <v>4458</v>
      </c>
      <c r="B2250" t="s">
        <v>959</v>
      </c>
      <c r="C2250" t="s">
        <v>1393</v>
      </c>
      <c r="D2250" t="s">
        <v>1613</v>
      </c>
      <c r="E2250" t="s">
        <v>960</v>
      </c>
      <c r="F2250" t="s">
        <v>1583</v>
      </c>
      <c r="I2250" t="s">
        <v>1058</v>
      </c>
      <c r="M2250" t="s">
        <v>190</v>
      </c>
      <c r="N2250" t="s">
        <v>209</v>
      </c>
      <c r="Q2250" s="2" t="str">
        <f>IF($C2250="","",IFERROR(VLOOKUP($C2250,sources!$A$2:$N$200,2,FALSE()),"?"))</f>
        <v>Web compilation</v>
      </c>
      <c r="R2250" s="2" t="str">
        <f t="shared" si="35"/>
        <v>Textual</v>
      </c>
      <c r="S2250" s="2" t="str">
        <f>IF($C2250="","",IFERROR(VLOOKUP($C2250,sources!$A$2:$N$200,9,FALSE()),"?"))</f>
        <v>Caribbean community</v>
      </c>
      <c r="T2250" t="s">
        <v>5692</v>
      </c>
      <c r="U2250">
        <f>IF(OR(B2250="",C2250="",T2250="Retracted",LEFT(D2250,8)="Negative"),0,IF(COUNTIFS($B$2:B2250,B2250,$C$2:C2250,C2250,$D$2:D2250,"&lt;&gt;Negative*",$T$2:T2250,"&lt;&gt;Retracted")=1,1,0))</f>
        <v>0</v>
      </c>
    </row>
    <row r="2251" spans="1:21" ht="26" x14ac:dyDescent="0.2">
      <c r="A2251" t="s">
        <v>4459</v>
      </c>
      <c r="B2251" t="s">
        <v>962</v>
      </c>
      <c r="C2251" t="s">
        <v>1393</v>
      </c>
      <c r="D2251" t="s">
        <v>1613</v>
      </c>
      <c r="E2251" t="s">
        <v>963</v>
      </c>
      <c r="F2251" t="s">
        <v>1583</v>
      </c>
      <c r="I2251" t="s">
        <v>1058</v>
      </c>
      <c r="M2251" t="s">
        <v>190</v>
      </c>
      <c r="N2251" t="s">
        <v>209</v>
      </c>
      <c r="Q2251" s="2" t="str">
        <f>IF($C2251="","",IFERROR(VLOOKUP($C2251,sources!$A$2:$N$200,2,FALSE()),"?"))</f>
        <v>Web compilation</v>
      </c>
      <c r="R2251" s="2" t="str">
        <f t="shared" si="35"/>
        <v>Textual</v>
      </c>
      <c r="S2251" s="2" t="str">
        <f>IF($C2251="","",IFERROR(VLOOKUP($C2251,sources!$A$2:$N$200,9,FALSE()),"?"))</f>
        <v>Caribbean community</v>
      </c>
      <c r="T2251" t="s">
        <v>5692</v>
      </c>
      <c r="U2251">
        <f>IF(OR(B2251="",C2251="",T2251="Retracted",LEFT(D2251,8)="Negative"),0,IF(COUNTIFS($B$2:B2251,B2251,$C$2:C2251,C2251,$D$2:D2251,"&lt;&gt;Negative*",$T$2:T2251,"&lt;&gt;Retracted")=1,1,0))</f>
        <v>0</v>
      </c>
    </row>
    <row r="2252" spans="1:21" ht="26" x14ac:dyDescent="0.2">
      <c r="A2252" t="s">
        <v>4460</v>
      </c>
      <c r="B2252" t="s">
        <v>966</v>
      </c>
      <c r="C2252" t="s">
        <v>1393</v>
      </c>
      <c r="D2252" t="s">
        <v>1613</v>
      </c>
      <c r="E2252" t="s">
        <v>3598</v>
      </c>
      <c r="F2252" t="s">
        <v>1583</v>
      </c>
      <c r="I2252" t="s">
        <v>1058</v>
      </c>
      <c r="M2252" t="s">
        <v>190</v>
      </c>
      <c r="N2252" t="s">
        <v>190</v>
      </c>
      <c r="Q2252" s="2" t="str">
        <f>IF($C2252="","",IFERROR(VLOOKUP($C2252,sources!$A$2:$N$200,2,FALSE()),"?"))</f>
        <v>Web compilation</v>
      </c>
      <c r="R2252" s="2" t="str">
        <f t="shared" si="35"/>
        <v>Textual</v>
      </c>
      <c r="S2252" s="2" t="str">
        <f>IF($C2252="","",IFERROR(VLOOKUP($C2252,sources!$A$2:$N$200,9,FALSE()),"?"))</f>
        <v>Caribbean community</v>
      </c>
      <c r="T2252" t="s">
        <v>5693</v>
      </c>
      <c r="U2252">
        <f>IF(OR(B2252="",C2252="",T2252="Retracted",LEFT(D2252,8)="Negative"),0,IF(COUNTIFS($B$2:B2252,B2252,$C$2:C2252,C2252,$D$2:D2252,"&lt;&gt;Negative*",$T$2:T2252,"&lt;&gt;Retracted")=1,1,0))</f>
        <v>0</v>
      </c>
    </row>
    <row r="2253" spans="1:21" ht="26" x14ac:dyDescent="0.2">
      <c r="A2253" t="s">
        <v>4461</v>
      </c>
      <c r="B2253" t="s">
        <v>971</v>
      </c>
      <c r="C2253" t="s">
        <v>1393</v>
      </c>
      <c r="D2253" t="s">
        <v>1575</v>
      </c>
      <c r="E2253" t="s">
        <v>4296</v>
      </c>
      <c r="F2253" t="s">
        <v>1583</v>
      </c>
      <c r="I2253" t="s">
        <v>1058</v>
      </c>
      <c r="M2253" t="s">
        <v>190</v>
      </c>
      <c r="N2253" t="s">
        <v>203</v>
      </c>
      <c r="Q2253" s="2" t="str">
        <f>IF($C2253="","",IFERROR(VLOOKUP($C2253,sources!$A$2:$N$200,2,FALSE()),"?"))</f>
        <v>Web compilation</v>
      </c>
      <c r="R2253" s="2" t="str">
        <f t="shared" si="35"/>
        <v>Textual</v>
      </c>
      <c r="S2253" s="2" t="str">
        <f>IF($C2253="","",IFERROR(VLOOKUP($C2253,sources!$A$2:$N$200,9,FALSE()),"?"))</f>
        <v>Caribbean community</v>
      </c>
      <c r="T2253" t="s">
        <v>5692</v>
      </c>
      <c r="U2253">
        <f>IF(OR(B2253="",C2253="",T2253="Retracted",LEFT(D2253,8)="Negative"),0,IF(COUNTIFS($B$2:B2253,B2253,$C$2:C2253,C2253,$D$2:D2253,"&lt;&gt;Negative*",$T$2:T2253,"&lt;&gt;Retracted")=1,1,0))</f>
        <v>1</v>
      </c>
    </row>
    <row r="2254" spans="1:21" ht="26" x14ac:dyDescent="0.2">
      <c r="A2254" t="s">
        <v>4462</v>
      </c>
      <c r="B2254" t="s">
        <v>974</v>
      </c>
      <c r="C2254" t="s">
        <v>1393</v>
      </c>
      <c r="D2254" t="s">
        <v>1613</v>
      </c>
      <c r="E2254" t="s">
        <v>4298</v>
      </c>
      <c r="F2254" t="s">
        <v>1583</v>
      </c>
      <c r="I2254" t="s">
        <v>1058</v>
      </c>
      <c r="M2254" t="s">
        <v>190</v>
      </c>
      <c r="N2254" t="s">
        <v>209</v>
      </c>
      <c r="Q2254" s="2" t="str">
        <f>IF($C2254="","",IFERROR(VLOOKUP($C2254,sources!$A$2:$N$200,2,FALSE()),"?"))</f>
        <v>Web compilation</v>
      </c>
      <c r="R2254" s="2" t="str">
        <f t="shared" si="35"/>
        <v>Textual</v>
      </c>
      <c r="S2254" s="2" t="str">
        <f>IF($C2254="","",IFERROR(VLOOKUP($C2254,sources!$A$2:$N$200,9,FALSE()),"?"))</f>
        <v>Caribbean community</v>
      </c>
      <c r="T2254" t="s">
        <v>5692</v>
      </c>
      <c r="U2254">
        <f>IF(OR(B2254="",C2254="",T2254="Retracted",LEFT(D2254,8)="Negative"),0,IF(COUNTIFS($B$2:B2254,B2254,$C$2:C2254,C2254,$D$2:D2254,"&lt;&gt;Negative*",$T$2:T2254,"&lt;&gt;Retracted")=1,1,0))</f>
        <v>0</v>
      </c>
    </row>
    <row r="2255" spans="1:21" ht="26" x14ac:dyDescent="0.2">
      <c r="A2255" t="s">
        <v>4463</v>
      </c>
      <c r="B2255" t="s">
        <v>979</v>
      </c>
      <c r="C2255" t="s">
        <v>1393</v>
      </c>
      <c r="D2255" t="s">
        <v>1613</v>
      </c>
      <c r="E2255" t="s">
        <v>981</v>
      </c>
      <c r="F2255" t="s">
        <v>1583</v>
      </c>
      <c r="I2255" t="s">
        <v>1058</v>
      </c>
      <c r="M2255" t="s">
        <v>190</v>
      </c>
      <c r="N2255" t="s">
        <v>209</v>
      </c>
      <c r="Q2255" s="2" t="str">
        <f>IF($C2255="","",IFERROR(VLOOKUP($C2255,sources!$A$2:$N$200,2,FALSE()),"?"))</f>
        <v>Web compilation</v>
      </c>
      <c r="R2255" s="2" t="str">
        <f t="shared" si="35"/>
        <v>Textual</v>
      </c>
      <c r="S2255" s="2" t="str">
        <f>IF($C2255="","",IFERROR(VLOOKUP($C2255,sources!$A$2:$N$200,9,FALSE()),"?"))</f>
        <v>Caribbean community</v>
      </c>
      <c r="T2255" t="s">
        <v>5692</v>
      </c>
      <c r="U2255">
        <f>IF(OR(B2255="",C2255="",T2255="Retracted",LEFT(D2255,8)="Negative"),0,IF(COUNTIFS($B$2:B2255,B2255,$C$2:C2255,C2255,$D$2:D2255,"&lt;&gt;Negative*",$T$2:T2255,"&lt;&gt;Retracted")=1,1,0))</f>
        <v>0</v>
      </c>
    </row>
    <row r="2256" spans="1:21" ht="26" x14ac:dyDescent="0.2">
      <c r="A2256" t="s">
        <v>4464</v>
      </c>
      <c r="B2256" t="s">
        <v>983</v>
      </c>
      <c r="C2256" t="s">
        <v>1393</v>
      </c>
      <c r="D2256" t="s">
        <v>1575</v>
      </c>
      <c r="E2256" t="s">
        <v>985</v>
      </c>
      <c r="F2256" t="s">
        <v>1583</v>
      </c>
      <c r="I2256" t="s">
        <v>1058</v>
      </c>
      <c r="M2256" t="s">
        <v>190</v>
      </c>
      <c r="N2256" t="s">
        <v>203</v>
      </c>
      <c r="Q2256" s="2" t="str">
        <f>IF($C2256="","",IFERROR(VLOOKUP($C2256,sources!$A$2:$N$200,2,FALSE()),"?"))</f>
        <v>Web compilation</v>
      </c>
      <c r="R2256" s="2" t="str">
        <f t="shared" si="35"/>
        <v>Textual</v>
      </c>
      <c r="S2256" s="2" t="str">
        <f>IF($C2256="","",IFERROR(VLOOKUP($C2256,sources!$A$2:$N$200,9,FALSE()),"?"))</f>
        <v>Caribbean community</v>
      </c>
      <c r="T2256" t="s">
        <v>5692</v>
      </c>
      <c r="U2256">
        <f>IF(OR(B2256="",C2256="",T2256="Retracted",LEFT(D2256,8)="Negative"),0,IF(COUNTIFS($B$2:B2256,B2256,$C$2:C2256,C2256,$D$2:D2256,"&lt;&gt;Negative*",$T$2:T2256,"&lt;&gt;Retracted")=1,1,0))</f>
        <v>1</v>
      </c>
    </row>
    <row r="2257" spans="1:21" ht="26" x14ac:dyDescent="0.2">
      <c r="A2257" t="s">
        <v>4465</v>
      </c>
      <c r="B2257" t="s">
        <v>786</v>
      </c>
      <c r="C2257" t="s">
        <v>1393</v>
      </c>
      <c r="D2257" t="s">
        <v>1575</v>
      </c>
      <c r="E2257" t="s">
        <v>787</v>
      </c>
      <c r="F2257" t="s">
        <v>1583</v>
      </c>
      <c r="I2257" t="s">
        <v>1058</v>
      </c>
      <c r="M2257" t="s">
        <v>190</v>
      </c>
      <c r="N2257" t="s">
        <v>190</v>
      </c>
      <c r="Q2257" s="2" t="str">
        <f>IF($C2257="","",IFERROR(VLOOKUP($C2257,sources!$A$2:$N$200,2,FALSE()),"?"))</f>
        <v>Web compilation</v>
      </c>
      <c r="R2257" s="2" t="str">
        <f t="shared" si="35"/>
        <v>Textual</v>
      </c>
      <c r="S2257" s="2" t="str">
        <f>IF($C2257="","",IFERROR(VLOOKUP($C2257,sources!$A$2:$N$200,9,FALSE()),"?"))</f>
        <v>Caribbean community</v>
      </c>
      <c r="T2257" t="s">
        <v>5693</v>
      </c>
      <c r="U2257">
        <f>IF(OR(B2257="",C2257="",T2257="Retracted",LEFT(D2257,8)="Negative"),0,IF(COUNTIFS($B$2:B2257,B2257,$C$2:C2257,C2257,$D$2:D2257,"&lt;&gt;Negative*",$T$2:T2257,"&lt;&gt;Retracted")=1,1,0))</f>
        <v>0</v>
      </c>
    </row>
    <row r="2258" spans="1:21" ht="26" x14ac:dyDescent="0.2">
      <c r="A2258" t="s">
        <v>4466</v>
      </c>
      <c r="B2258" t="s">
        <v>994</v>
      </c>
      <c r="C2258" t="s">
        <v>1393</v>
      </c>
      <c r="D2258" t="s">
        <v>1613</v>
      </c>
      <c r="E2258" t="s">
        <v>995</v>
      </c>
      <c r="F2258" t="s">
        <v>1583</v>
      </c>
      <c r="I2258" t="s">
        <v>1058</v>
      </c>
      <c r="M2258" t="s">
        <v>190</v>
      </c>
      <c r="N2258" t="s">
        <v>209</v>
      </c>
      <c r="Q2258" s="2" t="str">
        <f>IF($C2258="","",IFERROR(VLOOKUP($C2258,sources!$A$2:$N$200,2,FALSE()),"?"))</f>
        <v>Web compilation</v>
      </c>
      <c r="R2258" s="2" t="str">
        <f t="shared" si="35"/>
        <v>Textual</v>
      </c>
      <c r="S2258" s="2" t="str">
        <f>IF($C2258="","",IFERROR(VLOOKUP($C2258,sources!$A$2:$N$200,9,FALSE()),"?"))</f>
        <v>Caribbean community</v>
      </c>
      <c r="T2258" t="s">
        <v>5692</v>
      </c>
      <c r="U2258">
        <f>IF(OR(B2258="",C2258="",T2258="Retracted",LEFT(D2258,8)="Negative"),0,IF(COUNTIFS($B$2:B2258,B2258,$C$2:C2258,C2258,$D$2:D2258,"&lt;&gt;Negative*",$T$2:T2258,"&lt;&gt;Retracted")=1,1,0))</f>
        <v>0</v>
      </c>
    </row>
    <row r="2259" spans="1:21" ht="26" x14ac:dyDescent="0.2">
      <c r="A2259" t="s">
        <v>4467</v>
      </c>
      <c r="B2259" t="s">
        <v>997</v>
      </c>
      <c r="C2259" t="s">
        <v>1393</v>
      </c>
      <c r="D2259" t="s">
        <v>1613</v>
      </c>
      <c r="E2259" t="s">
        <v>4305</v>
      </c>
      <c r="F2259" t="s">
        <v>1583</v>
      </c>
      <c r="I2259" t="s">
        <v>1058</v>
      </c>
      <c r="M2259" t="s">
        <v>190</v>
      </c>
      <c r="N2259" t="s">
        <v>209</v>
      </c>
      <c r="Q2259" s="2" t="str">
        <f>IF($C2259="","",IFERROR(VLOOKUP($C2259,sources!$A$2:$N$200,2,FALSE()),"?"))</f>
        <v>Web compilation</v>
      </c>
      <c r="R2259" s="2" t="str">
        <f t="shared" si="35"/>
        <v>Textual</v>
      </c>
      <c r="S2259" s="2" t="str">
        <f>IF($C2259="","",IFERROR(VLOOKUP($C2259,sources!$A$2:$N$200,9,FALSE()),"?"))</f>
        <v>Caribbean community</v>
      </c>
      <c r="T2259" t="s">
        <v>5692</v>
      </c>
      <c r="U2259">
        <f>IF(OR(B2259="",C2259="",T2259="Retracted",LEFT(D2259,8)="Negative"),0,IF(COUNTIFS($B$2:B2259,B2259,$C$2:C2259,C2259,$D$2:D2259,"&lt;&gt;Negative*",$T$2:T2259,"&lt;&gt;Retracted")=1,1,0))</f>
        <v>0</v>
      </c>
    </row>
    <row r="2260" spans="1:21" ht="26" x14ac:dyDescent="0.2">
      <c r="A2260" t="s">
        <v>4468</v>
      </c>
      <c r="B2260" t="s">
        <v>1002</v>
      </c>
      <c r="C2260" t="s">
        <v>1393</v>
      </c>
      <c r="D2260" t="s">
        <v>1575</v>
      </c>
      <c r="E2260" t="s">
        <v>1003</v>
      </c>
      <c r="F2260" t="s">
        <v>1583</v>
      </c>
      <c r="I2260" t="s">
        <v>1058</v>
      </c>
      <c r="M2260" t="s">
        <v>190</v>
      </c>
      <c r="N2260" t="s">
        <v>203</v>
      </c>
      <c r="Q2260" s="2" t="str">
        <f>IF($C2260="","",IFERROR(VLOOKUP($C2260,sources!$A$2:$N$200,2,FALSE()),"?"))</f>
        <v>Web compilation</v>
      </c>
      <c r="R2260" s="2" t="str">
        <f t="shared" si="35"/>
        <v>Textual</v>
      </c>
      <c r="S2260" s="2" t="str">
        <f>IF($C2260="","",IFERROR(VLOOKUP($C2260,sources!$A$2:$N$200,9,FALSE()),"?"))</f>
        <v>Caribbean community</v>
      </c>
      <c r="T2260" t="s">
        <v>5692</v>
      </c>
      <c r="U2260">
        <f>IF(OR(B2260="",C2260="",T2260="Retracted",LEFT(D2260,8)="Negative"),0,IF(COUNTIFS($B$2:B2260,B2260,$C$2:C2260,C2260,$D$2:D2260,"&lt;&gt;Negative*",$T$2:T2260,"&lt;&gt;Retracted")=1,1,0))</f>
        <v>1</v>
      </c>
    </row>
    <row r="2261" spans="1:21" ht="26" x14ac:dyDescent="0.2">
      <c r="A2261" t="s">
        <v>4469</v>
      </c>
      <c r="B2261" t="s">
        <v>1012</v>
      </c>
      <c r="C2261" t="s">
        <v>1393</v>
      </c>
      <c r="D2261" t="s">
        <v>1613</v>
      </c>
      <c r="E2261" t="s">
        <v>1013</v>
      </c>
      <c r="F2261" t="s">
        <v>1583</v>
      </c>
      <c r="I2261" t="s">
        <v>1058</v>
      </c>
      <c r="M2261" t="s">
        <v>190</v>
      </c>
      <c r="N2261" t="s">
        <v>209</v>
      </c>
      <c r="Q2261" s="2" t="str">
        <f>IF($C2261="","",IFERROR(VLOOKUP($C2261,sources!$A$2:$N$200,2,FALSE()),"?"))</f>
        <v>Web compilation</v>
      </c>
      <c r="R2261" s="2" t="str">
        <f t="shared" si="35"/>
        <v>Textual</v>
      </c>
      <c r="S2261" s="2" t="str">
        <f>IF($C2261="","",IFERROR(VLOOKUP($C2261,sources!$A$2:$N$200,9,FALSE()),"?"))</f>
        <v>Caribbean community</v>
      </c>
      <c r="T2261" t="s">
        <v>5692</v>
      </c>
      <c r="U2261">
        <f>IF(OR(B2261="",C2261="",T2261="Retracted",LEFT(D2261,8)="Negative"),0,IF(COUNTIFS($B$2:B2261,B2261,$C$2:C2261,C2261,$D$2:D2261,"&lt;&gt;Negative*",$T$2:T2261,"&lt;&gt;Retracted")=1,1,0))</f>
        <v>0</v>
      </c>
    </row>
    <row r="2262" spans="1:21" ht="26" x14ac:dyDescent="0.2">
      <c r="A2262" t="s">
        <v>4470</v>
      </c>
      <c r="B2262" t="s">
        <v>902</v>
      </c>
      <c r="C2262" t="s">
        <v>1393</v>
      </c>
      <c r="D2262" t="s">
        <v>1613</v>
      </c>
      <c r="E2262" t="s">
        <v>904</v>
      </c>
      <c r="F2262" t="s">
        <v>1583</v>
      </c>
      <c r="I2262" t="s">
        <v>1058</v>
      </c>
      <c r="M2262" t="s">
        <v>190</v>
      </c>
      <c r="N2262" t="s">
        <v>209</v>
      </c>
      <c r="Q2262" s="2" t="str">
        <f>IF($C2262="","",IFERROR(VLOOKUP($C2262,sources!$A$2:$N$200,2,FALSE()),"?"))</f>
        <v>Web compilation</v>
      </c>
      <c r="R2262" s="2" t="str">
        <f t="shared" si="35"/>
        <v>Textual</v>
      </c>
      <c r="S2262" s="2" t="str">
        <f>IF($C2262="","",IFERROR(VLOOKUP($C2262,sources!$A$2:$N$200,9,FALSE()),"?"))</f>
        <v>Caribbean community</v>
      </c>
      <c r="T2262" t="s">
        <v>5692</v>
      </c>
      <c r="U2262">
        <f>IF(OR(B2262="",C2262="",T2262="Retracted",LEFT(D2262,8)="Negative"),0,IF(COUNTIFS($B$2:B2262,B2262,$C$2:C2262,C2262,$D$2:D2262,"&lt;&gt;Negative*",$T$2:T2262,"&lt;&gt;Retracted")=1,1,0))</f>
        <v>0</v>
      </c>
    </row>
    <row r="2263" spans="1:21" ht="26" x14ac:dyDescent="0.2">
      <c r="A2263" t="s">
        <v>4471</v>
      </c>
      <c r="B2263" t="s">
        <v>1017</v>
      </c>
      <c r="C2263" t="s">
        <v>1393</v>
      </c>
      <c r="D2263" t="s">
        <v>1613</v>
      </c>
      <c r="E2263" t="s">
        <v>1018</v>
      </c>
      <c r="F2263" t="s">
        <v>1583</v>
      </c>
      <c r="I2263" t="s">
        <v>1058</v>
      </c>
      <c r="M2263" t="s">
        <v>190</v>
      </c>
      <c r="N2263" t="s">
        <v>209</v>
      </c>
      <c r="Q2263" s="2" t="str">
        <f>IF($C2263="","",IFERROR(VLOOKUP($C2263,sources!$A$2:$N$200,2,FALSE()),"?"))</f>
        <v>Web compilation</v>
      </c>
      <c r="R2263" s="2" t="str">
        <f t="shared" si="35"/>
        <v>Textual</v>
      </c>
      <c r="S2263" s="2" t="str">
        <f>IF($C2263="","",IFERROR(VLOOKUP($C2263,sources!$A$2:$N$200,9,FALSE()),"?"))</f>
        <v>Caribbean community</v>
      </c>
      <c r="T2263" t="s">
        <v>5692</v>
      </c>
      <c r="U2263">
        <f>IF(OR(B2263="",C2263="",T2263="Retracted",LEFT(D2263,8)="Negative"),0,IF(COUNTIFS($B$2:B2263,B2263,$C$2:C2263,C2263,$D$2:D2263,"&lt;&gt;Negative*",$T$2:T2263,"&lt;&gt;Retracted")=1,1,0))</f>
        <v>0</v>
      </c>
    </row>
    <row r="2264" spans="1:21" ht="26" x14ac:dyDescent="0.2">
      <c r="A2264" t="s">
        <v>4472</v>
      </c>
      <c r="B2264" t="s">
        <v>1021</v>
      </c>
      <c r="C2264" t="s">
        <v>1393</v>
      </c>
      <c r="D2264" t="s">
        <v>1613</v>
      </c>
      <c r="E2264" t="s">
        <v>1022</v>
      </c>
      <c r="F2264" t="s">
        <v>1583</v>
      </c>
      <c r="I2264" t="s">
        <v>1058</v>
      </c>
      <c r="M2264" t="s">
        <v>190</v>
      </c>
      <c r="N2264" t="s">
        <v>209</v>
      </c>
      <c r="Q2264" s="2" t="str">
        <f>IF($C2264="","",IFERROR(VLOOKUP($C2264,sources!$A$2:$N$200,2,FALSE()),"?"))</f>
        <v>Web compilation</v>
      </c>
      <c r="R2264" s="2" t="str">
        <f t="shared" si="35"/>
        <v>Textual</v>
      </c>
      <c r="S2264" s="2" t="str">
        <f>IF($C2264="","",IFERROR(VLOOKUP($C2264,sources!$A$2:$N$200,9,FALSE()),"?"))</f>
        <v>Caribbean community</v>
      </c>
      <c r="T2264" t="s">
        <v>5692</v>
      </c>
      <c r="U2264">
        <f>IF(OR(B2264="",C2264="",T2264="Retracted",LEFT(D2264,8)="Negative"),0,IF(COUNTIFS($B$2:B2264,B2264,$C$2:C2264,C2264,$D$2:D2264,"&lt;&gt;Negative*",$T$2:T2264,"&lt;&gt;Retracted")=1,1,0))</f>
        <v>0</v>
      </c>
    </row>
    <row r="2265" spans="1:21" ht="26" x14ac:dyDescent="0.2">
      <c r="A2265" t="s">
        <v>4473</v>
      </c>
      <c r="B2265" t="s">
        <v>906</v>
      </c>
      <c r="C2265" t="s">
        <v>1393</v>
      </c>
      <c r="D2265" t="s">
        <v>1613</v>
      </c>
      <c r="E2265" t="s">
        <v>908</v>
      </c>
      <c r="F2265" t="s">
        <v>1583</v>
      </c>
      <c r="I2265" t="s">
        <v>1058</v>
      </c>
      <c r="M2265" t="s">
        <v>190</v>
      </c>
      <c r="N2265" t="s">
        <v>190</v>
      </c>
      <c r="Q2265" s="2" t="str">
        <f>IF($C2265="","",IFERROR(VLOOKUP($C2265,sources!$A$2:$N$200,2,FALSE()),"?"))</f>
        <v>Web compilation</v>
      </c>
      <c r="R2265" s="2" t="str">
        <f t="shared" si="35"/>
        <v>Textual</v>
      </c>
      <c r="S2265" s="2" t="str">
        <f>IF($C2265="","",IFERROR(VLOOKUP($C2265,sources!$A$2:$N$200,9,FALSE()),"?"))</f>
        <v>Caribbean community</v>
      </c>
      <c r="T2265" t="s">
        <v>5693</v>
      </c>
      <c r="U2265">
        <f>IF(OR(B2265="",C2265="",T2265="Retracted",LEFT(D2265,8)="Negative"),0,IF(COUNTIFS($B$2:B2265,B2265,$C$2:C2265,C2265,$D$2:D2265,"&lt;&gt;Negative*",$T$2:T2265,"&lt;&gt;Retracted")=1,1,0))</f>
        <v>0</v>
      </c>
    </row>
    <row r="2266" spans="1:21" x14ac:dyDescent="0.2">
      <c r="A2266" t="s">
        <v>4474</v>
      </c>
      <c r="B2266" t="s">
        <v>330</v>
      </c>
      <c r="C2266" t="s">
        <v>1509</v>
      </c>
      <c r="D2266" t="s">
        <v>1572</v>
      </c>
      <c r="E2266" t="s">
        <v>3750</v>
      </c>
      <c r="F2266" t="s">
        <v>1583</v>
      </c>
      <c r="G2266">
        <v>9.3558900000000005</v>
      </c>
      <c r="H2266">
        <v>-79.900599999999997</v>
      </c>
      <c r="I2266" t="s">
        <v>3312</v>
      </c>
      <c r="J2266">
        <v>400</v>
      </c>
      <c r="K2266">
        <v>1904</v>
      </c>
      <c r="L2266">
        <v>1904</v>
      </c>
      <c r="M2266" t="s">
        <v>209</v>
      </c>
      <c r="N2266" t="s">
        <v>203</v>
      </c>
      <c r="Q2266" s="2" t="str">
        <f>IF($C2266="","",IFERROR(VLOOKUP($C2266,sources!$A$2:$N$200,2,FALSE()),"?"))</f>
        <v>Map</v>
      </c>
      <c r="R2266" s="2" t="str">
        <f t="shared" si="35"/>
        <v>Map</v>
      </c>
      <c r="S2266" s="2" t="str">
        <f>IF($C2266="","",IFERROR(VLOOKUP($C2266,sources!$A$2:$N$200,9,FALSE()),"?"))</f>
        <v>US official</v>
      </c>
      <c r="T2266" t="s">
        <v>5692</v>
      </c>
      <c r="U2266">
        <f>IF(OR(B2266="",C2266="",T2266="Retracted",LEFT(D2266,8)="Negative"),0,IF(COUNTIFS($B$2:B2266,B2266,$C$2:C2266,C2266,$D$2:D2266,"&lt;&gt;Negative*",$T$2:T2266,"&lt;&gt;Retracted")=1,1,0))</f>
        <v>1</v>
      </c>
    </row>
    <row r="2267" spans="1:21" x14ac:dyDescent="0.2">
      <c r="A2267" t="s">
        <v>4475</v>
      </c>
      <c r="B2267" t="s">
        <v>415</v>
      </c>
      <c r="C2267" t="s">
        <v>1509</v>
      </c>
      <c r="D2267" t="s">
        <v>1572</v>
      </c>
      <c r="E2267" t="s">
        <v>2551</v>
      </c>
      <c r="F2267" t="s">
        <v>1583</v>
      </c>
      <c r="G2267">
        <v>9.33582</v>
      </c>
      <c r="H2267">
        <v>-79.892790000000005</v>
      </c>
      <c r="I2267" t="s">
        <v>3312</v>
      </c>
      <c r="J2267">
        <v>400</v>
      </c>
      <c r="K2267">
        <v>1904</v>
      </c>
      <c r="L2267">
        <v>1904</v>
      </c>
      <c r="M2267" t="s">
        <v>209</v>
      </c>
      <c r="N2267" t="s">
        <v>203</v>
      </c>
      <c r="Q2267" s="2" t="str">
        <f>IF($C2267="","",IFERROR(VLOOKUP($C2267,sources!$A$2:$N$200,2,FALSE()),"?"))</f>
        <v>Map</v>
      </c>
      <c r="R2267" s="2" t="str">
        <f t="shared" si="35"/>
        <v>Map</v>
      </c>
      <c r="S2267" s="2" t="str">
        <f>IF($C2267="","",IFERROR(VLOOKUP($C2267,sources!$A$2:$N$200,9,FALSE()),"?"))</f>
        <v>US official</v>
      </c>
      <c r="T2267" t="s">
        <v>5692</v>
      </c>
      <c r="U2267">
        <f>IF(OR(B2267="",C2267="",T2267="Retracted",LEFT(D2267,8)="Negative"),0,IF(COUNTIFS($B$2:B2267,B2267,$C$2:C2267,C2267,$D$2:D2267,"&lt;&gt;Negative*",$T$2:T2267,"&lt;&gt;Retracted")=1,1,0))</f>
        <v>1</v>
      </c>
    </row>
    <row r="2268" spans="1:21" x14ac:dyDescent="0.2">
      <c r="A2268" t="s">
        <v>4476</v>
      </c>
      <c r="B2268" t="s">
        <v>383</v>
      </c>
      <c r="C2268" t="s">
        <v>1509</v>
      </c>
      <c r="D2268" t="s">
        <v>1572</v>
      </c>
      <c r="E2268" t="s">
        <v>384</v>
      </c>
      <c r="F2268" t="s">
        <v>1583</v>
      </c>
      <c r="G2268">
        <v>9.2980739999999997</v>
      </c>
      <c r="H2268">
        <v>-79.905811</v>
      </c>
      <c r="I2268" t="s">
        <v>3312</v>
      </c>
      <c r="J2268">
        <v>500</v>
      </c>
      <c r="K2268">
        <v>1904</v>
      </c>
      <c r="L2268">
        <v>1904</v>
      </c>
      <c r="M2268" t="s">
        <v>209</v>
      </c>
      <c r="N2268" t="s">
        <v>209</v>
      </c>
      <c r="Q2268" s="2" t="str">
        <f>IF($C2268="","",IFERROR(VLOOKUP($C2268,sources!$A$2:$N$200,2,FALSE()),"?"))</f>
        <v>Map</v>
      </c>
      <c r="R2268" s="2" t="str">
        <f t="shared" si="35"/>
        <v>Map</v>
      </c>
      <c r="S2268" s="2" t="str">
        <f>IF($C2268="","",IFERROR(VLOOKUP($C2268,sources!$A$2:$N$200,9,FALSE()),"?"))</f>
        <v>US official</v>
      </c>
      <c r="T2268" t="s">
        <v>5692</v>
      </c>
      <c r="U2268">
        <f>IF(OR(B2268="",C2268="",T2268="Retracted",LEFT(D2268,8)="Negative"),0,IF(COUNTIFS($B$2:B2268,B2268,$C$2:C2268,C2268,$D$2:D2268,"&lt;&gt;Negative*",$T$2:T2268,"&lt;&gt;Retracted")=1,1,0))</f>
        <v>1</v>
      </c>
    </row>
    <row r="2269" spans="1:21" x14ac:dyDescent="0.2">
      <c r="A2269" t="s">
        <v>4477</v>
      </c>
      <c r="B2269" t="s">
        <v>403</v>
      </c>
      <c r="C2269" t="s">
        <v>1509</v>
      </c>
      <c r="D2269" t="s">
        <v>1564</v>
      </c>
      <c r="E2269" t="s">
        <v>404</v>
      </c>
      <c r="F2269" t="s">
        <v>1566</v>
      </c>
      <c r="I2269" t="s">
        <v>1058</v>
      </c>
      <c r="K2269">
        <v>1904</v>
      </c>
      <c r="L2269">
        <v>1904</v>
      </c>
      <c r="M2269" t="s">
        <v>209</v>
      </c>
      <c r="N2269" t="s">
        <v>203</v>
      </c>
      <c r="Q2269" s="2" t="str">
        <f>IF($C2269="","",IFERROR(VLOOKUP($C2269,sources!$A$2:$N$200,2,FALSE()),"?"))</f>
        <v>Map</v>
      </c>
      <c r="R2269" s="2" t="str">
        <f t="shared" si="35"/>
        <v>Map</v>
      </c>
      <c r="S2269" s="2" t="str">
        <f>IF($C2269="","",IFERROR(VLOOKUP($C2269,sources!$A$2:$N$200,9,FALSE()),"?"))</f>
        <v>US official</v>
      </c>
      <c r="T2269" t="s">
        <v>5692</v>
      </c>
      <c r="U2269">
        <f>IF(OR(B2269="",C2269="",T2269="Retracted",LEFT(D2269,8)="Negative"),0,IF(COUNTIFS($B$2:B2269,B2269,$C$2:C2269,C2269,$D$2:D2269,"&lt;&gt;Negative*",$T$2:T2269,"&lt;&gt;Retracted")=1,1,0))</f>
        <v>1</v>
      </c>
    </row>
    <row r="2270" spans="1:21" x14ac:dyDescent="0.2">
      <c r="A2270" t="s">
        <v>4478</v>
      </c>
      <c r="B2270" t="s">
        <v>389</v>
      </c>
      <c r="C2270" t="s">
        <v>1509</v>
      </c>
      <c r="D2270" t="s">
        <v>1572</v>
      </c>
      <c r="E2270" t="s">
        <v>390</v>
      </c>
      <c r="F2270" t="s">
        <v>1583</v>
      </c>
      <c r="G2270">
        <v>9.2231290000000001</v>
      </c>
      <c r="H2270">
        <v>-79.893120999999994</v>
      </c>
      <c r="I2270" t="s">
        <v>3312</v>
      </c>
      <c r="J2270">
        <v>500</v>
      </c>
      <c r="K2270">
        <v>1904</v>
      </c>
      <c r="L2270">
        <v>1904</v>
      </c>
      <c r="M2270" t="s">
        <v>209</v>
      </c>
      <c r="N2270" t="s">
        <v>209</v>
      </c>
      <c r="Q2270" s="2" t="str">
        <f>IF($C2270="","",IFERROR(VLOOKUP($C2270,sources!$A$2:$N$200,2,FALSE()),"?"))</f>
        <v>Map</v>
      </c>
      <c r="R2270" s="2" t="str">
        <f t="shared" si="35"/>
        <v>Map</v>
      </c>
      <c r="S2270" s="2" t="str">
        <f>IF($C2270="","",IFERROR(VLOOKUP($C2270,sources!$A$2:$N$200,9,FALSE()),"?"))</f>
        <v>US official</v>
      </c>
      <c r="T2270" t="s">
        <v>5692</v>
      </c>
      <c r="U2270">
        <f>IF(OR(B2270="",C2270="",T2270="Retracted",LEFT(D2270,8)="Negative"),0,IF(COUNTIFS($B$2:B2270,B2270,$C$2:C2270,C2270,$D$2:D2270,"&lt;&gt;Negative*",$T$2:T2270,"&lt;&gt;Retracted")=1,1,0))</f>
        <v>1</v>
      </c>
    </row>
    <row r="2271" spans="1:21" x14ac:dyDescent="0.2">
      <c r="A2271" t="s">
        <v>4479</v>
      </c>
      <c r="B2271" t="s">
        <v>205</v>
      </c>
      <c r="C2271" t="s">
        <v>1509</v>
      </c>
      <c r="D2271" t="s">
        <v>1572</v>
      </c>
      <c r="E2271" t="s">
        <v>206</v>
      </c>
      <c r="F2271" t="s">
        <v>1566</v>
      </c>
      <c r="G2271">
        <v>9.21251</v>
      </c>
      <c r="H2271">
        <v>-79.858641000000006</v>
      </c>
      <c r="I2271" t="s">
        <v>3312</v>
      </c>
      <c r="J2271">
        <v>500</v>
      </c>
      <c r="K2271">
        <v>1904</v>
      </c>
      <c r="L2271">
        <v>1904</v>
      </c>
      <c r="M2271" t="s">
        <v>209</v>
      </c>
      <c r="N2271" t="s">
        <v>209</v>
      </c>
      <c r="Q2271" s="2" t="str">
        <f>IF($C2271="","",IFERROR(VLOOKUP($C2271,sources!$A$2:$N$200,2,FALSE()),"?"))</f>
        <v>Map</v>
      </c>
      <c r="R2271" s="2" t="str">
        <f t="shared" si="35"/>
        <v>Map</v>
      </c>
      <c r="S2271" s="2" t="str">
        <f>IF($C2271="","",IFERROR(VLOOKUP($C2271,sources!$A$2:$N$200,9,FALSE()),"?"))</f>
        <v>US official</v>
      </c>
      <c r="T2271" t="s">
        <v>5692</v>
      </c>
      <c r="U2271">
        <f>IF(OR(B2271="",C2271="",T2271="Retracted",LEFT(D2271,8)="Negative"),0,IF(COUNTIFS($B$2:B2271,B2271,$C$2:C2271,C2271,$D$2:D2271,"&lt;&gt;Negative*",$T$2:T2271,"&lt;&gt;Retracted")=1,1,0))</f>
        <v>1</v>
      </c>
    </row>
    <row r="2272" spans="1:21" x14ac:dyDescent="0.2">
      <c r="A2272" t="s">
        <v>4480</v>
      </c>
      <c r="B2272" t="s">
        <v>603</v>
      </c>
      <c r="C2272" t="s">
        <v>1509</v>
      </c>
      <c r="D2272" t="s">
        <v>1572</v>
      </c>
      <c r="E2272" t="s">
        <v>604</v>
      </c>
      <c r="F2272" t="s">
        <v>1566</v>
      </c>
      <c r="G2272">
        <v>9.2024620000000006</v>
      </c>
      <c r="H2272">
        <v>-79.88597</v>
      </c>
      <c r="I2272" t="s">
        <v>3312</v>
      </c>
      <c r="J2272">
        <v>500</v>
      </c>
      <c r="K2272">
        <v>1904</v>
      </c>
      <c r="L2272">
        <v>1904</v>
      </c>
      <c r="M2272" t="s">
        <v>209</v>
      </c>
      <c r="N2272" t="s">
        <v>203</v>
      </c>
      <c r="Q2272" s="2" t="str">
        <f>IF($C2272="","",IFERROR(VLOOKUP($C2272,sources!$A$2:$N$200,2,FALSE()),"?"))</f>
        <v>Map</v>
      </c>
      <c r="R2272" s="2" t="str">
        <f t="shared" si="35"/>
        <v>Map</v>
      </c>
      <c r="S2272" s="2" t="str">
        <f>IF($C2272="","",IFERROR(VLOOKUP($C2272,sources!$A$2:$N$200,9,FALSE()),"?"))</f>
        <v>US official</v>
      </c>
      <c r="T2272" t="s">
        <v>5692</v>
      </c>
      <c r="U2272">
        <f>IF(OR(B2272="",C2272="",T2272="Retracted",LEFT(D2272,8)="Negative"),0,IF(COUNTIFS($B$2:B2272,B2272,$C$2:C2272,C2272,$D$2:D2272,"&lt;&gt;Negative*",$T$2:T2272,"&lt;&gt;Retracted")=1,1,0))</f>
        <v>1</v>
      </c>
    </row>
    <row r="2273" spans="1:21" x14ac:dyDescent="0.2">
      <c r="A2273" t="s">
        <v>4481</v>
      </c>
      <c r="B2273" t="s">
        <v>265</v>
      </c>
      <c r="C2273" t="s">
        <v>1509</v>
      </c>
      <c r="D2273" t="s">
        <v>1572</v>
      </c>
      <c r="E2273" t="s">
        <v>266</v>
      </c>
      <c r="F2273" t="s">
        <v>1566</v>
      </c>
      <c r="G2273">
        <v>9.1867819999999991</v>
      </c>
      <c r="H2273">
        <v>-79.845850999999996</v>
      </c>
      <c r="I2273" t="s">
        <v>3312</v>
      </c>
      <c r="J2273">
        <v>400</v>
      </c>
      <c r="K2273">
        <v>1904</v>
      </c>
      <c r="L2273">
        <v>1904</v>
      </c>
      <c r="M2273" t="s">
        <v>209</v>
      </c>
      <c r="N2273" t="s">
        <v>203</v>
      </c>
      <c r="Q2273" s="2" t="str">
        <f>IF($C2273="","",IFERROR(VLOOKUP($C2273,sources!$A$2:$N$200,2,FALSE()),"?"))</f>
        <v>Map</v>
      </c>
      <c r="R2273" s="2" t="str">
        <f t="shared" si="35"/>
        <v>Map</v>
      </c>
      <c r="S2273" s="2" t="str">
        <f>IF($C2273="","",IFERROR(VLOOKUP($C2273,sources!$A$2:$N$200,9,FALSE()),"?"))</f>
        <v>US official</v>
      </c>
      <c r="T2273" t="s">
        <v>5692</v>
      </c>
      <c r="U2273">
        <f>IF(OR(B2273="",C2273="",T2273="Retracted",LEFT(D2273,8)="Negative"),0,IF(COUNTIFS($B$2:B2273,B2273,$C$2:C2273,C2273,$D$2:D2273,"&lt;&gt;Negative*",$T$2:T2273,"&lt;&gt;Retracted")=1,1,0))</f>
        <v>1</v>
      </c>
    </row>
    <row r="2274" spans="1:21" x14ac:dyDescent="0.2">
      <c r="A2274" t="s">
        <v>4482</v>
      </c>
      <c r="B2274" t="s">
        <v>498</v>
      </c>
      <c r="C2274" t="s">
        <v>1509</v>
      </c>
      <c r="D2274" t="s">
        <v>1572</v>
      </c>
      <c r="E2274" t="s">
        <v>499</v>
      </c>
      <c r="F2274" t="s">
        <v>1566</v>
      </c>
      <c r="G2274">
        <v>9.1811579999999999</v>
      </c>
      <c r="H2274">
        <v>-79.858591000000004</v>
      </c>
      <c r="I2274" t="s">
        <v>3312</v>
      </c>
      <c r="J2274">
        <v>500</v>
      </c>
      <c r="K2274">
        <v>1904</v>
      </c>
      <c r="L2274">
        <v>1904</v>
      </c>
      <c r="M2274" t="s">
        <v>209</v>
      </c>
      <c r="N2274" t="s">
        <v>203</v>
      </c>
      <c r="Q2274" s="2" t="str">
        <f>IF($C2274="","",IFERROR(VLOOKUP($C2274,sources!$A$2:$N$200,2,FALSE()),"?"))</f>
        <v>Map</v>
      </c>
      <c r="R2274" s="2" t="str">
        <f t="shared" si="35"/>
        <v>Map</v>
      </c>
      <c r="S2274" s="2" t="str">
        <f>IF($C2274="","",IFERROR(VLOOKUP($C2274,sources!$A$2:$N$200,9,FALSE()),"?"))</f>
        <v>US official</v>
      </c>
      <c r="T2274" t="s">
        <v>5692</v>
      </c>
      <c r="U2274">
        <f>IF(OR(B2274="",C2274="",T2274="Retracted",LEFT(D2274,8)="Negative"),0,IF(COUNTIFS($B$2:B2274,B2274,$C$2:C2274,C2274,$D$2:D2274,"&lt;&gt;Negative*",$T$2:T2274,"&lt;&gt;Retracted")=1,1,0))</f>
        <v>1</v>
      </c>
    </row>
    <row r="2275" spans="1:21" x14ac:dyDescent="0.2">
      <c r="A2275" t="s">
        <v>4483</v>
      </c>
      <c r="B2275" t="s">
        <v>386</v>
      </c>
      <c r="C2275" t="s">
        <v>1509</v>
      </c>
      <c r="D2275" t="s">
        <v>1572</v>
      </c>
      <c r="E2275" t="s">
        <v>387</v>
      </c>
      <c r="F2275" t="s">
        <v>1566</v>
      </c>
      <c r="G2275">
        <v>9.1832030000000007</v>
      </c>
      <c r="H2275">
        <v>-79.830888000000002</v>
      </c>
      <c r="I2275" t="s">
        <v>3312</v>
      </c>
      <c r="J2275">
        <v>500</v>
      </c>
      <c r="K2275">
        <v>1904</v>
      </c>
      <c r="L2275">
        <v>1904</v>
      </c>
      <c r="M2275" t="s">
        <v>209</v>
      </c>
      <c r="N2275" t="s">
        <v>203</v>
      </c>
      <c r="Q2275" s="2" t="str">
        <f>IF($C2275="","",IFERROR(VLOOKUP($C2275,sources!$A$2:$N$200,2,FALSE()),"?"))</f>
        <v>Map</v>
      </c>
      <c r="R2275" s="2" t="str">
        <f t="shared" si="35"/>
        <v>Map</v>
      </c>
      <c r="S2275" s="2" t="str">
        <f>IF($C2275="","",IFERROR(VLOOKUP($C2275,sources!$A$2:$N$200,9,FALSE()),"?"))</f>
        <v>US official</v>
      </c>
      <c r="T2275" t="s">
        <v>5692</v>
      </c>
      <c r="U2275">
        <f>IF(OR(B2275="",C2275="",T2275="Retracted",LEFT(D2275,8)="Negative"),0,IF(COUNTIFS($B$2:B2275,B2275,$C$2:C2275,C2275,$D$2:D2275,"&lt;&gt;Negative*",$T$2:T2275,"&lt;&gt;Retracted")=1,1,0))</f>
        <v>1</v>
      </c>
    </row>
    <row r="2276" spans="1:21" x14ac:dyDescent="0.2">
      <c r="A2276" t="s">
        <v>4484</v>
      </c>
      <c r="B2276" t="s">
        <v>354</v>
      </c>
      <c r="C2276" t="s">
        <v>1509</v>
      </c>
      <c r="D2276" t="s">
        <v>1572</v>
      </c>
      <c r="E2276" t="s">
        <v>355</v>
      </c>
      <c r="F2276" t="s">
        <v>1566</v>
      </c>
      <c r="G2276">
        <v>9.1662130000000008</v>
      </c>
      <c r="H2276">
        <v>-79.803381000000002</v>
      </c>
      <c r="I2276" t="s">
        <v>3312</v>
      </c>
      <c r="J2276">
        <v>500</v>
      </c>
      <c r="K2276">
        <v>1904</v>
      </c>
      <c r="L2276">
        <v>1904</v>
      </c>
      <c r="M2276" t="s">
        <v>209</v>
      </c>
      <c r="N2276" t="s">
        <v>209</v>
      </c>
      <c r="Q2276" s="2" t="str">
        <f>IF($C2276="","",IFERROR(VLOOKUP($C2276,sources!$A$2:$N$200,2,FALSE()),"?"))</f>
        <v>Map</v>
      </c>
      <c r="R2276" s="2" t="str">
        <f t="shared" si="35"/>
        <v>Map</v>
      </c>
      <c r="S2276" s="2" t="str">
        <f>IF($C2276="","",IFERROR(VLOOKUP($C2276,sources!$A$2:$N$200,9,FALSE()),"?"))</f>
        <v>US official</v>
      </c>
      <c r="T2276" t="s">
        <v>5692</v>
      </c>
      <c r="U2276">
        <f>IF(OR(B2276="",C2276="",T2276="Retracted",LEFT(D2276,8)="Negative"),0,IF(COUNTIFS($B$2:B2276,B2276,$C$2:C2276,C2276,$D$2:D2276,"&lt;&gt;Negative*",$T$2:T2276,"&lt;&gt;Retracted")=1,1,0))</f>
        <v>1</v>
      </c>
    </row>
    <row r="2277" spans="1:21" x14ac:dyDescent="0.2">
      <c r="A2277" t="s">
        <v>4485</v>
      </c>
      <c r="B2277" t="s">
        <v>363</v>
      </c>
      <c r="C2277" t="s">
        <v>1509</v>
      </c>
      <c r="D2277" t="s">
        <v>1572</v>
      </c>
      <c r="E2277" t="s">
        <v>1654</v>
      </c>
      <c r="F2277" t="s">
        <v>1566</v>
      </c>
      <c r="G2277">
        <v>9.1335320000000007</v>
      </c>
      <c r="H2277">
        <v>-79.797246000000001</v>
      </c>
      <c r="I2277" t="s">
        <v>3312</v>
      </c>
      <c r="J2277">
        <v>400</v>
      </c>
      <c r="K2277">
        <v>1904</v>
      </c>
      <c r="L2277">
        <v>1904</v>
      </c>
      <c r="M2277" t="s">
        <v>209</v>
      </c>
      <c r="N2277" t="s">
        <v>203</v>
      </c>
      <c r="Q2277" s="2" t="str">
        <f>IF($C2277="","",IFERROR(VLOOKUP($C2277,sources!$A$2:$N$200,2,FALSE()),"?"))</f>
        <v>Map</v>
      </c>
      <c r="R2277" s="2" t="str">
        <f t="shared" si="35"/>
        <v>Map</v>
      </c>
      <c r="S2277" s="2" t="str">
        <f>IF($C2277="","",IFERROR(VLOOKUP($C2277,sources!$A$2:$N$200,9,FALSE()),"?"))</f>
        <v>US official</v>
      </c>
      <c r="T2277" t="s">
        <v>5692</v>
      </c>
      <c r="U2277">
        <f>IF(OR(B2277="",C2277="",T2277="Retracted",LEFT(D2277,8)="Negative"),0,IF(COUNTIFS($B$2:B2277,B2277,$C$2:C2277,C2277,$D$2:D2277,"&lt;&gt;Negative*",$T$2:T2277,"&lt;&gt;Retracted")=1,1,0))</f>
        <v>1</v>
      </c>
    </row>
    <row r="2278" spans="1:21" x14ac:dyDescent="0.2">
      <c r="A2278" t="s">
        <v>4486</v>
      </c>
      <c r="B2278" t="s">
        <v>360</v>
      </c>
      <c r="C2278" t="s">
        <v>1509</v>
      </c>
      <c r="D2278" t="s">
        <v>1572</v>
      </c>
      <c r="E2278" t="s">
        <v>361</v>
      </c>
      <c r="F2278" t="s">
        <v>1566</v>
      </c>
      <c r="G2278">
        <v>9.1246709999999993</v>
      </c>
      <c r="H2278">
        <v>-79.774752000000007</v>
      </c>
      <c r="I2278" t="s">
        <v>3312</v>
      </c>
      <c r="J2278">
        <v>400</v>
      </c>
      <c r="K2278">
        <v>1904</v>
      </c>
      <c r="L2278">
        <v>1904</v>
      </c>
      <c r="M2278" t="s">
        <v>209</v>
      </c>
      <c r="N2278" t="s">
        <v>203</v>
      </c>
      <c r="Q2278" s="2" t="str">
        <f>IF($C2278="","",IFERROR(VLOOKUP($C2278,sources!$A$2:$N$200,2,FALSE()),"?"))</f>
        <v>Map</v>
      </c>
      <c r="R2278" s="2" t="str">
        <f t="shared" si="35"/>
        <v>Map</v>
      </c>
      <c r="S2278" s="2" t="str">
        <f>IF($C2278="","",IFERROR(VLOOKUP($C2278,sources!$A$2:$N$200,9,FALSE()),"?"))</f>
        <v>US official</v>
      </c>
      <c r="T2278" t="s">
        <v>5692</v>
      </c>
      <c r="U2278">
        <f>IF(OR(B2278="",C2278="",T2278="Retracted",LEFT(D2278,8)="Negative"),0,IF(COUNTIFS($B$2:B2278,B2278,$C$2:C2278,C2278,$D$2:D2278,"&lt;&gt;Negative*",$T$2:T2278,"&lt;&gt;Retracted")=1,1,0))</f>
        <v>1</v>
      </c>
    </row>
    <row r="2279" spans="1:21" x14ac:dyDescent="0.2">
      <c r="A2279" t="s">
        <v>4487</v>
      </c>
      <c r="B2279" t="s">
        <v>194</v>
      </c>
      <c r="C2279" t="s">
        <v>1509</v>
      </c>
      <c r="D2279" t="s">
        <v>1572</v>
      </c>
      <c r="E2279" t="s">
        <v>195</v>
      </c>
      <c r="F2279" t="s">
        <v>1566</v>
      </c>
      <c r="G2279">
        <v>9.1239369999999997</v>
      </c>
      <c r="H2279">
        <v>-79.789032000000006</v>
      </c>
      <c r="I2279" t="s">
        <v>3312</v>
      </c>
      <c r="J2279">
        <v>400</v>
      </c>
      <c r="K2279">
        <v>1904</v>
      </c>
      <c r="L2279">
        <v>1904</v>
      </c>
      <c r="M2279" t="s">
        <v>209</v>
      </c>
      <c r="N2279" t="s">
        <v>203</v>
      </c>
      <c r="Q2279" s="2" t="str">
        <f>IF($C2279="","",IFERROR(VLOOKUP($C2279,sources!$A$2:$N$200,2,FALSE()),"?"))</f>
        <v>Map</v>
      </c>
      <c r="R2279" s="2" t="str">
        <f t="shared" si="35"/>
        <v>Map</v>
      </c>
      <c r="S2279" s="2" t="str">
        <f>IF($C2279="","",IFERROR(VLOOKUP($C2279,sources!$A$2:$N$200,9,FALSE()),"?"))</f>
        <v>US official</v>
      </c>
      <c r="T2279" t="s">
        <v>5692</v>
      </c>
      <c r="U2279">
        <f>IF(OR(B2279="",C2279="",T2279="Retracted",LEFT(D2279,8)="Negative"),0,IF(COUNTIFS($B$2:B2279,B2279,$C$2:C2279,C2279,$D$2:D2279,"&lt;&gt;Negative*",$T$2:T2279,"&lt;&gt;Retracted")=1,1,0))</f>
        <v>1</v>
      </c>
    </row>
    <row r="2280" spans="1:21" x14ac:dyDescent="0.2">
      <c r="A2280" t="s">
        <v>4488</v>
      </c>
      <c r="B2280" t="s">
        <v>433</v>
      </c>
      <c r="C2280" t="s">
        <v>1509</v>
      </c>
      <c r="D2280" t="s">
        <v>1572</v>
      </c>
      <c r="E2280" t="s">
        <v>434</v>
      </c>
      <c r="F2280" t="s">
        <v>1566</v>
      </c>
      <c r="G2280">
        <v>9.1257129999999993</v>
      </c>
      <c r="H2280">
        <v>-79.734209000000007</v>
      </c>
      <c r="I2280" t="s">
        <v>3312</v>
      </c>
      <c r="J2280">
        <v>400</v>
      </c>
      <c r="K2280">
        <v>1904</v>
      </c>
      <c r="L2280">
        <v>1904</v>
      </c>
      <c r="M2280" t="s">
        <v>209</v>
      </c>
      <c r="N2280" t="s">
        <v>203</v>
      </c>
      <c r="Q2280" s="2" t="str">
        <f>IF($C2280="","",IFERROR(VLOOKUP($C2280,sources!$A$2:$N$200,2,FALSE()),"?"))</f>
        <v>Map</v>
      </c>
      <c r="R2280" s="2" t="str">
        <f t="shared" si="35"/>
        <v>Map</v>
      </c>
      <c r="S2280" s="2" t="str">
        <f>IF($C2280="","",IFERROR(VLOOKUP($C2280,sources!$A$2:$N$200,9,FALSE()),"?"))</f>
        <v>US official</v>
      </c>
      <c r="T2280" t="s">
        <v>5692</v>
      </c>
      <c r="U2280">
        <f>IF(OR(B2280="",C2280="",T2280="Retracted",LEFT(D2280,8)="Negative"),0,IF(COUNTIFS($B$2:B2280,B2280,$C$2:C2280,C2280,$D$2:D2280,"&lt;&gt;Negative*",$T$2:T2280,"&lt;&gt;Retracted")=1,1,0))</f>
        <v>1</v>
      </c>
    </row>
    <row r="2281" spans="1:21" x14ac:dyDescent="0.2">
      <c r="A2281" t="s">
        <v>4489</v>
      </c>
      <c r="B2281" t="s">
        <v>395</v>
      </c>
      <c r="C2281" t="s">
        <v>1509</v>
      </c>
      <c r="D2281" t="s">
        <v>1572</v>
      </c>
      <c r="E2281" t="s">
        <v>396</v>
      </c>
      <c r="F2281" t="s">
        <v>1566</v>
      </c>
      <c r="G2281">
        <v>9.1190470000000001</v>
      </c>
      <c r="H2281">
        <v>-79.758705000000006</v>
      </c>
      <c r="I2281" t="s">
        <v>3312</v>
      </c>
      <c r="J2281">
        <v>400</v>
      </c>
      <c r="K2281">
        <v>1904</v>
      </c>
      <c r="L2281">
        <v>1904</v>
      </c>
      <c r="M2281" t="s">
        <v>209</v>
      </c>
      <c r="N2281" t="s">
        <v>203</v>
      </c>
      <c r="Q2281" s="2" t="str">
        <f>IF($C2281="","",IFERROR(VLOOKUP($C2281,sources!$A$2:$N$200,2,FALSE()),"?"))</f>
        <v>Map</v>
      </c>
      <c r="R2281" s="2" t="str">
        <f t="shared" si="35"/>
        <v>Map</v>
      </c>
      <c r="S2281" s="2" t="str">
        <f>IF($C2281="","",IFERROR(VLOOKUP($C2281,sources!$A$2:$N$200,9,FALSE()),"?"))</f>
        <v>US official</v>
      </c>
      <c r="T2281" t="s">
        <v>5692</v>
      </c>
      <c r="U2281">
        <f>IF(OR(B2281="",C2281="",T2281="Retracted",LEFT(D2281,8)="Negative"),0,IF(COUNTIFS($B$2:B2281,B2281,$C$2:C2281,C2281,$D$2:D2281,"&lt;&gt;Negative*",$T$2:T2281,"&lt;&gt;Retracted")=1,1,0))</f>
        <v>1</v>
      </c>
    </row>
    <row r="2282" spans="1:21" x14ac:dyDescent="0.2">
      <c r="A2282" t="s">
        <v>4490</v>
      </c>
      <c r="B2282" t="s">
        <v>215</v>
      </c>
      <c r="C2282" t="s">
        <v>1509</v>
      </c>
      <c r="D2282" t="s">
        <v>1572</v>
      </c>
      <c r="E2282" t="s">
        <v>2094</v>
      </c>
      <c r="F2282" t="s">
        <v>1566</v>
      </c>
      <c r="G2282">
        <v>9.1099110000000003</v>
      </c>
      <c r="H2282">
        <v>-79.769728000000001</v>
      </c>
      <c r="I2282" t="s">
        <v>3312</v>
      </c>
      <c r="J2282">
        <v>400</v>
      </c>
      <c r="K2282">
        <v>1904</v>
      </c>
      <c r="L2282">
        <v>1904</v>
      </c>
      <c r="M2282" t="s">
        <v>209</v>
      </c>
      <c r="N2282" t="s">
        <v>203</v>
      </c>
      <c r="Q2282" s="2" t="str">
        <f>IF($C2282="","",IFERROR(VLOOKUP($C2282,sources!$A$2:$N$200,2,FALSE()),"?"))</f>
        <v>Map</v>
      </c>
      <c r="R2282" s="2" t="str">
        <f t="shared" si="35"/>
        <v>Map</v>
      </c>
      <c r="S2282" s="2" t="str">
        <f>IF($C2282="","",IFERROR(VLOOKUP($C2282,sources!$A$2:$N$200,9,FALSE()),"?"))</f>
        <v>US official</v>
      </c>
      <c r="T2282" t="s">
        <v>5692</v>
      </c>
      <c r="U2282">
        <f>IF(OR(B2282="",C2282="",T2282="Retracted",LEFT(D2282,8)="Negative"),0,IF(COUNTIFS($B$2:B2282,B2282,$C$2:C2282,C2282,$D$2:D2282,"&lt;&gt;Negative*",$T$2:T2282,"&lt;&gt;Retracted")=1,1,0))</f>
        <v>1</v>
      </c>
    </row>
    <row r="2283" spans="1:21" x14ac:dyDescent="0.2">
      <c r="A2283" t="s">
        <v>4491</v>
      </c>
      <c r="B2283" t="s">
        <v>592</v>
      </c>
      <c r="C2283" t="s">
        <v>1509</v>
      </c>
      <c r="D2283" t="s">
        <v>1572</v>
      </c>
      <c r="E2283" t="s">
        <v>593</v>
      </c>
      <c r="F2283" t="s">
        <v>1566</v>
      </c>
      <c r="G2283">
        <v>9.1208259999999992</v>
      </c>
      <c r="H2283">
        <v>-79.730327000000003</v>
      </c>
      <c r="I2283" t="s">
        <v>3312</v>
      </c>
      <c r="J2283">
        <v>400</v>
      </c>
      <c r="K2283">
        <v>1904</v>
      </c>
      <c r="L2283">
        <v>1904</v>
      </c>
      <c r="M2283" t="s">
        <v>209</v>
      </c>
      <c r="N2283" t="s">
        <v>203</v>
      </c>
      <c r="Q2283" s="2" t="str">
        <f>IF($C2283="","",IFERROR(VLOOKUP($C2283,sources!$A$2:$N$200,2,FALSE()),"?"))</f>
        <v>Map</v>
      </c>
      <c r="R2283" s="2" t="str">
        <f t="shared" si="35"/>
        <v>Map</v>
      </c>
      <c r="S2283" s="2" t="str">
        <f>IF($C2283="","",IFERROR(VLOOKUP($C2283,sources!$A$2:$N$200,9,FALSE()),"?"))</f>
        <v>US official</v>
      </c>
      <c r="T2283" t="s">
        <v>5692</v>
      </c>
      <c r="U2283">
        <f>IF(OR(B2283="",C2283="",T2283="Retracted",LEFT(D2283,8)="Negative"),0,IF(COUNTIFS($B$2:B2283,B2283,$C$2:C2283,C2283,$D$2:D2283,"&lt;&gt;Negative*",$T$2:T2283,"&lt;&gt;Retracted")=1,1,0))</f>
        <v>1</v>
      </c>
    </row>
    <row r="2284" spans="1:21" x14ac:dyDescent="0.2">
      <c r="A2284" t="s">
        <v>4492</v>
      </c>
      <c r="B2284" t="s">
        <v>179</v>
      </c>
      <c r="C2284" t="s">
        <v>1509</v>
      </c>
      <c r="D2284" t="s">
        <v>1572</v>
      </c>
      <c r="E2284" t="s">
        <v>180</v>
      </c>
      <c r="F2284" t="s">
        <v>1566</v>
      </c>
      <c r="G2284">
        <v>9.1163699999999999</v>
      </c>
      <c r="H2284">
        <v>-79.706802999999994</v>
      </c>
      <c r="I2284" t="s">
        <v>3312</v>
      </c>
      <c r="J2284">
        <v>500</v>
      </c>
      <c r="K2284">
        <v>1904</v>
      </c>
      <c r="L2284">
        <v>1904</v>
      </c>
      <c r="M2284" t="s">
        <v>209</v>
      </c>
      <c r="N2284" t="s">
        <v>203</v>
      </c>
      <c r="Q2284" s="2" t="str">
        <f>IF($C2284="","",IFERROR(VLOOKUP($C2284,sources!$A$2:$N$200,2,FALSE()),"?"))</f>
        <v>Map</v>
      </c>
      <c r="R2284" s="2" t="str">
        <f t="shared" si="35"/>
        <v>Map</v>
      </c>
      <c r="S2284" s="2" t="str">
        <f>IF($C2284="","",IFERROR(VLOOKUP($C2284,sources!$A$2:$N$200,9,FALSE()),"?"))</f>
        <v>US official</v>
      </c>
      <c r="T2284" t="s">
        <v>5692</v>
      </c>
      <c r="U2284">
        <f>IF(OR(B2284="",C2284="",T2284="Retracted",LEFT(D2284,8)="Negative"),0,IF(COUNTIFS($B$2:B2284,B2284,$C$2:C2284,C2284,$D$2:D2284,"&lt;&gt;Negative*",$T$2:T2284,"&lt;&gt;Retracted")=1,1,0))</f>
        <v>1</v>
      </c>
    </row>
    <row r="2285" spans="1:21" x14ac:dyDescent="0.2">
      <c r="A2285" t="s">
        <v>4493</v>
      </c>
      <c r="B2285" t="s">
        <v>199</v>
      </c>
      <c r="C2285" t="s">
        <v>1509</v>
      </c>
      <c r="D2285" t="s">
        <v>1572</v>
      </c>
      <c r="E2285" t="s">
        <v>1568</v>
      </c>
      <c r="F2285" t="s">
        <v>1566</v>
      </c>
      <c r="G2285">
        <v>9.1314309999999992</v>
      </c>
      <c r="H2285">
        <v>-79.690023999999994</v>
      </c>
      <c r="I2285" t="s">
        <v>3312</v>
      </c>
      <c r="J2285">
        <v>500</v>
      </c>
      <c r="K2285">
        <v>1904</v>
      </c>
      <c r="L2285">
        <v>1904</v>
      </c>
      <c r="M2285" t="s">
        <v>209</v>
      </c>
      <c r="N2285" t="s">
        <v>203</v>
      </c>
      <c r="Q2285" s="2" t="str">
        <f>IF($C2285="","",IFERROR(VLOOKUP($C2285,sources!$A$2:$N$200,2,FALSE()),"?"))</f>
        <v>Map</v>
      </c>
      <c r="R2285" s="2" t="str">
        <f t="shared" si="35"/>
        <v>Map</v>
      </c>
      <c r="S2285" s="2" t="str">
        <f>IF($C2285="","",IFERROR(VLOOKUP($C2285,sources!$A$2:$N$200,9,FALSE()),"?"))</f>
        <v>US official</v>
      </c>
      <c r="T2285" t="s">
        <v>5692</v>
      </c>
      <c r="U2285">
        <f>IF(OR(B2285="",C2285="",T2285="Retracted",LEFT(D2285,8)="Negative"),0,IF(COUNTIFS($B$2:B2285,B2285,$C$2:C2285,C2285,$D$2:D2285,"&lt;&gt;Negative*",$T$2:T2285,"&lt;&gt;Retracted")=1,1,0))</f>
        <v>1</v>
      </c>
    </row>
    <row r="2286" spans="1:21" x14ac:dyDescent="0.2">
      <c r="A2286" t="s">
        <v>4494</v>
      </c>
      <c r="B2286" t="s">
        <v>213</v>
      </c>
      <c r="C2286" t="s">
        <v>1509</v>
      </c>
      <c r="D2286" t="s">
        <v>1572</v>
      </c>
      <c r="E2286" t="s">
        <v>214</v>
      </c>
      <c r="F2286" t="s">
        <v>1566</v>
      </c>
      <c r="G2286">
        <v>9.1198999999999995</v>
      </c>
      <c r="H2286">
        <v>-79.696493000000004</v>
      </c>
      <c r="I2286" t="s">
        <v>3312</v>
      </c>
      <c r="J2286">
        <v>450</v>
      </c>
      <c r="K2286">
        <v>1904</v>
      </c>
      <c r="L2286">
        <v>1904</v>
      </c>
      <c r="M2286" t="s">
        <v>209</v>
      </c>
      <c r="N2286" t="s">
        <v>203</v>
      </c>
      <c r="Q2286" s="2" t="str">
        <f>IF($C2286="","",IFERROR(VLOOKUP($C2286,sources!$A$2:$N$200,2,FALSE()),"?"))</f>
        <v>Map</v>
      </c>
      <c r="R2286" s="2" t="str">
        <f t="shared" si="35"/>
        <v>Map</v>
      </c>
      <c r="S2286" s="2" t="str">
        <f>IF($C2286="","",IFERROR(VLOOKUP($C2286,sources!$A$2:$N$200,9,FALSE()),"?"))</f>
        <v>US official</v>
      </c>
      <c r="T2286" t="s">
        <v>5692</v>
      </c>
      <c r="U2286">
        <f>IF(OR(B2286="",C2286="",T2286="Retracted",LEFT(D2286,8)="Negative"),0,IF(COUNTIFS($B$2:B2286,B2286,$C$2:C2286,C2286,$D$2:D2286,"&lt;&gt;Negative*",$T$2:T2286,"&lt;&gt;Retracted")=1,1,0))</f>
        <v>1</v>
      </c>
    </row>
    <row r="2287" spans="1:21" x14ac:dyDescent="0.2">
      <c r="A2287" t="s">
        <v>4495</v>
      </c>
      <c r="B2287" t="s">
        <v>369</v>
      </c>
      <c r="C2287" t="s">
        <v>1509</v>
      </c>
      <c r="D2287" t="s">
        <v>1572</v>
      </c>
      <c r="E2287" t="s">
        <v>370</v>
      </c>
      <c r="F2287" t="s">
        <v>1566</v>
      </c>
      <c r="G2287">
        <v>9.1179120000000005</v>
      </c>
      <c r="H2287">
        <v>-79.687839999999994</v>
      </c>
      <c r="I2287" t="s">
        <v>3312</v>
      </c>
      <c r="J2287">
        <v>450</v>
      </c>
      <c r="K2287">
        <v>1904</v>
      </c>
      <c r="L2287">
        <v>1904</v>
      </c>
      <c r="M2287" t="s">
        <v>209</v>
      </c>
      <c r="N2287" t="s">
        <v>203</v>
      </c>
      <c r="Q2287" s="2" t="str">
        <f>IF($C2287="","",IFERROR(VLOOKUP($C2287,sources!$A$2:$N$200,2,FALSE()),"?"))</f>
        <v>Map</v>
      </c>
      <c r="R2287" s="2" t="str">
        <f t="shared" si="35"/>
        <v>Map</v>
      </c>
      <c r="S2287" s="2" t="str">
        <f>IF($C2287="","",IFERROR(VLOOKUP($C2287,sources!$A$2:$N$200,9,FALSE()),"?"))</f>
        <v>US official</v>
      </c>
      <c r="T2287" t="s">
        <v>5692</v>
      </c>
      <c r="U2287">
        <f>IF(OR(B2287="",C2287="",T2287="Retracted",LEFT(D2287,8)="Negative"),0,IF(COUNTIFS($B$2:B2287,B2287,$C$2:C2287,C2287,$D$2:D2287,"&lt;&gt;Negative*",$T$2:T2287,"&lt;&gt;Retracted")=1,1,0))</f>
        <v>1</v>
      </c>
    </row>
    <row r="2288" spans="1:21" x14ac:dyDescent="0.2">
      <c r="A2288" t="s">
        <v>4496</v>
      </c>
      <c r="B2288" t="s">
        <v>253</v>
      </c>
      <c r="C2288" t="s">
        <v>1509</v>
      </c>
      <c r="D2288" t="s">
        <v>1572</v>
      </c>
      <c r="E2288" t="s">
        <v>254</v>
      </c>
      <c r="F2288" t="s">
        <v>2423</v>
      </c>
      <c r="G2288">
        <v>9.1069189999999995</v>
      </c>
      <c r="H2288">
        <v>-79.691967000000005</v>
      </c>
      <c r="I2288" t="s">
        <v>3312</v>
      </c>
      <c r="J2288">
        <v>450</v>
      </c>
      <c r="K2288">
        <v>1904</v>
      </c>
      <c r="L2288">
        <v>1904</v>
      </c>
      <c r="M2288" t="s">
        <v>209</v>
      </c>
      <c r="N2288" t="s">
        <v>203</v>
      </c>
      <c r="Q2288" s="2" t="str">
        <f>IF($C2288="","",IFERROR(VLOOKUP($C2288,sources!$A$2:$N$200,2,FALSE()),"?"))</f>
        <v>Map</v>
      </c>
      <c r="R2288" s="2" t="str">
        <f t="shared" si="35"/>
        <v>Map</v>
      </c>
      <c r="S2288" s="2" t="str">
        <f>IF($C2288="","",IFERROR(VLOOKUP($C2288,sources!$A$2:$N$200,9,FALSE()),"?"))</f>
        <v>US official</v>
      </c>
      <c r="T2288" t="s">
        <v>5692</v>
      </c>
      <c r="U2288">
        <f>IF(OR(B2288="",C2288="",T2288="Retracted",LEFT(D2288,8)="Negative"),0,IF(COUNTIFS($B$2:B2288,B2288,$C$2:C2288,C2288,$D$2:D2288,"&lt;&gt;Negative*",$T$2:T2288,"&lt;&gt;Retracted")=1,1,0))</f>
        <v>1</v>
      </c>
    </row>
    <row r="2289" spans="1:21" x14ac:dyDescent="0.2">
      <c r="A2289" t="s">
        <v>4497</v>
      </c>
      <c r="B2289" t="s">
        <v>565</v>
      </c>
      <c r="C2289" t="s">
        <v>1509</v>
      </c>
      <c r="D2289" t="s">
        <v>1572</v>
      </c>
      <c r="E2289" t="s">
        <v>566</v>
      </c>
      <c r="F2289" t="s">
        <v>2423</v>
      </c>
      <c r="G2289">
        <v>9.0948349999999998</v>
      </c>
      <c r="H2289">
        <v>-79.681990999999996</v>
      </c>
      <c r="I2289" t="s">
        <v>3312</v>
      </c>
      <c r="J2289">
        <v>450</v>
      </c>
      <c r="K2289">
        <v>1904</v>
      </c>
      <c r="L2289">
        <v>1904</v>
      </c>
      <c r="M2289" t="s">
        <v>209</v>
      </c>
      <c r="N2289" t="s">
        <v>203</v>
      </c>
      <c r="Q2289" s="2" t="str">
        <f>IF($C2289="","",IFERROR(VLOOKUP($C2289,sources!$A$2:$N$200,2,FALSE()),"?"))</f>
        <v>Map</v>
      </c>
      <c r="R2289" s="2" t="str">
        <f t="shared" si="35"/>
        <v>Map</v>
      </c>
      <c r="S2289" s="2" t="str">
        <f>IF($C2289="","",IFERROR(VLOOKUP($C2289,sources!$A$2:$N$200,9,FALSE()),"?"))</f>
        <v>US official</v>
      </c>
      <c r="T2289" t="s">
        <v>5692</v>
      </c>
      <c r="U2289">
        <f>IF(OR(B2289="",C2289="",T2289="Retracted",LEFT(D2289,8)="Negative"),0,IF(COUNTIFS($B$2:B2289,B2289,$C$2:C2289,C2289,$D$2:D2289,"&lt;&gt;Negative*",$T$2:T2289,"&lt;&gt;Retracted")=1,1,0))</f>
        <v>1</v>
      </c>
    </row>
    <row r="2290" spans="1:21" x14ac:dyDescent="0.2">
      <c r="A2290" t="s">
        <v>4498</v>
      </c>
      <c r="B2290" t="s">
        <v>261</v>
      </c>
      <c r="C2290" t="s">
        <v>1509</v>
      </c>
      <c r="D2290" t="s">
        <v>1572</v>
      </c>
      <c r="E2290" t="s">
        <v>262</v>
      </c>
      <c r="F2290" t="s">
        <v>1566</v>
      </c>
      <c r="G2290">
        <v>9.0884769999999993</v>
      </c>
      <c r="H2290">
        <v>-79.680268999999996</v>
      </c>
      <c r="I2290" t="s">
        <v>3312</v>
      </c>
      <c r="J2290">
        <v>450</v>
      </c>
      <c r="K2290">
        <v>1904</v>
      </c>
      <c r="L2290">
        <v>1904</v>
      </c>
      <c r="M2290" t="s">
        <v>209</v>
      </c>
      <c r="N2290" t="s">
        <v>203</v>
      </c>
      <c r="Q2290" s="2" t="str">
        <f>IF($C2290="","",IFERROR(VLOOKUP($C2290,sources!$A$2:$N$200,2,FALSE()),"?"))</f>
        <v>Map</v>
      </c>
      <c r="R2290" s="2" t="str">
        <f t="shared" si="35"/>
        <v>Map</v>
      </c>
      <c r="S2290" s="2" t="str">
        <f>IF($C2290="","",IFERROR(VLOOKUP($C2290,sources!$A$2:$N$200,9,FALSE()),"?"))</f>
        <v>US official</v>
      </c>
      <c r="T2290" t="s">
        <v>5692</v>
      </c>
      <c r="U2290">
        <f>IF(OR(B2290="",C2290="",T2290="Retracted",LEFT(D2290,8)="Negative"),0,IF(COUNTIFS($B$2:B2290,B2290,$C$2:C2290,C2290,$D$2:D2290,"&lt;&gt;Negative*",$T$2:T2290,"&lt;&gt;Retracted")=1,1,0))</f>
        <v>1</v>
      </c>
    </row>
    <row r="2291" spans="1:21" x14ac:dyDescent="0.2">
      <c r="A2291" t="s">
        <v>4499</v>
      </c>
      <c r="B2291" t="s">
        <v>233</v>
      </c>
      <c r="C2291" t="s">
        <v>1509</v>
      </c>
      <c r="D2291" t="s">
        <v>1572</v>
      </c>
      <c r="E2291" t="s">
        <v>305</v>
      </c>
      <c r="F2291" t="s">
        <v>1566</v>
      </c>
      <c r="G2291">
        <v>9.0617929999999998</v>
      </c>
      <c r="H2291">
        <v>-79.674910999999994</v>
      </c>
      <c r="I2291" t="s">
        <v>3312</v>
      </c>
      <c r="J2291">
        <v>450</v>
      </c>
      <c r="K2291">
        <v>1904</v>
      </c>
      <c r="L2291">
        <v>1904</v>
      </c>
      <c r="M2291" t="s">
        <v>209</v>
      </c>
      <c r="N2291" t="s">
        <v>203</v>
      </c>
      <c r="Q2291" s="2" t="str">
        <f>IF($C2291="","",IFERROR(VLOOKUP($C2291,sources!$A$2:$N$200,2,FALSE()),"?"))</f>
        <v>Map</v>
      </c>
      <c r="R2291" s="2" t="str">
        <f t="shared" si="35"/>
        <v>Map</v>
      </c>
      <c r="S2291" s="2" t="str">
        <f>IF($C2291="","",IFERROR(VLOOKUP($C2291,sources!$A$2:$N$200,9,FALSE()),"?"))</f>
        <v>US official</v>
      </c>
      <c r="T2291" t="s">
        <v>5692</v>
      </c>
      <c r="U2291">
        <f>IF(OR(B2291="",C2291="",T2291="Retracted",LEFT(D2291,8)="Negative"),0,IF(COUNTIFS($B$2:B2291,B2291,$C$2:C2291,C2291,$D$2:D2291,"&lt;&gt;Negative*",$T$2:T2291,"&lt;&gt;Retracted")=1,1,0))</f>
        <v>1</v>
      </c>
    </row>
    <row r="2292" spans="1:21" x14ac:dyDescent="0.2">
      <c r="A2292" t="s">
        <v>4500</v>
      </c>
      <c r="B2292" t="s">
        <v>570</v>
      </c>
      <c r="C2292" t="s">
        <v>1509</v>
      </c>
      <c r="D2292" t="s">
        <v>1572</v>
      </c>
      <c r="E2292" t="s">
        <v>571</v>
      </c>
      <c r="F2292" t="s">
        <v>1566</v>
      </c>
      <c r="G2292">
        <v>9.0595970000000001</v>
      </c>
      <c r="H2292">
        <v>-79.656706999999997</v>
      </c>
      <c r="I2292" t="s">
        <v>3312</v>
      </c>
      <c r="J2292">
        <v>500</v>
      </c>
      <c r="K2292">
        <v>1904</v>
      </c>
      <c r="L2292">
        <v>1904</v>
      </c>
      <c r="M2292" t="s">
        <v>209</v>
      </c>
      <c r="N2292" t="s">
        <v>203</v>
      </c>
      <c r="Q2292" s="2" t="str">
        <f>IF($C2292="","",IFERROR(VLOOKUP($C2292,sources!$A$2:$N$200,2,FALSE()),"?"))</f>
        <v>Map</v>
      </c>
      <c r="R2292" s="2" t="str">
        <f t="shared" si="35"/>
        <v>Map</v>
      </c>
      <c r="S2292" s="2" t="str">
        <f>IF($C2292="","",IFERROR(VLOOKUP($C2292,sources!$A$2:$N$200,9,FALSE()),"?"))</f>
        <v>US official</v>
      </c>
      <c r="T2292" t="s">
        <v>5692</v>
      </c>
      <c r="U2292">
        <f>IF(OR(B2292="",C2292="",T2292="Retracted",LEFT(D2292,8)="Negative"),0,IF(COUNTIFS($B$2:B2292,B2292,$C$2:C2292,C2292,$D$2:D2292,"&lt;&gt;Negative*",$T$2:T2292,"&lt;&gt;Retracted")=1,1,0))</f>
        <v>1</v>
      </c>
    </row>
    <row r="2293" spans="1:21" x14ac:dyDescent="0.2">
      <c r="A2293" t="s">
        <v>4501</v>
      </c>
      <c r="B2293" t="s">
        <v>247</v>
      </c>
      <c r="C2293" t="s">
        <v>1509</v>
      </c>
      <c r="D2293" t="s">
        <v>1572</v>
      </c>
      <c r="E2293" t="s">
        <v>248</v>
      </c>
      <c r="F2293" t="s">
        <v>1566</v>
      </c>
      <c r="G2293">
        <v>9.0390300000000003</v>
      </c>
      <c r="H2293">
        <v>-79.644760000000005</v>
      </c>
      <c r="I2293" t="s">
        <v>3312</v>
      </c>
      <c r="J2293">
        <v>500</v>
      </c>
      <c r="K2293">
        <v>1904</v>
      </c>
      <c r="L2293">
        <v>1904</v>
      </c>
      <c r="M2293" t="s">
        <v>209</v>
      </c>
      <c r="N2293" t="s">
        <v>203</v>
      </c>
      <c r="Q2293" s="2" t="str">
        <f>IF($C2293="","",IFERROR(VLOOKUP($C2293,sources!$A$2:$N$200,2,FALSE()),"?"))</f>
        <v>Map</v>
      </c>
      <c r="R2293" s="2" t="str">
        <f t="shared" si="35"/>
        <v>Map</v>
      </c>
      <c r="S2293" s="2" t="str">
        <f>IF($C2293="","",IFERROR(VLOOKUP($C2293,sources!$A$2:$N$200,9,FALSE()),"?"))</f>
        <v>US official</v>
      </c>
      <c r="T2293" t="s">
        <v>5692</v>
      </c>
      <c r="U2293">
        <f>IF(OR(B2293="",C2293="",T2293="Retracted",LEFT(D2293,8)="Negative"),0,IF(COUNTIFS($B$2:B2293,B2293,$C$2:C2293,C2293,$D$2:D2293,"&lt;&gt;Negative*",$T$2:T2293,"&lt;&gt;Retracted")=1,1,0))</f>
        <v>1</v>
      </c>
    </row>
    <row r="2294" spans="1:21" x14ac:dyDescent="0.2">
      <c r="A2294" t="s">
        <v>4502</v>
      </c>
      <c r="B2294" t="s">
        <v>242</v>
      </c>
      <c r="C2294" t="s">
        <v>1509</v>
      </c>
      <c r="D2294" t="s">
        <v>1572</v>
      </c>
      <c r="E2294" t="s">
        <v>243</v>
      </c>
      <c r="F2294" t="s">
        <v>1566</v>
      </c>
      <c r="G2294">
        <v>9.1140100000000004</v>
      </c>
      <c r="H2294">
        <v>-79.724149999999995</v>
      </c>
      <c r="I2294" t="s">
        <v>3312</v>
      </c>
      <c r="J2294">
        <v>400</v>
      </c>
      <c r="K2294">
        <v>1904</v>
      </c>
      <c r="L2294">
        <v>1904</v>
      </c>
      <c r="M2294" t="s">
        <v>209</v>
      </c>
      <c r="N2294" t="s">
        <v>203</v>
      </c>
      <c r="Q2294" s="2" t="str">
        <f>IF($C2294="","",IFERROR(VLOOKUP($C2294,sources!$A$2:$N$200,2,FALSE()),"?"))</f>
        <v>Map</v>
      </c>
      <c r="R2294" s="2" t="str">
        <f t="shared" si="35"/>
        <v>Map</v>
      </c>
      <c r="S2294" s="2" t="str">
        <f>IF($C2294="","",IFERROR(VLOOKUP($C2294,sources!$A$2:$N$200,9,FALSE()),"?"))</f>
        <v>US official</v>
      </c>
      <c r="T2294" t="s">
        <v>5692</v>
      </c>
      <c r="U2294">
        <f>IF(OR(B2294="",C2294="",T2294="Retracted",LEFT(D2294,8)="Negative"),0,IF(COUNTIFS($B$2:B2294,B2294,$C$2:C2294,C2294,$D$2:D2294,"&lt;&gt;Negative*",$T$2:T2294,"&lt;&gt;Retracted")=1,1,0))</f>
        <v>1</v>
      </c>
    </row>
    <row r="2295" spans="1:21" x14ac:dyDescent="0.2">
      <c r="A2295" t="s">
        <v>4503</v>
      </c>
      <c r="B2295" t="s">
        <v>495</v>
      </c>
      <c r="C2295" t="s">
        <v>1509</v>
      </c>
      <c r="D2295" t="s">
        <v>1613</v>
      </c>
      <c r="E2295" t="s">
        <v>496</v>
      </c>
      <c r="F2295" t="s">
        <v>1566</v>
      </c>
      <c r="I2295" t="s">
        <v>1058</v>
      </c>
      <c r="K2295">
        <v>1904</v>
      </c>
      <c r="L2295">
        <v>1904</v>
      </c>
      <c r="M2295" t="s">
        <v>209</v>
      </c>
      <c r="N2295" t="s">
        <v>209</v>
      </c>
      <c r="Q2295" s="2" t="str">
        <f>IF($C2295="","",IFERROR(VLOOKUP($C2295,sources!$A$2:$N$200,2,FALSE()),"?"))</f>
        <v>Map</v>
      </c>
      <c r="R2295" s="2" t="str">
        <f t="shared" si="35"/>
        <v>Map</v>
      </c>
      <c r="S2295" s="2" t="str">
        <f>IF($C2295="","",IFERROR(VLOOKUP($C2295,sources!$A$2:$N$200,9,FALSE()),"?"))</f>
        <v>US official</v>
      </c>
      <c r="T2295" t="s">
        <v>5692</v>
      </c>
      <c r="U2295">
        <f>IF(OR(B2295="",C2295="",T2295="Retracted",LEFT(D2295,8)="Negative"),0,IF(COUNTIFS($B$2:B2295,B2295,$C$2:C2295,C2295,$D$2:D2295,"&lt;&gt;Negative*",$T$2:T2295,"&lt;&gt;Retracted")=1,1,0))</f>
        <v>0</v>
      </c>
    </row>
    <row r="2296" spans="1:21" x14ac:dyDescent="0.2">
      <c r="A2296" t="s">
        <v>4504</v>
      </c>
      <c r="B2296" t="s">
        <v>392</v>
      </c>
      <c r="C2296" t="s">
        <v>1509</v>
      </c>
      <c r="D2296" t="s">
        <v>1613</v>
      </c>
      <c r="E2296" t="s">
        <v>393</v>
      </c>
      <c r="F2296" t="s">
        <v>1583</v>
      </c>
      <c r="I2296" t="s">
        <v>1058</v>
      </c>
      <c r="K2296">
        <v>1904</v>
      </c>
      <c r="L2296">
        <v>1904</v>
      </c>
      <c r="M2296" t="s">
        <v>209</v>
      </c>
      <c r="N2296" t="s">
        <v>190</v>
      </c>
      <c r="Q2296" s="2" t="str">
        <f>IF($C2296="","",IFERROR(VLOOKUP($C2296,sources!$A$2:$N$200,2,FALSE()),"?"))</f>
        <v>Map</v>
      </c>
      <c r="R2296" s="2" t="str">
        <f t="shared" si="35"/>
        <v>Map</v>
      </c>
      <c r="S2296" s="2" t="str">
        <f>IF($C2296="","",IFERROR(VLOOKUP($C2296,sources!$A$2:$N$200,9,FALSE()),"?"))</f>
        <v>US official</v>
      </c>
      <c r="T2296" t="s">
        <v>5692</v>
      </c>
      <c r="U2296">
        <f>IF(OR(B2296="",C2296="",T2296="Retracted",LEFT(D2296,8)="Negative"),0,IF(COUNTIFS($B$2:B2296,B2296,$C$2:C2296,C2296,$D$2:D2296,"&lt;&gt;Negative*",$T$2:T2296,"&lt;&gt;Retracted")=1,1,0))</f>
        <v>0</v>
      </c>
    </row>
    <row r="2297" spans="1:21" x14ac:dyDescent="0.2">
      <c r="A2297" t="s">
        <v>4505</v>
      </c>
      <c r="B2297" t="s">
        <v>386</v>
      </c>
      <c r="C2297" t="s">
        <v>1509</v>
      </c>
      <c r="D2297" t="s">
        <v>1613</v>
      </c>
      <c r="E2297" t="s">
        <v>560</v>
      </c>
      <c r="F2297" t="s">
        <v>1566</v>
      </c>
      <c r="I2297" t="s">
        <v>1058</v>
      </c>
      <c r="K2297">
        <v>1904</v>
      </c>
      <c r="L2297">
        <v>1904</v>
      </c>
      <c r="M2297" t="s">
        <v>209</v>
      </c>
      <c r="N2297" t="s">
        <v>209</v>
      </c>
      <c r="Q2297" s="2" t="str">
        <f>IF($C2297="","",IFERROR(VLOOKUP($C2297,sources!$A$2:$N$200,2,FALSE()),"?"))</f>
        <v>Map</v>
      </c>
      <c r="R2297" s="2" t="str">
        <f t="shared" si="35"/>
        <v>Map</v>
      </c>
      <c r="S2297" s="2" t="str">
        <f>IF($C2297="","",IFERROR(VLOOKUP($C2297,sources!$A$2:$N$200,9,FALSE()),"?"))</f>
        <v>US official</v>
      </c>
      <c r="T2297" t="s">
        <v>5692</v>
      </c>
      <c r="U2297">
        <f>IF(OR(B2297="",C2297="",T2297="Retracted",LEFT(D2297,8)="Negative"),0,IF(COUNTIFS($B$2:B2297,B2297,$C$2:C2297,C2297,$D$2:D2297,"&lt;&gt;Negative*",$T$2:T2297,"&lt;&gt;Retracted")=1,1,0))</f>
        <v>0</v>
      </c>
    </row>
    <row r="2298" spans="1:21" x14ac:dyDescent="0.2">
      <c r="A2298" t="s">
        <v>4506</v>
      </c>
      <c r="B2298" t="s">
        <v>357</v>
      </c>
      <c r="C2298" t="s">
        <v>1370</v>
      </c>
      <c r="D2298" t="s">
        <v>1572</v>
      </c>
      <c r="E2298" t="s">
        <v>4507</v>
      </c>
      <c r="F2298" t="s">
        <v>1583</v>
      </c>
      <c r="G2298">
        <v>9.0291569999999997</v>
      </c>
      <c r="H2298">
        <v>-79.623276000000004</v>
      </c>
      <c r="I2298" t="s">
        <v>3312</v>
      </c>
      <c r="J2298">
        <v>300</v>
      </c>
      <c r="K2298">
        <v>1940</v>
      </c>
      <c r="L2298">
        <v>1940</v>
      </c>
      <c r="M2298" t="s">
        <v>203</v>
      </c>
      <c r="N2298" t="s">
        <v>203</v>
      </c>
      <c r="Q2298" s="2" t="str">
        <f>IF($C2298="","",IFERROR(VLOOKUP($C2298,sources!$A$2:$N$200,2,FALSE()),"?"))</f>
        <v>Map</v>
      </c>
      <c r="R2298" s="2" t="str">
        <f t="shared" si="35"/>
        <v>Map</v>
      </c>
      <c r="S2298" s="2" t="str">
        <f>IF($C2298="","",IFERROR(VLOOKUP($C2298,sources!$A$2:$N$200,9,FALSE()),"?"))</f>
        <v>US official</v>
      </c>
      <c r="T2298" t="s">
        <v>5692</v>
      </c>
      <c r="U2298">
        <f>IF(OR(B2298="",C2298="",T2298="Retracted",LEFT(D2298,8)="Negative"),0,IF(COUNTIFS($B$2:B2298,B2298,$C$2:C2298,C2298,$D$2:D2298,"&lt;&gt;Negative*",$T$2:T2298,"&lt;&gt;Retracted")=1,1,0))</f>
        <v>0</v>
      </c>
    </row>
    <row r="2299" spans="1:21" x14ac:dyDescent="0.2">
      <c r="A2299" t="s">
        <v>4508</v>
      </c>
      <c r="B2299" t="s">
        <v>357</v>
      </c>
      <c r="C2299" t="s">
        <v>1370</v>
      </c>
      <c r="D2299" t="s">
        <v>1575</v>
      </c>
      <c r="E2299" t="s">
        <v>4509</v>
      </c>
      <c r="F2299" t="s">
        <v>1583</v>
      </c>
      <c r="G2299">
        <v>9.0274300000000007</v>
      </c>
      <c r="H2299">
        <v>-79.620929000000004</v>
      </c>
      <c r="I2299" t="s">
        <v>3312</v>
      </c>
      <c r="J2299">
        <v>300</v>
      </c>
      <c r="K2299">
        <v>1940</v>
      </c>
      <c r="L2299">
        <v>1940</v>
      </c>
      <c r="M2299" t="s">
        <v>203</v>
      </c>
      <c r="N2299" t="s">
        <v>203</v>
      </c>
      <c r="Q2299" s="2" t="str">
        <f>IF($C2299="","",IFERROR(VLOOKUP($C2299,sources!$A$2:$N$200,2,FALSE()),"?"))</f>
        <v>Map</v>
      </c>
      <c r="R2299" s="2" t="str">
        <f t="shared" si="35"/>
        <v>Map</v>
      </c>
      <c r="S2299" s="2" t="str">
        <f>IF($C2299="","",IFERROR(VLOOKUP($C2299,sources!$A$2:$N$200,9,FALSE()),"?"))</f>
        <v>US official</v>
      </c>
      <c r="T2299" t="s">
        <v>5692</v>
      </c>
      <c r="U2299">
        <f>IF(OR(B2299="",C2299="",T2299="Retracted",LEFT(D2299,8)="Negative"),0,IF(COUNTIFS($B$2:B2299,B2299,$C$2:C2299,C2299,$D$2:D2299,"&lt;&gt;Negative*",$T$2:T2299,"&lt;&gt;Retracted")=1,1,0))</f>
        <v>0</v>
      </c>
    </row>
    <row r="2300" spans="1:21" x14ac:dyDescent="0.2">
      <c r="A2300" t="s">
        <v>4510</v>
      </c>
      <c r="B2300" t="s">
        <v>1008</v>
      </c>
      <c r="C2300" t="s">
        <v>1148</v>
      </c>
      <c r="D2300" t="s">
        <v>1577</v>
      </c>
      <c r="E2300" t="s">
        <v>4511</v>
      </c>
      <c r="F2300" t="s">
        <v>1583</v>
      </c>
      <c r="I2300" t="s">
        <v>1058</v>
      </c>
      <c r="L2300">
        <v>1914</v>
      </c>
      <c r="M2300" t="s">
        <v>209</v>
      </c>
      <c r="N2300" t="s">
        <v>203</v>
      </c>
      <c r="Q2300" s="2" t="str">
        <f>IF($C2300="","",IFERROR(VLOOKUP($C2300,sources!$A$2:$N$200,2,FALSE()),"?"))</f>
        <v>Report</v>
      </c>
      <c r="R2300" s="2" t="str">
        <f t="shared" si="35"/>
        <v>Textual</v>
      </c>
      <c r="S2300" s="2" t="str">
        <f>IF($C2300="","",IFERROR(VLOOKUP($C2300,sources!$A$2:$N$200,9,FALSE()),"?"))</f>
        <v>US official</v>
      </c>
      <c r="T2300" t="s">
        <v>5692</v>
      </c>
      <c r="U2300">
        <f>IF(OR(B2300="",C2300="",T2300="Retracted",LEFT(D2300,8)="Negative"),0,IF(COUNTIFS($B$2:B2300,B2300,$C$2:C2300,C2300,$D$2:D2300,"&lt;&gt;Negative*",$T$2:T2300,"&lt;&gt;Retracted")=1,1,0))</f>
        <v>1</v>
      </c>
    </row>
    <row r="2301" spans="1:21" x14ac:dyDescent="0.2">
      <c r="A2301" t="s">
        <v>4512</v>
      </c>
      <c r="B2301" t="s">
        <v>1026</v>
      </c>
      <c r="C2301" t="s">
        <v>1148</v>
      </c>
      <c r="D2301" t="s">
        <v>1575</v>
      </c>
      <c r="E2301" t="s">
        <v>854</v>
      </c>
      <c r="F2301" t="s">
        <v>1583</v>
      </c>
      <c r="I2301" t="s">
        <v>1058</v>
      </c>
      <c r="K2301">
        <v>1915</v>
      </c>
      <c r="L2301">
        <v>1916</v>
      </c>
      <c r="M2301" t="s">
        <v>209</v>
      </c>
      <c r="N2301" t="s">
        <v>203</v>
      </c>
      <c r="Q2301" s="2" t="str">
        <f>IF($C2301="","",IFERROR(VLOOKUP($C2301,sources!$A$2:$N$200,2,FALSE()),"?"))</f>
        <v>Report</v>
      </c>
      <c r="R2301" s="2" t="str">
        <f t="shared" si="35"/>
        <v>Textual</v>
      </c>
      <c r="S2301" s="2" t="str">
        <f>IF($C2301="","",IFERROR(VLOOKUP($C2301,sources!$A$2:$N$200,9,FALSE()),"?"))</f>
        <v>US official</v>
      </c>
      <c r="T2301" t="s">
        <v>5692</v>
      </c>
      <c r="U2301">
        <f>IF(OR(B2301="",C2301="",T2301="Retracted",LEFT(D2301,8)="Negative"),0,IF(COUNTIFS($B$2:B2301,B2301,$C$2:C2301,C2301,$D$2:D2301,"&lt;&gt;Negative*",$T$2:T2301,"&lt;&gt;Retracted")=1,1,0))</f>
        <v>1</v>
      </c>
    </row>
    <row r="2302" spans="1:21" x14ac:dyDescent="0.2">
      <c r="A2302" t="s">
        <v>4513</v>
      </c>
      <c r="B2302" t="s">
        <v>819</v>
      </c>
      <c r="C2302" t="s">
        <v>1401</v>
      </c>
      <c r="D2302" t="s">
        <v>1572</v>
      </c>
      <c r="E2302" t="s">
        <v>4514</v>
      </c>
      <c r="F2302" t="s">
        <v>1583</v>
      </c>
      <c r="G2302">
        <v>8.9826890000000006</v>
      </c>
      <c r="H2302">
        <v>-79.551388000000003</v>
      </c>
      <c r="I2302" t="s">
        <v>1573</v>
      </c>
      <c r="J2302">
        <v>300</v>
      </c>
      <c r="K2302">
        <v>1947</v>
      </c>
      <c r="L2302">
        <v>1947</v>
      </c>
      <c r="M2302" t="s">
        <v>203</v>
      </c>
      <c r="N2302" t="s">
        <v>203</v>
      </c>
      <c r="Q2302" s="2" t="str">
        <f>IF($C2302="","",IFERROR(VLOOKUP($C2302,sources!$A$2:$N$200,2,FALSE()),"?"))</f>
        <v>Map</v>
      </c>
      <c r="R2302" s="2" t="str">
        <f t="shared" si="35"/>
        <v>Map</v>
      </c>
      <c r="S2302" s="2" t="str">
        <f>IF($C2302="","",IFERROR(VLOOKUP($C2302,sources!$A$2:$N$200,9,FALSE()),"?"))</f>
        <v>US military</v>
      </c>
      <c r="T2302" t="s">
        <v>5692</v>
      </c>
      <c r="U2302">
        <f>IF(OR(B2302="",C2302="",T2302="Retracted",LEFT(D2302,8)="Negative"),0,IF(COUNTIFS($B$2:B2302,B2302,$C$2:C2302,C2302,$D$2:D2302,"&lt;&gt;Negative*",$T$2:T2302,"&lt;&gt;Retracted")=1,1,0))</f>
        <v>1</v>
      </c>
    </row>
    <row r="2303" spans="1:21" x14ac:dyDescent="0.2">
      <c r="A2303" t="s">
        <v>4515</v>
      </c>
      <c r="B2303" t="s">
        <v>844</v>
      </c>
      <c r="C2303" t="s">
        <v>1370</v>
      </c>
      <c r="D2303" t="s">
        <v>1572</v>
      </c>
      <c r="E2303" t="s">
        <v>4516</v>
      </c>
      <c r="F2303" t="s">
        <v>1583</v>
      </c>
      <c r="G2303">
        <v>9.0279659999999993</v>
      </c>
      <c r="H2303">
        <v>-79.608500000000006</v>
      </c>
      <c r="I2303" t="s">
        <v>3312</v>
      </c>
      <c r="J2303">
        <v>250</v>
      </c>
      <c r="K2303">
        <v>1940</v>
      </c>
      <c r="L2303">
        <v>1940</v>
      </c>
      <c r="M2303" t="s">
        <v>203</v>
      </c>
      <c r="N2303" t="s">
        <v>203</v>
      </c>
      <c r="Q2303" s="2" t="str">
        <f>IF($C2303="","",IFERROR(VLOOKUP($C2303,sources!$A$2:$N$200,2,FALSE()),"?"))</f>
        <v>Map</v>
      </c>
      <c r="R2303" s="2" t="str">
        <f t="shared" si="35"/>
        <v>Map</v>
      </c>
      <c r="S2303" s="2" t="str">
        <f>IF($C2303="","",IFERROR(VLOOKUP($C2303,sources!$A$2:$N$200,9,FALSE()),"?"))</f>
        <v>US official</v>
      </c>
      <c r="T2303" t="s">
        <v>5692</v>
      </c>
      <c r="U2303">
        <f>IF(OR(B2303="",C2303="",T2303="Retracted",LEFT(D2303,8)="Negative"),0,IF(COUNTIFS($B$2:B2303,B2303,$C$2:C2303,C2303,$D$2:D2303,"&lt;&gt;Negative*",$T$2:T2303,"&lt;&gt;Retracted")=1,1,0))</f>
        <v>0</v>
      </c>
    </row>
    <row r="2304" spans="1:21" x14ac:dyDescent="0.2">
      <c r="A2304" t="s">
        <v>4517</v>
      </c>
      <c r="B2304" t="s">
        <v>844</v>
      </c>
      <c r="C2304" t="s">
        <v>1370</v>
      </c>
      <c r="D2304" t="s">
        <v>1575</v>
      </c>
      <c r="E2304" t="s">
        <v>4518</v>
      </c>
      <c r="F2304" t="s">
        <v>1583</v>
      </c>
      <c r="G2304">
        <v>9.0263919999999995</v>
      </c>
      <c r="H2304">
        <v>-79.614086999999998</v>
      </c>
      <c r="I2304" t="s">
        <v>3312</v>
      </c>
      <c r="J2304">
        <v>250</v>
      </c>
      <c r="K2304">
        <v>1940</v>
      </c>
      <c r="L2304">
        <v>1940</v>
      </c>
      <c r="M2304" t="s">
        <v>203</v>
      </c>
      <c r="N2304" t="s">
        <v>203</v>
      </c>
      <c r="Q2304" s="2" t="str">
        <f>IF($C2304="","",IFERROR(VLOOKUP($C2304,sources!$A$2:$N$200,2,FALSE()),"?"))</f>
        <v>Map</v>
      </c>
      <c r="R2304" s="2" t="str">
        <f t="shared" si="35"/>
        <v>Map</v>
      </c>
      <c r="S2304" s="2" t="str">
        <f>IF($C2304="","",IFERROR(VLOOKUP($C2304,sources!$A$2:$N$200,9,FALSE()),"?"))</f>
        <v>US official</v>
      </c>
      <c r="T2304" t="s">
        <v>5692</v>
      </c>
      <c r="U2304">
        <f>IF(OR(B2304="",C2304="",T2304="Retracted",LEFT(D2304,8)="Negative"),0,IF(COUNTIFS($B$2:B2304,B2304,$C$2:C2304,C2304,$D$2:D2304,"&lt;&gt;Negative*",$T$2:T2304,"&lt;&gt;Retracted")=1,1,0))</f>
        <v>0</v>
      </c>
    </row>
    <row r="2305" spans="1:21" x14ac:dyDescent="0.2">
      <c r="A2305" t="s">
        <v>4519</v>
      </c>
      <c r="B2305" t="s">
        <v>461</v>
      </c>
      <c r="C2305" t="s">
        <v>1370</v>
      </c>
      <c r="D2305" t="s">
        <v>1572</v>
      </c>
      <c r="E2305" t="s">
        <v>4520</v>
      </c>
      <c r="F2305" t="s">
        <v>1583</v>
      </c>
      <c r="G2305">
        <v>9.0181070000000005</v>
      </c>
      <c r="H2305">
        <v>-79.594194000000002</v>
      </c>
      <c r="I2305" t="s">
        <v>3312</v>
      </c>
      <c r="J2305">
        <v>400</v>
      </c>
      <c r="K2305">
        <v>1940</v>
      </c>
      <c r="L2305">
        <v>1940</v>
      </c>
      <c r="M2305" t="s">
        <v>203</v>
      </c>
      <c r="N2305" t="s">
        <v>203</v>
      </c>
      <c r="Q2305" s="2" t="str">
        <f>IF($C2305="","",IFERROR(VLOOKUP($C2305,sources!$A$2:$N$200,2,FALSE()),"?"))</f>
        <v>Map</v>
      </c>
      <c r="R2305" s="2" t="str">
        <f t="shared" si="35"/>
        <v>Map</v>
      </c>
      <c r="S2305" s="2" t="str">
        <f>IF($C2305="","",IFERROR(VLOOKUP($C2305,sources!$A$2:$N$200,9,FALSE()),"?"))</f>
        <v>US official</v>
      </c>
      <c r="T2305" t="s">
        <v>5692</v>
      </c>
      <c r="U2305">
        <f>IF(OR(B2305="",C2305="",T2305="Retracted",LEFT(D2305,8)="Negative"),0,IF(COUNTIFS($B$2:B2305,B2305,$C$2:C2305,C2305,$D$2:D2305,"&lt;&gt;Negative*",$T$2:T2305,"&lt;&gt;Retracted")=1,1,0))</f>
        <v>0</v>
      </c>
    </row>
    <row r="2306" spans="1:21" x14ac:dyDescent="0.2">
      <c r="A2306" t="s">
        <v>4521</v>
      </c>
      <c r="B2306" t="s">
        <v>335</v>
      </c>
      <c r="C2306" t="s">
        <v>1370</v>
      </c>
      <c r="D2306" t="s">
        <v>1572</v>
      </c>
      <c r="E2306" t="s">
        <v>4522</v>
      </c>
      <c r="F2306" t="s">
        <v>1583</v>
      </c>
      <c r="G2306">
        <v>8.9634440000000009</v>
      </c>
      <c r="H2306">
        <v>-79.548963000000001</v>
      </c>
      <c r="I2306" t="s">
        <v>3312</v>
      </c>
      <c r="J2306">
        <v>150</v>
      </c>
      <c r="K2306">
        <v>1940</v>
      </c>
      <c r="L2306">
        <v>1940</v>
      </c>
      <c r="M2306" t="s">
        <v>203</v>
      </c>
      <c r="N2306" t="s">
        <v>203</v>
      </c>
      <c r="Q2306" s="2" t="str">
        <f>IF($C2306="","",IFERROR(VLOOKUP($C2306,sources!$A$2:$N$200,2,FALSE()),"?"))</f>
        <v>Map</v>
      </c>
      <c r="R2306" s="2" t="str">
        <f t="shared" ref="R2306:R2369" si="36">IF($Q2306="","",IF($Q2306="Map","Map",IF(OR($Q2306="Photograph",$Q2306="Postcard"),"Image",IF(OR($Q2306="Census or roll",$Q2306="Report",$Q2306="Newspaper",$Q2306="Letter",$Q2306="Memoir",$Q2306="Administrative",$Q2306="Web compilation"),"Textual",IF($Q2306="Legal claim","Legal/admin",IF($Q2306="Secondary","Secondary","Other"))))))</f>
        <v>Map</v>
      </c>
      <c r="S2306" s="2" t="str">
        <f>IF($C2306="","",IFERROR(VLOOKUP($C2306,sources!$A$2:$N$200,9,FALSE()),"?"))</f>
        <v>US official</v>
      </c>
      <c r="T2306" t="s">
        <v>5692</v>
      </c>
      <c r="U2306">
        <f>IF(OR(B2306="",C2306="",T2306="Retracted",LEFT(D2306,8)="Negative"),0,IF(COUNTIFS($B$2:B2306,B2306,$C$2:C2306,C2306,$D$2:D2306,"&lt;&gt;Negative*",$T$2:T2306,"&lt;&gt;Retracted")=1,1,0))</f>
        <v>0</v>
      </c>
    </row>
    <row r="2307" spans="1:21" x14ac:dyDescent="0.2">
      <c r="A2307" t="s">
        <v>4523</v>
      </c>
      <c r="B2307" t="s">
        <v>439</v>
      </c>
      <c r="C2307" t="s">
        <v>1370</v>
      </c>
      <c r="D2307" t="s">
        <v>1572</v>
      </c>
      <c r="E2307" t="s">
        <v>4524</v>
      </c>
      <c r="F2307" t="s">
        <v>1583</v>
      </c>
      <c r="G2307">
        <v>8.9621929999999992</v>
      </c>
      <c r="H2307">
        <v>-79.554767999999996</v>
      </c>
      <c r="I2307" t="s">
        <v>3312</v>
      </c>
      <c r="J2307">
        <v>150</v>
      </c>
      <c r="K2307">
        <v>1940</v>
      </c>
      <c r="L2307">
        <v>1940</v>
      </c>
      <c r="M2307" t="s">
        <v>203</v>
      </c>
      <c r="N2307" t="s">
        <v>203</v>
      </c>
      <c r="Q2307" s="2" t="str">
        <f>IF($C2307="","",IFERROR(VLOOKUP($C2307,sources!$A$2:$N$200,2,FALSE()),"?"))</f>
        <v>Map</v>
      </c>
      <c r="R2307" s="2" t="str">
        <f t="shared" si="36"/>
        <v>Map</v>
      </c>
      <c r="S2307" s="2" t="str">
        <f>IF($C2307="","",IFERROR(VLOOKUP($C2307,sources!$A$2:$N$200,9,FALSE()),"?"))</f>
        <v>US official</v>
      </c>
      <c r="T2307" t="s">
        <v>5692</v>
      </c>
      <c r="U2307">
        <f>IF(OR(B2307="",C2307="",T2307="Retracted",LEFT(D2307,8)="Negative"),0,IF(COUNTIFS($B$2:B2307,B2307,$C$2:C2307,C2307,$D$2:D2307,"&lt;&gt;Negative*",$T$2:T2307,"&lt;&gt;Retracted")=1,1,0))</f>
        <v>1</v>
      </c>
    </row>
    <row r="2308" spans="1:21" x14ac:dyDescent="0.2">
      <c r="A2308" t="s">
        <v>4525</v>
      </c>
      <c r="B2308" t="s">
        <v>801</v>
      </c>
      <c r="C2308" t="s">
        <v>1370</v>
      </c>
      <c r="D2308" t="s">
        <v>1572</v>
      </c>
      <c r="E2308" t="s">
        <v>4526</v>
      </c>
      <c r="F2308" t="s">
        <v>1583</v>
      </c>
      <c r="G2308">
        <v>8.9613359999999993</v>
      </c>
      <c r="H2308">
        <v>-79.549452000000002</v>
      </c>
      <c r="I2308" t="s">
        <v>3312</v>
      </c>
      <c r="J2308">
        <v>120</v>
      </c>
      <c r="K2308">
        <v>1940</v>
      </c>
      <c r="L2308">
        <v>1940</v>
      </c>
      <c r="M2308" t="s">
        <v>203</v>
      </c>
      <c r="N2308" t="s">
        <v>203</v>
      </c>
      <c r="Q2308" s="2" t="str">
        <f>IF($C2308="","",IFERROR(VLOOKUP($C2308,sources!$A$2:$N$200,2,FALSE()),"?"))</f>
        <v>Map</v>
      </c>
      <c r="R2308" s="2" t="str">
        <f t="shared" si="36"/>
        <v>Map</v>
      </c>
      <c r="S2308" s="2" t="str">
        <f>IF($C2308="","",IFERROR(VLOOKUP($C2308,sources!$A$2:$N$200,9,FALSE()),"?"))</f>
        <v>US official</v>
      </c>
      <c r="T2308" t="s">
        <v>5692</v>
      </c>
      <c r="U2308">
        <f>IF(OR(B2308="",C2308="",T2308="Retracted",LEFT(D2308,8)="Negative"),0,IF(COUNTIFS($B$2:B2308,B2308,$C$2:C2308,C2308,$D$2:D2308,"&lt;&gt;Negative*",$T$2:T2308,"&lt;&gt;Retracted")=1,1,0))</f>
        <v>1</v>
      </c>
    </row>
    <row r="2309" spans="1:21" x14ac:dyDescent="0.2">
      <c r="A2309" t="s">
        <v>4527</v>
      </c>
      <c r="B2309" t="s">
        <v>947</v>
      </c>
      <c r="C2309" t="s">
        <v>1370</v>
      </c>
      <c r="D2309" t="s">
        <v>1572</v>
      </c>
      <c r="E2309" t="s">
        <v>4528</v>
      </c>
      <c r="F2309" t="s">
        <v>1583</v>
      </c>
      <c r="G2309">
        <v>8.9539390000000001</v>
      </c>
      <c r="H2309">
        <v>-79.546976999999998</v>
      </c>
      <c r="I2309" t="s">
        <v>3312</v>
      </c>
      <c r="J2309">
        <v>120</v>
      </c>
      <c r="K2309">
        <v>1938</v>
      </c>
      <c r="L2309">
        <v>1938</v>
      </c>
      <c r="M2309" t="s">
        <v>203</v>
      </c>
      <c r="N2309" t="s">
        <v>203</v>
      </c>
      <c r="Q2309" s="2" t="str">
        <f>IF($C2309="","",IFERROR(VLOOKUP($C2309,sources!$A$2:$N$200,2,FALSE()),"?"))</f>
        <v>Map</v>
      </c>
      <c r="R2309" s="2" t="str">
        <f t="shared" si="36"/>
        <v>Map</v>
      </c>
      <c r="S2309" s="2" t="str">
        <f>IF($C2309="","",IFERROR(VLOOKUP($C2309,sources!$A$2:$N$200,9,FALSE()),"?"))</f>
        <v>US official</v>
      </c>
      <c r="T2309" t="s">
        <v>5692</v>
      </c>
      <c r="U2309">
        <f>IF(OR(B2309="",C2309="",T2309="Retracted",LEFT(D2309,8)="Negative"),0,IF(COUNTIFS($B$2:B2309,B2309,$C$2:C2309,C2309,$D$2:D2309,"&lt;&gt;Negative*",$T$2:T2309,"&lt;&gt;Retracted")=1,1,0))</f>
        <v>1</v>
      </c>
    </row>
    <row r="2310" spans="1:21" x14ac:dyDescent="0.2">
      <c r="A2310" t="s">
        <v>4529</v>
      </c>
      <c r="B2310" t="s">
        <v>808</v>
      </c>
      <c r="C2310" t="s">
        <v>1370</v>
      </c>
      <c r="D2310" t="s">
        <v>1613</v>
      </c>
      <c r="E2310" t="s">
        <v>4530</v>
      </c>
      <c r="F2310" t="s">
        <v>1583</v>
      </c>
      <c r="I2310" t="s">
        <v>1058</v>
      </c>
      <c r="K2310">
        <v>1938</v>
      </c>
      <c r="L2310">
        <v>1938</v>
      </c>
      <c r="M2310" t="s">
        <v>203</v>
      </c>
      <c r="N2310" t="s">
        <v>209</v>
      </c>
      <c r="Q2310" s="2" t="str">
        <f>IF($C2310="","",IFERROR(VLOOKUP($C2310,sources!$A$2:$N$200,2,FALSE()),"?"))</f>
        <v>Map</v>
      </c>
      <c r="R2310" s="2" t="str">
        <f t="shared" si="36"/>
        <v>Map</v>
      </c>
      <c r="S2310" s="2" t="str">
        <f>IF($C2310="","",IFERROR(VLOOKUP($C2310,sources!$A$2:$N$200,9,FALSE()),"?"))</f>
        <v>US official</v>
      </c>
      <c r="T2310" t="s">
        <v>5692</v>
      </c>
      <c r="U2310">
        <f>IF(OR(B2310="",C2310="",T2310="Retracted",LEFT(D2310,8)="Negative"),0,IF(COUNTIFS($B$2:B2310,B2310,$C$2:C2310,C2310,$D$2:D2310,"&lt;&gt;Negative*",$T$2:T2310,"&lt;&gt;Retracted")=1,1,0))</f>
        <v>0</v>
      </c>
    </row>
    <row r="2311" spans="1:21" x14ac:dyDescent="0.2">
      <c r="A2311" t="s">
        <v>4531</v>
      </c>
      <c r="B2311" t="s">
        <v>786</v>
      </c>
      <c r="C2311" t="s">
        <v>1370</v>
      </c>
      <c r="D2311" t="s">
        <v>1572</v>
      </c>
      <c r="E2311" t="s">
        <v>4532</v>
      </c>
      <c r="F2311" t="s">
        <v>1583</v>
      </c>
      <c r="G2311">
        <v>9.3452660000000005</v>
      </c>
      <c r="H2311">
        <v>-79.898000999999994</v>
      </c>
      <c r="I2311" t="s">
        <v>3312</v>
      </c>
      <c r="J2311">
        <v>120</v>
      </c>
      <c r="K2311">
        <v>1940</v>
      </c>
      <c r="L2311">
        <v>1940</v>
      </c>
      <c r="M2311" t="s">
        <v>203</v>
      </c>
      <c r="N2311" t="s">
        <v>203</v>
      </c>
      <c r="Q2311" s="2" t="str">
        <f>IF($C2311="","",IFERROR(VLOOKUP($C2311,sources!$A$2:$N$200,2,FALSE()),"?"))</f>
        <v>Map</v>
      </c>
      <c r="R2311" s="2" t="str">
        <f t="shared" si="36"/>
        <v>Map</v>
      </c>
      <c r="S2311" s="2" t="str">
        <f>IF($C2311="","",IFERROR(VLOOKUP($C2311,sources!$A$2:$N$200,9,FALSE()),"?"))</f>
        <v>US official</v>
      </c>
      <c r="T2311" t="s">
        <v>5692</v>
      </c>
      <c r="U2311">
        <f>IF(OR(B2311="",C2311="",T2311="Retracted",LEFT(D2311,8)="Negative"),0,IF(COUNTIFS($B$2:B2311,B2311,$C$2:C2311,C2311,$D$2:D2311,"&lt;&gt;Negative*",$T$2:T2311,"&lt;&gt;Retracted")=1,1,0))</f>
        <v>1</v>
      </c>
    </row>
    <row r="2312" spans="1:21" x14ac:dyDescent="0.2">
      <c r="A2312" t="s">
        <v>4533</v>
      </c>
      <c r="B2312" t="s">
        <v>786</v>
      </c>
      <c r="C2312" t="s">
        <v>1370</v>
      </c>
      <c r="D2312" t="s">
        <v>1575</v>
      </c>
      <c r="E2312" t="s">
        <v>4534</v>
      </c>
      <c r="F2312" t="s">
        <v>1583</v>
      </c>
      <c r="G2312">
        <v>9.347315</v>
      </c>
      <c r="H2312">
        <v>-79.896569999999997</v>
      </c>
      <c r="I2312" t="s">
        <v>3312</v>
      </c>
      <c r="J2312">
        <v>130</v>
      </c>
      <c r="K2312">
        <v>1940</v>
      </c>
      <c r="L2312">
        <v>1940</v>
      </c>
      <c r="M2312" t="s">
        <v>203</v>
      </c>
      <c r="N2312" t="s">
        <v>203</v>
      </c>
      <c r="Q2312" s="2" t="str">
        <f>IF($C2312="","",IFERROR(VLOOKUP($C2312,sources!$A$2:$N$200,2,FALSE()),"?"))</f>
        <v>Map</v>
      </c>
      <c r="R2312" s="2" t="str">
        <f t="shared" si="36"/>
        <v>Map</v>
      </c>
      <c r="S2312" s="2" t="str">
        <f>IF($C2312="","",IFERROR(VLOOKUP($C2312,sources!$A$2:$N$200,9,FALSE()),"?"))</f>
        <v>US official</v>
      </c>
      <c r="T2312" t="s">
        <v>5692</v>
      </c>
      <c r="U2312">
        <f>IF(OR(B2312="",C2312="",T2312="Retracted",LEFT(D2312,8)="Negative"),0,IF(COUNTIFS($B$2:B2312,B2312,$C$2:C2312,C2312,$D$2:D2312,"&lt;&gt;Negative*",$T$2:T2312,"&lt;&gt;Retracted")=1,1,0))</f>
        <v>0</v>
      </c>
    </row>
    <row r="2313" spans="1:21" x14ac:dyDescent="0.2">
      <c r="A2313" t="s">
        <v>4535</v>
      </c>
      <c r="B2313" t="s">
        <v>786</v>
      </c>
      <c r="C2313" t="s">
        <v>1370</v>
      </c>
      <c r="D2313" t="s">
        <v>1575</v>
      </c>
      <c r="E2313" t="s">
        <v>4536</v>
      </c>
      <c r="F2313" t="s">
        <v>1583</v>
      </c>
      <c r="G2313">
        <v>9.3458950000000005</v>
      </c>
      <c r="H2313">
        <v>-79.895778000000007</v>
      </c>
      <c r="I2313" t="s">
        <v>3312</v>
      </c>
      <c r="J2313">
        <v>130</v>
      </c>
      <c r="K2313">
        <v>1940</v>
      </c>
      <c r="L2313">
        <v>1940</v>
      </c>
      <c r="M2313" t="s">
        <v>203</v>
      </c>
      <c r="N2313" t="s">
        <v>203</v>
      </c>
      <c r="Q2313" s="2" t="str">
        <f>IF($C2313="","",IFERROR(VLOOKUP($C2313,sources!$A$2:$N$200,2,FALSE()),"?"))</f>
        <v>Map</v>
      </c>
      <c r="R2313" s="2" t="str">
        <f t="shared" si="36"/>
        <v>Map</v>
      </c>
      <c r="S2313" s="2" t="str">
        <f>IF($C2313="","",IFERROR(VLOOKUP($C2313,sources!$A$2:$N$200,9,FALSE()),"?"))</f>
        <v>US official</v>
      </c>
      <c r="T2313" t="s">
        <v>5692</v>
      </c>
      <c r="U2313">
        <f>IF(OR(B2313="",C2313="",T2313="Retracted",LEFT(D2313,8)="Negative"),0,IF(COUNTIFS($B$2:B2313,B2313,$C$2:C2313,C2313,$D$2:D2313,"&lt;&gt;Negative*",$T$2:T2313,"&lt;&gt;Retracted")=1,1,0))</f>
        <v>0</v>
      </c>
    </row>
    <row r="2314" spans="1:21" x14ac:dyDescent="0.2">
      <c r="A2314" t="s">
        <v>4537</v>
      </c>
      <c r="B2314" t="s">
        <v>786</v>
      </c>
      <c r="C2314" t="s">
        <v>1370</v>
      </c>
      <c r="D2314" t="s">
        <v>1575</v>
      </c>
      <c r="E2314" t="s">
        <v>4538</v>
      </c>
      <c r="F2314" t="s">
        <v>1583</v>
      </c>
      <c r="G2314">
        <v>9.3450579999999999</v>
      </c>
      <c r="H2314">
        <v>-79.894368</v>
      </c>
      <c r="I2314" t="s">
        <v>3312</v>
      </c>
      <c r="J2314">
        <v>150</v>
      </c>
      <c r="K2314">
        <v>1940</v>
      </c>
      <c r="L2314">
        <v>1940</v>
      </c>
      <c r="M2314" t="s">
        <v>203</v>
      </c>
      <c r="N2314" t="s">
        <v>203</v>
      </c>
      <c r="Q2314" s="2" t="str">
        <f>IF($C2314="","",IFERROR(VLOOKUP($C2314,sources!$A$2:$N$200,2,FALSE()),"?"))</f>
        <v>Map</v>
      </c>
      <c r="R2314" s="2" t="str">
        <f t="shared" si="36"/>
        <v>Map</v>
      </c>
      <c r="S2314" s="2" t="str">
        <f>IF($C2314="","",IFERROR(VLOOKUP($C2314,sources!$A$2:$N$200,9,FALSE()),"?"))</f>
        <v>US official</v>
      </c>
      <c r="T2314" t="s">
        <v>5692</v>
      </c>
      <c r="U2314">
        <f>IF(OR(B2314="",C2314="",T2314="Retracted",LEFT(D2314,8)="Negative"),0,IF(COUNTIFS($B$2:B2314,B2314,$C$2:C2314,C2314,$D$2:D2314,"&lt;&gt;Negative*",$T$2:T2314,"&lt;&gt;Retracted")=1,1,0))</f>
        <v>0</v>
      </c>
    </row>
    <row r="2315" spans="1:21" x14ac:dyDescent="0.2">
      <c r="A2315" t="s">
        <v>4539</v>
      </c>
      <c r="B2315" t="s">
        <v>415</v>
      </c>
      <c r="C2315" t="s">
        <v>1370</v>
      </c>
      <c r="D2315" t="s">
        <v>1575</v>
      </c>
      <c r="E2315" t="s">
        <v>4540</v>
      </c>
      <c r="F2315" t="s">
        <v>1583</v>
      </c>
      <c r="I2315" t="s">
        <v>1058</v>
      </c>
      <c r="K2315">
        <v>1940</v>
      </c>
      <c r="L2315">
        <v>1940</v>
      </c>
      <c r="M2315" t="s">
        <v>203</v>
      </c>
      <c r="N2315" t="s">
        <v>203</v>
      </c>
      <c r="Q2315" s="2" t="str">
        <f>IF($C2315="","",IFERROR(VLOOKUP($C2315,sources!$A$2:$N$200,2,FALSE()),"?"))</f>
        <v>Map</v>
      </c>
      <c r="R2315" s="2" t="str">
        <f t="shared" si="36"/>
        <v>Map</v>
      </c>
      <c r="S2315" s="2" t="str">
        <f>IF($C2315="","",IFERROR(VLOOKUP($C2315,sources!$A$2:$N$200,9,FALSE()),"?"))</f>
        <v>US official</v>
      </c>
      <c r="T2315" t="s">
        <v>5692</v>
      </c>
      <c r="U2315">
        <f>IF(OR(B2315="",C2315="",T2315="Retracted",LEFT(D2315,8)="Negative"),0,IF(COUNTIFS($B$2:B2315,B2315,$C$2:C2315,C2315,$D$2:D2315,"&lt;&gt;Negative*",$T$2:T2315,"&lt;&gt;Retracted")=1,1,0))</f>
        <v>0</v>
      </c>
    </row>
    <row r="2316" spans="1:21" x14ac:dyDescent="0.2">
      <c r="A2316" t="s">
        <v>4541</v>
      </c>
      <c r="B2316" t="s">
        <v>994</v>
      </c>
      <c r="C2316" t="s">
        <v>1370</v>
      </c>
      <c r="D2316" t="s">
        <v>1572</v>
      </c>
      <c r="E2316" t="s">
        <v>4542</v>
      </c>
      <c r="F2316" t="s">
        <v>1583</v>
      </c>
      <c r="G2316">
        <v>9.348122</v>
      </c>
      <c r="H2316">
        <v>-79.902413999999993</v>
      </c>
      <c r="I2316" t="s">
        <v>3312</v>
      </c>
      <c r="J2316">
        <v>300</v>
      </c>
      <c r="K2316">
        <v>1940</v>
      </c>
      <c r="L2316">
        <v>1940</v>
      </c>
      <c r="M2316" t="s">
        <v>203</v>
      </c>
      <c r="N2316" t="s">
        <v>203</v>
      </c>
      <c r="Q2316" s="2" t="str">
        <f>IF($C2316="","",IFERROR(VLOOKUP($C2316,sources!$A$2:$N$200,2,FALSE()),"?"))</f>
        <v>Map</v>
      </c>
      <c r="R2316" s="2" t="str">
        <f t="shared" si="36"/>
        <v>Map</v>
      </c>
      <c r="S2316" s="2" t="str">
        <f>IF($C2316="","",IFERROR(VLOOKUP($C2316,sources!$A$2:$N$200,9,FALSE()),"?"))</f>
        <v>US official</v>
      </c>
      <c r="T2316" t="s">
        <v>5692</v>
      </c>
      <c r="U2316">
        <f>IF(OR(B2316="",C2316="",T2316="Retracted",LEFT(D2316,8)="Negative"),0,IF(COUNTIFS($B$2:B2316,B2316,$C$2:C2316,C2316,$D$2:D2316,"&lt;&gt;Negative*",$T$2:T2316,"&lt;&gt;Retracted")=1,1,0))</f>
        <v>1</v>
      </c>
    </row>
    <row r="2317" spans="1:21" x14ac:dyDescent="0.2">
      <c r="A2317" t="s">
        <v>4543</v>
      </c>
      <c r="B2317" t="s">
        <v>776</v>
      </c>
      <c r="C2317" t="s">
        <v>1241</v>
      </c>
      <c r="D2317" t="s">
        <v>1575</v>
      </c>
      <c r="E2317" t="s">
        <v>777</v>
      </c>
      <c r="F2317" t="s">
        <v>1583</v>
      </c>
      <c r="I2317" t="s">
        <v>1058</v>
      </c>
      <c r="M2317" t="s">
        <v>190</v>
      </c>
      <c r="N2317" t="s">
        <v>203</v>
      </c>
      <c r="Q2317" s="2" t="str">
        <f>IF($C2317="","",IFERROR(VLOOKUP($C2317,sources!$A$2:$N$200,2,FALSE()),"?"))</f>
        <v>Photograph</v>
      </c>
      <c r="R2317" s="2" t="str">
        <f t="shared" si="36"/>
        <v>Image</v>
      </c>
      <c r="S2317" s="2" t="str">
        <f>IF($C2317="","",IFERROR(VLOOKUP($C2317,sources!$A$2:$N$200,9,FALSE()),"?"))</f>
        <v>US official</v>
      </c>
      <c r="T2317" t="s">
        <v>5692</v>
      </c>
      <c r="U2317">
        <f>IF(OR(B2317="",C2317="",T2317="Retracted",LEFT(D2317,8)="Negative"),0,IF(COUNTIFS($B$2:B2317,B2317,$C$2:C2317,C2317,$D$2:D2317,"&lt;&gt;Negative*",$T$2:T2317,"&lt;&gt;Retracted")=1,1,0))</f>
        <v>1</v>
      </c>
    </row>
    <row r="2318" spans="1:21" x14ac:dyDescent="0.2">
      <c r="A2318" t="s">
        <v>4544</v>
      </c>
      <c r="B2318" t="s">
        <v>783</v>
      </c>
      <c r="C2318" t="s">
        <v>1241</v>
      </c>
      <c r="D2318" t="s">
        <v>1575</v>
      </c>
      <c r="E2318" t="s">
        <v>784</v>
      </c>
      <c r="F2318" t="s">
        <v>1583</v>
      </c>
      <c r="I2318" t="s">
        <v>1058</v>
      </c>
      <c r="M2318" t="s">
        <v>190</v>
      </c>
      <c r="N2318" t="s">
        <v>190</v>
      </c>
      <c r="Q2318" s="2" t="str">
        <f>IF($C2318="","",IFERROR(VLOOKUP($C2318,sources!$A$2:$N$200,2,FALSE()),"?"))</f>
        <v>Photograph</v>
      </c>
      <c r="R2318" s="2" t="str">
        <f t="shared" si="36"/>
        <v>Image</v>
      </c>
      <c r="S2318" s="2" t="str">
        <f>IF($C2318="","",IFERROR(VLOOKUP($C2318,sources!$A$2:$N$200,9,FALSE()),"?"))</f>
        <v>US official</v>
      </c>
      <c r="T2318" t="s">
        <v>5692</v>
      </c>
      <c r="U2318">
        <f>IF(OR(B2318="",C2318="",T2318="Retracted",LEFT(D2318,8)="Negative"),0,IF(COUNTIFS($B$2:B2318,B2318,$C$2:C2318,C2318,$D$2:D2318,"&lt;&gt;Negative*",$T$2:T2318,"&lt;&gt;Retracted")=1,1,0))</f>
        <v>1</v>
      </c>
    </row>
    <row r="2319" spans="1:21" x14ac:dyDescent="0.2">
      <c r="A2319" t="s">
        <v>4545</v>
      </c>
      <c r="B2319" t="s">
        <v>786</v>
      </c>
      <c r="C2319" t="s">
        <v>1241</v>
      </c>
      <c r="D2319" t="s">
        <v>1575</v>
      </c>
      <c r="E2319" t="s">
        <v>787</v>
      </c>
      <c r="F2319" t="s">
        <v>1583</v>
      </c>
      <c r="I2319" t="s">
        <v>1058</v>
      </c>
      <c r="M2319" t="s">
        <v>190</v>
      </c>
      <c r="N2319" t="s">
        <v>203</v>
      </c>
      <c r="Q2319" s="2" t="str">
        <f>IF($C2319="","",IFERROR(VLOOKUP($C2319,sources!$A$2:$N$200,2,FALSE()),"?"))</f>
        <v>Photograph</v>
      </c>
      <c r="R2319" s="2" t="str">
        <f t="shared" si="36"/>
        <v>Image</v>
      </c>
      <c r="S2319" s="2" t="str">
        <f>IF($C2319="","",IFERROR(VLOOKUP($C2319,sources!$A$2:$N$200,9,FALSE()),"?"))</f>
        <v>US official</v>
      </c>
      <c r="T2319" t="s">
        <v>5692</v>
      </c>
      <c r="U2319">
        <f>IF(OR(B2319="",C2319="",T2319="Retracted",LEFT(D2319,8)="Negative"),0,IF(COUNTIFS($B$2:B2319,B2319,$C$2:C2319,C2319,$D$2:D2319,"&lt;&gt;Negative*",$T$2:T2319,"&lt;&gt;Retracted")=1,1,0))</f>
        <v>1</v>
      </c>
    </row>
    <row r="2320" spans="1:21" x14ac:dyDescent="0.2">
      <c r="A2320" t="s">
        <v>4546</v>
      </c>
      <c r="B2320" t="s">
        <v>791</v>
      </c>
      <c r="C2320" t="s">
        <v>1241</v>
      </c>
      <c r="D2320" t="s">
        <v>1575</v>
      </c>
      <c r="E2320" t="s">
        <v>4547</v>
      </c>
      <c r="F2320" t="s">
        <v>1583</v>
      </c>
      <c r="I2320" t="s">
        <v>1058</v>
      </c>
      <c r="K2320">
        <v>1907</v>
      </c>
      <c r="L2320">
        <v>1909</v>
      </c>
      <c r="M2320" t="s">
        <v>190</v>
      </c>
      <c r="N2320" t="s">
        <v>190</v>
      </c>
      <c r="Q2320" s="2" t="str">
        <f>IF($C2320="","",IFERROR(VLOOKUP($C2320,sources!$A$2:$N$200,2,FALSE()),"?"))</f>
        <v>Photograph</v>
      </c>
      <c r="R2320" s="2" t="str">
        <f t="shared" si="36"/>
        <v>Image</v>
      </c>
      <c r="S2320" s="2" t="str">
        <f>IF($C2320="","",IFERROR(VLOOKUP($C2320,sources!$A$2:$N$200,9,FALSE()),"?"))</f>
        <v>US official</v>
      </c>
      <c r="T2320" t="s">
        <v>5692</v>
      </c>
      <c r="U2320">
        <f>IF(OR(B2320="",C2320="",T2320="Retracted",LEFT(D2320,8)="Negative"),0,IF(COUNTIFS($B$2:B2320,B2320,$C$2:C2320,C2320,$D$2:D2320,"&lt;&gt;Negative*",$T$2:T2320,"&lt;&gt;Retracted")=1,1,0))</f>
        <v>1</v>
      </c>
    </row>
    <row r="2321" spans="1:21" x14ac:dyDescent="0.2">
      <c r="A2321" t="s">
        <v>4548</v>
      </c>
      <c r="B2321" t="s">
        <v>801</v>
      </c>
      <c r="C2321" t="s">
        <v>1241</v>
      </c>
      <c r="D2321" t="s">
        <v>1575</v>
      </c>
      <c r="E2321" t="s">
        <v>802</v>
      </c>
      <c r="F2321" t="s">
        <v>1583</v>
      </c>
      <c r="I2321" t="s">
        <v>1058</v>
      </c>
      <c r="K2321">
        <v>1906</v>
      </c>
      <c r="L2321">
        <v>1919</v>
      </c>
      <c r="M2321" t="s">
        <v>209</v>
      </c>
      <c r="N2321" t="s">
        <v>203</v>
      </c>
      <c r="Q2321" s="2" t="str">
        <f>IF($C2321="","",IFERROR(VLOOKUP($C2321,sources!$A$2:$N$200,2,FALSE()),"?"))</f>
        <v>Photograph</v>
      </c>
      <c r="R2321" s="2" t="str">
        <f t="shared" si="36"/>
        <v>Image</v>
      </c>
      <c r="S2321" s="2" t="str">
        <f>IF($C2321="","",IFERROR(VLOOKUP($C2321,sources!$A$2:$N$200,9,FALSE()),"?"))</f>
        <v>US official</v>
      </c>
      <c r="T2321" t="s">
        <v>5692</v>
      </c>
      <c r="U2321">
        <f>IF(OR(B2321="",C2321="",T2321="Retracted",LEFT(D2321,8)="Negative"),0,IF(COUNTIFS($B$2:B2321,B2321,$C$2:C2321,C2321,$D$2:D2321,"&lt;&gt;Negative*",$T$2:T2321,"&lt;&gt;Retracted")=1,1,0))</f>
        <v>1</v>
      </c>
    </row>
    <row r="2322" spans="1:21" x14ac:dyDescent="0.2">
      <c r="A2322" t="s">
        <v>4549</v>
      </c>
      <c r="B2322" t="s">
        <v>805</v>
      </c>
      <c r="C2322" t="s">
        <v>1241</v>
      </c>
      <c r="D2322" t="s">
        <v>1575</v>
      </c>
      <c r="E2322" t="s">
        <v>806</v>
      </c>
      <c r="F2322" t="s">
        <v>1583</v>
      </c>
      <c r="I2322" t="s">
        <v>1058</v>
      </c>
      <c r="M2322" t="s">
        <v>190</v>
      </c>
      <c r="N2322" t="s">
        <v>209</v>
      </c>
      <c r="Q2322" s="2" t="str">
        <f>IF($C2322="","",IFERROR(VLOOKUP($C2322,sources!$A$2:$N$200,2,FALSE()),"?"))</f>
        <v>Photograph</v>
      </c>
      <c r="R2322" s="2" t="str">
        <f t="shared" si="36"/>
        <v>Image</v>
      </c>
      <c r="S2322" s="2" t="str">
        <f>IF($C2322="","",IFERROR(VLOOKUP($C2322,sources!$A$2:$N$200,9,FALSE()),"?"))</f>
        <v>US official</v>
      </c>
      <c r="T2322" t="s">
        <v>5692</v>
      </c>
      <c r="U2322">
        <f>IF(OR(B2322="",C2322="",T2322="Retracted",LEFT(D2322,8)="Negative"),0,IF(COUNTIFS($B$2:B2322,B2322,$C$2:C2322,C2322,$D$2:D2322,"&lt;&gt;Negative*",$T$2:T2322,"&lt;&gt;Retracted")=1,1,0))</f>
        <v>1</v>
      </c>
    </row>
    <row r="2323" spans="1:21" x14ac:dyDescent="0.2">
      <c r="A2323" t="s">
        <v>4550</v>
      </c>
      <c r="B2323" t="s">
        <v>808</v>
      </c>
      <c r="C2323" t="s">
        <v>1241</v>
      </c>
      <c r="D2323" t="s">
        <v>1575</v>
      </c>
      <c r="E2323" t="s">
        <v>3356</v>
      </c>
      <c r="F2323" t="s">
        <v>1583</v>
      </c>
      <c r="I2323" t="s">
        <v>1058</v>
      </c>
      <c r="M2323" t="s">
        <v>190</v>
      </c>
      <c r="N2323" t="s">
        <v>190</v>
      </c>
      <c r="Q2323" s="2" t="str">
        <f>IF($C2323="","",IFERROR(VLOOKUP($C2323,sources!$A$2:$N$200,2,FALSE()),"?"))</f>
        <v>Photograph</v>
      </c>
      <c r="R2323" s="2" t="str">
        <f t="shared" si="36"/>
        <v>Image</v>
      </c>
      <c r="S2323" s="2" t="str">
        <f>IF($C2323="","",IFERROR(VLOOKUP($C2323,sources!$A$2:$N$200,9,FALSE()),"?"))</f>
        <v>US official</v>
      </c>
      <c r="T2323" t="s">
        <v>5692</v>
      </c>
      <c r="U2323">
        <f>IF(OR(B2323="",C2323="",T2323="Retracted",LEFT(D2323,8)="Negative"),0,IF(COUNTIFS($B$2:B2323,B2323,$C$2:C2323,C2323,$D$2:D2323,"&lt;&gt;Negative*",$T$2:T2323,"&lt;&gt;Retracted")=1,1,0))</f>
        <v>1</v>
      </c>
    </row>
    <row r="2324" spans="1:21" x14ac:dyDescent="0.2">
      <c r="A2324" t="s">
        <v>4551</v>
      </c>
      <c r="B2324" t="s">
        <v>811</v>
      </c>
      <c r="C2324" t="s">
        <v>1241</v>
      </c>
      <c r="D2324" t="s">
        <v>1575</v>
      </c>
      <c r="E2324" t="s">
        <v>812</v>
      </c>
      <c r="F2324" t="s">
        <v>1583</v>
      </c>
      <c r="I2324" t="s">
        <v>1058</v>
      </c>
      <c r="K2324">
        <v>1912</v>
      </c>
      <c r="L2324">
        <v>1912</v>
      </c>
      <c r="M2324" t="s">
        <v>209</v>
      </c>
      <c r="N2324" t="s">
        <v>209</v>
      </c>
      <c r="Q2324" s="2" t="str">
        <f>IF($C2324="","",IFERROR(VLOOKUP($C2324,sources!$A$2:$N$200,2,FALSE()),"?"))</f>
        <v>Photograph</v>
      </c>
      <c r="R2324" s="2" t="str">
        <f t="shared" si="36"/>
        <v>Image</v>
      </c>
      <c r="S2324" s="2" t="str">
        <f>IF($C2324="","",IFERROR(VLOOKUP($C2324,sources!$A$2:$N$200,9,FALSE()),"?"))</f>
        <v>US official</v>
      </c>
      <c r="T2324" t="s">
        <v>5692</v>
      </c>
      <c r="U2324">
        <f>IF(OR(B2324="",C2324="",T2324="Retracted",LEFT(D2324,8)="Negative"),0,IF(COUNTIFS($B$2:B2324,B2324,$C$2:C2324,C2324,$D$2:D2324,"&lt;&gt;Negative*",$T$2:T2324,"&lt;&gt;Retracted")=1,1,0))</f>
        <v>1</v>
      </c>
    </row>
    <row r="2325" spans="1:21" x14ac:dyDescent="0.2">
      <c r="A2325" t="s">
        <v>4552</v>
      </c>
      <c r="B2325" t="s">
        <v>819</v>
      </c>
      <c r="C2325" t="s">
        <v>1241</v>
      </c>
      <c r="D2325" t="s">
        <v>1575</v>
      </c>
      <c r="E2325" t="s">
        <v>820</v>
      </c>
      <c r="F2325" t="s">
        <v>1583</v>
      </c>
      <c r="I2325" t="s">
        <v>1058</v>
      </c>
      <c r="M2325" t="s">
        <v>190</v>
      </c>
      <c r="N2325" t="s">
        <v>203</v>
      </c>
      <c r="Q2325" s="2" t="str">
        <f>IF($C2325="","",IFERROR(VLOOKUP($C2325,sources!$A$2:$N$200,2,FALSE()),"?"))</f>
        <v>Photograph</v>
      </c>
      <c r="R2325" s="2" t="str">
        <f t="shared" si="36"/>
        <v>Image</v>
      </c>
      <c r="S2325" s="2" t="str">
        <f>IF($C2325="","",IFERROR(VLOOKUP($C2325,sources!$A$2:$N$200,9,FALSE()),"?"))</f>
        <v>US official</v>
      </c>
      <c r="T2325" t="s">
        <v>5692</v>
      </c>
      <c r="U2325">
        <f>IF(OR(B2325="",C2325="",T2325="Retracted",LEFT(D2325,8)="Negative"),0,IF(COUNTIFS($B$2:B2325,B2325,$C$2:C2325,C2325,$D$2:D2325,"&lt;&gt;Negative*",$T$2:T2325,"&lt;&gt;Retracted")=1,1,0))</f>
        <v>1</v>
      </c>
    </row>
    <row r="2326" spans="1:21" x14ac:dyDescent="0.2">
      <c r="A2326" t="s">
        <v>4553</v>
      </c>
      <c r="B2326" t="s">
        <v>824</v>
      </c>
      <c r="C2326" t="s">
        <v>1241</v>
      </c>
      <c r="D2326" t="s">
        <v>1575</v>
      </c>
      <c r="E2326" t="s">
        <v>825</v>
      </c>
      <c r="F2326" t="s">
        <v>1583</v>
      </c>
      <c r="I2326" t="s">
        <v>1058</v>
      </c>
      <c r="K2326">
        <v>1942</v>
      </c>
      <c r="L2326">
        <v>1966</v>
      </c>
      <c r="M2326" t="s">
        <v>209</v>
      </c>
      <c r="N2326" t="s">
        <v>209</v>
      </c>
      <c r="Q2326" s="2" t="str">
        <f>IF($C2326="","",IFERROR(VLOOKUP($C2326,sources!$A$2:$N$200,2,FALSE()),"?"))</f>
        <v>Photograph</v>
      </c>
      <c r="R2326" s="2" t="str">
        <f t="shared" si="36"/>
        <v>Image</v>
      </c>
      <c r="S2326" s="2" t="str">
        <f>IF($C2326="","",IFERROR(VLOOKUP($C2326,sources!$A$2:$N$200,9,FALSE()),"?"))</f>
        <v>US official</v>
      </c>
      <c r="T2326" t="s">
        <v>5692</v>
      </c>
      <c r="U2326">
        <f>IF(OR(B2326="",C2326="",T2326="Retracted",LEFT(D2326,8)="Negative"),0,IF(COUNTIFS($B$2:B2326,B2326,$C$2:C2326,C2326,$D$2:D2326,"&lt;&gt;Negative*",$T$2:T2326,"&lt;&gt;Retracted")=1,1,0))</f>
        <v>1</v>
      </c>
    </row>
    <row r="2327" spans="1:21" x14ac:dyDescent="0.2">
      <c r="A2327" t="s">
        <v>4554</v>
      </c>
      <c r="B2327" t="s">
        <v>828</v>
      </c>
      <c r="C2327" t="s">
        <v>1241</v>
      </c>
      <c r="D2327" t="s">
        <v>1575</v>
      </c>
      <c r="E2327" t="s">
        <v>829</v>
      </c>
      <c r="F2327" t="s">
        <v>1583</v>
      </c>
      <c r="I2327" t="s">
        <v>1058</v>
      </c>
      <c r="K2327">
        <v>1919</v>
      </c>
      <c r="L2327">
        <v>1919</v>
      </c>
      <c r="M2327" t="s">
        <v>209</v>
      </c>
      <c r="N2327" t="s">
        <v>203</v>
      </c>
      <c r="Q2327" s="2" t="str">
        <f>IF($C2327="","",IFERROR(VLOOKUP($C2327,sources!$A$2:$N$200,2,FALSE()),"?"))</f>
        <v>Photograph</v>
      </c>
      <c r="R2327" s="2" t="str">
        <f t="shared" si="36"/>
        <v>Image</v>
      </c>
      <c r="S2327" s="2" t="str">
        <f>IF($C2327="","",IFERROR(VLOOKUP($C2327,sources!$A$2:$N$200,9,FALSE()),"?"))</f>
        <v>US official</v>
      </c>
      <c r="T2327" t="s">
        <v>5692</v>
      </c>
      <c r="U2327">
        <f>IF(OR(B2327="",C2327="",T2327="Retracted",LEFT(D2327,8)="Negative"),0,IF(COUNTIFS($B$2:B2327,B2327,$C$2:C2327,C2327,$D$2:D2327,"&lt;&gt;Negative*",$T$2:T2327,"&lt;&gt;Retracted")=1,1,0))</f>
        <v>1</v>
      </c>
    </row>
    <row r="2328" spans="1:21" x14ac:dyDescent="0.2">
      <c r="A2328" t="s">
        <v>4555</v>
      </c>
      <c r="B2328" t="s">
        <v>832</v>
      </c>
      <c r="C2328" t="s">
        <v>1241</v>
      </c>
      <c r="D2328" t="s">
        <v>1575</v>
      </c>
      <c r="E2328" t="s">
        <v>833</v>
      </c>
      <c r="F2328" t="s">
        <v>1583</v>
      </c>
      <c r="I2328" t="s">
        <v>1058</v>
      </c>
      <c r="K2328">
        <v>1942</v>
      </c>
      <c r="L2328">
        <v>1955</v>
      </c>
      <c r="M2328" t="s">
        <v>209</v>
      </c>
      <c r="N2328" t="s">
        <v>209</v>
      </c>
      <c r="Q2328" s="2" t="str">
        <f>IF($C2328="","",IFERROR(VLOOKUP($C2328,sources!$A$2:$N$200,2,FALSE()),"?"))</f>
        <v>Photograph</v>
      </c>
      <c r="R2328" s="2" t="str">
        <f t="shared" si="36"/>
        <v>Image</v>
      </c>
      <c r="S2328" s="2" t="str">
        <f>IF($C2328="","",IFERROR(VLOOKUP($C2328,sources!$A$2:$N$200,9,FALSE()),"?"))</f>
        <v>US official</v>
      </c>
      <c r="T2328" t="s">
        <v>5692</v>
      </c>
      <c r="U2328">
        <f>IF(OR(B2328="",C2328="",T2328="Retracted",LEFT(D2328,8)="Negative"),0,IF(COUNTIFS($B$2:B2328,B2328,$C$2:C2328,C2328,$D$2:D2328,"&lt;&gt;Negative*",$T$2:T2328,"&lt;&gt;Retracted")=1,1,0))</f>
        <v>1</v>
      </c>
    </row>
    <row r="2329" spans="1:21" x14ac:dyDescent="0.2">
      <c r="A2329" t="s">
        <v>4556</v>
      </c>
      <c r="B2329" t="s">
        <v>847</v>
      </c>
      <c r="C2329" t="s">
        <v>1241</v>
      </c>
      <c r="D2329" t="s">
        <v>1575</v>
      </c>
      <c r="E2329" t="s">
        <v>848</v>
      </c>
      <c r="F2329" t="s">
        <v>1583</v>
      </c>
      <c r="I2329" t="s">
        <v>1058</v>
      </c>
      <c r="M2329" t="s">
        <v>190</v>
      </c>
      <c r="N2329" t="s">
        <v>190</v>
      </c>
      <c r="Q2329" s="2" t="str">
        <f>IF($C2329="","",IFERROR(VLOOKUP($C2329,sources!$A$2:$N$200,2,FALSE()),"?"))</f>
        <v>Photograph</v>
      </c>
      <c r="R2329" s="2" t="str">
        <f t="shared" si="36"/>
        <v>Image</v>
      </c>
      <c r="S2329" s="2" t="str">
        <f>IF($C2329="","",IFERROR(VLOOKUP($C2329,sources!$A$2:$N$200,9,FALSE()),"?"))</f>
        <v>US official</v>
      </c>
      <c r="T2329" t="s">
        <v>5692</v>
      </c>
      <c r="U2329">
        <f>IF(OR(B2329="",C2329="",T2329="Retracted",LEFT(D2329,8)="Negative"),0,IF(COUNTIFS($B$2:B2329,B2329,$C$2:C2329,C2329,$D$2:D2329,"&lt;&gt;Negative*",$T$2:T2329,"&lt;&gt;Retracted")=1,1,0))</f>
        <v>1</v>
      </c>
    </row>
    <row r="2330" spans="1:21" x14ac:dyDescent="0.2">
      <c r="A2330" t="s">
        <v>4557</v>
      </c>
      <c r="B2330" t="s">
        <v>856</v>
      </c>
      <c r="C2330" t="s">
        <v>1241</v>
      </c>
      <c r="D2330" t="s">
        <v>1613</v>
      </c>
      <c r="E2330" t="s">
        <v>3320</v>
      </c>
      <c r="F2330" t="s">
        <v>1583</v>
      </c>
      <c r="I2330" t="s">
        <v>1058</v>
      </c>
      <c r="M2330" t="s">
        <v>190</v>
      </c>
      <c r="N2330" t="s">
        <v>209</v>
      </c>
      <c r="Q2330" s="2" t="str">
        <f>IF($C2330="","",IFERROR(VLOOKUP($C2330,sources!$A$2:$N$200,2,FALSE()),"?"))</f>
        <v>Photograph</v>
      </c>
      <c r="R2330" s="2" t="str">
        <f t="shared" si="36"/>
        <v>Image</v>
      </c>
      <c r="S2330" s="2" t="str">
        <f>IF($C2330="","",IFERROR(VLOOKUP($C2330,sources!$A$2:$N$200,9,FALSE()),"?"))</f>
        <v>US official</v>
      </c>
      <c r="T2330" t="s">
        <v>5692</v>
      </c>
      <c r="U2330">
        <f>IF(OR(B2330="",C2330="",T2330="Retracted",LEFT(D2330,8)="Negative"),0,IF(COUNTIFS($B$2:B2330,B2330,$C$2:C2330,C2330,$D$2:D2330,"&lt;&gt;Negative*",$T$2:T2330,"&lt;&gt;Retracted")=1,1,0))</f>
        <v>0</v>
      </c>
    </row>
    <row r="2331" spans="1:21" x14ac:dyDescent="0.2">
      <c r="A2331" t="s">
        <v>4558</v>
      </c>
      <c r="B2331" t="s">
        <v>860</v>
      </c>
      <c r="C2331" t="s">
        <v>1241</v>
      </c>
      <c r="D2331" t="s">
        <v>1575</v>
      </c>
      <c r="E2331" t="s">
        <v>3322</v>
      </c>
      <c r="F2331" t="s">
        <v>1583</v>
      </c>
      <c r="I2331" t="s">
        <v>1058</v>
      </c>
      <c r="M2331" t="s">
        <v>190</v>
      </c>
      <c r="N2331" t="s">
        <v>203</v>
      </c>
      <c r="Q2331" s="2" t="str">
        <f>IF($C2331="","",IFERROR(VLOOKUP($C2331,sources!$A$2:$N$200,2,FALSE()),"?"))</f>
        <v>Photograph</v>
      </c>
      <c r="R2331" s="2" t="str">
        <f t="shared" si="36"/>
        <v>Image</v>
      </c>
      <c r="S2331" s="2" t="str">
        <f>IF($C2331="","",IFERROR(VLOOKUP($C2331,sources!$A$2:$N$200,9,FALSE()),"?"))</f>
        <v>US official</v>
      </c>
      <c r="T2331" t="s">
        <v>5692</v>
      </c>
      <c r="U2331">
        <f>IF(OR(B2331="",C2331="",T2331="Retracted",LEFT(D2331,8)="Negative"),0,IF(COUNTIFS($B$2:B2331,B2331,$C$2:C2331,C2331,$D$2:D2331,"&lt;&gt;Negative*",$T$2:T2331,"&lt;&gt;Retracted")=1,1,0))</f>
        <v>1</v>
      </c>
    </row>
    <row r="2332" spans="1:21" x14ac:dyDescent="0.2">
      <c r="A2332" t="s">
        <v>4559</v>
      </c>
      <c r="B2332" t="s">
        <v>865</v>
      </c>
      <c r="C2332" t="s">
        <v>1241</v>
      </c>
      <c r="D2332" t="s">
        <v>1613</v>
      </c>
      <c r="E2332" t="s">
        <v>3324</v>
      </c>
      <c r="F2332" t="s">
        <v>1583</v>
      </c>
      <c r="I2332" t="s">
        <v>1058</v>
      </c>
      <c r="M2332" t="s">
        <v>190</v>
      </c>
      <c r="N2332" t="s">
        <v>209</v>
      </c>
      <c r="Q2332" s="2" t="str">
        <f>IF($C2332="","",IFERROR(VLOOKUP($C2332,sources!$A$2:$N$200,2,FALSE()),"?"))</f>
        <v>Photograph</v>
      </c>
      <c r="R2332" s="2" t="str">
        <f t="shared" si="36"/>
        <v>Image</v>
      </c>
      <c r="S2332" s="2" t="str">
        <f>IF($C2332="","",IFERROR(VLOOKUP($C2332,sources!$A$2:$N$200,9,FALSE()),"?"))</f>
        <v>US official</v>
      </c>
      <c r="T2332" t="s">
        <v>5692</v>
      </c>
      <c r="U2332">
        <f>IF(OR(B2332="",C2332="",T2332="Retracted",LEFT(D2332,8)="Negative"),0,IF(COUNTIFS($B$2:B2332,B2332,$C$2:C2332,C2332,$D$2:D2332,"&lt;&gt;Negative*",$T$2:T2332,"&lt;&gt;Retracted")=1,1,0))</f>
        <v>0</v>
      </c>
    </row>
    <row r="2333" spans="1:21" x14ac:dyDescent="0.2">
      <c r="A2333" t="s">
        <v>4560</v>
      </c>
      <c r="B2333" t="s">
        <v>869</v>
      </c>
      <c r="C2333" t="s">
        <v>1241</v>
      </c>
      <c r="D2333" t="s">
        <v>1575</v>
      </c>
      <c r="E2333" t="s">
        <v>4561</v>
      </c>
      <c r="F2333" t="s">
        <v>1583</v>
      </c>
      <c r="I2333" t="s">
        <v>1058</v>
      </c>
      <c r="M2333" t="s">
        <v>190</v>
      </c>
      <c r="N2333" t="s">
        <v>190</v>
      </c>
      <c r="Q2333" s="2" t="str">
        <f>IF($C2333="","",IFERROR(VLOOKUP($C2333,sources!$A$2:$N$200,2,FALSE()),"?"))</f>
        <v>Photograph</v>
      </c>
      <c r="R2333" s="2" t="str">
        <f t="shared" si="36"/>
        <v>Image</v>
      </c>
      <c r="S2333" s="2" t="str">
        <f>IF($C2333="","",IFERROR(VLOOKUP($C2333,sources!$A$2:$N$200,9,FALSE()),"?"))</f>
        <v>US official</v>
      </c>
      <c r="T2333" t="s">
        <v>5692</v>
      </c>
      <c r="U2333">
        <f>IF(OR(B2333="",C2333="",T2333="Retracted",LEFT(D2333,8)="Negative"),0,IF(COUNTIFS($B$2:B2333,B2333,$C$2:C2333,C2333,$D$2:D2333,"&lt;&gt;Negative*",$T$2:T2333,"&lt;&gt;Retracted")=1,1,0))</f>
        <v>1</v>
      </c>
    </row>
    <row r="2334" spans="1:21" x14ac:dyDescent="0.2">
      <c r="A2334" t="s">
        <v>4562</v>
      </c>
      <c r="B2334" t="s">
        <v>873</v>
      </c>
      <c r="C2334" t="s">
        <v>1241</v>
      </c>
      <c r="D2334" t="s">
        <v>1575</v>
      </c>
      <c r="E2334" t="s">
        <v>4563</v>
      </c>
      <c r="F2334" t="s">
        <v>1583</v>
      </c>
      <c r="I2334" t="s">
        <v>1058</v>
      </c>
      <c r="M2334" t="s">
        <v>190</v>
      </c>
      <c r="N2334" t="s">
        <v>190</v>
      </c>
      <c r="Q2334" s="2" t="str">
        <f>IF($C2334="","",IFERROR(VLOOKUP($C2334,sources!$A$2:$N$200,2,FALSE()),"?"))</f>
        <v>Photograph</v>
      </c>
      <c r="R2334" s="2" t="str">
        <f t="shared" si="36"/>
        <v>Image</v>
      </c>
      <c r="S2334" s="2" t="str">
        <f>IF($C2334="","",IFERROR(VLOOKUP($C2334,sources!$A$2:$N$200,9,FALSE()),"?"))</f>
        <v>US official</v>
      </c>
      <c r="T2334" t="s">
        <v>5692</v>
      </c>
      <c r="U2334">
        <f>IF(OR(B2334="",C2334="",T2334="Retracted",LEFT(D2334,8)="Negative"),0,IF(COUNTIFS($B$2:B2334,B2334,$C$2:C2334,C2334,$D$2:D2334,"&lt;&gt;Negative*",$T$2:T2334,"&lt;&gt;Retracted")=1,1,0))</f>
        <v>1</v>
      </c>
    </row>
    <row r="2335" spans="1:21" x14ac:dyDescent="0.2">
      <c r="A2335" t="s">
        <v>4564</v>
      </c>
      <c r="B2335" t="s">
        <v>876</v>
      </c>
      <c r="C2335" t="s">
        <v>1241</v>
      </c>
      <c r="D2335" t="s">
        <v>1575</v>
      </c>
      <c r="E2335" t="s">
        <v>4565</v>
      </c>
      <c r="F2335" t="s">
        <v>1583</v>
      </c>
      <c r="I2335" t="s">
        <v>1058</v>
      </c>
      <c r="K2335">
        <v>1905</v>
      </c>
      <c r="L2335">
        <v>1905</v>
      </c>
      <c r="M2335" t="s">
        <v>209</v>
      </c>
      <c r="N2335" t="s">
        <v>203</v>
      </c>
      <c r="Q2335" s="2" t="str">
        <f>IF($C2335="","",IFERROR(VLOOKUP($C2335,sources!$A$2:$N$200,2,FALSE()),"?"))</f>
        <v>Photograph</v>
      </c>
      <c r="R2335" s="2" t="str">
        <f t="shared" si="36"/>
        <v>Image</v>
      </c>
      <c r="S2335" s="2" t="str">
        <f>IF($C2335="","",IFERROR(VLOOKUP($C2335,sources!$A$2:$N$200,9,FALSE()),"?"))</f>
        <v>US official</v>
      </c>
      <c r="T2335" t="s">
        <v>5692</v>
      </c>
      <c r="U2335">
        <f>IF(OR(B2335="",C2335="",T2335="Retracted",LEFT(D2335,8)="Negative"),0,IF(COUNTIFS($B$2:B2335,B2335,$C$2:C2335,C2335,$D$2:D2335,"&lt;&gt;Negative*",$T$2:T2335,"&lt;&gt;Retracted")=1,1,0))</f>
        <v>1</v>
      </c>
    </row>
    <row r="2336" spans="1:21" x14ac:dyDescent="0.2">
      <c r="A2336" t="s">
        <v>4566</v>
      </c>
      <c r="B2336" t="s">
        <v>879</v>
      </c>
      <c r="C2336" t="s">
        <v>1241</v>
      </c>
      <c r="D2336" t="s">
        <v>1613</v>
      </c>
      <c r="E2336" t="s">
        <v>4313</v>
      </c>
      <c r="F2336" t="s">
        <v>1583</v>
      </c>
      <c r="I2336" t="s">
        <v>1058</v>
      </c>
      <c r="M2336" t="s">
        <v>190</v>
      </c>
      <c r="N2336" t="s">
        <v>209</v>
      </c>
      <c r="Q2336" s="2" t="str">
        <f>IF($C2336="","",IFERROR(VLOOKUP($C2336,sources!$A$2:$N$200,2,FALSE()),"?"))</f>
        <v>Photograph</v>
      </c>
      <c r="R2336" s="2" t="str">
        <f t="shared" si="36"/>
        <v>Image</v>
      </c>
      <c r="S2336" s="2" t="str">
        <f>IF($C2336="","",IFERROR(VLOOKUP($C2336,sources!$A$2:$N$200,9,FALSE()),"?"))</f>
        <v>US official</v>
      </c>
      <c r="T2336" t="s">
        <v>5692</v>
      </c>
      <c r="U2336">
        <f>IF(OR(B2336="",C2336="",T2336="Retracted",LEFT(D2336,8)="Negative"),0,IF(COUNTIFS($B$2:B2336,B2336,$C$2:C2336,C2336,$D$2:D2336,"&lt;&gt;Negative*",$T$2:T2336,"&lt;&gt;Retracted")=1,1,0))</f>
        <v>0</v>
      </c>
    </row>
    <row r="2337" spans="1:21" x14ac:dyDescent="0.2">
      <c r="A2337" t="s">
        <v>4567</v>
      </c>
      <c r="B2337" t="s">
        <v>888</v>
      </c>
      <c r="C2337" t="s">
        <v>1241</v>
      </c>
      <c r="D2337" t="s">
        <v>1564</v>
      </c>
      <c r="E2337" t="s">
        <v>4265</v>
      </c>
      <c r="F2337" t="s">
        <v>1583</v>
      </c>
      <c r="I2337" t="s">
        <v>1058</v>
      </c>
      <c r="M2337" t="s">
        <v>190</v>
      </c>
      <c r="N2337" t="s">
        <v>203</v>
      </c>
      <c r="Q2337" s="2" t="str">
        <f>IF($C2337="","",IFERROR(VLOOKUP($C2337,sources!$A$2:$N$200,2,FALSE()),"?"))</f>
        <v>Photograph</v>
      </c>
      <c r="R2337" s="2" t="str">
        <f t="shared" si="36"/>
        <v>Image</v>
      </c>
      <c r="S2337" s="2" t="str">
        <f>IF($C2337="","",IFERROR(VLOOKUP($C2337,sources!$A$2:$N$200,9,FALSE()),"?"))</f>
        <v>US official</v>
      </c>
      <c r="T2337" t="s">
        <v>5692</v>
      </c>
      <c r="U2337">
        <f>IF(OR(B2337="",C2337="",T2337="Retracted",LEFT(D2337,8)="Negative"),0,IF(COUNTIFS($B$2:B2337,B2337,$C$2:C2337,C2337,$D$2:D2337,"&lt;&gt;Negative*",$T$2:T2337,"&lt;&gt;Retracted")=1,1,0))</f>
        <v>1</v>
      </c>
    </row>
    <row r="2338" spans="1:21" x14ac:dyDescent="0.2">
      <c r="A2338" t="s">
        <v>4568</v>
      </c>
      <c r="B2338" t="s">
        <v>892</v>
      </c>
      <c r="C2338" t="s">
        <v>1241</v>
      </c>
      <c r="D2338" t="s">
        <v>1613</v>
      </c>
      <c r="E2338" t="s">
        <v>4345</v>
      </c>
      <c r="F2338" t="s">
        <v>1583</v>
      </c>
      <c r="I2338" t="s">
        <v>1058</v>
      </c>
      <c r="M2338" t="s">
        <v>190</v>
      </c>
      <c r="N2338" t="s">
        <v>209</v>
      </c>
      <c r="Q2338" s="2" t="str">
        <f>IF($C2338="","",IFERROR(VLOOKUP($C2338,sources!$A$2:$N$200,2,FALSE()),"?"))</f>
        <v>Photograph</v>
      </c>
      <c r="R2338" s="2" t="str">
        <f t="shared" si="36"/>
        <v>Image</v>
      </c>
      <c r="S2338" s="2" t="str">
        <f>IF($C2338="","",IFERROR(VLOOKUP($C2338,sources!$A$2:$N$200,9,FALSE()),"?"))</f>
        <v>US official</v>
      </c>
      <c r="T2338" t="s">
        <v>5692</v>
      </c>
      <c r="U2338">
        <f>IF(OR(B2338="",C2338="",T2338="Retracted",LEFT(D2338,8)="Negative"),0,IF(COUNTIFS($B$2:B2338,B2338,$C$2:C2338,C2338,$D$2:D2338,"&lt;&gt;Negative*",$T$2:T2338,"&lt;&gt;Retracted")=1,1,0))</f>
        <v>0</v>
      </c>
    </row>
    <row r="2339" spans="1:21" x14ac:dyDescent="0.2">
      <c r="A2339" t="s">
        <v>4569</v>
      </c>
      <c r="B2339" t="s">
        <v>896</v>
      </c>
      <c r="C2339" t="s">
        <v>1241</v>
      </c>
      <c r="D2339" t="s">
        <v>1613</v>
      </c>
      <c r="E2339" t="s">
        <v>897</v>
      </c>
      <c r="F2339" t="s">
        <v>1583</v>
      </c>
      <c r="I2339" t="s">
        <v>1058</v>
      </c>
      <c r="M2339" t="s">
        <v>190</v>
      </c>
      <c r="N2339" t="s">
        <v>209</v>
      </c>
      <c r="Q2339" s="2" t="str">
        <f>IF($C2339="","",IFERROR(VLOOKUP($C2339,sources!$A$2:$N$200,2,FALSE()),"?"))</f>
        <v>Photograph</v>
      </c>
      <c r="R2339" s="2" t="str">
        <f t="shared" si="36"/>
        <v>Image</v>
      </c>
      <c r="S2339" s="2" t="str">
        <f>IF($C2339="","",IFERROR(VLOOKUP($C2339,sources!$A$2:$N$200,9,FALSE()),"?"))</f>
        <v>US official</v>
      </c>
      <c r="T2339" t="s">
        <v>5692</v>
      </c>
      <c r="U2339">
        <f>IF(OR(B2339="",C2339="",T2339="Retracted",LEFT(D2339,8)="Negative"),0,IF(COUNTIFS($B$2:B2339,B2339,$C$2:C2339,C2339,$D$2:D2339,"&lt;&gt;Negative*",$T$2:T2339,"&lt;&gt;Retracted")=1,1,0))</f>
        <v>0</v>
      </c>
    </row>
    <row r="2340" spans="1:21" x14ac:dyDescent="0.2">
      <c r="A2340" t="s">
        <v>4570</v>
      </c>
      <c r="B2340" t="s">
        <v>899</v>
      </c>
      <c r="C2340" t="s">
        <v>1241</v>
      </c>
      <c r="D2340" t="s">
        <v>1564</v>
      </c>
      <c r="E2340" t="s">
        <v>4571</v>
      </c>
      <c r="F2340" t="s">
        <v>1583</v>
      </c>
      <c r="I2340" t="s">
        <v>1058</v>
      </c>
      <c r="M2340" t="s">
        <v>190</v>
      </c>
      <c r="N2340" t="s">
        <v>190</v>
      </c>
      <c r="Q2340" s="2" t="str">
        <f>IF($C2340="","",IFERROR(VLOOKUP($C2340,sources!$A$2:$N$200,2,FALSE()),"?"))</f>
        <v>Photograph</v>
      </c>
      <c r="R2340" s="2" t="str">
        <f t="shared" si="36"/>
        <v>Image</v>
      </c>
      <c r="S2340" s="2" t="str">
        <f>IF($C2340="","",IFERROR(VLOOKUP($C2340,sources!$A$2:$N$200,9,FALSE()),"?"))</f>
        <v>US official</v>
      </c>
      <c r="T2340" t="s">
        <v>5692</v>
      </c>
      <c r="U2340">
        <f>IF(OR(B2340="",C2340="",T2340="Retracted",LEFT(D2340,8)="Negative"),0,IF(COUNTIFS($B$2:B2340,B2340,$C$2:C2340,C2340,$D$2:D2340,"&lt;&gt;Negative*",$T$2:T2340,"&lt;&gt;Retracted")=1,1,0))</f>
        <v>1</v>
      </c>
    </row>
    <row r="2341" spans="1:21" x14ac:dyDescent="0.2">
      <c r="A2341" t="s">
        <v>4572</v>
      </c>
      <c r="B2341" t="s">
        <v>902</v>
      </c>
      <c r="C2341" t="s">
        <v>1241</v>
      </c>
      <c r="D2341" t="s">
        <v>1564</v>
      </c>
      <c r="E2341" t="s">
        <v>4573</v>
      </c>
      <c r="F2341" t="s">
        <v>1583</v>
      </c>
      <c r="I2341" t="s">
        <v>1058</v>
      </c>
      <c r="M2341" t="s">
        <v>190</v>
      </c>
      <c r="N2341" t="s">
        <v>190</v>
      </c>
      <c r="Q2341" s="2" t="str">
        <f>IF($C2341="","",IFERROR(VLOOKUP($C2341,sources!$A$2:$N$200,2,FALSE()),"?"))</f>
        <v>Photograph</v>
      </c>
      <c r="R2341" s="2" t="str">
        <f t="shared" si="36"/>
        <v>Image</v>
      </c>
      <c r="S2341" s="2" t="str">
        <f>IF($C2341="","",IFERROR(VLOOKUP($C2341,sources!$A$2:$N$200,9,FALSE()),"?"))</f>
        <v>US official</v>
      </c>
      <c r="T2341" t="s">
        <v>5692</v>
      </c>
      <c r="U2341">
        <f>IF(OR(B2341="",C2341="",T2341="Retracted",LEFT(D2341,8)="Negative"),0,IF(COUNTIFS($B$2:B2341,B2341,$C$2:C2341,C2341,$D$2:D2341,"&lt;&gt;Negative*",$T$2:T2341,"&lt;&gt;Retracted")=1,1,0))</f>
        <v>1</v>
      </c>
    </row>
    <row r="2342" spans="1:21" x14ac:dyDescent="0.2">
      <c r="A2342" t="s">
        <v>4574</v>
      </c>
      <c r="B2342" t="s">
        <v>906</v>
      </c>
      <c r="C2342" t="s">
        <v>1241</v>
      </c>
      <c r="D2342" t="s">
        <v>1613</v>
      </c>
      <c r="E2342" t="s">
        <v>908</v>
      </c>
      <c r="F2342" t="s">
        <v>1583</v>
      </c>
      <c r="I2342" t="s">
        <v>1058</v>
      </c>
      <c r="M2342" t="s">
        <v>190</v>
      </c>
      <c r="N2342" t="s">
        <v>209</v>
      </c>
      <c r="Q2342" s="2" t="str">
        <f>IF($C2342="","",IFERROR(VLOOKUP($C2342,sources!$A$2:$N$200,2,FALSE()),"?"))</f>
        <v>Photograph</v>
      </c>
      <c r="R2342" s="2" t="str">
        <f t="shared" si="36"/>
        <v>Image</v>
      </c>
      <c r="S2342" s="2" t="str">
        <f>IF($C2342="","",IFERROR(VLOOKUP($C2342,sources!$A$2:$N$200,9,FALSE()),"?"))</f>
        <v>US official</v>
      </c>
      <c r="T2342" t="s">
        <v>5692</v>
      </c>
      <c r="U2342">
        <f>IF(OR(B2342="",C2342="",T2342="Retracted",LEFT(D2342,8)="Negative"),0,IF(COUNTIFS($B$2:B2342,B2342,$C$2:C2342,C2342,$D$2:D2342,"&lt;&gt;Negative*",$T$2:T2342,"&lt;&gt;Retracted")=1,1,0))</f>
        <v>0</v>
      </c>
    </row>
    <row r="2343" spans="1:21" x14ac:dyDescent="0.2">
      <c r="A2343" t="s">
        <v>4575</v>
      </c>
      <c r="B2343" t="s">
        <v>914</v>
      </c>
      <c r="C2343" t="s">
        <v>1241</v>
      </c>
      <c r="D2343" t="s">
        <v>1613</v>
      </c>
      <c r="E2343" t="s">
        <v>915</v>
      </c>
      <c r="F2343" t="s">
        <v>1583</v>
      </c>
      <c r="I2343" t="s">
        <v>1058</v>
      </c>
      <c r="M2343" t="s">
        <v>190</v>
      </c>
      <c r="N2343" t="s">
        <v>209</v>
      </c>
      <c r="Q2343" s="2" t="str">
        <f>IF($C2343="","",IFERROR(VLOOKUP($C2343,sources!$A$2:$N$200,2,FALSE()),"?"))</f>
        <v>Photograph</v>
      </c>
      <c r="R2343" s="2" t="str">
        <f t="shared" si="36"/>
        <v>Image</v>
      </c>
      <c r="S2343" s="2" t="str">
        <f>IF($C2343="","",IFERROR(VLOOKUP($C2343,sources!$A$2:$N$200,9,FALSE()),"?"))</f>
        <v>US official</v>
      </c>
      <c r="T2343" t="s">
        <v>5692</v>
      </c>
      <c r="U2343">
        <f>IF(OR(B2343="",C2343="",T2343="Retracted",LEFT(D2343,8)="Negative"),0,IF(COUNTIFS($B$2:B2343,B2343,$C$2:C2343,C2343,$D$2:D2343,"&lt;&gt;Negative*",$T$2:T2343,"&lt;&gt;Retracted")=1,1,0))</f>
        <v>0</v>
      </c>
    </row>
    <row r="2344" spans="1:21" x14ac:dyDescent="0.2">
      <c r="A2344" t="s">
        <v>4576</v>
      </c>
      <c r="B2344" t="s">
        <v>924</v>
      </c>
      <c r="C2344" t="s">
        <v>1241</v>
      </c>
      <c r="D2344" t="s">
        <v>1613</v>
      </c>
      <c r="E2344" t="s">
        <v>4281</v>
      </c>
      <c r="F2344" t="s">
        <v>1583</v>
      </c>
      <c r="I2344" t="s">
        <v>1058</v>
      </c>
      <c r="M2344" t="s">
        <v>190</v>
      </c>
      <c r="N2344" t="s">
        <v>209</v>
      </c>
      <c r="Q2344" s="2" t="str">
        <f>IF($C2344="","",IFERROR(VLOOKUP($C2344,sources!$A$2:$N$200,2,FALSE()),"?"))</f>
        <v>Photograph</v>
      </c>
      <c r="R2344" s="2" t="str">
        <f t="shared" si="36"/>
        <v>Image</v>
      </c>
      <c r="S2344" s="2" t="str">
        <f>IF($C2344="","",IFERROR(VLOOKUP($C2344,sources!$A$2:$N$200,9,FALSE()),"?"))</f>
        <v>US official</v>
      </c>
      <c r="T2344" t="s">
        <v>5692</v>
      </c>
      <c r="U2344">
        <f>IF(OR(B2344="",C2344="",T2344="Retracted",LEFT(D2344,8)="Negative"),0,IF(COUNTIFS($B$2:B2344,B2344,$C$2:C2344,C2344,$D$2:D2344,"&lt;&gt;Negative*",$T$2:T2344,"&lt;&gt;Retracted")=1,1,0))</f>
        <v>0</v>
      </c>
    </row>
    <row r="2345" spans="1:21" x14ac:dyDescent="0.2">
      <c r="A2345" t="s">
        <v>4577</v>
      </c>
      <c r="B2345" t="s">
        <v>932</v>
      </c>
      <c r="C2345" t="s">
        <v>1241</v>
      </c>
      <c r="D2345" t="s">
        <v>1575</v>
      </c>
      <c r="E2345" t="s">
        <v>934</v>
      </c>
      <c r="F2345" t="s">
        <v>1583</v>
      </c>
      <c r="I2345" t="s">
        <v>1058</v>
      </c>
      <c r="K2345">
        <v>1908</v>
      </c>
      <c r="L2345">
        <v>1910</v>
      </c>
      <c r="M2345" t="s">
        <v>209</v>
      </c>
      <c r="N2345" t="s">
        <v>203</v>
      </c>
      <c r="Q2345" s="2" t="str">
        <f>IF($C2345="","",IFERROR(VLOOKUP($C2345,sources!$A$2:$N$200,2,FALSE()),"?"))</f>
        <v>Photograph</v>
      </c>
      <c r="R2345" s="2" t="str">
        <f t="shared" si="36"/>
        <v>Image</v>
      </c>
      <c r="S2345" s="2" t="str">
        <f>IF($C2345="","",IFERROR(VLOOKUP($C2345,sources!$A$2:$N$200,9,FALSE()),"?"))</f>
        <v>US official</v>
      </c>
      <c r="T2345" t="s">
        <v>5692</v>
      </c>
      <c r="U2345">
        <f>IF(OR(B2345="",C2345="",T2345="Retracted",LEFT(D2345,8)="Negative"),0,IF(COUNTIFS($B$2:B2345,B2345,$C$2:C2345,C2345,$D$2:D2345,"&lt;&gt;Negative*",$T$2:T2345,"&lt;&gt;Retracted")=1,1,0))</f>
        <v>1</v>
      </c>
    </row>
    <row r="2346" spans="1:21" x14ac:dyDescent="0.2">
      <c r="A2346" t="s">
        <v>4578</v>
      </c>
      <c r="B2346" t="s">
        <v>938</v>
      </c>
      <c r="C2346" t="s">
        <v>1241</v>
      </c>
      <c r="D2346" t="s">
        <v>1575</v>
      </c>
      <c r="E2346" t="s">
        <v>939</v>
      </c>
      <c r="F2346" t="s">
        <v>1583</v>
      </c>
      <c r="I2346" t="s">
        <v>1058</v>
      </c>
      <c r="M2346" t="s">
        <v>190</v>
      </c>
      <c r="N2346" t="s">
        <v>209</v>
      </c>
      <c r="Q2346" s="2" t="str">
        <f>IF($C2346="","",IFERROR(VLOOKUP($C2346,sources!$A$2:$N$200,2,FALSE()),"?"))</f>
        <v>Photograph</v>
      </c>
      <c r="R2346" s="2" t="str">
        <f t="shared" si="36"/>
        <v>Image</v>
      </c>
      <c r="S2346" s="2" t="str">
        <f>IF($C2346="","",IFERROR(VLOOKUP($C2346,sources!$A$2:$N$200,9,FALSE()),"?"))</f>
        <v>US official</v>
      </c>
      <c r="T2346" t="s">
        <v>5692</v>
      </c>
      <c r="U2346">
        <f>IF(OR(B2346="",C2346="",T2346="Retracted",LEFT(D2346,8)="Negative"),0,IF(COUNTIFS($B$2:B2346,B2346,$C$2:C2346,C2346,$D$2:D2346,"&lt;&gt;Negative*",$T$2:T2346,"&lt;&gt;Retracted")=1,1,0))</f>
        <v>1</v>
      </c>
    </row>
    <row r="2347" spans="1:21" x14ac:dyDescent="0.2">
      <c r="A2347" t="s">
        <v>4579</v>
      </c>
      <c r="B2347" t="s">
        <v>943</v>
      </c>
      <c r="C2347" t="s">
        <v>1241</v>
      </c>
      <c r="D2347" t="s">
        <v>1564</v>
      </c>
      <c r="E2347" t="s">
        <v>4033</v>
      </c>
      <c r="F2347" t="s">
        <v>1583</v>
      </c>
      <c r="I2347" t="s">
        <v>1058</v>
      </c>
      <c r="M2347" t="s">
        <v>190</v>
      </c>
      <c r="N2347" t="s">
        <v>209</v>
      </c>
      <c r="Q2347" s="2" t="str">
        <f>IF($C2347="","",IFERROR(VLOOKUP($C2347,sources!$A$2:$N$200,2,FALSE()),"?"))</f>
        <v>Photograph</v>
      </c>
      <c r="R2347" s="2" t="str">
        <f t="shared" si="36"/>
        <v>Image</v>
      </c>
      <c r="S2347" s="2" t="str">
        <f>IF($C2347="","",IFERROR(VLOOKUP($C2347,sources!$A$2:$N$200,9,FALSE()),"?"))</f>
        <v>US official</v>
      </c>
      <c r="T2347" t="s">
        <v>5692</v>
      </c>
      <c r="U2347">
        <f>IF(OR(B2347="",C2347="",T2347="Retracted",LEFT(D2347,8)="Negative"),0,IF(COUNTIFS($B$2:B2347,B2347,$C$2:C2347,C2347,$D$2:D2347,"&lt;&gt;Negative*",$T$2:T2347,"&lt;&gt;Retracted")=1,1,0))</f>
        <v>1</v>
      </c>
    </row>
    <row r="2348" spans="1:21" x14ac:dyDescent="0.2">
      <c r="A2348" t="s">
        <v>4580</v>
      </c>
      <c r="B2348" t="s">
        <v>947</v>
      </c>
      <c r="C2348" t="s">
        <v>1241</v>
      </c>
      <c r="D2348" t="s">
        <v>1613</v>
      </c>
      <c r="E2348" t="s">
        <v>4581</v>
      </c>
      <c r="F2348" t="s">
        <v>1583</v>
      </c>
      <c r="I2348" t="s">
        <v>1058</v>
      </c>
      <c r="M2348" t="s">
        <v>190</v>
      </c>
      <c r="N2348" t="s">
        <v>209</v>
      </c>
      <c r="Q2348" s="2" t="str">
        <f>IF($C2348="","",IFERROR(VLOOKUP($C2348,sources!$A$2:$N$200,2,FALSE()),"?"))</f>
        <v>Photograph</v>
      </c>
      <c r="R2348" s="2" t="str">
        <f t="shared" si="36"/>
        <v>Image</v>
      </c>
      <c r="S2348" s="2" t="str">
        <f>IF($C2348="","",IFERROR(VLOOKUP($C2348,sources!$A$2:$N$200,9,FALSE()),"?"))</f>
        <v>US official</v>
      </c>
      <c r="T2348" t="s">
        <v>5692</v>
      </c>
      <c r="U2348">
        <f>IF(OR(B2348="",C2348="",T2348="Retracted",LEFT(D2348,8)="Negative"),0,IF(COUNTIFS($B$2:B2348,B2348,$C$2:C2348,C2348,$D$2:D2348,"&lt;&gt;Negative*",$T$2:T2348,"&lt;&gt;Retracted")=1,1,0))</f>
        <v>0</v>
      </c>
    </row>
    <row r="2349" spans="1:21" x14ac:dyDescent="0.2">
      <c r="A2349" t="s">
        <v>4582</v>
      </c>
      <c r="B2349" t="s">
        <v>936</v>
      </c>
      <c r="C2349" t="s">
        <v>1241</v>
      </c>
      <c r="D2349" t="s">
        <v>1575</v>
      </c>
      <c r="E2349" t="s">
        <v>4583</v>
      </c>
      <c r="F2349" t="s">
        <v>1583</v>
      </c>
      <c r="I2349" t="s">
        <v>1058</v>
      </c>
      <c r="K2349">
        <v>1924</v>
      </c>
      <c r="L2349">
        <v>1925</v>
      </c>
      <c r="M2349" t="s">
        <v>209</v>
      </c>
      <c r="N2349" t="s">
        <v>203</v>
      </c>
      <c r="Q2349" s="2" t="str">
        <f>IF($C2349="","",IFERROR(VLOOKUP($C2349,sources!$A$2:$N$200,2,FALSE()),"?"))</f>
        <v>Photograph</v>
      </c>
      <c r="R2349" s="2" t="str">
        <f t="shared" si="36"/>
        <v>Image</v>
      </c>
      <c r="S2349" s="2" t="str">
        <f>IF($C2349="","",IFERROR(VLOOKUP($C2349,sources!$A$2:$N$200,9,FALSE()),"?"))</f>
        <v>US official</v>
      </c>
      <c r="T2349" t="s">
        <v>5692</v>
      </c>
      <c r="U2349">
        <f>IF(OR(B2349="",C2349="",T2349="Retracted",LEFT(D2349,8)="Negative"),0,IF(COUNTIFS($B$2:B2349,B2349,$C$2:C2349,C2349,$D$2:D2349,"&lt;&gt;Negative*",$T$2:T2349,"&lt;&gt;Retracted")=1,1,0))</f>
        <v>1</v>
      </c>
    </row>
    <row r="2350" spans="1:21" x14ac:dyDescent="0.2">
      <c r="A2350" t="s">
        <v>4584</v>
      </c>
      <c r="B2350" t="s">
        <v>955</v>
      </c>
      <c r="C2350" t="s">
        <v>1241</v>
      </c>
      <c r="D2350" t="s">
        <v>1613</v>
      </c>
      <c r="E2350" t="s">
        <v>4290</v>
      </c>
      <c r="F2350" t="s">
        <v>1583</v>
      </c>
      <c r="I2350" t="s">
        <v>1058</v>
      </c>
      <c r="M2350" t="s">
        <v>190</v>
      </c>
      <c r="N2350" t="s">
        <v>209</v>
      </c>
      <c r="Q2350" s="2" t="str">
        <f>IF($C2350="","",IFERROR(VLOOKUP($C2350,sources!$A$2:$N$200,2,FALSE()),"?"))</f>
        <v>Photograph</v>
      </c>
      <c r="R2350" s="2" t="str">
        <f t="shared" si="36"/>
        <v>Image</v>
      </c>
      <c r="S2350" s="2" t="str">
        <f>IF($C2350="","",IFERROR(VLOOKUP($C2350,sources!$A$2:$N$200,9,FALSE()),"?"))</f>
        <v>US official</v>
      </c>
      <c r="T2350" t="s">
        <v>5692</v>
      </c>
      <c r="U2350">
        <f>IF(OR(B2350="",C2350="",T2350="Retracted",LEFT(D2350,8)="Negative"),0,IF(COUNTIFS($B$2:B2350,B2350,$C$2:C2350,C2350,$D$2:D2350,"&lt;&gt;Negative*",$T$2:T2350,"&lt;&gt;Retracted")=1,1,0))</f>
        <v>0</v>
      </c>
    </row>
    <row r="2351" spans="1:21" x14ac:dyDescent="0.2">
      <c r="A2351" t="s">
        <v>4585</v>
      </c>
      <c r="B2351" t="s">
        <v>959</v>
      </c>
      <c r="C2351" t="s">
        <v>1241</v>
      </c>
      <c r="D2351" t="s">
        <v>1575</v>
      </c>
      <c r="E2351" t="s">
        <v>960</v>
      </c>
      <c r="F2351" t="s">
        <v>1583</v>
      </c>
      <c r="I2351" t="s">
        <v>1058</v>
      </c>
      <c r="M2351" t="s">
        <v>190</v>
      </c>
      <c r="N2351" t="s">
        <v>190</v>
      </c>
      <c r="Q2351" s="2" t="str">
        <f>IF($C2351="","",IFERROR(VLOOKUP($C2351,sources!$A$2:$N$200,2,FALSE()),"?"))</f>
        <v>Photograph</v>
      </c>
      <c r="R2351" s="2" t="str">
        <f t="shared" si="36"/>
        <v>Image</v>
      </c>
      <c r="S2351" s="2" t="str">
        <f>IF($C2351="","",IFERROR(VLOOKUP($C2351,sources!$A$2:$N$200,9,FALSE()),"?"))</f>
        <v>US official</v>
      </c>
      <c r="T2351" t="s">
        <v>5692</v>
      </c>
      <c r="U2351">
        <f>IF(OR(B2351="",C2351="",T2351="Retracted",LEFT(D2351,8)="Negative"),0,IF(COUNTIFS($B$2:B2351,B2351,$C$2:C2351,C2351,$D$2:D2351,"&lt;&gt;Negative*",$T$2:T2351,"&lt;&gt;Retracted")=1,1,0))</f>
        <v>1</v>
      </c>
    </row>
    <row r="2352" spans="1:21" x14ac:dyDescent="0.2">
      <c r="A2352" t="s">
        <v>4586</v>
      </c>
      <c r="B2352" t="s">
        <v>962</v>
      </c>
      <c r="C2352" t="s">
        <v>1241</v>
      </c>
      <c r="D2352" t="s">
        <v>1613</v>
      </c>
      <c r="E2352" t="s">
        <v>963</v>
      </c>
      <c r="F2352" t="s">
        <v>1583</v>
      </c>
      <c r="I2352" t="s">
        <v>1058</v>
      </c>
      <c r="M2352" t="s">
        <v>190</v>
      </c>
      <c r="N2352" t="s">
        <v>209</v>
      </c>
      <c r="Q2352" s="2" t="str">
        <f>IF($C2352="","",IFERROR(VLOOKUP($C2352,sources!$A$2:$N$200,2,FALSE()),"?"))</f>
        <v>Photograph</v>
      </c>
      <c r="R2352" s="2" t="str">
        <f t="shared" si="36"/>
        <v>Image</v>
      </c>
      <c r="S2352" s="2" t="str">
        <f>IF($C2352="","",IFERROR(VLOOKUP($C2352,sources!$A$2:$N$200,9,FALSE()),"?"))</f>
        <v>US official</v>
      </c>
      <c r="T2352" t="s">
        <v>5692</v>
      </c>
      <c r="U2352">
        <f>IF(OR(B2352="",C2352="",T2352="Retracted",LEFT(D2352,8)="Negative"),0,IF(COUNTIFS($B$2:B2352,B2352,$C$2:C2352,C2352,$D$2:D2352,"&lt;&gt;Negative*",$T$2:T2352,"&lt;&gt;Retracted")=1,1,0))</f>
        <v>0</v>
      </c>
    </row>
    <row r="2353" spans="1:21" x14ac:dyDescent="0.2">
      <c r="A2353" t="s">
        <v>4587</v>
      </c>
      <c r="B2353" t="s">
        <v>971</v>
      </c>
      <c r="C2353" t="s">
        <v>1241</v>
      </c>
      <c r="D2353" t="s">
        <v>1575</v>
      </c>
      <c r="E2353" t="s">
        <v>972</v>
      </c>
      <c r="F2353" t="s">
        <v>1583</v>
      </c>
      <c r="I2353" t="s">
        <v>1058</v>
      </c>
      <c r="K2353">
        <v>1912</v>
      </c>
      <c r="L2353">
        <v>1912</v>
      </c>
      <c r="M2353" t="s">
        <v>209</v>
      </c>
      <c r="N2353" t="s">
        <v>203</v>
      </c>
      <c r="Q2353" s="2" t="str">
        <f>IF($C2353="","",IFERROR(VLOOKUP($C2353,sources!$A$2:$N$200,2,FALSE()),"?"))</f>
        <v>Photograph</v>
      </c>
      <c r="R2353" s="2" t="str">
        <f t="shared" si="36"/>
        <v>Image</v>
      </c>
      <c r="S2353" s="2" t="str">
        <f>IF($C2353="","",IFERROR(VLOOKUP($C2353,sources!$A$2:$N$200,9,FALSE()),"?"))</f>
        <v>US official</v>
      </c>
      <c r="T2353" t="s">
        <v>5692</v>
      </c>
      <c r="U2353">
        <f>IF(OR(B2353="",C2353="",T2353="Retracted",LEFT(D2353,8)="Negative"),0,IF(COUNTIFS($B$2:B2353,B2353,$C$2:C2353,C2353,$D$2:D2353,"&lt;&gt;Negative*",$T$2:T2353,"&lt;&gt;Retracted")=1,1,0))</f>
        <v>1</v>
      </c>
    </row>
    <row r="2354" spans="1:21" x14ac:dyDescent="0.2">
      <c r="A2354" t="s">
        <v>4588</v>
      </c>
      <c r="B2354" t="s">
        <v>974</v>
      </c>
      <c r="C2354" t="s">
        <v>1241</v>
      </c>
      <c r="D2354" t="s">
        <v>1613</v>
      </c>
      <c r="E2354" t="s">
        <v>4298</v>
      </c>
      <c r="F2354" t="s">
        <v>1583</v>
      </c>
      <c r="I2354" t="s">
        <v>1058</v>
      </c>
      <c r="M2354" t="s">
        <v>190</v>
      </c>
      <c r="N2354" t="s">
        <v>209</v>
      </c>
      <c r="Q2354" s="2" t="str">
        <f>IF($C2354="","",IFERROR(VLOOKUP($C2354,sources!$A$2:$N$200,2,FALSE()),"?"))</f>
        <v>Photograph</v>
      </c>
      <c r="R2354" s="2" t="str">
        <f t="shared" si="36"/>
        <v>Image</v>
      </c>
      <c r="S2354" s="2" t="str">
        <f>IF($C2354="","",IFERROR(VLOOKUP($C2354,sources!$A$2:$N$200,9,FALSE()),"?"))</f>
        <v>US official</v>
      </c>
      <c r="T2354" t="s">
        <v>5693</v>
      </c>
      <c r="U2354">
        <f>IF(OR(B2354="",C2354="",T2354="Retracted",LEFT(D2354,8)="Negative"),0,IF(COUNTIFS($B$2:B2354,B2354,$C$2:C2354,C2354,$D$2:D2354,"&lt;&gt;Negative*",$T$2:T2354,"&lt;&gt;Retracted")=1,1,0))</f>
        <v>0</v>
      </c>
    </row>
    <row r="2355" spans="1:21" x14ac:dyDescent="0.2">
      <c r="A2355" t="s">
        <v>4589</v>
      </c>
      <c r="B2355" t="s">
        <v>994</v>
      </c>
      <c r="C2355" t="s">
        <v>1241</v>
      </c>
      <c r="D2355" t="s">
        <v>1575</v>
      </c>
      <c r="E2355" t="s">
        <v>995</v>
      </c>
      <c r="F2355" t="s">
        <v>1583</v>
      </c>
      <c r="I2355" t="s">
        <v>1058</v>
      </c>
      <c r="M2355" t="s">
        <v>190</v>
      </c>
      <c r="N2355" t="s">
        <v>203</v>
      </c>
      <c r="Q2355" s="2" t="str">
        <f>IF($C2355="","",IFERROR(VLOOKUP($C2355,sources!$A$2:$N$200,2,FALSE()),"?"))</f>
        <v>Photograph</v>
      </c>
      <c r="R2355" s="2" t="str">
        <f t="shared" si="36"/>
        <v>Image</v>
      </c>
      <c r="S2355" s="2" t="str">
        <f>IF($C2355="","",IFERROR(VLOOKUP($C2355,sources!$A$2:$N$200,9,FALSE()),"?"))</f>
        <v>US official</v>
      </c>
      <c r="T2355" t="s">
        <v>5692</v>
      </c>
      <c r="U2355">
        <f>IF(OR(B2355="",C2355="",T2355="Retracted",LEFT(D2355,8)="Negative"),0,IF(COUNTIFS($B$2:B2355,B2355,$C$2:C2355,C2355,$D$2:D2355,"&lt;&gt;Negative*",$T$2:T2355,"&lt;&gt;Retracted")=1,1,0))</f>
        <v>1</v>
      </c>
    </row>
    <row r="2356" spans="1:21" x14ac:dyDescent="0.2">
      <c r="A2356" t="s">
        <v>4590</v>
      </c>
      <c r="B2356" t="s">
        <v>997</v>
      </c>
      <c r="C2356" t="s">
        <v>1241</v>
      </c>
      <c r="D2356" t="s">
        <v>1575</v>
      </c>
      <c r="E2356" t="s">
        <v>998</v>
      </c>
      <c r="F2356" t="s">
        <v>1583</v>
      </c>
      <c r="I2356" t="s">
        <v>1058</v>
      </c>
      <c r="K2356">
        <v>1910</v>
      </c>
      <c r="L2356">
        <v>1914</v>
      </c>
      <c r="M2356" t="s">
        <v>209</v>
      </c>
      <c r="N2356" t="s">
        <v>203</v>
      </c>
      <c r="Q2356" s="2" t="str">
        <f>IF($C2356="","",IFERROR(VLOOKUP($C2356,sources!$A$2:$N$200,2,FALSE()),"?"))</f>
        <v>Photograph</v>
      </c>
      <c r="R2356" s="2" t="str">
        <f t="shared" si="36"/>
        <v>Image</v>
      </c>
      <c r="S2356" s="2" t="str">
        <f>IF($C2356="","",IFERROR(VLOOKUP($C2356,sources!$A$2:$N$200,9,FALSE()),"?"))</f>
        <v>US official</v>
      </c>
      <c r="T2356" t="s">
        <v>5692</v>
      </c>
      <c r="U2356">
        <f>IF(OR(B2356="",C2356="",T2356="Retracted",LEFT(D2356,8)="Negative"),0,IF(COUNTIFS($B$2:B2356,B2356,$C$2:C2356,C2356,$D$2:D2356,"&lt;&gt;Negative*",$T$2:T2356,"&lt;&gt;Retracted")=1,1,0))</f>
        <v>1</v>
      </c>
    </row>
    <row r="2357" spans="1:21" x14ac:dyDescent="0.2">
      <c r="A2357" t="s">
        <v>4591</v>
      </c>
      <c r="B2357" t="s">
        <v>1002</v>
      </c>
      <c r="C2357" t="s">
        <v>1241</v>
      </c>
      <c r="D2357" t="s">
        <v>1575</v>
      </c>
      <c r="E2357" t="s">
        <v>1003</v>
      </c>
      <c r="F2357" t="s">
        <v>1583</v>
      </c>
      <c r="I2357" t="s">
        <v>1058</v>
      </c>
      <c r="K2357">
        <v>1928</v>
      </c>
      <c r="L2357">
        <v>1937</v>
      </c>
      <c r="M2357" t="s">
        <v>209</v>
      </c>
      <c r="N2357" t="s">
        <v>209</v>
      </c>
      <c r="Q2357" s="2" t="str">
        <f>IF($C2357="","",IFERROR(VLOOKUP($C2357,sources!$A$2:$N$200,2,FALSE()),"?"))</f>
        <v>Photograph</v>
      </c>
      <c r="R2357" s="2" t="str">
        <f t="shared" si="36"/>
        <v>Image</v>
      </c>
      <c r="S2357" s="2" t="str">
        <f>IF($C2357="","",IFERROR(VLOOKUP($C2357,sources!$A$2:$N$200,9,FALSE()),"?"))</f>
        <v>US official</v>
      </c>
      <c r="T2357" t="s">
        <v>5692</v>
      </c>
      <c r="U2357">
        <f>IF(OR(B2357="",C2357="",T2357="Retracted",LEFT(D2357,8)="Negative"),0,IF(COUNTIFS($B$2:B2357,B2357,$C$2:C2357,C2357,$D$2:D2357,"&lt;&gt;Negative*",$T$2:T2357,"&lt;&gt;Retracted")=1,1,0))</f>
        <v>1</v>
      </c>
    </row>
    <row r="2358" spans="1:21" x14ac:dyDescent="0.2">
      <c r="A2358" t="s">
        <v>4592</v>
      </c>
      <c r="B2358" t="s">
        <v>1012</v>
      </c>
      <c r="C2358" t="s">
        <v>1241</v>
      </c>
      <c r="D2358" t="s">
        <v>1613</v>
      </c>
      <c r="E2358" t="s">
        <v>1013</v>
      </c>
      <c r="F2358" t="s">
        <v>1583</v>
      </c>
      <c r="I2358" t="s">
        <v>1058</v>
      </c>
      <c r="M2358" t="s">
        <v>190</v>
      </c>
      <c r="N2358" t="s">
        <v>209</v>
      </c>
      <c r="Q2358" s="2" t="str">
        <f>IF($C2358="","",IFERROR(VLOOKUP($C2358,sources!$A$2:$N$200,2,FALSE()),"?"))</f>
        <v>Photograph</v>
      </c>
      <c r="R2358" s="2" t="str">
        <f t="shared" si="36"/>
        <v>Image</v>
      </c>
      <c r="S2358" s="2" t="str">
        <f>IF($C2358="","",IFERROR(VLOOKUP($C2358,sources!$A$2:$N$200,9,FALSE()),"?"))</f>
        <v>US official</v>
      </c>
      <c r="T2358" t="s">
        <v>5692</v>
      </c>
      <c r="U2358">
        <f>IF(OR(B2358="",C2358="",T2358="Retracted",LEFT(D2358,8)="Negative"),0,IF(COUNTIFS($B$2:B2358,B2358,$C$2:C2358,C2358,$D$2:D2358,"&lt;&gt;Negative*",$T$2:T2358,"&lt;&gt;Retracted")=1,1,0))</f>
        <v>0</v>
      </c>
    </row>
    <row r="2359" spans="1:21" x14ac:dyDescent="0.2">
      <c r="A2359" t="s">
        <v>4593</v>
      </c>
      <c r="B2359" t="s">
        <v>1021</v>
      </c>
      <c r="C2359" t="s">
        <v>1241</v>
      </c>
      <c r="D2359" t="s">
        <v>1613</v>
      </c>
      <c r="E2359" t="s">
        <v>1022</v>
      </c>
      <c r="F2359" t="s">
        <v>1583</v>
      </c>
      <c r="I2359" t="s">
        <v>1058</v>
      </c>
      <c r="M2359" t="s">
        <v>190</v>
      </c>
      <c r="N2359" t="s">
        <v>209</v>
      </c>
      <c r="Q2359" s="2" t="str">
        <f>IF($C2359="","",IFERROR(VLOOKUP($C2359,sources!$A$2:$N$200,2,FALSE()),"?"))</f>
        <v>Photograph</v>
      </c>
      <c r="R2359" s="2" t="str">
        <f t="shared" si="36"/>
        <v>Image</v>
      </c>
      <c r="S2359" s="2" t="str">
        <f>IF($C2359="","",IFERROR(VLOOKUP($C2359,sources!$A$2:$N$200,9,FALSE()),"?"))</f>
        <v>US official</v>
      </c>
      <c r="T2359" t="s">
        <v>5692</v>
      </c>
      <c r="U2359">
        <f>IF(OR(B2359="",C2359="",T2359="Retracted",LEFT(D2359,8)="Negative"),0,IF(COUNTIFS($B$2:B2359,B2359,$C$2:C2359,C2359,$D$2:D2359,"&lt;&gt;Negative*",$T$2:T2359,"&lt;&gt;Retracted")=1,1,0))</f>
        <v>0</v>
      </c>
    </row>
    <row r="2360" spans="1:21" x14ac:dyDescent="0.2">
      <c r="A2360" t="s">
        <v>4594</v>
      </c>
      <c r="B2360" t="s">
        <v>211</v>
      </c>
      <c r="C2360" t="s">
        <v>1509</v>
      </c>
      <c r="D2360" t="s">
        <v>1613</v>
      </c>
      <c r="E2360" t="s">
        <v>212</v>
      </c>
      <c r="F2360" t="s">
        <v>1583</v>
      </c>
      <c r="I2360" t="s">
        <v>1058</v>
      </c>
      <c r="K2360">
        <v>1904</v>
      </c>
      <c r="L2360">
        <v>1904</v>
      </c>
      <c r="M2360" t="s">
        <v>209</v>
      </c>
      <c r="N2360" t="s">
        <v>209</v>
      </c>
      <c r="Q2360" s="2" t="str">
        <f>IF($C2360="","",IFERROR(VLOOKUP($C2360,sources!$A$2:$N$200,2,FALSE()),"?"))</f>
        <v>Map</v>
      </c>
      <c r="R2360" s="2" t="str">
        <f t="shared" si="36"/>
        <v>Map</v>
      </c>
      <c r="S2360" s="2" t="str">
        <f>IF($C2360="","",IFERROR(VLOOKUP($C2360,sources!$A$2:$N$200,9,FALSE()),"?"))</f>
        <v>US official</v>
      </c>
      <c r="T2360" t="s">
        <v>5692</v>
      </c>
      <c r="U2360">
        <f>IF(OR(B2360="",C2360="",T2360="Retracted",LEFT(D2360,8)="Negative"),0,IF(COUNTIFS($B$2:B2360,B2360,$C$2:C2360,C2360,$D$2:D2360,"&lt;&gt;Negative*",$T$2:T2360,"&lt;&gt;Retracted")=1,1,0))</f>
        <v>0</v>
      </c>
    </row>
    <row r="2361" spans="1:21" x14ac:dyDescent="0.2">
      <c r="A2361" t="s">
        <v>4595</v>
      </c>
      <c r="B2361" t="s">
        <v>599</v>
      </c>
      <c r="C2361" t="s">
        <v>1509</v>
      </c>
      <c r="D2361" t="s">
        <v>1613</v>
      </c>
      <c r="E2361" t="s">
        <v>600</v>
      </c>
      <c r="F2361" t="s">
        <v>1583</v>
      </c>
      <c r="I2361" t="s">
        <v>1058</v>
      </c>
      <c r="K2361">
        <v>1904</v>
      </c>
      <c r="L2361">
        <v>1904</v>
      </c>
      <c r="M2361" t="s">
        <v>209</v>
      </c>
      <c r="N2361" t="s">
        <v>209</v>
      </c>
      <c r="Q2361" s="2" t="str">
        <f>IF($C2361="","",IFERROR(VLOOKUP($C2361,sources!$A$2:$N$200,2,FALSE()),"?"))</f>
        <v>Map</v>
      </c>
      <c r="R2361" s="2" t="str">
        <f t="shared" si="36"/>
        <v>Map</v>
      </c>
      <c r="S2361" s="2" t="str">
        <f>IF($C2361="","",IFERROR(VLOOKUP($C2361,sources!$A$2:$N$200,9,FALSE()),"?"))</f>
        <v>US official</v>
      </c>
      <c r="T2361" t="s">
        <v>5692</v>
      </c>
      <c r="U2361">
        <f>IF(OR(B2361="",C2361="",T2361="Retracted",LEFT(D2361,8)="Negative"),0,IF(COUNTIFS($B$2:B2361,B2361,$C$2:C2361,C2361,$D$2:D2361,"&lt;&gt;Negative*",$T$2:T2361,"&lt;&gt;Retracted")=1,1,0))</f>
        <v>0</v>
      </c>
    </row>
    <row r="2362" spans="1:21" x14ac:dyDescent="0.2">
      <c r="A2362" t="s">
        <v>4596</v>
      </c>
      <c r="B2362" t="s">
        <v>217</v>
      </c>
      <c r="C2362" t="s">
        <v>1509</v>
      </c>
      <c r="D2362" t="s">
        <v>1613</v>
      </c>
      <c r="E2362" t="s">
        <v>218</v>
      </c>
      <c r="F2362" t="s">
        <v>1583</v>
      </c>
      <c r="I2362" t="s">
        <v>1058</v>
      </c>
      <c r="K2362">
        <v>1904</v>
      </c>
      <c r="L2362">
        <v>1904</v>
      </c>
      <c r="M2362" t="s">
        <v>209</v>
      </c>
      <c r="N2362" t="s">
        <v>209</v>
      </c>
      <c r="Q2362" s="2" t="str">
        <f>IF($C2362="","",IFERROR(VLOOKUP($C2362,sources!$A$2:$N$200,2,FALSE()),"?"))</f>
        <v>Map</v>
      </c>
      <c r="R2362" s="2" t="str">
        <f t="shared" si="36"/>
        <v>Map</v>
      </c>
      <c r="S2362" s="2" t="str">
        <f>IF($C2362="","",IFERROR(VLOOKUP($C2362,sources!$A$2:$N$200,9,FALSE()),"?"))</f>
        <v>US official</v>
      </c>
      <c r="T2362" t="s">
        <v>5692</v>
      </c>
      <c r="U2362">
        <f>IF(OR(B2362="",C2362="",T2362="Retracted",LEFT(D2362,8)="Negative"),0,IF(COUNTIFS($B$2:B2362,B2362,$C$2:C2362,C2362,$D$2:D2362,"&lt;&gt;Negative*",$T$2:T2362,"&lt;&gt;Retracted")=1,1,0))</f>
        <v>0</v>
      </c>
    </row>
    <row r="2363" spans="1:21" x14ac:dyDescent="0.2">
      <c r="A2363" t="s">
        <v>4597</v>
      </c>
      <c r="B2363" t="s">
        <v>219</v>
      </c>
      <c r="C2363" t="s">
        <v>1509</v>
      </c>
      <c r="D2363" t="s">
        <v>1575</v>
      </c>
      <c r="E2363" t="s">
        <v>1580</v>
      </c>
      <c r="F2363" t="s">
        <v>1583</v>
      </c>
      <c r="I2363" t="s">
        <v>1058</v>
      </c>
      <c r="K2363">
        <v>1904</v>
      </c>
      <c r="L2363">
        <v>1904</v>
      </c>
      <c r="M2363" t="s">
        <v>209</v>
      </c>
      <c r="N2363" t="s">
        <v>203</v>
      </c>
      <c r="Q2363" s="2" t="str">
        <f>IF($C2363="","",IFERROR(VLOOKUP($C2363,sources!$A$2:$N$200,2,FALSE()),"?"))</f>
        <v>Map</v>
      </c>
      <c r="R2363" s="2" t="str">
        <f t="shared" si="36"/>
        <v>Map</v>
      </c>
      <c r="S2363" s="2" t="str">
        <f>IF($C2363="","",IFERROR(VLOOKUP($C2363,sources!$A$2:$N$200,9,FALSE()),"?"))</f>
        <v>US official</v>
      </c>
      <c r="T2363" t="s">
        <v>5692</v>
      </c>
      <c r="U2363">
        <f>IF(OR(B2363="",C2363="",T2363="Retracted",LEFT(D2363,8)="Negative"),0,IF(COUNTIFS($B$2:B2363,B2363,$C$2:C2363,C2363,$D$2:D2363,"&lt;&gt;Negative*",$T$2:T2363,"&lt;&gt;Retracted")=1,1,0))</f>
        <v>1</v>
      </c>
    </row>
    <row r="2364" spans="1:21" x14ac:dyDescent="0.2">
      <c r="A2364" t="s">
        <v>4598</v>
      </c>
      <c r="B2364" t="s">
        <v>335</v>
      </c>
      <c r="C2364" t="s">
        <v>1509</v>
      </c>
      <c r="D2364" t="s">
        <v>1575</v>
      </c>
      <c r="E2364" t="s">
        <v>4599</v>
      </c>
      <c r="F2364" t="s">
        <v>1583</v>
      </c>
      <c r="I2364" t="s">
        <v>1058</v>
      </c>
      <c r="K2364">
        <v>1904</v>
      </c>
      <c r="L2364">
        <v>1904</v>
      </c>
      <c r="M2364" t="s">
        <v>209</v>
      </c>
      <c r="N2364" t="s">
        <v>209</v>
      </c>
      <c r="Q2364" s="2" t="str">
        <f>IF($C2364="","",IFERROR(VLOOKUP($C2364,sources!$A$2:$N$200,2,FALSE()),"?"))</f>
        <v>Map</v>
      </c>
      <c r="R2364" s="2" t="str">
        <f t="shared" si="36"/>
        <v>Map</v>
      </c>
      <c r="S2364" s="2" t="str">
        <f>IF($C2364="","",IFERROR(VLOOKUP($C2364,sources!$A$2:$N$200,9,FALSE()),"?"))</f>
        <v>US official</v>
      </c>
      <c r="T2364" t="s">
        <v>5692</v>
      </c>
      <c r="U2364">
        <f>IF(OR(B2364="",C2364="",T2364="Retracted",LEFT(D2364,8)="Negative"),0,IF(COUNTIFS($B$2:B2364,B2364,$C$2:C2364,C2364,$D$2:D2364,"&lt;&gt;Negative*",$T$2:T2364,"&lt;&gt;Retracted")=1,1,0))</f>
        <v>1</v>
      </c>
    </row>
    <row r="2365" spans="1:21" x14ac:dyDescent="0.2">
      <c r="A2365" t="s">
        <v>4600</v>
      </c>
      <c r="B2365" t="s">
        <v>805</v>
      </c>
      <c r="C2365" t="s">
        <v>1509</v>
      </c>
      <c r="D2365" t="s">
        <v>1613</v>
      </c>
      <c r="E2365" t="s">
        <v>806</v>
      </c>
      <c r="F2365" t="s">
        <v>1583</v>
      </c>
      <c r="I2365" t="s">
        <v>1058</v>
      </c>
      <c r="K2365">
        <v>1904</v>
      </c>
      <c r="L2365">
        <v>1904</v>
      </c>
      <c r="M2365" t="s">
        <v>209</v>
      </c>
      <c r="N2365" t="s">
        <v>190</v>
      </c>
      <c r="Q2365" s="2" t="str">
        <f>IF($C2365="","",IFERROR(VLOOKUP($C2365,sources!$A$2:$N$200,2,FALSE()),"?"))</f>
        <v>Map</v>
      </c>
      <c r="R2365" s="2" t="str">
        <f t="shared" si="36"/>
        <v>Map</v>
      </c>
      <c r="S2365" s="2" t="str">
        <f>IF($C2365="","",IFERROR(VLOOKUP($C2365,sources!$A$2:$N$200,9,FALSE()),"?"))</f>
        <v>US official</v>
      </c>
      <c r="T2365" t="s">
        <v>5692</v>
      </c>
      <c r="U2365">
        <f>IF(OR(B2365="",C2365="",T2365="Retracted",LEFT(D2365,8)="Negative"),0,IF(COUNTIFS($B$2:B2365,B2365,$C$2:C2365,C2365,$D$2:D2365,"&lt;&gt;Negative*",$T$2:T2365,"&lt;&gt;Retracted")=1,1,0))</f>
        <v>0</v>
      </c>
    </row>
    <row r="2366" spans="1:21" x14ac:dyDescent="0.2">
      <c r="A2366" t="s">
        <v>4601</v>
      </c>
      <c r="B2366" t="s">
        <v>835</v>
      </c>
      <c r="C2366" t="s">
        <v>1509</v>
      </c>
      <c r="D2366" t="s">
        <v>1564</v>
      </c>
      <c r="E2366" t="s">
        <v>504</v>
      </c>
      <c r="F2366" t="s">
        <v>1583</v>
      </c>
      <c r="I2366" t="s">
        <v>1058</v>
      </c>
      <c r="K2366">
        <v>1904</v>
      </c>
      <c r="L2366">
        <v>1904</v>
      </c>
      <c r="M2366" t="s">
        <v>209</v>
      </c>
      <c r="N2366" t="s">
        <v>203</v>
      </c>
      <c r="Q2366" s="2" t="str">
        <f>IF($C2366="","",IFERROR(VLOOKUP($C2366,sources!$A$2:$N$200,2,FALSE()),"?"))</f>
        <v>Map</v>
      </c>
      <c r="R2366" s="2" t="str">
        <f t="shared" si="36"/>
        <v>Map</v>
      </c>
      <c r="S2366" s="2" t="str">
        <f>IF($C2366="","",IFERROR(VLOOKUP($C2366,sources!$A$2:$N$200,9,FALSE()),"?"))</f>
        <v>US official</v>
      </c>
      <c r="T2366" t="s">
        <v>5692</v>
      </c>
      <c r="U2366">
        <f>IF(OR(B2366="",C2366="",T2366="Retracted",LEFT(D2366,8)="Negative"),0,IF(COUNTIFS($B$2:B2366,B2366,$C$2:C2366,C2366,$D$2:D2366,"&lt;&gt;Negative*",$T$2:T2366,"&lt;&gt;Retracted")=1,1,0))</f>
        <v>1</v>
      </c>
    </row>
    <row r="2367" spans="1:21" x14ac:dyDescent="0.2">
      <c r="A2367" t="s">
        <v>4602</v>
      </c>
      <c r="B2367" t="s">
        <v>344</v>
      </c>
      <c r="C2367" t="s">
        <v>1509</v>
      </c>
      <c r="D2367" t="s">
        <v>1575</v>
      </c>
      <c r="E2367" t="s">
        <v>345</v>
      </c>
      <c r="F2367" t="s">
        <v>1583</v>
      </c>
      <c r="I2367" t="s">
        <v>1058</v>
      </c>
      <c r="K2367">
        <v>1904</v>
      </c>
      <c r="L2367">
        <v>1904</v>
      </c>
      <c r="M2367" t="s">
        <v>209</v>
      </c>
      <c r="N2367" t="s">
        <v>203</v>
      </c>
      <c r="Q2367" s="2" t="str">
        <f>IF($C2367="","",IFERROR(VLOOKUP($C2367,sources!$A$2:$N$200,2,FALSE()),"?"))</f>
        <v>Map</v>
      </c>
      <c r="R2367" s="2" t="str">
        <f t="shared" si="36"/>
        <v>Map</v>
      </c>
      <c r="S2367" s="2" t="str">
        <f>IF($C2367="","",IFERROR(VLOOKUP($C2367,sources!$A$2:$N$200,9,FALSE()),"?"))</f>
        <v>US official</v>
      </c>
      <c r="T2367" t="s">
        <v>5692</v>
      </c>
      <c r="U2367">
        <f>IF(OR(B2367="",C2367="",T2367="Retracted",LEFT(D2367,8)="Negative"),0,IF(COUNTIFS($B$2:B2367,B2367,$C$2:C2367,C2367,$D$2:D2367,"&lt;&gt;Negative*",$T$2:T2367,"&lt;&gt;Retracted")=1,1,0))</f>
        <v>1</v>
      </c>
    </row>
    <row r="2368" spans="1:21" x14ac:dyDescent="0.2">
      <c r="A2368" t="s">
        <v>4603</v>
      </c>
      <c r="B2368" t="s">
        <v>348</v>
      </c>
      <c r="C2368" t="s">
        <v>1509</v>
      </c>
      <c r="D2368" t="s">
        <v>1575</v>
      </c>
      <c r="E2368" t="s">
        <v>4604</v>
      </c>
      <c r="F2368" t="s">
        <v>1583</v>
      </c>
      <c r="I2368" t="s">
        <v>1058</v>
      </c>
      <c r="K2368">
        <v>1904</v>
      </c>
      <c r="L2368">
        <v>1904</v>
      </c>
      <c r="M2368" t="s">
        <v>209</v>
      </c>
      <c r="N2368" t="s">
        <v>203</v>
      </c>
      <c r="Q2368" s="2" t="str">
        <f>IF($C2368="","",IFERROR(VLOOKUP($C2368,sources!$A$2:$N$200,2,FALSE()),"?"))</f>
        <v>Map</v>
      </c>
      <c r="R2368" s="2" t="str">
        <f t="shared" si="36"/>
        <v>Map</v>
      </c>
      <c r="S2368" s="2" t="str">
        <f>IF($C2368="","",IFERROR(VLOOKUP($C2368,sources!$A$2:$N$200,9,FALSE()),"?"))</f>
        <v>US official</v>
      </c>
      <c r="T2368" t="s">
        <v>5692</v>
      </c>
      <c r="U2368">
        <f>IF(OR(B2368="",C2368="",T2368="Retracted",LEFT(D2368,8)="Negative"),0,IF(COUNTIFS($B$2:B2368,B2368,$C$2:C2368,C2368,$D$2:D2368,"&lt;&gt;Negative*",$T$2:T2368,"&lt;&gt;Retracted")=1,1,0))</f>
        <v>1</v>
      </c>
    </row>
    <row r="2369" spans="1:21" x14ac:dyDescent="0.2">
      <c r="A2369" t="s">
        <v>4605</v>
      </c>
      <c r="B2369" t="s">
        <v>351</v>
      </c>
      <c r="C2369" t="s">
        <v>1509</v>
      </c>
      <c r="D2369" t="s">
        <v>1575</v>
      </c>
      <c r="E2369" t="s">
        <v>352</v>
      </c>
      <c r="F2369" t="s">
        <v>1583</v>
      </c>
      <c r="I2369" t="s">
        <v>1058</v>
      </c>
      <c r="K2369">
        <v>1904</v>
      </c>
      <c r="L2369">
        <v>1904</v>
      </c>
      <c r="M2369" t="s">
        <v>209</v>
      </c>
      <c r="N2369" t="s">
        <v>209</v>
      </c>
      <c r="Q2369" s="2" t="str">
        <f>IF($C2369="","",IFERROR(VLOOKUP($C2369,sources!$A$2:$N$200,2,FALSE()),"?"))</f>
        <v>Map</v>
      </c>
      <c r="R2369" s="2" t="str">
        <f t="shared" si="36"/>
        <v>Map</v>
      </c>
      <c r="S2369" s="2" t="str">
        <f>IF($C2369="","",IFERROR(VLOOKUP($C2369,sources!$A$2:$N$200,9,FALSE()),"?"))</f>
        <v>US official</v>
      </c>
      <c r="T2369" t="s">
        <v>5692</v>
      </c>
      <c r="U2369">
        <f>IF(OR(B2369="",C2369="",T2369="Retracted",LEFT(D2369,8)="Negative"),0,IF(COUNTIFS($B$2:B2369,B2369,$C$2:C2369,C2369,$D$2:D2369,"&lt;&gt;Negative*",$T$2:T2369,"&lt;&gt;Retracted")=1,1,0))</f>
        <v>1</v>
      </c>
    </row>
    <row r="2370" spans="1:21" x14ac:dyDescent="0.2">
      <c r="A2370" t="s">
        <v>4606</v>
      </c>
      <c r="B2370" t="s">
        <v>357</v>
      </c>
      <c r="C2370" t="s">
        <v>1509</v>
      </c>
      <c r="D2370" t="s">
        <v>1575</v>
      </c>
      <c r="E2370" t="s">
        <v>358</v>
      </c>
      <c r="F2370" t="s">
        <v>1583</v>
      </c>
      <c r="I2370" t="s">
        <v>1058</v>
      </c>
      <c r="K2370">
        <v>1904</v>
      </c>
      <c r="L2370">
        <v>1904</v>
      </c>
      <c r="M2370" t="s">
        <v>209</v>
      </c>
      <c r="N2370" t="s">
        <v>203</v>
      </c>
      <c r="Q2370" s="2" t="str">
        <f>IF($C2370="","",IFERROR(VLOOKUP($C2370,sources!$A$2:$N$200,2,FALSE()),"?"))</f>
        <v>Map</v>
      </c>
      <c r="R2370" s="2" t="str">
        <f t="shared" ref="R2370:R2433" si="37">IF($Q2370="","",IF($Q2370="Map","Map",IF(OR($Q2370="Photograph",$Q2370="Postcard"),"Image",IF(OR($Q2370="Census or roll",$Q2370="Report",$Q2370="Newspaper",$Q2370="Letter",$Q2370="Memoir",$Q2370="Administrative",$Q2370="Web compilation"),"Textual",IF($Q2370="Legal claim","Legal/admin",IF($Q2370="Secondary","Secondary","Other"))))))</f>
        <v>Map</v>
      </c>
      <c r="S2370" s="2" t="str">
        <f>IF($C2370="","",IFERROR(VLOOKUP($C2370,sources!$A$2:$N$200,9,FALSE()),"?"))</f>
        <v>US official</v>
      </c>
      <c r="T2370" t="s">
        <v>5692</v>
      </c>
      <c r="U2370">
        <f>IF(OR(B2370="",C2370="",T2370="Retracted",LEFT(D2370,8)="Negative"),0,IF(COUNTIFS($B$2:B2370,B2370,$C$2:C2370,C2370,$D$2:D2370,"&lt;&gt;Negative*",$T$2:T2370,"&lt;&gt;Retracted")=1,1,0))</f>
        <v>1</v>
      </c>
    </row>
    <row r="2371" spans="1:21" x14ac:dyDescent="0.2">
      <c r="A2371" t="s">
        <v>4607</v>
      </c>
      <c r="B2371" t="s">
        <v>378</v>
      </c>
      <c r="C2371" t="s">
        <v>1509</v>
      </c>
      <c r="D2371" t="s">
        <v>1613</v>
      </c>
      <c r="E2371" t="s">
        <v>379</v>
      </c>
      <c r="F2371" t="s">
        <v>1583</v>
      </c>
      <c r="I2371" t="s">
        <v>1058</v>
      </c>
      <c r="K2371">
        <v>1904</v>
      </c>
      <c r="L2371">
        <v>1904</v>
      </c>
      <c r="M2371" t="s">
        <v>209</v>
      </c>
      <c r="N2371" t="s">
        <v>209</v>
      </c>
      <c r="Q2371" s="2" t="str">
        <f>IF($C2371="","",IFERROR(VLOOKUP($C2371,sources!$A$2:$N$200,2,FALSE()),"?"))</f>
        <v>Map</v>
      </c>
      <c r="R2371" s="2" t="str">
        <f t="shared" si="37"/>
        <v>Map</v>
      </c>
      <c r="S2371" s="2" t="str">
        <f>IF($C2371="","",IFERROR(VLOOKUP($C2371,sources!$A$2:$N$200,9,FALSE()),"?"))</f>
        <v>US official</v>
      </c>
      <c r="T2371" t="s">
        <v>5692</v>
      </c>
      <c r="U2371">
        <f>IF(OR(B2371="",C2371="",T2371="Retracted",LEFT(D2371,8)="Negative"),0,IF(COUNTIFS($B$2:B2371,B2371,$C$2:C2371,C2371,$D$2:D2371,"&lt;&gt;Negative*",$T$2:T2371,"&lt;&gt;Retracted")=1,1,0))</f>
        <v>0</v>
      </c>
    </row>
    <row r="2372" spans="1:21" x14ac:dyDescent="0.2">
      <c r="A2372" t="s">
        <v>4608</v>
      </c>
      <c r="B2372" t="s">
        <v>503</v>
      </c>
      <c r="C2372" t="s">
        <v>1509</v>
      </c>
      <c r="D2372" t="s">
        <v>1564</v>
      </c>
      <c r="E2372" t="s">
        <v>504</v>
      </c>
      <c r="F2372" t="s">
        <v>1583</v>
      </c>
      <c r="I2372" t="s">
        <v>1058</v>
      </c>
      <c r="K2372">
        <v>1904</v>
      </c>
      <c r="L2372">
        <v>1904</v>
      </c>
      <c r="M2372" t="s">
        <v>209</v>
      </c>
      <c r="N2372" t="s">
        <v>203</v>
      </c>
      <c r="Q2372" s="2" t="str">
        <f>IF($C2372="","",IFERROR(VLOOKUP($C2372,sources!$A$2:$N$200,2,FALSE()),"?"))</f>
        <v>Map</v>
      </c>
      <c r="R2372" s="2" t="str">
        <f t="shared" si="37"/>
        <v>Map</v>
      </c>
      <c r="S2372" s="2" t="str">
        <f>IF($C2372="","",IFERROR(VLOOKUP($C2372,sources!$A$2:$N$200,9,FALSE()),"?"))</f>
        <v>US official</v>
      </c>
      <c r="T2372" t="s">
        <v>5692</v>
      </c>
      <c r="U2372">
        <f>IF(OR(B2372="",C2372="",T2372="Retracted",LEFT(D2372,8)="Negative"),0,IF(COUNTIFS($B$2:B2372,B2372,$C$2:C2372,C2372,$D$2:D2372,"&lt;&gt;Negative*",$T$2:T2372,"&lt;&gt;Retracted")=1,1,0))</f>
        <v>1</v>
      </c>
    </row>
    <row r="2373" spans="1:21" x14ac:dyDescent="0.2">
      <c r="A2373" t="s">
        <v>4609</v>
      </c>
      <c r="B2373" t="s">
        <v>758</v>
      </c>
      <c r="C2373" t="s">
        <v>1509</v>
      </c>
      <c r="D2373" t="s">
        <v>1613</v>
      </c>
      <c r="E2373" t="s">
        <v>2718</v>
      </c>
      <c r="F2373" t="s">
        <v>1583</v>
      </c>
      <c r="I2373" t="s">
        <v>1058</v>
      </c>
      <c r="K2373">
        <v>1904</v>
      </c>
      <c r="L2373">
        <v>1904</v>
      </c>
      <c r="M2373" t="s">
        <v>209</v>
      </c>
      <c r="N2373" t="s">
        <v>190</v>
      </c>
      <c r="Q2373" s="2" t="str">
        <f>IF($C2373="","",IFERROR(VLOOKUP($C2373,sources!$A$2:$N$200,2,FALSE()),"?"))</f>
        <v>Map</v>
      </c>
      <c r="R2373" s="2" t="str">
        <f t="shared" si="37"/>
        <v>Map</v>
      </c>
      <c r="S2373" s="2" t="str">
        <f>IF($C2373="","",IFERROR(VLOOKUP($C2373,sources!$A$2:$N$200,9,FALSE()),"?"))</f>
        <v>US official</v>
      </c>
      <c r="T2373" t="s">
        <v>5692</v>
      </c>
      <c r="U2373">
        <f>IF(OR(B2373="",C2373="",T2373="Retracted",LEFT(D2373,8)="Negative"),0,IF(COUNTIFS($B$2:B2373,B2373,$C$2:C2373,C2373,$D$2:D2373,"&lt;&gt;Negative*",$T$2:T2373,"&lt;&gt;Retracted")=1,1,0))</f>
        <v>0</v>
      </c>
    </row>
    <row r="2374" spans="1:21" x14ac:dyDescent="0.2">
      <c r="A2374" t="s">
        <v>4610</v>
      </c>
      <c r="B2374" t="s">
        <v>764</v>
      </c>
      <c r="C2374" t="s">
        <v>1509</v>
      </c>
      <c r="D2374" t="s">
        <v>1613</v>
      </c>
      <c r="E2374" t="s">
        <v>765</v>
      </c>
      <c r="F2374" t="s">
        <v>1583</v>
      </c>
      <c r="I2374" t="s">
        <v>1058</v>
      </c>
      <c r="K2374">
        <v>1904</v>
      </c>
      <c r="L2374">
        <v>1904</v>
      </c>
      <c r="M2374" t="s">
        <v>209</v>
      </c>
      <c r="N2374" t="s">
        <v>209</v>
      </c>
      <c r="Q2374" s="2" t="str">
        <f>IF($C2374="","",IFERROR(VLOOKUP($C2374,sources!$A$2:$N$200,2,FALSE()),"?"))</f>
        <v>Map</v>
      </c>
      <c r="R2374" s="2" t="str">
        <f t="shared" si="37"/>
        <v>Map</v>
      </c>
      <c r="S2374" s="2" t="str">
        <f>IF($C2374="","",IFERROR(VLOOKUP($C2374,sources!$A$2:$N$200,9,FALSE()),"?"))</f>
        <v>US official</v>
      </c>
      <c r="T2374" t="s">
        <v>5692</v>
      </c>
      <c r="U2374">
        <f>IF(OR(B2374="",C2374="",T2374="Retracted",LEFT(D2374,8)="Negative"),0,IF(COUNTIFS($B$2:B2374,B2374,$C$2:C2374,C2374,$D$2:D2374,"&lt;&gt;Negative*",$T$2:T2374,"&lt;&gt;Retracted")=1,1,0))</f>
        <v>0</v>
      </c>
    </row>
    <row r="2375" spans="1:21" x14ac:dyDescent="0.2">
      <c r="A2375" t="s">
        <v>4611</v>
      </c>
      <c r="B2375" t="s">
        <v>340</v>
      </c>
      <c r="C2375" t="s">
        <v>1509</v>
      </c>
      <c r="D2375" t="s">
        <v>1613</v>
      </c>
      <c r="E2375" t="s">
        <v>341</v>
      </c>
      <c r="F2375" t="s">
        <v>1583</v>
      </c>
      <c r="I2375" t="s">
        <v>1058</v>
      </c>
      <c r="K2375">
        <v>1904</v>
      </c>
      <c r="L2375">
        <v>1904</v>
      </c>
      <c r="M2375" t="s">
        <v>209</v>
      </c>
      <c r="N2375" t="s">
        <v>209</v>
      </c>
      <c r="Q2375" s="2" t="str">
        <f>IF($C2375="","",IFERROR(VLOOKUP($C2375,sources!$A$2:$N$200,2,FALSE()),"?"))</f>
        <v>Map</v>
      </c>
      <c r="R2375" s="2" t="str">
        <f t="shared" si="37"/>
        <v>Map</v>
      </c>
      <c r="S2375" s="2" t="str">
        <f>IF($C2375="","",IFERROR(VLOOKUP($C2375,sources!$A$2:$N$200,9,FALSE()),"?"))</f>
        <v>US official</v>
      </c>
      <c r="T2375" t="s">
        <v>5692</v>
      </c>
      <c r="U2375">
        <f>IF(OR(B2375="",C2375="",T2375="Retracted",LEFT(D2375,8)="Negative"),0,IF(COUNTIFS($B$2:B2375,B2375,$C$2:C2375,C2375,$D$2:D2375,"&lt;&gt;Negative*",$T$2:T2375,"&lt;&gt;Retracted")=1,1,0))</f>
        <v>0</v>
      </c>
    </row>
    <row r="2376" spans="1:21" x14ac:dyDescent="0.2">
      <c r="A2376" t="s">
        <v>4612</v>
      </c>
      <c r="B2376" t="s">
        <v>398</v>
      </c>
      <c r="C2376" t="s">
        <v>1509</v>
      </c>
      <c r="D2376" t="s">
        <v>1613</v>
      </c>
      <c r="E2376" t="s">
        <v>399</v>
      </c>
      <c r="F2376" t="s">
        <v>1583</v>
      </c>
      <c r="I2376" t="s">
        <v>1058</v>
      </c>
      <c r="K2376">
        <v>1904</v>
      </c>
      <c r="L2376">
        <v>1904</v>
      </c>
      <c r="M2376" t="s">
        <v>209</v>
      </c>
      <c r="N2376" t="s">
        <v>209</v>
      </c>
      <c r="Q2376" s="2" t="str">
        <f>IF($C2376="","",IFERROR(VLOOKUP($C2376,sources!$A$2:$N$200,2,FALSE()),"?"))</f>
        <v>Map</v>
      </c>
      <c r="R2376" s="2" t="str">
        <f t="shared" si="37"/>
        <v>Map</v>
      </c>
      <c r="S2376" s="2" t="str">
        <f>IF($C2376="","",IFERROR(VLOOKUP($C2376,sources!$A$2:$N$200,9,FALSE()),"?"))</f>
        <v>US official</v>
      </c>
      <c r="T2376" t="s">
        <v>5692</v>
      </c>
      <c r="U2376">
        <f>IF(OR(B2376="",C2376="",T2376="Retracted",LEFT(D2376,8)="Negative"),0,IF(COUNTIFS($B$2:B2376,B2376,$C$2:C2376,C2376,$D$2:D2376,"&lt;&gt;Negative*",$T$2:T2376,"&lt;&gt;Retracted")=1,1,0))</f>
        <v>0</v>
      </c>
    </row>
    <row r="2377" spans="1:21" x14ac:dyDescent="0.2">
      <c r="A2377" t="s">
        <v>4613</v>
      </c>
      <c r="B2377" t="s">
        <v>910</v>
      </c>
      <c r="C2377" t="s">
        <v>1509</v>
      </c>
      <c r="D2377" t="s">
        <v>1613</v>
      </c>
      <c r="E2377" t="s">
        <v>911</v>
      </c>
      <c r="F2377" t="s">
        <v>1583</v>
      </c>
      <c r="I2377" t="s">
        <v>1058</v>
      </c>
      <c r="K2377">
        <v>1904</v>
      </c>
      <c r="L2377">
        <v>1904</v>
      </c>
      <c r="M2377" t="s">
        <v>209</v>
      </c>
      <c r="N2377" t="s">
        <v>209</v>
      </c>
      <c r="Q2377" s="2" t="str">
        <f>IF($C2377="","",IFERROR(VLOOKUP($C2377,sources!$A$2:$N$200,2,FALSE()),"?"))</f>
        <v>Map</v>
      </c>
      <c r="R2377" s="2" t="str">
        <f t="shared" si="37"/>
        <v>Map</v>
      </c>
      <c r="S2377" s="2" t="str">
        <f>IF($C2377="","",IFERROR(VLOOKUP($C2377,sources!$A$2:$N$200,9,FALSE()),"?"))</f>
        <v>US official</v>
      </c>
      <c r="T2377" t="s">
        <v>5692</v>
      </c>
      <c r="U2377">
        <f>IF(OR(B2377="",C2377="",T2377="Retracted",LEFT(D2377,8)="Negative"),0,IF(COUNTIFS($B$2:B2377,B2377,$C$2:C2377,C2377,$D$2:D2377,"&lt;&gt;Negative*",$T$2:T2377,"&lt;&gt;Retracted")=1,1,0))</f>
        <v>0</v>
      </c>
    </row>
    <row r="2378" spans="1:21" x14ac:dyDescent="0.2">
      <c r="A2378" t="s">
        <v>4614</v>
      </c>
      <c r="B2378" t="s">
        <v>429</v>
      </c>
      <c r="C2378" t="s">
        <v>1509</v>
      </c>
      <c r="D2378" t="s">
        <v>1613</v>
      </c>
      <c r="E2378" t="s">
        <v>430</v>
      </c>
      <c r="F2378" t="s">
        <v>1583</v>
      </c>
      <c r="I2378" t="s">
        <v>1058</v>
      </c>
      <c r="K2378">
        <v>1904</v>
      </c>
      <c r="L2378">
        <v>1904</v>
      </c>
      <c r="M2378" t="s">
        <v>209</v>
      </c>
      <c r="N2378" t="s">
        <v>190</v>
      </c>
      <c r="Q2378" s="2" t="str">
        <f>IF($C2378="","",IFERROR(VLOOKUP($C2378,sources!$A$2:$N$200,2,FALSE()),"?"))</f>
        <v>Map</v>
      </c>
      <c r="R2378" s="2" t="str">
        <f t="shared" si="37"/>
        <v>Map</v>
      </c>
      <c r="S2378" s="2" t="str">
        <f>IF($C2378="","",IFERROR(VLOOKUP($C2378,sources!$A$2:$N$200,9,FALSE()),"?"))</f>
        <v>US official</v>
      </c>
      <c r="T2378" t="s">
        <v>5692</v>
      </c>
      <c r="U2378">
        <f>IF(OR(B2378="",C2378="",T2378="Retracted",LEFT(D2378,8)="Negative"),0,IF(COUNTIFS($B$2:B2378,B2378,$C$2:C2378,C2378,$D$2:D2378,"&lt;&gt;Negative*",$T$2:T2378,"&lt;&gt;Retracted")=1,1,0))</f>
        <v>0</v>
      </c>
    </row>
    <row r="2379" spans="1:21" x14ac:dyDescent="0.2">
      <c r="A2379" t="s">
        <v>4615</v>
      </c>
      <c r="B2379" t="s">
        <v>443</v>
      </c>
      <c r="C2379" t="s">
        <v>1509</v>
      </c>
      <c r="D2379" t="s">
        <v>1575</v>
      </c>
      <c r="E2379" t="s">
        <v>444</v>
      </c>
      <c r="F2379" t="s">
        <v>1583</v>
      </c>
      <c r="I2379" t="s">
        <v>1058</v>
      </c>
      <c r="K2379">
        <v>1904</v>
      </c>
      <c r="L2379">
        <v>1904</v>
      </c>
      <c r="M2379" t="s">
        <v>209</v>
      </c>
      <c r="N2379" t="s">
        <v>203</v>
      </c>
      <c r="Q2379" s="2" t="str">
        <f>IF($C2379="","",IFERROR(VLOOKUP($C2379,sources!$A$2:$N$200,2,FALSE()),"?"))</f>
        <v>Map</v>
      </c>
      <c r="R2379" s="2" t="str">
        <f t="shared" si="37"/>
        <v>Map</v>
      </c>
      <c r="S2379" s="2" t="str">
        <f>IF($C2379="","",IFERROR(VLOOKUP($C2379,sources!$A$2:$N$200,9,FALSE()),"?"))</f>
        <v>US official</v>
      </c>
      <c r="T2379" t="s">
        <v>5692</v>
      </c>
      <c r="U2379">
        <f>IF(OR(B2379="",C2379="",T2379="Retracted",LEFT(D2379,8)="Negative"),0,IF(COUNTIFS($B$2:B2379,B2379,$C$2:C2379,C2379,$D$2:D2379,"&lt;&gt;Negative*",$T$2:T2379,"&lt;&gt;Retracted")=1,1,0))</f>
        <v>1</v>
      </c>
    </row>
    <row r="2380" spans="1:21" x14ac:dyDescent="0.2">
      <c r="A2380" t="s">
        <v>4616</v>
      </c>
      <c r="B2380" t="s">
        <v>456</v>
      </c>
      <c r="C2380" t="s">
        <v>1509</v>
      </c>
      <c r="D2380" t="s">
        <v>1613</v>
      </c>
      <c r="E2380" t="s">
        <v>457</v>
      </c>
      <c r="F2380" t="s">
        <v>1583</v>
      </c>
      <c r="I2380" t="s">
        <v>1058</v>
      </c>
      <c r="K2380">
        <v>1904</v>
      </c>
      <c r="L2380">
        <v>1904</v>
      </c>
      <c r="M2380" t="s">
        <v>209</v>
      </c>
      <c r="N2380" t="s">
        <v>203</v>
      </c>
      <c r="Q2380" s="2" t="str">
        <f>IF($C2380="","",IFERROR(VLOOKUP($C2380,sources!$A$2:$N$200,2,FALSE()),"?"))</f>
        <v>Map</v>
      </c>
      <c r="R2380" s="2" t="str">
        <f t="shared" si="37"/>
        <v>Map</v>
      </c>
      <c r="S2380" s="2" t="str">
        <f>IF($C2380="","",IFERROR(VLOOKUP($C2380,sources!$A$2:$N$200,9,FALSE()),"?"))</f>
        <v>US official</v>
      </c>
      <c r="T2380" t="s">
        <v>5692</v>
      </c>
      <c r="U2380">
        <f>IF(OR(B2380="",C2380="",T2380="Retracted",LEFT(D2380,8)="Negative"),0,IF(COUNTIFS($B$2:B2380,B2380,$C$2:C2380,C2380,$D$2:D2380,"&lt;&gt;Negative*",$T$2:T2380,"&lt;&gt;Retracted")=1,1,0))</f>
        <v>0</v>
      </c>
    </row>
    <row r="2381" spans="1:21" x14ac:dyDescent="0.2">
      <c r="A2381" t="s">
        <v>4617</v>
      </c>
      <c r="B2381" t="s">
        <v>472</v>
      </c>
      <c r="C2381" t="s">
        <v>1509</v>
      </c>
      <c r="D2381" t="s">
        <v>1613</v>
      </c>
      <c r="E2381" t="s">
        <v>473</v>
      </c>
      <c r="F2381" t="s">
        <v>1583</v>
      </c>
      <c r="I2381" t="s">
        <v>1058</v>
      </c>
      <c r="K2381">
        <v>1904</v>
      </c>
      <c r="L2381">
        <v>1904</v>
      </c>
      <c r="M2381" t="s">
        <v>209</v>
      </c>
      <c r="N2381" t="s">
        <v>190</v>
      </c>
      <c r="Q2381" s="2" t="str">
        <f>IF($C2381="","",IFERROR(VLOOKUP($C2381,sources!$A$2:$N$200,2,FALSE()),"?"))</f>
        <v>Map</v>
      </c>
      <c r="R2381" s="2" t="str">
        <f t="shared" si="37"/>
        <v>Map</v>
      </c>
      <c r="S2381" s="2" t="str">
        <f>IF($C2381="","",IFERROR(VLOOKUP($C2381,sources!$A$2:$N$200,9,FALSE()),"?"))</f>
        <v>US official</v>
      </c>
      <c r="T2381" t="s">
        <v>5692</v>
      </c>
      <c r="U2381">
        <f>IF(OR(B2381="",C2381="",T2381="Retracted",LEFT(D2381,8)="Negative"),0,IF(COUNTIFS($B$2:B2381,B2381,$C$2:C2381,C2381,$D$2:D2381,"&lt;&gt;Negative*",$T$2:T2381,"&lt;&gt;Retracted")=1,1,0))</f>
        <v>0</v>
      </c>
    </row>
    <row r="2382" spans="1:21" x14ac:dyDescent="0.2">
      <c r="A2382" t="s">
        <v>4618</v>
      </c>
      <c r="B2382" t="s">
        <v>649</v>
      </c>
      <c r="C2382" t="s">
        <v>1509</v>
      </c>
      <c r="D2382" t="s">
        <v>1613</v>
      </c>
      <c r="E2382" t="s">
        <v>650</v>
      </c>
      <c r="F2382" t="s">
        <v>1583</v>
      </c>
      <c r="I2382" t="s">
        <v>1058</v>
      </c>
      <c r="K2382">
        <v>1904</v>
      </c>
      <c r="L2382">
        <v>1904</v>
      </c>
      <c r="M2382" t="s">
        <v>209</v>
      </c>
      <c r="N2382" t="s">
        <v>190</v>
      </c>
      <c r="Q2382" s="2" t="str">
        <f>IF($C2382="","",IFERROR(VLOOKUP($C2382,sources!$A$2:$N$200,2,FALSE()),"?"))</f>
        <v>Map</v>
      </c>
      <c r="R2382" s="2" t="str">
        <f t="shared" si="37"/>
        <v>Map</v>
      </c>
      <c r="S2382" s="2" t="str">
        <f>IF($C2382="","",IFERROR(VLOOKUP($C2382,sources!$A$2:$N$200,9,FALSE()),"?"))</f>
        <v>US official</v>
      </c>
      <c r="T2382" t="s">
        <v>5692</v>
      </c>
      <c r="U2382">
        <f>IF(OR(B2382="",C2382="",T2382="Retracted",LEFT(D2382,8)="Negative"),0,IF(COUNTIFS($B$2:B2382,B2382,$C$2:C2382,C2382,$D$2:D2382,"&lt;&gt;Negative*",$T$2:T2382,"&lt;&gt;Retracted")=1,1,0))</f>
        <v>0</v>
      </c>
    </row>
    <row r="2383" spans="1:21" x14ac:dyDescent="0.2">
      <c r="A2383" t="s">
        <v>4619</v>
      </c>
      <c r="B2383" t="s">
        <v>475</v>
      </c>
      <c r="C2383" t="s">
        <v>1509</v>
      </c>
      <c r="D2383" t="s">
        <v>1613</v>
      </c>
      <c r="E2383" t="s">
        <v>476</v>
      </c>
      <c r="F2383" t="s">
        <v>1583</v>
      </c>
      <c r="I2383" t="s">
        <v>1058</v>
      </c>
      <c r="K2383">
        <v>1904</v>
      </c>
      <c r="L2383">
        <v>1904</v>
      </c>
      <c r="M2383" t="s">
        <v>209</v>
      </c>
      <c r="N2383" t="s">
        <v>209</v>
      </c>
      <c r="Q2383" s="2" t="str">
        <f>IF($C2383="","",IFERROR(VLOOKUP($C2383,sources!$A$2:$N$200,2,FALSE()),"?"))</f>
        <v>Map</v>
      </c>
      <c r="R2383" s="2" t="str">
        <f t="shared" si="37"/>
        <v>Map</v>
      </c>
      <c r="S2383" s="2" t="str">
        <f>IF($C2383="","",IFERROR(VLOOKUP($C2383,sources!$A$2:$N$200,9,FALSE()),"?"))</f>
        <v>US official</v>
      </c>
      <c r="T2383" t="s">
        <v>5692</v>
      </c>
      <c r="U2383">
        <f>IF(OR(B2383="",C2383="",T2383="Retracted",LEFT(D2383,8)="Negative"),0,IF(COUNTIFS($B$2:B2383,B2383,$C$2:C2383,C2383,$D$2:D2383,"&lt;&gt;Negative*",$T$2:T2383,"&lt;&gt;Retracted")=1,1,0))</f>
        <v>0</v>
      </c>
    </row>
    <row r="2384" spans="1:21" x14ac:dyDescent="0.2">
      <c r="A2384" t="s">
        <v>4620</v>
      </c>
      <c r="B2384" t="s">
        <v>484</v>
      </c>
      <c r="C2384" t="s">
        <v>1509</v>
      </c>
      <c r="D2384" t="s">
        <v>1613</v>
      </c>
      <c r="E2384" t="s">
        <v>485</v>
      </c>
      <c r="F2384" t="s">
        <v>1583</v>
      </c>
      <c r="I2384" t="s">
        <v>1058</v>
      </c>
      <c r="K2384">
        <v>1904</v>
      </c>
      <c r="L2384">
        <v>1904</v>
      </c>
      <c r="M2384" t="s">
        <v>209</v>
      </c>
      <c r="N2384" t="s">
        <v>190</v>
      </c>
      <c r="Q2384" s="2" t="str">
        <f>IF($C2384="","",IFERROR(VLOOKUP($C2384,sources!$A$2:$N$200,2,FALSE()),"?"))</f>
        <v>Map</v>
      </c>
      <c r="R2384" s="2" t="str">
        <f t="shared" si="37"/>
        <v>Map</v>
      </c>
      <c r="S2384" s="2" t="str">
        <f>IF($C2384="","",IFERROR(VLOOKUP($C2384,sources!$A$2:$N$200,9,FALSE()),"?"))</f>
        <v>US official</v>
      </c>
      <c r="T2384" t="s">
        <v>5692</v>
      </c>
      <c r="U2384">
        <f>IF(OR(B2384="",C2384="",T2384="Retracted",LEFT(D2384,8)="Negative"),0,IF(COUNTIFS($B$2:B2384,B2384,$C$2:C2384,C2384,$D$2:D2384,"&lt;&gt;Negative*",$T$2:T2384,"&lt;&gt;Retracted")=1,1,0))</f>
        <v>0</v>
      </c>
    </row>
    <row r="2385" spans="1:21" x14ac:dyDescent="0.2">
      <c r="A2385" t="s">
        <v>4621</v>
      </c>
      <c r="B2385" t="s">
        <v>487</v>
      </c>
      <c r="C2385" t="s">
        <v>1509</v>
      </c>
      <c r="D2385" t="s">
        <v>1613</v>
      </c>
      <c r="E2385" t="s">
        <v>488</v>
      </c>
      <c r="F2385" t="s">
        <v>1583</v>
      </c>
      <c r="I2385" t="s">
        <v>1058</v>
      </c>
      <c r="K2385">
        <v>1904</v>
      </c>
      <c r="L2385">
        <v>1904</v>
      </c>
      <c r="M2385" t="s">
        <v>209</v>
      </c>
      <c r="N2385" t="s">
        <v>209</v>
      </c>
      <c r="Q2385" s="2" t="str">
        <f>IF($C2385="","",IFERROR(VLOOKUP($C2385,sources!$A$2:$N$200,2,FALSE()),"?"))</f>
        <v>Map</v>
      </c>
      <c r="R2385" s="2" t="str">
        <f t="shared" si="37"/>
        <v>Map</v>
      </c>
      <c r="S2385" s="2" t="str">
        <f>IF($C2385="","",IFERROR(VLOOKUP($C2385,sources!$A$2:$N$200,9,FALSE()),"?"))</f>
        <v>US official</v>
      </c>
      <c r="T2385" t="s">
        <v>5692</v>
      </c>
      <c r="U2385">
        <f>IF(OR(B2385="",C2385="",T2385="Retracted",LEFT(D2385,8)="Negative"),0,IF(COUNTIFS($B$2:B2385,B2385,$C$2:C2385,C2385,$D$2:D2385,"&lt;&gt;Negative*",$T$2:T2385,"&lt;&gt;Retracted")=1,1,0))</f>
        <v>0</v>
      </c>
    </row>
    <row r="2386" spans="1:21" x14ac:dyDescent="0.2">
      <c r="A2386" t="s">
        <v>4622</v>
      </c>
      <c r="B2386" t="s">
        <v>490</v>
      </c>
      <c r="C2386" t="s">
        <v>1509</v>
      </c>
      <c r="D2386" t="s">
        <v>1613</v>
      </c>
      <c r="E2386" t="s">
        <v>491</v>
      </c>
      <c r="F2386" t="s">
        <v>1583</v>
      </c>
      <c r="I2386" t="s">
        <v>1058</v>
      </c>
      <c r="K2386">
        <v>1904</v>
      </c>
      <c r="L2386">
        <v>1904</v>
      </c>
      <c r="M2386" t="s">
        <v>209</v>
      </c>
      <c r="N2386" t="s">
        <v>209</v>
      </c>
      <c r="Q2386" s="2" t="str">
        <f>IF($C2386="","",IFERROR(VLOOKUP($C2386,sources!$A$2:$N$200,2,FALSE()),"?"))</f>
        <v>Map</v>
      </c>
      <c r="R2386" s="2" t="str">
        <f t="shared" si="37"/>
        <v>Map</v>
      </c>
      <c r="S2386" s="2" t="str">
        <f>IF($C2386="","",IFERROR(VLOOKUP($C2386,sources!$A$2:$N$200,9,FALSE()),"?"))</f>
        <v>US official</v>
      </c>
      <c r="T2386" t="s">
        <v>5692</v>
      </c>
      <c r="U2386">
        <f>IF(OR(B2386="",C2386="",T2386="Retracted",LEFT(D2386,8)="Negative"),0,IF(COUNTIFS($B$2:B2386,B2386,$C$2:C2386,C2386,$D$2:D2386,"&lt;&gt;Negative*",$T$2:T2386,"&lt;&gt;Retracted")=1,1,0))</f>
        <v>0</v>
      </c>
    </row>
    <row r="2387" spans="1:21" x14ac:dyDescent="0.2">
      <c r="A2387" t="s">
        <v>4623</v>
      </c>
      <c r="B2387" t="s">
        <v>507</v>
      </c>
      <c r="C2387" t="s">
        <v>1509</v>
      </c>
      <c r="D2387" t="s">
        <v>1613</v>
      </c>
      <c r="E2387" t="s">
        <v>508</v>
      </c>
      <c r="F2387" t="s">
        <v>1583</v>
      </c>
      <c r="I2387" t="s">
        <v>1058</v>
      </c>
      <c r="K2387">
        <v>1904</v>
      </c>
      <c r="L2387">
        <v>1904</v>
      </c>
      <c r="M2387" t="s">
        <v>209</v>
      </c>
      <c r="N2387" t="s">
        <v>209</v>
      </c>
      <c r="Q2387" s="2" t="str">
        <f>IF($C2387="","",IFERROR(VLOOKUP($C2387,sources!$A$2:$N$200,2,FALSE()),"?"))</f>
        <v>Map</v>
      </c>
      <c r="R2387" s="2" t="str">
        <f t="shared" si="37"/>
        <v>Map</v>
      </c>
      <c r="S2387" s="2" t="str">
        <f>IF($C2387="","",IFERROR(VLOOKUP($C2387,sources!$A$2:$N$200,9,FALSE()),"?"))</f>
        <v>US official</v>
      </c>
      <c r="T2387" t="s">
        <v>5692</v>
      </c>
      <c r="U2387">
        <f>IF(OR(B2387="",C2387="",T2387="Retracted",LEFT(D2387,8)="Negative"),0,IF(COUNTIFS($B$2:B2387,B2387,$C$2:C2387,C2387,$D$2:D2387,"&lt;&gt;Negative*",$T$2:T2387,"&lt;&gt;Retracted")=1,1,0))</f>
        <v>0</v>
      </c>
    </row>
    <row r="2388" spans="1:21" x14ac:dyDescent="0.2">
      <c r="A2388" t="s">
        <v>4624</v>
      </c>
      <c r="B2388" t="s">
        <v>510</v>
      </c>
      <c r="C2388" t="s">
        <v>1509</v>
      </c>
      <c r="D2388" t="s">
        <v>1613</v>
      </c>
      <c r="E2388" t="s">
        <v>511</v>
      </c>
      <c r="F2388" t="s">
        <v>1583</v>
      </c>
      <c r="I2388" t="s">
        <v>1058</v>
      </c>
      <c r="K2388">
        <v>1904</v>
      </c>
      <c r="L2388">
        <v>1904</v>
      </c>
      <c r="M2388" t="s">
        <v>209</v>
      </c>
      <c r="N2388" t="s">
        <v>209</v>
      </c>
      <c r="Q2388" s="2" t="str">
        <f>IF($C2388="","",IFERROR(VLOOKUP($C2388,sources!$A$2:$N$200,2,FALSE()),"?"))</f>
        <v>Map</v>
      </c>
      <c r="R2388" s="2" t="str">
        <f t="shared" si="37"/>
        <v>Map</v>
      </c>
      <c r="S2388" s="2" t="str">
        <f>IF($C2388="","",IFERROR(VLOOKUP($C2388,sources!$A$2:$N$200,9,FALSE()),"?"))</f>
        <v>US official</v>
      </c>
      <c r="T2388" t="s">
        <v>5692</v>
      </c>
      <c r="U2388">
        <f>IF(OR(B2388="",C2388="",T2388="Retracted",LEFT(D2388,8)="Negative"),0,IF(COUNTIFS($B$2:B2388,B2388,$C$2:C2388,C2388,$D$2:D2388,"&lt;&gt;Negative*",$T$2:T2388,"&lt;&gt;Retracted")=1,1,0))</f>
        <v>0</v>
      </c>
    </row>
    <row r="2389" spans="1:21" x14ac:dyDescent="0.2">
      <c r="A2389" t="s">
        <v>4625</v>
      </c>
      <c r="B2389" t="s">
        <v>595</v>
      </c>
      <c r="C2389" t="s">
        <v>1509</v>
      </c>
      <c r="D2389" t="s">
        <v>1575</v>
      </c>
      <c r="E2389" t="s">
        <v>4626</v>
      </c>
      <c r="F2389" t="s">
        <v>1583</v>
      </c>
      <c r="I2389" t="s">
        <v>1058</v>
      </c>
      <c r="K2389">
        <v>1904</v>
      </c>
      <c r="L2389">
        <v>1904</v>
      </c>
      <c r="M2389" t="s">
        <v>209</v>
      </c>
      <c r="N2389" t="s">
        <v>203</v>
      </c>
      <c r="Q2389" s="2" t="str">
        <f>IF($C2389="","",IFERROR(VLOOKUP($C2389,sources!$A$2:$N$200,2,FALSE()),"?"))</f>
        <v>Map</v>
      </c>
      <c r="R2389" s="2" t="str">
        <f t="shared" si="37"/>
        <v>Map</v>
      </c>
      <c r="S2389" s="2" t="str">
        <f>IF($C2389="","",IFERROR(VLOOKUP($C2389,sources!$A$2:$N$200,9,FALSE()),"?"))</f>
        <v>US official</v>
      </c>
      <c r="T2389" t="s">
        <v>5692</v>
      </c>
      <c r="U2389">
        <f>IF(OR(B2389="",C2389="",T2389="Retracted",LEFT(D2389,8)="Negative"),0,IF(COUNTIFS($B$2:B2389,B2389,$C$2:C2389,C2389,$D$2:D2389,"&lt;&gt;Negative*",$T$2:T2389,"&lt;&gt;Retracted")=1,1,0))</f>
        <v>1</v>
      </c>
    </row>
    <row r="2390" spans="1:21" x14ac:dyDescent="0.2">
      <c r="A2390" t="s">
        <v>4627</v>
      </c>
      <c r="B2390" t="s">
        <v>607</v>
      </c>
      <c r="C2390" t="s">
        <v>1509</v>
      </c>
      <c r="D2390" t="s">
        <v>1613</v>
      </c>
      <c r="E2390" t="s">
        <v>608</v>
      </c>
      <c r="F2390" t="s">
        <v>1583</v>
      </c>
      <c r="I2390" t="s">
        <v>1058</v>
      </c>
      <c r="K2390">
        <v>1904</v>
      </c>
      <c r="L2390">
        <v>1904</v>
      </c>
      <c r="M2390" t="s">
        <v>209</v>
      </c>
      <c r="N2390" t="s">
        <v>209</v>
      </c>
      <c r="Q2390" s="2" t="str">
        <f>IF($C2390="","",IFERROR(VLOOKUP($C2390,sources!$A$2:$N$200,2,FALSE()),"?"))</f>
        <v>Map</v>
      </c>
      <c r="R2390" s="2" t="str">
        <f t="shared" si="37"/>
        <v>Map</v>
      </c>
      <c r="S2390" s="2" t="str">
        <f>IF($C2390="","",IFERROR(VLOOKUP($C2390,sources!$A$2:$N$200,9,FALSE()),"?"))</f>
        <v>US official</v>
      </c>
      <c r="T2390" t="s">
        <v>5692</v>
      </c>
      <c r="U2390">
        <f>IF(OR(B2390="",C2390="",T2390="Retracted",LEFT(D2390,8)="Negative"),0,IF(COUNTIFS($B$2:B2390,B2390,$C$2:C2390,C2390,$D$2:D2390,"&lt;&gt;Negative*",$T$2:T2390,"&lt;&gt;Retracted")=1,1,0))</f>
        <v>0</v>
      </c>
    </row>
    <row r="2391" spans="1:21" x14ac:dyDescent="0.2">
      <c r="A2391" t="s">
        <v>4628</v>
      </c>
      <c r="B2391" t="s">
        <v>630</v>
      </c>
      <c r="C2391" t="s">
        <v>1509</v>
      </c>
      <c r="D2391" t="s">
        <v>1613</v>
      </c>
      <c r="E2391" t="s">
        <v>631</v>
      </c>
      <c r="F2391" t="s">
        <v>1583</v>
      </c>
      <c r="I2391" t="s">
        <v>1058</v>
      </c>
      <c r="K2391">
        <v>1904</v>
      </c>
      <c r="L2391">
        <v>1904</v>
      </c>
      <c r="M2391" t="s">
        <v>209</v>
      </c>
      <c r="N2391" t="s">
        <v>209</v>
      </c>
      <c r="Q2391" s="2" t="str">
        <f>IF($C2391="","",IFERROR(VLOOKUP($C2391,sources!$A$2:$N$200,2,FALSE()),"?"))</f>
        <v>Map</v>
      </c>
      <c r="R2391" s="2" t="str">
        <f t="shared" si="37"/>
        <v>Map</v>
      </c>
      <c r="S2391" s="2" t="str">
        <f>IF($C2391="","",IFERROR(VLOOKUP($C2391,sources!$A$2:$N$200,9,FALSE()),"?"))</f>
        <v>US official</v>
      </c>
      <c r="T2391" t="s">
        <v>5692</v>
      </c>
      <c r="U2391">
        <f>IF(OR(B2391="",C2391="",T2391="Retracted",LEFT(D2391,8)="Negative"),0,IF(COUNTIFS($B$2:B2391,B2391,$C$2:C2391,C2391,$D$2:D2391,"&lt;&gt;Negative*",$T$2:T2391,"&lt;&gt;Retracted")=1,1,0))</f>
        <v>0</v>
      </c>
    </row>
    <row r="2392" spans="1:21" x14ac:dyDescent="0.2">
      <c r="A2392" t="s">
        <v>4629</v>
      </c>
      <c r="B2392" t="s">
        <v>639</v>
      </c>
      <c r="C2392" t="s">
        <v>1509</v>
      </c>
      <c r="D2392" t="s">
        <v>1613</v>
      </c>
      <c r="E2392" t="s">
        <v>640</v>
      </c>
      <c r="F2392" t="s">
        <v>1583</v>
      </c>
      <c r="I2392" t="s">
        <v>1058</v>
      </c>
      <c r="K2392">
        <v>1904</v>
      </c>
      <c r="L2392">
        <v>1904</v>
      </c>
      <c r="M2392" t="s">
        <v>209</v>
      </c>
      <c r="N2392" t="s">
        <v>190</v>
      </c>
      <c r="Q2392" s="2" t="str">
        <f>IF($C2392="","",IFERROR(VLOOKUP($C2392,sources!$A$2:$N$200,2,FALSE()),"?"))</f>
        <v>Map</v>
      </c>
      <c r="R2392" s="2" t="str">
        <f t="shared" si="37"/>
        <v>Map</v>
      </c>
      <c r="S2392" s="2" t="str">
        <f>IF($C2392="","",IFERROR(VLOOKUP($C2392,sources!$A$2:$N$200,9,FALSE()),"?"))</f>
        <v>US official</v>
      </c>
      <c r="T2392" t="s">
        <v>5692</v>
      </c>
      <c r="U2392">
        <f>IF(OR(B2392="",C2392="",T2392="Retracted",LEFT(D2392,8)="Negative"),0,IF(COUNTIFS($B$2:B2392,B2392,$C$2:C2392,C2392,$D$2:D2392,"&lt;&gt;Negative*",$T$2:T2392,"&lt;&gt;Retracted")=1,1,0))</f>
        <v>0</v>
      </c>
    </row>
    <row r="2393" spans="1:21" x14ac:dyDescent="0.2">
      <c r="A2393" t="s">
        <v>4630</v>
      </c>
      <c r="B2393" t="s">
        <v>643</v>
      </c>
      <c r="C2393" t="s">
        <v>1509</v>
      </c>
      <c r="D2393" t="s">
        <v>1613</v>
      </c>
      <c r="E2393" t="s">
        <v>644</v>
      </c>
      <c r="F2393" t="s">
        <v>1583</v>
      </c>
      <c r="I2393" t="s">
        <v>1058</v>
      </c>
      <c r="K2393">
        <v>1904</v>
      </c>
      <c r="L2393">
        <v>1904</v>
      </c>
      <c r="M2393" t="s">
        <v>209</v>
      </c>
      <c r="N2393" t="s">
        <v>190</v>
      </c>
      <c r="Q2393" s="2" t="str">
        <f>IF($C2393="","",IFERROR(VLOOKUP($C2393,sources!$A$2:$N$200,2,FALSE()),"?"))</f>
        <v>Map</v>
      </c>
      <c r="R2393" s="2" t="str">
        <f t="shared" si="37"/>
        <v>Map</v>
      </c>
      <c r="S2393" s="2" t="str">
        <f>IF($C2393="","",IFERROR(VLOOKUP($C2393,sources!$A$2:$N$200,9,FALSE()),"?"))</f>
        <v>US official</v>
      </c>
      <c r="T2393" t="s">
        <v>5692</v>
      </c>
      <c r="U2393">
        <f>IF(OR(B2393="",C2393="",T2393="Retracted",LEFT(D2393,8)="Negative"),0,IF(COUNTIFS($B$2:B2393,B2393,$C$2:C2393,C2393,$D$2:D2393,"&lt;&gt;Negative*",$T$2:T2393,"&lt;&gt;Retracted")=1,1,0))</f>
        <v>0</v>
      </c>
    </row>
    <row r="2394" spans="1:21" x14ac:dyDescent="0.2">
      <c r="A2394" t="s">
        <v>4631</v>
      </c>
      <c r="B2394" t="s">
        <v>646</v>
      </c>
      <c r="C2394" t="s">
        <v>1509</v>
      </c>
      <c r="D2394" t="s">
        <v>1613</v>
      </c>
      <c r="E2394" t="s">
        <v>647</v>
      </c>
      <c r="F2394" t="s">
        <v>1583</v>
      </c>
      <c r="I2394" t="s">
        <v>1058</v>
      </c>
      <c r="K2394">
        <v>1904</v>
      </c>
      <c r="L2394">
        <v>1904</v>
      </c>
      <c r="M2394" t="s">
        <v>209</v>
      </c>
      <c r="N2394" t="s">
        <v>190</v>
      </c>
      <c r="Q2394" s="2" t="str">
        <f>IF($C2394="","",IFERROR(VLOOKUP($C2394,sources!$A$2:$N$200,2,FALSE()),"?"))</f>
        <v>Map</v>
      </c>
      <c r="R2394" s="2" t="str">
        <f t="shared" si="37"/>
        <v>Map</v>
      </c>
      <c r="S2394" s="2" t="str">
        <f>IF($C2394="","",IFERROR(VLOOKUP($C2394,sources!$A$2:$N$200,9,FALSE()),"?"))</f>
        <v>US official</v>
      </c>
      <c r="T2394" t="s">
        <v>5692</v>
      </c>
      <c r="U2394">
        <f>IF(OR(B2394="",C2394="",T2394="Retracted",LEFT(D2394,8)="Negative"),0,IF(COUNTIFS($B$2:B2394,B2394,$C$2:C2394,C2394,$D$2:D2394,"&lt;&gt;Negative*",$T$2:T2394,"&lt;&gt;Retracted")=1,1,0))</f>
        <v>0</v>
      </c>
    </row>
    <row r="2395" spans="1:21" x14ac:dyDescent="0.2">
      <c r="A2395" t="s">
        <v>4632</v>
      </c>
      <c r="B2395" t="s">
        <v>673</v>
      </c>
      <c r="C2395" t="s">
        <v>1509</v>
      </c>
      <c r="D2395" t="s">
        <v>1575</v>
      </c>
      <c r="E2395" t="s">
        <v>4633</v>
      </c>
      <c r="F2395" t="s">
        <v>1583</v>
      </c>
      <c r="I2395" t="s">
        <v>1058</v>
      </c>
      <c r="K2395">
        <v>1904</v>
      </c>
      <c r="L2395">
        <v>1904</v>
      </c>
      <c r="M2395" t="s">
        <v>209</v>
      </c>
      <c r="N2395" t="s">
        <v>190</v>
      </c>
      <c r="Q2395" s="2" t="str">
        <f>IF($C2395="","",IFERROR(VLOOKUP($C2395,sources!$A$2:$N$200,2,FALSE()),"?"))</f>
        <v>Map</v>
      </c>
      <c r="R2395" s="2" t="str">
        <f t="shared" si="37"/>
        <v>Map</v>
      </c>
      <c r="S2395" s="2" t="str">
        <f>IF($C2395="","",IFERROR(VLOOKUP($C2395,sources!$A$2:$N$200,9,FALSE()),"?"))</f>
        <v>US official</v>
      </c>
      <c r="T2395" t="s">
        <v>5692</v>
      </c>
      <c r="U2395">
        <f>IF(OR(B2395="",C2395="",T2395="Retracted",LEFT(D2395,8)="Negative"),0,IF(COUNTIFS($B$2:B2395,B2395,$C$2:C2395,C2395,$D$2:D2395,"&lt;&gt;Negative*",$T$2:T2395,"&lt;&gt;Retracted")=1,1,0))</f>
        <v>1</v>
      </c>
    </row>
    <row r="2396" spans="1:21" x14ac:dyDescent="0.2">
      <c r="A2396" t="s">
        <v>4634</v>
      </c>
      <c r="B2396" t="s">
        <v>783</v>
      </c>
      <c r="C2396" t="s">
        <v>1509</v>
      </c>
      <c r="D2396" t="s">
        <v>1613</v>
      </c>
      <c r="E2396" t="s">
        <v>784</v>
      </c>
      <c r="F2396" t="s">
        <v>1583</v>
      </c>
      <c r="I2396" t="s">
        <v>1058</v>
      </c>
      <c r="K2396">
        <v>1904</v>
      </c>
      <c r="L2396">
        <v>1904</v>
      </c>
      <c r="M2396" t="s">
        <v>209</v>
      </c>
      <c r="N2396" t="s">
        <v>209</v>
      </c>
      <c r="Q2396" s="2" t="str">
        <f>IF($C2396="","",IFERROR(VLOOKUP($C2396,sources!$A$2:$N$200,2,FALSE()),"?"))</f>
        <v>Map</v>
      </c>
      <c r="R2396" s="2" t="str">
        <f t="shared" si="37"/>
        <v>Map</v>
      </c>
      <c r="S2396" s="2" t="str">
        <f>IF($C2396="","",IFERROR(VLOOKUP($C2396,sources!$A$2:$N$200,9,FALSE()),"?"))</f>
        <v>US official</v>
      </c>
      <c r="T2396" t="s">
        <v>5692</v>
      </c>
      <c r="U2396">
        <f>IF(OR(B2396="",C2396="",T2396="Retracted",LEFT(D2396,8)="Negative"),0,IF(COUNTIFS($B$2:B2396,B2396,$C$2:C2396,C2396,$D$2:D2396,"&lt;&gt;Negative*",$T$2:T2396,"&lt;&gt;Retracted")=1,1,0))</f>
        <v>0</v>
      </c>
    </row>
    <row r="2397" spans="1:21" x14ac:dyDescent="0.2">
      <c r="A2397" t="s">
        <v>4635</v>
      </c>
      <c r="B2397" t="s">
        <v>888</v>
      </c>
      <c r="C2397" t="s">
        <v>1509</v>
      </c>
      <c r="D2397" t="s">
        <v>1613</v>
      </c>
      <c r="E2397" t="s">
        <v>889</v>
      </c>
      <c r="F2397" t="s">
        <v>1583</v>
      </c>
      <c r="I2397" t="s">
        <v>1058</v>
      </c>
      <c r="K2397">
        <v>1904</v>
      </c>
      <c r="L2397">
        <v>1904</v>
      </c>
      <c r="M2397" t="s">
        <v>209</v>
      </c>
      <c r="N2397" t="s">
        <v>190</v>
      </c>
      <c r="Q2397" s="2" t="str">
        <f>IF($C2397="","",IFERROR(VLOOKUP($C2397,sources!$A$2:$N$200,2,FALSE()),"?"))</f>
        <v>Map</v>
      </c>
      <c r="R2397" s="2" t="str">
        <f t="shared" si="37"/>
        <v>Map</v>
      </c>
      <c r="S2397" s="2" t="str">
        <f>IF($C2397="","",IFERROR(VLOOKUP($C2397,sources!$A$2:$N$200,9,FALSE()),"?"))</f>
        <v>US official</v>
      </c>
      <c r="T2397" t="s">
        <v>5692</v>
      </c>
      <c r="U2397">
        <f>IF(OR(B2397="",C2397="",T2397="Retracted",LEFT(D2397,8)="Negative"),0,IF(COUNTIFS($B$2:B2397,B2397,$C$2:C2397,C2397,$D$2:D2397,"&lt;&gt;Negative*",$T$2:T2397,"&lt;&gt;Retracted")=1,1,0))</f>
        <v>0</v>
      </c>
    </row>
    <row r="2398" spans="1:21" x14ac:dyDescent="0.2">
      <c r="A2398" t="s">
        <v>4636</v>
      </c>
      <c r="B2398" t="s">
        <v>892</v>
      </c>
      <c r="C2398" t="s">
        <v>1509</v>
      </c>
      <c r="D2398" t="s">
        <v>1613</v>
      </c>
      <c r="E2398" t="s">
        <v>893</v>
      </c>
      <c r="F2398" t="s">
        <v>1583</v>
      </c>
      <c r="I2398" t="s">
        <v>1058</v>
      </c>
      <c r="K2398">
        <v>1904</v>
      </c>
      <c r="L2398">
        <v>1904</v>
      </c>
      <c r="M2398" t="s">
        <v>209</v>
      </c>
      <c r="N2398" t="s">
        <v>209</v>
      </c>
      <c r="Q2398" s="2" t="str">
        <f>IF($C2398="","",IFERROR(VLOOKUP($C2398,sources!$A$2:$N$200,2,FALSE()),"?"))</f>
        <v>Map</v>
      </c>
      <c r="R2398" s="2" t="str">
        <f t="shared" si="37"/>
        <v>Map</v>
      </c>
      <c r="S2398" s="2" t="str">
        <f>IF($C2398="","",IFERROR(VLOOKUP($C2398,sources!$A$2:$N$200,9,FALSE()),"?"))</f>
        <v>US official</v>
      </c>
      <c r="T2398" t="s">
        <v>5692</v>
      </c>
      <c r="U2398">
        <f>IF(OR(B2398="",C2398="",T2398="Retracted",LEFT(D2398,8)="Negative"),0,IF(COUNTIFS($B$2:B2398,B2398,$C$2:C2398,C2398,$D$2:D2398,"&lt;&gt;Negative*",$T$2:T2398,"&lt;&gt;Retracted")=1,1,0))</f>
        <v>0</v>
      </c>
    </row>
    <row r="2399" spans="1:21" x14ac:dyDescent="0.2">
      <c r="A2399" t="s">
        <v>4637</v>
      </c>
      <c r="B2399" t="s">
        <v>928</v>
      </c>
      <c r="C2399" t="s">
        <v>1509</v>
      </c>
      <c r="D2399" t="s">
        <v>1613</v>
      </c>
      <c r="E2399" t="s">
        <v>929</v>
      </c>
      <c r="F2399" t="s">
        <v>1583</v>
      </c>
      <c r="I2399" t="s">
        <v>1058</v>
      </c>
      <c r="K2399">
        <v>1904</v>
      </c>
      <c r="L2399">
        <v>1904</v>
      </c>
      <c r="M2399" t="s">
        <v>209</v>
      </c>
      <c r="N2399" t="s">
        <v>209</v>
      </c>
      <c r="Q2399" s="2" t="str">
        <f>IF($C2399="","",IFERROR(VLOOKUP($C2399,sources!$A$2:$N$200,2,FALSE()),"?"))</f>
        <v>Map</v>
      </c>
      <c r="R2399" s="2" t="str">
        <f t="shared" si="37"/>
        <v>Map</v>
      </c>
      <c r="S2399" s="2" t="str">
        <f>IF($C2399="","",IFERROR(VLOOKUP($C2399,sources!$A$2:$N$200,9,FALSE()),"?"))</f>
        <v>US official</v>
      </c>
      <c r="T2399" t="s">
        <v>5692</v>
      </c>
      <c r="U2399">
        <f>IF(OR(B2399="",C2399="",T2399="Retracted",LEFT(D2399,8)="Negative"),0,IF(COUNTIFS($B$2:B2399,B2399,$C$2:C2399,C2399,$D$2:D2399,"&lt;&gt;Negative*",$T$2:T2399,"&lt;&gt;Retracted")=1,1,0))</f>
        <v>0</v>
      </c>
    </row>
    <row r="2400" spans="1:21" x14ac:dyDescent="0.2">
      <c r="A2400" t="s">
        <v>4638</v>
      </c>
      <c r="B2400" t="s">
        <v>896</v>
      </c>
      <c r="C2400" t="s">
        <v>1509</v>
      </c>
      <c r="D2400" t="s">
        <v>1613</v>
      </c>
      <c r="E2400" t="s">
        <v>897</v>
      </c>
      <c r="F2400" t="s">
        <v>1583</v>
      </c>
      <c r="I2400" t="s">
        <v>1058</v>
      </c>
      <c r="K2400">
        <v>1904</v>
      </c>
      <c r="L2400">
        <v>1904</v>
      </c>
      <c r="M2400" t="s">
        <v>209</v>
      </c>
      <c r="N2400" t="s">
        <v>209</v>
      </c>
      <c r="Q2400" s="2" t="str">
        <f>IF($C2400="","",IFERROR(VLOOKUP($C2400,sources!$A$2:$N$200,2,FALSE()),"?"))</f>
        <v>Map</v>
      </c>
      <c r="R2400" s="2" t="str">
        <f t="shared" si="37"/>
        <v>Map</v>
      </c>
      <c r="S2400" s="2" t="str">
        <f>IF($C2400="","",IFERROR(VLOOKUP($C2400,sources!$A$2:$N$200,9,FALSE()),"?"))</f>
        <v>US official</v>
      </c>
      <c r="T2400" t="s">
        <v>5692</v>
      </c>
      <c r="U2400">
        <f>IF(OR(B2400="",C2400="",T2400="Retracted",LEFT(D2400,8)="Negative"),0,IF(COUNTIFS($B$2:B2400,B2400,$C$2:C2400,C2400,$D$2:D2400,"&lt;&gt;Negative*",$T$2:T2400,"&lt;&gt;Retracted")=1,1,0))</f>
        <v>0</v>
      </c>
    </row>
    <row r="2401" spans="1:21" x14ac:dyDescent="0.2">
      <c r="A2401" t="s">
        <v>4639</v>
      </c>
      <c r="B2401" t="s">
        <v>899</v>
      </c>
      <c r="C2401" t="s">
        <v>1509</v>
      </c>
      <c r="D2401" t="s">
        <v>1613</v>
      </c>
      <c r="E2401" t="s">
        <v>900</v>
      </c>
      <c r="F2401" t="s">
        <v>1583</v>
      </c>
      <c r="I2401" t="s">
        <v>1058</v>
      </c>
      <c r="K2401">
        <v>1904</v>
      </c>
      <c r="L2401">
        <v>1904</v>
      </c>
      <c r="M2401" t="s">
        <v>209</v>
      </c>
      <c r="N2401" t="s">
        <v>209</v>
      </c>
      <c r="Q2401" s="2" t="str">
        <f>IF($C2401="","",IFERROR(VLOOKUP($C2401,sources!$A$2:$N$200,2,FALSE()),"?"))</f>
        <v>Map</v>
      </c>
      <c r="R2401" s="2" t="str">
        <f t="shared" si="37"/>
        <v>Map</v>
      </c>
      <c r="S2401" s="2" t="str">
        <f>IF($C2401="","",IFERROR(VLOOKUP($C2401,sources!$A$2:$N$200,9,FALSE()),"?"))</f>
        <v>US official</v>
      </c>
      <c r="T2401" t="s">
        <v>5692</v>
      </c>
      <c r="U2401">
        <f>IF(OR(B2401="",C2401="",T2401="Retracted",LEFT(D2401,8)="Negative"),0,IF(COUNTIFS($B$2:B2401,B2401,$C$2:C2401,C2401,$D$2:D2401,"&lt;&gt;Negative*",$T$2:T2401,"&lt;&gt;Retracted")=1,1,0))</f>
        <v>0</v>
      </c>
    </row>
    <row r="2402" spans="1:21" x14ac:dyDescent="0.2">
      <c r="A2402" t="s">
        <v>4640</v>
      </c>
      <c r="B2402" t="s">
        <v>902</v>
      </c>
      <c r="C2402" t="s">
        <v>1509</v>
      </c>
      <c r="D2402" t="s">
        <v>1613</v>
      </c>
      <c r="E2402" t="s">
        <v>903</v>
      </c>
      <c r="F2402" t="s">
        <v>1583</v>
      </c>
      <c r="I2402" t="s">
        <v>1058</v>
      </c>
      <c r="K2402">
        <v>1904</v>
      </c>
      <c r="L2402">
        <v>1904</v>
      </c>
      <c r="M2402" t="s">
        <v>209</v>
      </c>
      <c r="N2402" t="s">
        <v>209</v>
      </c>
      <c r="Q2402" s="2" t="str">
        <f>IF($C2402="","",IFERROR(VLOOKUP($C2402,sources!$A$2:$N$200,2,FALSE()),"?"))</f>
        <v>Map</v>
      </c>
      <c r="R2402" s="2" t="str">
        <f t="shared" si="37"/>
        <v>Map</v>
      </c>
      <c r="S2402" s="2" t="str">
        <f>IF($C2402="","",IFERROR(VLOOKUP($C2402,sources!$A$2:$N$200,9,FALSE()),"?"))</f>
        <v>US official</v>
      </c>
      <c r="T2402" t="s">
        <v>5692</v>
      </c>
      <c r="U2402">
        <f>IF(OR(B2402="",C2402="",T2402="Retracted",LEFT(D2402,8)="Negative"),0,IF(COUNTIFS($B$2:B2402,B2402,$C$2:C2402,C2402,$D$2:D2402,"&lt;&gt;Negative*",$T$2:T2402,"&lt;&gt;Retracted")=1,1,0))</f>
        <v>0</v>
      </c>
    </row>
    <row r="2403" spans="1:21" x14ac:dyDescent="0.2">
      <c r="A2403" t="s">
        <v>4641</v>
      </c>
      <c r="B2403" t="s">
        <v>906</v>
      </c>
      <c r="C2403" t="s">
        <v>1509</v>
      </c>
      <c r="D2403" t="s">
        <v>1613</v>
      </c>
      <c r="E2403" t="s">
        <v>907</v>
      </c>
      <c r="F2403" t="s">
        <v>1583</v>
      </c>
      <c r="I2403" t="s">
        <v>1058</v>
      </c>
      <c r="K2403">
        <v>1904</v>
      </c>
      <c r="L2403">
        <v>1904</v>
      </c>
      <c r="M2403" t="s">
        <v>209</v>
      </c>
      <c r="N2403" t="s">
        <v>209</v>
      </c>
      <c r="Q2403" s="2" t="str">
        <f>IF($C2403="","",IFERROR(VLOOKUP($C2403,sources!$A$2:$N$200,2,FALSE()),"?"))</f>
        <v>Map</v>
      </c>
      <c r="R2403" s="2" t="str">
        <f t="shared" si="37"/>
        <v>Map</v>
      </c>
      <c r="S2403" s="2" t="str">
        <f>IF($C2403="","",IFERROR(VLOOKUP($C2403,sources!$A$2:$N$200,9,FALSE()),"?"))</f>
        <v>US official</v>
      </c>
      <c r="T2403" t="s">
        <v>5692</v>
      </c>
      <c r="U2403">
        <f>IF(OR(B2403="",C2403="",T2403="Retracted",LEFT(D2403,8)="Negative"),0,IF(COUNTIFS($B$2:B2403,B2403,$C$2:C2403,C2403,$D$2:D2403,"&lt;&gt;Negative*",$T$2:T2403,"&lt;&gt;Retracted")=1,1,0))</f>
        <v>0</v>
      </c>
    </row>
    <row r="2404" spans="1:21" x14ac:dyDescent="0.2">
      <c r="A2404" t="s">
        <v>4642</v>
      </c>
      <c r="B2404" t="s">
        <v>914</v>
      </c>
      <c r="C2404" t="s">
        <v>1509</v>
      </c>
      <c r="D2404" t="s">
        <v>1613</v>
      </c>
      <c r="E2404" t="s">
        <v>915</v>
      </c>
      <c r="F2404" t="s">
        <v>1583</v>
      </c>
      <c r="I2404" t="s">
        <v>1058</v>
      </c>
      <c r="K2404">
        <v>1904</v>
      </c>
      <c r="L2404">
        <v>1904</v>
      </c>
      <c r="M2404" t="s">
        <v>209</v>
      </c>
      <c r="N2404" t="s">
        <v>209</v>
      </c>
      <c r="Q2404" s="2" t="str">
        <f>IF($C2404="","",IFERROR(VLOOKUP($C2404,sources!$A$2:$N$200,2,FALSE()),"?"))</f>
        <v>Map</v>
      </c>
      <c r="R2404" s="2" t="str">
        <f t="shared" si="37"/>
        <v>Map</v>
      </c>
      <c r="S2404" s="2" t="str">
        <f>IF($C2404="","",IFERROR(VLOOKUP($C2404,sources!$A$2:$N$200,9,FALSE()),"?"))</f>
        <v>US official</v>
      </c>
      <c r="T2404" t="s">
        <v>5692</v>
      </c>
      <c r="U2404">
        <f>IF(OR(B2404="",C2404="",T2404="Retracted",LEFT(D2404,8)="Negative"),0,IF(COUNTIFS($B$2:B2404,B2404,$C$2:C2404,C2404,$D$2:D2404,"&lt;&gt;Negative*",$T$2:T2404,"&lt;&gt;Retracted")=1,1,0))</f>
        <v>0</v>
      </c>
    </row>
    <row r="2405" spans="1:21" x14ac:dyDescent="0.2">
      <c r="A2405" t="s">
        <v>4643</v>
      </c>
      <c r="B2405" t="s">
        <v>917</v>
      </c>
      <c r="C2405" t="s">
        <v>1509</v>
      </c>
      <c r="D2405" t="s">
        <v>1613</v>
      </c>
      <c r="E2405" t="s">
        <v>918</v>
      </c>
      <c r="F2405" t="s">
        <v>1583</v>
      </c>
      <c r="I2405" t="s">
        <v>1058</v>
      </c>
      <c r="K2405">
        <v>1904</v>
      </c>
      <c r="L2405">
        <v>1904</v>
      </c>
      <c r="M2405" t="s">
        <v>209</v>
      </c>
      <c r="N2405" t="s">
        <v>209</v>
      </c>
      <c r="Q2405" s="2" t="str">
        <f>IF($C2405="","",IFERROR(VLOOKUP($C2405,sources!$A$2:$N$200,2,FALSE()),"?"))</f>
        <v>Map</v>
      </c>
      <c r="R2405" s="2" t="str">
        <f t="shared" si="37"/>
        <v>Map</v>
      </c>
      <c r="S2405" s="2" t="str">
        <f>IF($C2405="","",IFERROR(VLOOKUP($C2405,sources!$A$2:$N$200,9,FALSE()),"?"))</f>
        <v>US official</v>
      </c>
      <c r="T2405" t="s">
        <v>5692</v>
      </c>
      <c r="U2405">
        <f>IF(OR(B2405="",C2405="",T2405="Retracted",LEFT(D2405,8)="Negative"),0,IF(COUNTIFS($B$2:B2405,B2405,$C$2:C2405,C2405,$D$2:D2405,"&lt;&gt;Negative*",$T$2:T2405,"&lt;&gt;Retracted")=1,1,0))</f>
        <v>0</v>
      </c>
    </row>
    <row r="2406" spans="1:21" x14ac:dyDescent="0.2">
      <c r="A2406" t="s">
        <v>4644</v>
      </c>
      <c r="B2406" t="s">
        <v>920</v>
      </c>
      <c r="C2406" t="s">
        <v>1509</v>
      </c>
      <c r="D2406" t="s">
        <v>1613</v>
      </c>
      <c r="E2406" t="s">
        <v>921</v>
      </c>
      <c r="F2406" t="s">
        <v>1583</v>
      </c>
      <c r="I2406" t="s">
        <v>1058</v>
      </c>
      <c r="K2406">
        <v>1904</v>
      </c>
      <c r="L2406">
        <v>1904</v>
      </c>
      <c r="M2406" t="s">
        <v>209</v>
      </c>
      <c r="N2406" t="s">
        <v>209</v>
      </c>
      <c r="Q2406" s="2" t="str">
        <f>IF($C2406="","",IFERROR(VLOOKUP($C2406,sources!$A$2:$N$200,2,FALSE()),"?"))</f>
        <v>Map</v>
      </c>
      <c r="R2406" s="2" t="str">
        <f t="shared" si="37"/>
        <v>Map</v>
      </c>
      <c r="S2406" s="2" t="str">
        <f>IF($C2406="","",IFERROR(VLOOKUP($C2406,sources!$A$2:$N$200,9,FALSE()),"?"))</f>
        <v>US official</v>
      </c>
      <c r="T2406" t="s">
        <v>5692</v>
      </c>
      <c r="U2406">
        <f>IF(OR(B2406="",C2406="",T2406="Retracted",LEFT(D2406,8)="Negative"),0,IF(COUNTIFS($B$2:B2406,B2406,$C$2:C2406,C2406,$D$2:D2406,"&lt;&gt;Negative*",$T$2:T2406,"&lt;&gt;Retracted")=1,1,0))</f>
        <v>0</v>
      </c>
    </row>
    <row r="2407" spans="1:21" x14ac:dyDescent="0.2">
      <c r="A2407" t="s">
        <v>4645</v>
      </c>
      <c r="B2407" t="s">
        <v>924</v>
      </c>
      <c r="C2407" t="s">
        <v>1509</v>
      </c>
      <c r="D2407" t="s">
        <v>1613</v>
      </c>
      <c r="E2407" t="s">
        <v>925</v>
      </c>
      <c r="F2407" t="s">
        <v>1583</v>
      </c>
      <c r="I2407" t="s">
        <v>1058</v>
      </c>
      <c r="K2407">
        <v>1904</v>
      </c>
      <c r="L2407">
        <v>1904</v>
      </c>
      <c r="M2407" t="s">
        <v>209</v>
      </c>
      <c r="N2407" t="s">
        <v>209</v>
      </c>
      <c r="Q2407" s="2" t="str">
        <f>IF($C2407="","",IFERROR(VLOOKUP($C2407,sources!$A$2:$N$200,2,FALSE()),"?"))</f>
        <v>Map</v>
      </c>
      <c r="R2407" s="2" t="str">
        <f t="shared" si="37"/>
        <v>Map</v>
      </c>
      <c r="S2407" s="2" t="str">
        <f>IF($C2407="","",IFERROR(VLOOKUP($C2407,sources!$A$2:$N$200,9,FALSE()),"?"))</f>
        <v>US official</v>
      </c>
      <c r="T2407" t="s">
        <v>5692</v>
      </c>
      <c r="U2407">
        <f>IF(OR(B2407="",C2407="",T2407="Retracted",LEFT(D2407,8)="Negative"),0,IF(COUNTIFS($B$2:B2407,B2407,$C$2:C2407,C2407,$D$2:D2407,"&lt;&gt;Negative*",$T$2:T2407,"&lt;&gt;Retracted")=1,1,0))</f>
        <v>0</v>
      </c>
    </row>
    <row r="2408" spans="1:21" x14ac:dyDescent="0.2">
      <c r="A2408" t="s">
        <v>4646</v>
      </c>
      <c r="B2408" t="s">
        <v>997</v>
      </c>
      <c r="C2408" t="s">
        <v>1509</v>
      </c>
      <c r="D2408" t="s">
        <v>1613</v>
      </c>
      <c r="E2408" t="s">
        <v>998</v>
      </c>
      <c r="F2408" t="s">
        <v>1583</v>
      </c>
      <c r="I2408" t="s">
        <v>1058</v>
      </c>
      <c r="K2408">
        <v>1904</v>
      </c>
      <c r="L2408">
        <v>1904</v>
      </c>
      <c r="M2408" t="s">
        <v>209</v>
      </c>
      <c r="N2408" t="s">
        <v>209</v>
      </c>
      <c r="Q2408" s="2" t="str">
        <f>IF($C2408="","",IFERROR(VLOOKUP($C2408,sources!$A$2:$N$200,2,FALSE()),"?"))</f>
        <v>Map</v>
      </c>
      <c r="R2408" s="2" t="str">
        <f t="shared" si="37"/>
        <v>Map</v>
      </c>
      <c r="S2408" s="2" t="str">
        <f>IF($C2408="","",IFERROR(VLOOKUP($C2408,sources!$A$2:$N$200,9,FALSE()),"?"))</f>
        <v>US official</v>
      </c>
      <c r="T2408" t="s">
        <v>5692</v>
      </c>
      <c r="U2408">
        <f>IF(OR(B2408="",C2408="",T2408="Retracted",LEFT(D2408,8)="Negative"),0,IF(COUNTIFS($B$2:B2408,B2408,$C$2:C2408,C2408,$D$2:D2408,"&lt;&gt;Negative*",$T$2:T2408,"&lt;&gt;Retracted")=1,1,0))</f>
        <v>0</v>
      </c>
    </row>
    <row r="2409" spans="1:21" x14ac:dyDescent="0.2">
      <c r="A2409" t="s">
        <v>4647</v>
      </c>
      <c r="B2409" t="s">
        <v>1012</v>
      </c>
      <c r="C2409" t="s">
        <v>1509</v>
      </c>
      <c r="D2409" t="s">
        <v>1613</v>
      </c>
      <c r="E2409" t="s">
        <v>1013</v>
      </c>
      <c r="F2409" t="s">
        <v>1583</v>
      </c>
      <c r="I2409" t="s">
        <v>1058</v>
      </c>
      <c r="K2409">
        <v>1904</v>
      </c>
      <c r="L2409">
        <v>1904</v>
      </c>
      <c r="M2409" t="s">
        <v>209</v>
      </c>
      <c r="N2409" t="s">
        <v>209</v>
      </c>
      <c r="Q2409" s="2" t="str">
        <f>IF($C2409="","",IFERROR(VLOOKUP($C2409,sources!$A$2:$N$200,2,FALSE()),"?"))</f>
        <v>Map</v>
      </c>
      <c r="R2409" s="2" t="str">
        <f t="shared" si="37"/>
        <v>Map</v>
      </c>
      <c r="S2409" s="2" t="str">
        <f>IF($C2409="","",IFERROR(VLOOKUP($C2409,sources!$A$2:$N$200,9,FALSE()),"?"))</f>
        <v>US official</v>
      </c>
      <c r="T2409" t="s">
        <v>5692</v>
      </c>
      <c r="U2409">
        <f>IF(OR(B2409="",C2409="",T2409="Retracted",LEFT(D2409,8)="Negative"),0,IF(COUNTIFS($B$2:B2409,B2409,$C$2:C2409,C2409,$D$2:D2409,"&lt;&gt;Negative*",$T$2:T2409,"&lt;&gt;Retracted")=1,1,0))</f>
        <v>0</v>
      </c>
    </row>
    <row r="2410" spans="1:21" x14ac:dyDescent="0.2">
      <c r="A2410" t="s">
        <v>4648</v>
      </c>
      <c r="B2410" t="s">
        <v>1017</v>
      </c>
      <c r="C2410" t="s">
        <v>1509</v>
      </c>
      <c r="D2410" t="s">
        <v>1575</v>
      </c>
      <c r="E2410" t="s">
        <v>4649</v>
      </c>
      <c r="F2410" t="s">
        <v>1583</v>
      </c>
      <c r="I2410" t="s">
        <v>1058</v>
      </c>
      <c r="K2410">
        <v>1904</v>
      </c>
      <c r="L2410">
        <v>1904</v>
      </c>
      <c r="M2410" t="s">
        <v>209</v>
      </c>
      <c r="N2410" t="s">
        <v>190</v>
      </c>
      <c r="Q2410" s="2" t="str">
        <f>IF($C2410="","",IFERROR(VLOOKUP($C2410,sources!$A$2:$N$200,2,FALSE()),"?"))</f>
        <v>Map</v>
      </c>
      <c r="R2410" s="2" t="str">
        <f t="shared" si="37"/>
        <v>Map</v>
      </c>
      <c r="S2410" s="2" t="str">
        <f>IF($C2410="","",IFERROR(VLOOKUP($C2410,sources!$A$2:$N$200,9,FALSE()),"?"))</f>
        <v>US official</v>
      </c>
      <c r="T2410" t="s">
        <v>5692</v>
      </c>
      <c r="U2410">
        <f>IF(OR(B2410="",C2410="",T2410="Retracted",LEFT(D2410,8)="Negative"),0,IF(COUNTIFS($B$2:B2410,B2410,$C$2:C2410,C2410,$D$2:D2410,"&lt;&gt;Negative*",$T$2:T2410,"&lt;&gt;Retracted")=1,1,0))</f>
        <v>1</v>
      </c>
    </row>
    <row r="2411" spans="1:21" x14ac:dyDescent="0.2">
      <c r="A2411" t="s">
        <v>4650</v>
      </c>
      <c r="B2411" t="s">
        <v>1021</v>
      </c>
      <c r="C2411" t="s">
        <v>1509</v>
      </c>
      <c r="D2411" t="s">
        <v>1613</v>
      </c>
      <c r="E2411" t="s">
        <v>1022</v>
      </c>
      <c r="F2411" t="s">
        <v>1583</v>
      </c>
      <c r="I2411" t="s">
        <v>1058</v>
      </c>
      <c r="K2411">
        <v>1904</v>
      </c>
      <c r="L2411">
        <v>1904</v>
      </c>
      <c r="M2411" t="s">
        <v>209</v>
      </c>
      <c r="N2411" t="s">
        <v>209</v>
      </c>
      <c r="Q2411" s="2" t="str">
        <f>IF($C2411="","",IFERROR(VLOOKUP($C2411,sources!$A$2:$N$200,2,FALSE()),"?"))</f>
        <v>Map</v>
      </c>
      <c r="R2411" s="2" t="str">
        <f t="shared" si="37"/>
        <v>Map</v>
      </c>
      <c r="S2411" s="2" t="str">
        <f>IF($C2411="","",IFERROR(VLOOKUP($C2411,sources!$A$2:$N$200,9,FALSE()),"?"))</f>
        <v>US official</v>
      </c>
      <c r="T2411" t="s">
        <v>5692</v>
      </c>
      <c r="U2411">
        <f>IF(OR(B2411="",C2411="",T2411="Retracted",LEFT(D2411,8)="Negative"),0,IF(COUNTIFS($B$2:B2411,B2411,$C$2:C2411,C2411,$D$2:D2411,"&lt;&gt;Negative*",$T$2:T2411,"&lt;&gt;Retracted")=1,1,0))</f>
        <v>0</v>
      </c>
    </row>
    <row r="2412" spans="1:21" x14ac:dyDescent="0.2">
      <c r="A2412" t="s">
        <v>4651</v>
      </c>
      <c r="B2412" t="s">
        <v>971</v>
      </c>
      <c r="C2412" t="s">
        <v>1370</v>
      </c>
      <c r="D2412" t="s">
        <v>1575</v>
      </c>
      <c r="E2412" t="s">
        <v>3669</v>
      </c>
      <c r="F2412" t="s">
        <v>1583</v>
      </c>
      <c r="I2412" t="s">
        <v>1058</v>
      </c>
      <c r="K2412">
        <v>1940</v>
      </c>
      <c r="L2412">
        <v>1940</v>
      </c>
      <c r="M2412" t="s">
        <v>209</v>
      </c>
      <c r="N2412" t="s">
        <v>203</v>
      </c>
      <c r="Q2412" s="2" t="str">
        <f>IF($C2412="","",IFERROR(VLOOKUP($C2412,sources!$A$2:$N$200,2,FALSE()),"?"))</f>
        <v>Map</v>
      </c>
      <c r="R2412" s="2" t="str">
        <f t="shared" si="37"/>
        <v>Map</v>
      </c>
      <c r="S2412" s="2" t="str">
        <f>IF($C2412="","",IFERROR(VLOOKUP($C2412,sources!$A$2:$N$200,9,FALSE()),"?"))</f>
        <v>US official</v>
      </c>
      <c r="T2412" t="s">
        <v>5692</v>
      </c>
      <c r="U2412">
        <f>IF(OR(B2412="",C2412="",T2412="Retracted",LEFT(D2412,8)="Negative"),0,IF(COUNTIFS($B$2:B2412,B2412,$C$2:C2412,C2412,$D$2:D2412,"&lt;&gt;Negative*",$T$2:T2412,"&lt;&gt;Retracted")=1,1,0))</f>
        <v>1</v>
      </c>
    </row>
    <row r="2413" spans="1:21" x14ac:dyDescent="0.2">
      <c r="A2413" t="s">
        <v>4652</v>
      </c>
      <c r="B2413" t="s">
        <v>947</v>
      </c>
      <c r="C2413" t="s">
        <v>1370</v>
      </c>
      <c r="D2413" t="s">
        <v>1575</v>
      </c>
      <c r="E2413" t="s">
        <v>4653</v>
      </c>
      <c r="F2413" t="s">
        <v>1583</v>
      </c>
      <c r="I2413" t="s">
        <v>1058</v>
      </c>
      <c r="K2413">
        <v>1940</v>
      </c>
      <c r="L2413">
        <v>1940</v>
      </c>
      <c r="M2413" t="s">
        <v>209</v>
      </c>
      <c r="N2413" t="s">
        <v>203</v>
      </c>
      <c r="Q2413" s="2" t="str">
        <f>IF($C2413="","",IFERROR(VLOOKUP($C2413,sources!$A$2:$N$200,2,FALSE()),"?"))</f>
        <v>Map</v>
      </c>
      <c r="R2413" s="2" t="str">
        <f t="shared" si="37"/>
        <v>Map</v>
      </c>
      <c r="S2413" s="2" t="str">
        <f>IF($C2413="","",IFERROR(VLOOKUP($C2413,sources!$A$2:$N$200,9,FALSE()),"?"))</f>
        <v>US official</v>
      </c>
      <c r="T2413" t="s">
        <v>5692</v>
      </c>
      <c r="U2413">
        <f>IF(OR(B2413="",C2413="",T2413="Retracted",LEFT(D2413,8)="Negative"),0,IF(COUNTIFS($B$2:B2413,B2413,$C$2:C2413,C2413,$D$2:D2413,"&lt;&gt;Negative*",$T$2:T2413,"&lt;&gt;Retracted")=1,1,0))</f>
        <v>0</v>
      </c>
    </row>
    <row r="2414" spans="1:21" x14ac:dyDescent="0.2">
      <c r="A2414" t="s">
        <v>4654</v>
      </c>
      <c r="B2414" t="s">
        <v>943</v>
      </c>
      <c r="C2414" t="s">
        <v>1370</v>
      </c>
      <c r="D2414" t="s">
        <v>1613</v>
      </c>
      <c r="E2414" t="s">
        <v>944</v>
      </c>
      <c r="F2414" t="s">
        <v>1583</v>
      </c>
      <c r="I2414" t="s">
        <v>1058</v>
      </c>
      <c r="K2414">
        <v>1940</v>
      </c>
      <c r="L2414">
        <v>1940</v>
      </c>
      <c r="M2414" t="s">
        <v>209</v>
      </c>
      <c r="N2414" t="s">
        <v>209</v>
      </c>
      <c r="Q2414" s="2" t="str">
        <f>IF($C2414="","",IFERROR(VLOOKUP($C2414,sources!$A$2:$N$200,2,FALSE()),"?"))</f>
        <v>Map</v>
      </c>
      <c r="R2414" s="2" t="str">
        <f t="shared" si="37"/>
        <v>Map</v>
      </c>
      <c r="S2414" s="2" t="str">
        <f>IF($C2414="","",IFERROR(VLOOKUP($C2414,sources!$A$2:$N$200,9,FALSE()),"?"))</f>
        <v>US official</v>
      </c>
      <c r="T2414" t="s">
        <v>5692</v>
      </c>
      <c r="U2414">
        <f>IF(OR(B2414="",C2414="",T2414="Retracted",LEFT(D2414,8)="Negative"),0,IF(COUNTIFS($B$2:B2414,B2414,$C$2:C2414,C2414,$D$2:D2414,"&lt;&gt;Negative*",$T$2:T2414,"&lt;&gt;Retracted")=1,1,0))</f>
        <v>0</v>
      </c>
    </row>
    <row r="2415" spans="1:21" x14ac:dyDescent="0.2">
      <c r="A2415" t="s">
        <v>4655</v>
      </c>
      <c r="B2415" t="s">
        <v>805</v>
      </c>
      <c r="C2415" t="s">
        <v>1370</v>
      </c>
      <c r="D2415" t="s">
        <v>1613</v>
      </c>
      <c r="E2415" t="s">
        <v>806</v>
      </c>
      <c r="F2415" t="s">
        <v>1583</v>
      </c>
      <c r="I2415" t="s">
        <v>1058</v>
      </c>
      <c r="K2415">
        <v>1940</v>
      </c>
      <c r="L2415">
        <v>1940</v>
      </c>
      <c r="M2415" t="s">
        <v>209</v>
      </c>
      <c r="N2415" t="s">
        <v>190</v>
      </c>
      <c r="Q2415" s="2" t="str">
        <f>IF($C2415="","",IFERROR(VLOOKUP($C2415,sources!$A$2:$N$200,2,FALSE()),"?"))</f>
        <v>Map</v>
      </c>
      <c r="R2415" s="2" t="str">
        <f t="shared" si="37"/>
        <v>Map</v>
      </c>
      <c r="S2415" s="2" t="str">
        <f>IF($C2415="","",IFERROR(VLOOKUP($C2415,sources!$A$2:$N$200,9,FALSE()),"?"))</f>
        <v>US official</v>
      </c>
      <c r="T2415" t="s">
        <v>5692</v>
      </c>
      <c r="U2415">
        <f>IF(OR(B2415="",C2415="",T2415="Retracted",LEFT(D2415,8)="Negative"),0,IF(COUNTIFS($B$2:B2415,B2415,$C$2:C2415,C2415,$D$2:D2415,"&lt;&gt;Negative*",$T$2:T2415,"&lt;&gt;Retracted")=1,1,0))</f>
        <v>0</v>
      </c>
    </row>
    <row r="2416" spans="1:21" x14ac:dyDescent="0.2">
      <c r="A2416" t="s">
        <v>4656</v>
      </c>
      <c r="B2416" t="s">
        <v>547</v>
      </c>
      <c r="C2416" t="s">
        <v>1370</v>
      </c>
      <c r="D2416" t="s">
        <v>1575</v>
      </c>
      <c r="E2416" t="s">
        <v>4657</v>
      </c>
      <c r="F2416" t="s">
        <v>1583</v>
      </c>
      <c r="I2416" t="s">
        <v>1058</v>
      </c>
      <c r="K2416">
        <v>1940</v>
      </c>
      <c r="L2416">
        <v>1940</v>
      </c>
      <c r="M2416" t="s">
        <v>209</v>
      </c>
      <c r="N2416" t="s">
        <v>209</v>
      </c>
      <c r="Q2416" s="2" t="str">
        <f>IF($C2416="","",IFERROR(VLOOKUP($C2416,sources!$A$2:$N$200,2,FALSE()),"?"))</f>
        <v>Map</v>
      </c>
      <c r="R2416" s="2" t="str">
        <f t="shared" si="37"/>
        <v>Map</v>
      </c>
      <c r="S2416" s="2" t="str">
        <f>IF($C2416="","",IFERROR(VLOOKUP($C2416,sources!$A$2:$N$200,9,FALSE()),"?"))</f>
        <v>US official</v>
      </c>
      <c r="T2416" t="s">
        <v>5692</v>
      </c>
      <c r="U2416">
        <f>IF(OR(B2416="",C2416="",T2416="Retracted",LEFT(D2416,8)="Negative"),0,IF(COUNTIFS($B$2:B2416,B2416,$C$2:C2416,C2416,$D$2:D2416,"&lt;&gt;Negative*",$T$2:T2416,"&lt;&gt;Retracted")=1,1,0))</f>
        <v>1</v>
      </c>
    </row>
    <row r="2417" spans="1:21" x14ac:dyDescent="0.2">
      <c r="A2417" t="s">
        <v>4658</v>
      </c>
      <c r="B2417" t="s">
        <v>776</v>
      </c>
      <c r="C2417" t="s">
        <v>1370</v>
      </c>
      <c r="D2417" t="s">
        <v>1613</v>
      </c>
      <c r="E2417" t="s">
        <v>777</v>
      </c>
      <c r="F2417" t="s">
        <v>1583</v>
      </c>
      <c r="I2417" t="s">
        <v>1058</v>
      </c>
      <c r="K2417">
        <v>1940</v>
      </c>
      <c r="L2417">
        <v>1940</v>
      </c>
      <c r="M2417" t="s">
        <v>209</v>
      </c>
      <c r="N2417" t="s">
        <v>190</v>
      </c>
      <c r="Q2417" s="2" t="str">
        <f>IF($C2417="","",IFERROR(VLOOKUP($C2417,sources!$A$2:$N$200,2,FALSE()),"?"))</f>
        <v>Map</v>
      </c>
      <c r="R2417" s="2" t="str">
        <f t="shared" si="37"/>
        <v>Map</v>
      </c>
      <c r="S2417" s="2" t="str">
        <f>IF($C2417="","",IFERROR(VLOOKUP($C2417,sources!$A$2:$N$200,9,FALSE()),"?"))</f>
        <v>US official</v>
      </c>
      <c r="T2417" t="s">
        <v>5692</v>
      </c>
      <c r="U2417">
        <f>IF(OR(B2417="",C2417="",T2417="Retracted",LEFT(D2417,8)="Negative"),0,IF(COUNTIFS($B$2:B2417,B2417,$C$2:C2417,C2417,$D$2:D2417,"&lt;&gt;Negative*",$T$2:T2417,"&lt;&gt;Retracted")=1,1,0))</f>
        <v>0</v>
      </c>
    </row>
    <row r="2418" spans="1:21" x14ac:dyDescent="0.2">
      <c r="A2418" t="s">
        <v>4659</v>
      </c>
      <c r="B2418" t="s">
        <v>932</v>
      </c>
      <c r="C2418" t="s">
        <v>1370</v>
      </c>
      <c r="D2418" t="s">
        <v>1613</v>
      </c>
      <c r="E2418" t="s">
        <v>934</v>
      </c>
      <c r="F2418" t="s">
        <v>1583</v>
      </c>
      <c r="I2418" t="s">
        <v>1058</v>
      </c>
      <c r="K2418">
        <v>1940</v>
      </c>
      <c r="L2418">
        <v>1940</v>
      </c>
      <c r="M2418" t="s">
        <v>209</v>
      </c>
      <c r="N2418" t="s">
        <v>190</v>
      </c>
      <c r="Q2418" s="2" t="str">
        <f>IF($C2418="","",IFERROR(VLOOKUP($C2418,sources!$A$2:$N$200,2,FALSE()),"?"))</f>
        <v>Map</v>
      </c>
      <c r="R2418" s="2" t="str">
        <f t="shared" si="37"/>
        <v>Map</v>
      </c>
      <c r="S2418" s="2" t="str">
        <f>IF($C2418="","",IFERROR(VLOOKUP($C2418,sources!$A$2:$N$200,9,FALSE()),"?"))</f>
        <v>US official</v>
      </c>
      <c r="T2418" t="s">
        <v>5692</v>
      </c>
      <c r="U2418">
        <f>IF(OR(B2418="",C2418="",T2418="Retracted",LEFT(D2418,8)="Negative"),0,IF(COUNTIFS($B$2:B2418,B2418,$C$2:C2418,C2418,$D$2:D2418,"&lt;&gt;Negative*",$T$2:T2418,"&lt;&gt;Retracted")=1,1,0))</f>
        <v>0</v>
      </c>
    </row>
    <row r="2419" spans="1:21" x14ac:dyDescent="0.2">
      <c r="A2419" t="s">
        <v>4660</v>
      </c>
      <c r="B2419" t="s">
        <v>936</v>
      </c>
      <c r="C2419" t="s">
        <v>1370</v>
      </c>
      <c r="D2419" t="s">
        <v>1613</v>
      </c>
      <c r="E2419" t="s">
        <v>951</v>
      </c>
      <c r="F2419" t="s">
        <v>1583</v>
      </c>
      <c r="I2419" t="s">
        <v>1058</v>
      </c>
      <c r="K2419">
        <v>1940</v>
      </c>
      <c r="L2419">
        <v>1940</v>
      </c>
      <c r="M2419" t="s">
        <v>209</v>
      </c>
      <c r="N2419" t="s">
        <v>190</v>
      </c>
      <c r="Q2419" s="2" t="str">
        <f>IF($C2419="","",IFERROR(VLOOKUP($C2419,sources!$A$2:$N$200,2,FALSE()),"?"))</f>
        <v>Map</v>
      </c>
      <c r="R2419" s="2" t="str">
        <f t="shared" si="37"/>
        <v>Map</v>
      </c>
      <c r="S2419" s="2" t="str">
        <f>IF($C2419="","",IFERROR(VLOOKUP($C2419,sources!$A$2:$N$200,9,FALSE()),"?"))</f>
        <v>US official</v>
      </c>
      <c r="T2419" t="s">
        <v>5692</v>
      </c>
      <c r="U2419">
        <f>IF(OR(B2419="",C2419="",T2419="Retracted",LEFT(D2419,8)="Negative"),0,IF(COUNTIFS($B$2:B2419,B2419,$C$2:C2419,C2419,$D$2:D2419,"&lt;&gt;Negative*",$T$2:T2419,"&lt;&gt;Retracted")=1,1,0))</f>
        <v>0</v>
      </c>
    </row>
    <row r="2420" spans="1:21" x14ac:dyDescent="0.2">
      <c r="A2420" t="s">
        <v>4661</v>
      </c>
      <c r="B2420" t="s">
        <v>959</v>
      </c>
      <c r="C2420" t="s">
        <v>1370</v>
      </c>
      <c r="D2420" t="s">
        <v>1613</v>
      </c>
      <c r="E2420" t="s">
        <v>960</v>
      </c>
      <c r="F2420" t="s">
        <v>1583</v>
      </c>
      <c r="I2420" t="s">
        <v>1058</v>
      </c>
      <c r="K2420">
        <v>1940</v>
      </c>
      <c r="L2420">
        <v>1940</v>
      </c>
      <c r="M2420" t="s">
        <v>209</v>
      </c>
      <c r="N2420" t="s">
        <v>190</v>
      </c>
      <c r="Q2420" s="2" t="str">
        <f>IF($C2420="","",IFERROR(VLOOKUP($C2420,sources!$A$2:$N$200,2,FALSE()),"?"))</f>
        <v>Map</v>
      </c>
      <c r="R2420" s="2" t="str">
        <f t="shared" si="37"/>
        <v>Map</v>
      </c>
      <c r="S2420" s="2" t="str">
        <f>IF($C2420="","",IFERROR(VLOOKUP($C2420,sources!$A$2:$N$200,9,FALSE()),"?"))</f>
        <v>US official</v>
      </c>
      <c r="T2420" t="s">
        <v>5692</v>
      </c>
      <c r="U2420">
        <f>IF(OR(B2420="",C2420="",T2420="Retracted",LEFT(D2420,8)="Negative"),0,IF(COUNTIFS($B$2:B2420,B2420,$C$2:C2420,C2420,$D$2:D2420,"&lt;&gt;Negative*",$T$2:T2420,"&lt;&gt;Retracted")=1,1,0))</f>
        <v>0</v>
      </c>
    </row>
    <row r="2421" spans="1:21" x14ac:dyDescent="0.2">
      <c r="A2421" t="s">
        <v>4662</v>
      </c>
      <c r="B2421" t="s">
        <v>938</v>
      </c>
      <c r="C2421" t="s">
        <v>1370</v>
      </c>
      <c r="D2421" t="s">
        <v>1613</v>
      </c>
      <c r="E2421" t="s">
        <v>939</v>
      </c>
      <c r="F2421" t="s">
        <v>1583</v>
      </c>
      <c r="I2421" t="s">
        <v>1058</v>
      </c>
      <c r="K2421">
        <v>1940</v>
      </c>
      <c r="L2421">
        <v>1940</v>
      </c>
      <c r="M2421" t="s">
        <v>209</v>
      </c>
      <c r="N2421" t="s">
        <v>190</v>
      </c>
      <c r="Q2421" s="2" t="str">
        <f>IF($C2421="","",IFERROR(VLOOKUP($C2421,sources!$A$2:$N$200,2,FALSE()),"?"))</f>
        <v>Map</v>
      </c>
      <c r="R2421" s="2" t="str">
        <f t="shared" si="37"/>
        <v>Map</v>
      </c>
      <c r="S2421" s="2" t="str">
        <f>IF($C2421="","",IFERROR(VLOOKUP($C2421,sources!$A$2:$N$200,9,FALSE()),"?"))</f>
        <v>US official</v>
      </c>
      <c r="T2421" t="s">
        <v>5692</v>
      </c>
      <c r="U2421">
        <f>IF(OR(B2421="",C2421="",T2421="Retracted",LEFT(D2421,8)="Negative"),0,IF(COUNTIFS($B$2:B2421,B2421,$C$2:C2421,C2421,$D$2:D2421,"&lt;&gt;Negative*",$T$2:T2421,"&lt;&gt;Retracted")=1,1,0))</f>
        <v>0</v>
      </c>
    </row>
    <row r="2422" spans="1:21" x14ac:dyDescent="0.2">
      <c r="A2422" t="s">
        <v>4663</v>
      </c>
      <c r="B2422" t="s">
        <v>761</v>
      </c>
      <c r="C2422" t="s">
        <v>1370</v>
      </c>
      <c r="D2422" t="s">
        <v>1613</v>
      </c>
      <c r="E2422" t="s">
        <v>762</v>
      </c>
      <c r="F2422" t="s">
        <v>1583</v>
      </c>
      <c r="I2422" t="s">
        <v>1058</v>
      </c>
      <c r="K2422">
        <v>1940</v>
      </c>
      <c r="L2422">
        <v>1940</v>
      </c>
      <c r="M2422" t="s">
        <v>209</v>
      </c>
      <c r="N2422" t="s">
        <v>203</v>
      </c>
      <c r="Q2422" s="2" t="str">
        <f>IF($C2422="","",IFERROR(VLOOKUP($C2422,sources!$A$2:$N$200,2,FALSE()),"?"))</f>
        <v>Map</v>
      </c>
      <c r="R2422" s="2" t="str">
        <f t="shared" si="37"/>
        <v>Map</v>
      </c>
      <c r="S2422" s="2" t="str">
        <f>IF($C2422="","",IFERROR(VLOOKUP($C2422,sources!$A$2:$N$200,9,FALSE()),"?"))</f>
        <v>US official</v>
      </c>
      <c r="T2422" t="s">
        <v>5692</v>
      </c>
      <c r="U2422">
        <f>IF(OR(B2422="",C2422="",T2422="Retracted",LEFT(D2422,8)="Negative"),0,IF(COUNTIFS($B$2:B2422,B2422,$C$2:C2422,C2422,$D$2:D2422,"&lt;&gt;Negative*",$T$2:T2422,"&lt;&gt;Retracted")=1,1,0))</f>
        <v>0</v>
      </c>
    </row>
    <row r="2423" spans="1:21" x14ac:dyDescent="0.2">
      <c r="A2423" t="s">
        <v>4664</v>
      </c>
      <c r="B2423" t="s">
        <v>770</v>
      </c>
      <c r="C2423" t="s">
        <v>1370</v>
      </c>
      <c r="D2423" t="s">
        <v>1613</v>
      </c>
      <c r="E2423" t="s">
        <v>771</v>
      </c>
      <c r="F2423" t="s">
        <v>1583</v>
      </c>
      <c r="I2423" t="s">
        <v>1058</v>
      </c>
      <c r="K2423">
        <v>1940</v>
      </c>
      <c r="L2423">
        <v>1940</v>
      </c>
      <c r="M2423" t="s">
        <v>209</v>
      </c>
      <c r="N2423" t="s">
        <v>203</v>
      </c>
      <c r="Q2423" s="2" t="str">
        <f>IF($C2423="","",IFERROR(VLOOKUP($C2423,sources!$A$2:$N$200,2,FALSE()),"?"))</f>
        <v>Map</v>
      </c>
      <c r="R2423" s="2" t="str">
        <f t="shared" si="37"/>
        <v>Map</v>
      </c>
      <c r="S2423" s="2" t="str">
        <f>IF($C2423="","",IFERROR(VLOOKUP($C2423,sources!$A$2:$N$200,9,FALSE()),"?"))</f>
        <v>US official</v>
      </c>
      <c r="T2423" t="s">
        <v>5692</v>
      </c>
      <c r="U2423">
        <f>IF(OR(B2423="",C2423="",T2423="Retracted",LEFT(D2423,8)="Negative"),0,IF(COUNTIFS($B$2:B2423,B2423,$C$2:C2423,C2423,$D$2:D2423,"&lt;&gt;Negative*",$T$2:T2423,"&lt;&gt;Retracted")=1,1,0))</f>
        <v>0</v>
      </c>
    </row>
    <row r="2424" spans="1:21" x14ac:dyDescent="0.2">
      <c r="A2424" t="s">
        <v>4665</v>
      </c>
      <c r="B2424" t="s">
        <v>758</v>
      </c>
      <c r="C2424" t="s">
        <v>1370</v>
      </c>
      <c r="D2424" t="s">
        <v>1613</v>
      </c>
      <c r="E2424" t="s">
        <v>759</v>
      </c>
      <c r="F2424" t="s">
        <v>1583</v>
      </c>
      <c r="I2424" t="s">
        <v>1058</v>
      </c>
      <c r="K2424">
        <v>1940</v>
      </c>
      <c r="L2424">
        <v>1940</v>
      </c>
      <c r="M2424" t="s">
        <v>209</v>
      </c>
      <c r="N2424" t="s">
        <v>203</v>
      </c>
      <c r="Q2424" s="2" t="str">
        <f>IF($C2424="","",IFERROR(VLOOKUP($C2424,sources!$A$2:$N$200,2,FALSE()),"?"))</f>
        <v>Map</v>
      </c>
      <c r="R2424" s="2" t="str">
        <f t="shared" si="37"/>
        <v>Map</v>
      </c>
      <c r="S2424" s="2" t="str">
        <f>IF($C2424="","",IFERROR(VLOOKUP($C2424,sources!$A$2:$N$200,9,FALSE()),"?"))</f>
        <v>US official</v>
      </c>
      <c r="T2424" t="s">
        <v>5692</v>
      </c>
      <c r="U2424">
        <f>IF(OR(B2424="",C2424="",T2424="Retracted",LEFT(D2424,8)="Negative"),0,IF(COUNTIFS($B$2:B2424,B2424,$C$2:C2424,C2424,$D$2:D2424,"&lt;&gt;Negative*",$T$2:T2424,"&lt;&gt;Retracted")=1,1,0))</f>
        <v>0</v>
      </c>
    </row>
    <row r="2425" spans="1:21" x14ac:dyDescent="0.2">
      <c r="A2425" t="s">
        <v>4666</v>
      </c>
      <c r="B2425" t="s">
        <v>764</v>
      </c>
      <c r="C2425" t="s">
        <v>1370</v>
      </c>
      <c r="D2425" t="s">
        <v>1575</v>
      </c>
      <c r="E2425" t="s">
        <v>4667</v>
      </c>
      <c r="F2425" t="s">
        <v>1583</v>
      </c>
      <c r="I2425" t="s">
        <v>1058</v>
      </c>
      <c r="K2425">
        <v>1940</v>
      </c>
      <c r="L2425">
        <v>1940</v>
      </c>
      <c r="M2425" t="s">
        <v>209</v>
      </c>
      <c r="N2425" t="s">
        <v>209</v>
      </c>
      <c r="Q2425" s="2" t="str">
        <f>IF($C2425="","",IFERROR(VLOOKUP($C2425,sources!$A$2:$N$200,2,FALSE()),"?"))</f>
        <v>Map</v>
      </c>
      <c r="R2425" s="2" t="str">
        <f t="shared" si="37"/>
        <v>Map</v>
      </c>
      <c r="S2425" s="2" t="str">
        <f>IF($C2425="","",IFERROR(VLOOKUP($C2425,sources!$A$2:$N$200,9,FALSE()),"?"))</f>
        <v>US official</v>
      </c>
      <c r="T2425" t="s">
        <v>5692</v>
      </c>
      <c r="U2425">
        <f>IF(OR(B2425="",C2425="",T2425="Retracted",LEFT(D2425,8)="Negative"),0,IF(COUNTIFS($B$2:B2425,B2425,$C$2:C2425,C2425,$D$2:D2425,"&lt;&gt;Negative*",$T$2:T2425,"&lt;&gt;Retracted")=1,1,0))</f>
        <v>1</v>
      </c>
    </row>
    <row r="2426" spans="1:21" x14ac:dyDescent="0.2">
      <c r="A2426" t="s">
        <v>4668</v>
      </c>
      <c r="B2426" t="s">
        <v>767</v>
      </c>
      <c r="C2426" t="s">
        <v>1370</v>
      </c>
      <c r="D2426" t="s">
        <v>1575</v>
      </c>
      <c r="E2426" t="s">
        <v>4669</v>
      </c>
      <c r="F2426" t="s">
        <v>1583</v>
      </c>
      <c r="I2426" t="s">
        <v>1058</v>
      </c>
      <c r="K2426">
        <v>1940</v>
      </c>
      <c r="L2426">
        <v>1940</v>
      </c>
      <c r="M2426" t="s">
        <v>209</v>
      </c>
      <c r="N2426" t="s">
        <v>209</v>
      </c>
      <c r="Q2426" s="2" t="str">
        <f>IF($C2426="","",IFERROR(VLOOKUP($C2426,sources!$A$2:$N$200,2,FALSE()),"?"))</f>
        <v>Map</v>
      </c>
      <c r="R2426" s="2" t="str">
        <f t="shared" si="37"/>
        <v>Map</v>
      </c>
      <c r="S2426" s="2" t="str">
        <f>IF($C2426="","",IFERROR(VLOOKUP($C2426,sources!$A$2:$N$200,9,FALSE()),"?"))</f>
        <v>US official</v>
      </c>
      <c r="T2426" t="s">
        <v>5692</v>
      </c>
      <c r="U2426">
        <f>IF(OR(B2426="",C2426="",T2426="Retracted",LEFT(D2426,8)="Negative"),0,IF(COUNTIFS($B$2:B2426,B2426,$C$2:C2426,C2426,$D$2:D2426,"&lt;&gt;Negative*",$T$2:T2426,"&lt;&gt;Retracted")=1,1,0))</f>
        <v>1</v>
      </c>
    </row>
    <row r="2427" spans="1:21" x14ac:dyDescent="0.2">
      <c r="A2427" t="s">
        <v>4670</v>
      </c>
      <c r="B2427" t="s">
        <v>955</v>
      </c>
      <c r="C2427" t="s">
        <v>1370</v>
      </c>
      <c r="D2427" t="s">
        <v>1613</v>
      </c>
      <c r="E2427" t="s">
        <v>3898</v>
      </c>
      <c r="F2427" t="s">
        <v>1583</v>
      </c>
      <c r="I2427" t="s">
        <v>1058</v>
      </c>
      <c r="K2427">
        <v>1940</v>
      </c>
      <c r="L2427">
        <v>1940</v>
      </c>
      <c r="M2427" t="s">
        <v>209</v>
      </c>
      <c r="N2427" t="s">
        <v>190</v>
      </c>
      <c r="Q2427" s="2" t="str">
        <f>IF($C2427="","",IFERROR(VLOOKUP($C2427,sources!$A$2:$N$200,2,FALSE()),"?"))</f>
        <v>Map</v>
      </c>
      <c r="R2427" s="2" t="str">
        <f t="shared" si="37"/>
        <v>Map</v>
      </c>
      <c r="S2427" s="2" t="str">
        <f>IF($C2427="","",IFERROR(VLOOKUP($C2427,sources!$A$2:$N$200,9,FALSE()),"?"))</f>
        <v>US official</v>
      </c>
      <c r="T2427" t="s">
        <v>5692</v>
      </c>
      <c r="U2427">
        <f>IF(OR(B2427="",C2427="",T2427="Retracted",LEFT(D2427,8)="Negative"),0,IF(COUNTIFS($B$2:B2427,B2427,$C$2:C2427,C2427,$D$2:D2427,"&lt;&gt;Negative*",$T$2:T2427,"&lt;&gt;Retracted")=1,1,0))</f>
        <v>0</v>
      </c>
    </row>
    <row r="2428" spans="1:21" x14ac:dyDescent="0.2">
      <c r="A2428" t="s">
        <v>4671</v>
      </c>
      <c r="B2428" t="s">
        <v>962</v>
      </c>
      <c r="C2428" t="s">
        <v>1370</v>
      </c>
      <c r="D2428" t="s">
        <v>1613</v>
      </c>
      <c r="E2428" t="s">
        <v>963</v>
      </c>
      <c r="F2428" t="s">
        <v>1583</v>
      </c>
      <c r="I2428" t="s">
        <v>1058</v>
      </c>
      <c r="K2428">
        <v>1940</v>
      </c>
      <c r="L2428">
        <v>1940</v>
      </c>
      <c r="M2428" t="s">
        <v>209</v>
      </c>
      <c r="N2428" t="s">
        <v>190</v>
      </c>
      <c r="Q2428" s="2" t="str">
        <f>IF($C2428="","",IFERROR(VLOOKUP($C2428,sources!$A$2:$N$200,2,FALSE()),"?"))</f>
        <v>Map</v>
      </c>
      <c r="R2428" s="2" t="str">
        <f t="shared" si="37"/>
        <v>Map</v>
      </c>
      <c r="S2428" s="2" t="str">
        <f>IF($C2428="","",IFERROR(VLOOKUP($C2428,sources!$A$2:$N$200,9,FALSE()),"?"))</f>
        <v>US official</v>
      </c>
      <c r="T2428" t="s">
        <v>5692</v>
      </c>
      <c r="U2428">
        <f>IF(OR(B2428="",C2428="",T2428="Retracted",LEFT(D2428,8)="Negative"),0,IF(COUNTIFS($B$2:B2428,B2428,$C$2:C2428,C2428,$D$2:D2428,"&lt;&gt;Negative*",$T$2:T2428,"&lt;&gt;Retracted")=1,1,0))</f>
        <v>0</v>
      </c>
    </row>
    <row r="2429" spans="1:21" x14ac:dyDescent="0.2">
      <c r="A2429" t="s">
        <v>4672</v>
      </c>
      <c r="B2429" t="s">
        <v>344</v>
      </c>
      <c r="C2429" t="s">
        <v>1370</v>
      </c>
      <c r="D2429" t="s">
        <v>1613</v>
      </c>
      <c r="E2429" t="s">
        <v>4673</v>
      </c>
      <c r="F2429" t="s">
        <v>1583</v>
      </c>
      <c r="I2429" t="s">
        <v>1058</v>
      </c>
      <c r="K2429">
        <v>1940</v>
      </c>
      <c r="L2429">
        <v>1940</v>
      </c>
      <c r="M2429" t="s">
        <v>209</v>
      </c>
      <c r="N2429" t="s">
        <v>203</v>
      </c>
      <c r="Q2429" s="2" t="str">
        <f>IF($C2429="","",IFERROR(VLOOKUP($C2429,sources!$A$2:$N$200,2,FALSE()),"?"))</f>
        <v>Map</v>
      </c>
      <c r="R2429" s="2" t="str">
        <f t="shared" si="37"/>
        <v>Map</v>
      </c>
      <c r="S2429" s="2" t="str">
        <f>IF($C2429="","",IFERROR(VLOOKUP($C2429,sources!$A$2:$N$200,9,FALSE()),"?"))</f>
        <v>US official</v>
      </c>
      <c r="T2429" t="s">
        <v>5692</v>
      </c>
      <c r="U2429">
        <f>IF(OR(B2429="",C2429="",T2429="Retracted",LEFT(D2429,8)="Negative"),0,IF(COUNTIFS($B$2:B2429,B2429,$C$2:C2429,C2429,$D$2:D2429,"&lt;&gt;Negative*",$T$2:T2429,"&lt;&gt;Retracted")=1,1,0))</f>
        <v>0</v>
      </c>
    </row>
    <row r="2430" spans="1:21" x14ac:dyDescent="0.2">
      <c r="A2430" t="s">
        <v>4674</v>
      </c>
      <c r="B2430" t="s">
        <v>503</v>
      </c>
      <c r="C2430" t="s">
        <v>1370</v>
      </c>
      <c r="D2430" t="s">
        <v>1613</v>
      </c>
      <c r="E2430" t="s">
        <v>504</v>
      </c>
      <c r="F2430" t="s">
        <v>1583</v>
      </c>
      <c r="I2430" t="s">
        <v>1058</v>
      </c>
      <c r="K2430">
        <v>1940</v>
      </c>
      <c r="L2430">
        <v>1940</v>
      </c>
      <c r="M2430" t="s">
        <v>209</v>
      </c>
      <c r="N2430" t="s">
        <v>203</v>
      </c>
      <c r="Q2430" s="2" t="str">
        <f>IF($C2430="","",IFERROR(VLOOKUP($C2430,sources!$A$2:$N$200,2,FALSE()),"?"))</f>
        <v>Map</v>
      </c>
      <c r="R2430" s="2" t="str">
        <f t="shared" si="37"/>
        <v>Map</v>
      </c>
      <c r="S2430" s="2" t="str">
        <f>IF($C2430="","",IFERROR(VLOOKUP($C2430,sources!$A$2:$N$200,9,FALSE()),"?"))</f>
        <v>US official</v>
      </c>
      <c r="T2430" t="s">
        <v>5692</v>
      </c>
      <c r="U2430">
        <f>IF(OR(B2430="",C2430="",T2430="Retracted",LEFT(D2430,8)="Negative"),0,IF(COUNTIFS($B$2:B2430,B2430,$C$2:C2430,C2430,$D$2:D2430,"&lt;&gt;Negative*",$T$2:T2430,"&lt;&gt;Retracted")=1,1,0))</f>
        <v>0</v>
      </c>
    </row>
    <row r="2431" spans="1:21" x14ac:dyDescent="0.2">
      <c r="A2431" t="s">
        <v>4675</v>
      </c>
      <c r="B2431" t="s">
        <v>917</v>
      </c>
      <c r="C2431" t="s">
        <v>1370</v>
      </c>
      <c r="D2431" t="s">
        <v>1613</v>
      </c>
      <c r="E2431" t="s">
        <v>918</v>
      </c>
      <c r="F2431" t="s">
        <v>1583</v>
      </c>
      <c r="I2431" t="s">
        <v>1058</v>
      </c>
      <c r="K2431">
        <v>1940</v>
      </c>
      <c r="L2431">
        <v>1940</v>
      </c>
      <c r="M2431" t="s">
        <v>209</v>
      </c>
      <c r="N2431" t="s">
        <v>209</v>
      </c>
      <c r="Q2431" s="2" t="str">
        <f>IF($C2431="","",IFERROR(VLOOKUP($C2431,sources!$A$2:$N$200,2,FALSE()),"?"))</f>
        <v>Map</v>
      </c>
      <c r="R2431" s="2" t="str">
        <f t="shared" si="37"/>
        <v>Map</v>
      </c>
      <c r="S2431" s="2" t="str">
        <f>IF($C2431="","",IFERROR(VLOOKUP($C2431,sources!$A$2:$N$200,9,FALSE()),"?"))</f>
        <v>US official</v>
      </c>
      <c r="T2431" t="s">
        <v>5692</v>
      </c>
      <c r="U2431">
        <f>IF(OR(B2431="",C2431="",T2431="Retracted",LEFT(D2431,8)="Negative"),0,IF(COUNTIFS($B$2:B2431,B2431,$C$2:C2431,C2431,$D$2:D2431,"&lt;&gt;Negative*",$T$2:T2431,"&lt;&gt;Retracted")=1,1,0))</f>
        <v>0</v>
      </c>
    </row>
    <row r="2432" spans="1:21" x14ac:dyDescent="0.2">
      <c r="A2432" t="s">
        <v>4676</v>
      </c>
      <c r="B2432" t="s">
        <v>226</v>
      </c>
      <c r="C2432" t="s">
        <v>1370</v>
      </c>
      <c r="D2432" t="s">
        <v>1572</v>
      </c>
      <c r="E2432" t="s">
        <v>4677</v>
      </c>
      <c r="F2432" t="s">
        <v>1583</v>
      </c>
      <c r="G2432">
        <v>9.2747100000000007</v>
      </c>
      <c r="H2432">
        <v>-79.916210000000007</v>
      </c>
      <c r="I2432" t="s">
        <v>3312</v>
      </c>
      <c r="J2432">
        <v>400</v>
      </c>
      <c r="K2432">
        <v>1940</v>
      </c>
      <c r="L2432">
        <v>1940</v>
      </c>
      <c r="M2432" t="s">
        <v>203</v>
      </c>
      <c r="N2432" t="s">
        <v>203</v>
      </c>
      <c r="Q2432" s="2" t="str">
        <f>IF($C2432="","",IFERROR(VLOOKUP($C2432,sources!$A$2:$N$200,2,FALSE()),"?"))</f>
        <v>Map</v>
      </c>
      <c r="R2432" s="2" t="str">
        <f t="shared" si="37"/>
        <v>Map</v>
      </c>
      <c r="S2432" s="2" t="str">
        <f>IF($C2432="","",IFERROR(VLOOKUP($C2432,sources!$A$2:$N$200,9,FALSE()),"?"))</f>
        <v>US official</v>
      </c>
      <c r="T2432" t="s">
        <v>5692</v>
      </c>
      <c r="U2432">
        <f>IF(OR(B2432="",C2432="",T2432="Retracted",LEFT(D2432,8)="Negative"),0,IF(COUNTIFS($B$2:B2432,B2432,$C$2:C2432,C2432,$D$2:D2432,"&lt;&gt;Negative*",$T$2:T2432,"&lt;&gt;Retracted")=1,1,0))</f>
        <v>0</v>
      </c>
    </row>
    <row r="2433" spans="1:21" x14ac:dyDescent="0.2">
      <c r="A2433" t="s">
        <v>4678</v>
      </c>
      <c r="B2433" t="s">
        <v>226</v>
      </c>
      <c r="C2433" t="s">
        <v>1370</v>
      </c>
      <c r="D2433" t="s">
        <v>1575</v>
      </c>
      <c r="E2433" t="s">
        <v>4679</v>
      </c>
      <c r="F2433" t="s">
        <v>1583</v>
      </c>
      <c r="G2433">
        <v>9.2921750000000003</v>
      </c>
      <c r="H2433">
        <v>-79.914113999999998</v>
      </c>
      <c r="I2433" t="s">
        <v>3312</v>
      </c>
      <c r="J2433">
        <v>450</v>
      </c>
      <c r="K2433">
        <v>1940</v>
      </c>
      <c r="L2433">
        <v>1940</v>
      </c>
      <c r="M2433" t="s">
        <v>203</v>
      </c>
      <c r="N2433" t="s">
        <v>209</v>
      </c>
      <c r="Q2433" s="2" t="str">
        <f>IF($C2433="","",IFERROR(VLOOKUP($C2433,sources!$A$2:$N$200,2,FALSE()),"?"))</f>
        <v>Map</v>
      </c>
      <c r="R2433" s="2" t="str">
        <f t="shared" si="37"/>
        <v>Map</v>
      </c>
      <c r="S2433" s="2" t="str">
        <f>IF($C2433="","",IFERROR(VLOOKUP($C2433,sources!$A$2:$N$200,9,FALSE()),"?"))</f>
        <v>US official</v>
      </c>
      <c r="T2433" t="s">
        <v>5692</v>
      </c>
      <c r="U2433">
        <f>IF(OR(B2433="",C2433="",T2433="Retracted",LEFT(D2433,8)="Negative"),0,IF(COUNTIFS($B$2:B2433,B2433,$C$2:C2433,C2433,$D$2:D2433,"&lt;&gt;Negative*",$T$2:T2433,"&lt;&gt;Retracted")=1,1,0))</f>
        <v>0</v>
      </c>
    </row>
    <row r="2434" spans="1:21" x14ac:dyDescent="0.2">
      <c r="A2434" t="s">
        <v>4680</v>
      </c>
      <c r="B2434" t="s">
        <v>403</v>
      </c>
      <c r="C2434" t="s">
        <v>1370</v>
      </c>
      <c r="D2434" t="s">
        <v>1575</v>
      </c>
      <c r="E2434" t="s">
        <v>4681</v>
      </c>
      <c r="F2434" t="s">
        <v>1583</v>
      </c>
      <c r="G2434">
        <v>9.2472999999999992</v>
      </c>
      <c r="H2434">
        <v>-79.870459999999994</v>
      </c>
      <c r="I2434" t="s">
        <v>3312</v>
      </c>
      <c r="J2434">
        <v>400</v>
      </c>
      <c r="K2434">
        <v>1940</v>
      </c>
      <c r="L2434">
        <v>1940</v>
      </c>
      <c r="M2434" t="s">
        <v>203</v>
      </c>
      <c r="N2434" t="s">
        <v>203</v>
      </c>
      <c r="Q2434" s="2" t="str">
        <f>IF($C2434="","",IFERROR(VLOOKUP($C2434,sources!$A$2:$N$200,2,FALSE()),"?"))</f>
        <v>Map</v>
      </c>
      <c r="R2434" s="2" t="str">
        <f t="shared" ref="R2434:R2497" si="38">IF($Q2434="","",IF($Q2434="Map","Map",IF(OR($Q2434="Photograph",$Q2434="Postcard"),"Image",IF(OR($Q2434="Census or roll",$Q2434="Report",$Q2434="Newspaper",$Q2434="Letter",$Q2434="Memoir",$Q2434="Administrative",$Q2434="Web compilation"),"Textual",IF($Q2434="Legal claim","Legal/admin",IF($Q2434="Secondary","Secondary","Other"))))))</f>
        <v>Map</v>
      </c>
      <c r="S2434" s="2" t="str">
        <f>IF($C2434="","",IFERROR(VLOOKUP($C2434,sources!$A$2:$N$200,9,FALSE()),"?"))</f>
        <v>US official</v>
      </c>
      <c r="T2434" t="s">
        <v>5692</v>
      </c>
      <c r="U2434">
        <f>IF(OR(B2434="",C2434="",T2434="Retracted",LEFT(D2434,8)="Negative"),0,IF(COUNTIFS($B$2:B2434,B2434,$C$2:C2434,C2434,$D$2:D2434,"&lt;&gt;Negative*",$T$2:T2434,"&lt;&gt;Retracted")=1,1,0))</f>
        <v>0</v>
      </c>
    </row>
    <row r="2435" spans="1:21" x14ac:dyDescent="0.2">
      <c r="A2435" t="s">
        <v>4682</v>
      </c>
      <c r="B2435" t="s">
        <v>330</v>
      </c>
      <c r="C2435" t="s">
        <v>1370</v>
      </c>
      <c r="D2435" t="s">
        <v>1575</v>
      </c>
      <c r="E2435" t="s">
        <v>4683</v>
      </c>
      <c r="F2435" t="s">
        <v>1583</v>
      </c>
      <c r="I2435" t="s">
        <v>1058</v>
      </c>
      <c r="K2435">
        <v>1940</v>
      </c>
      <c r="L2435">
        <v>1940</v>
      </c>
      <c r="M2435" t="s">
        <v>203</v>
      </c>
      <c r="N2435" t="s">
        <v>203</v>
      </c>
      <c r="Q2435" s="2" t="str">
        <f>IF($C2435="","",IFERROR(VLOOKUP($C2435,sources!$A$2:$N$200,2,FALSE()),"?"))</f>
        <v>Map</v>
      </c>
      <c r="R2435" s="2" t="str">
        <f t="shared" si="38"/>
        <v>Map</v>
      </c>
      <c r="S2435" s="2" t="str">
        <f>IF($C2435="","",IFERROR(VLOOKUP($C2435,sources!$A$2:$N$200,9,FALSE()),"?"))</f>
        <v>US official</v>
      </c>
      <c r="T2435" t="s">
        <v>5692</v>
      </c>
      <c r="U2435">
        <f>IF(OR(B2435="",C2435="",T2435="Retracted",LEFT(D2435,8)="Negative"),0,IF(COUNTIFS($B$2:B2435,B2435,$C$2:C2435,C2435,$D$2:D2435,"&lt;&gt;Negative*",$T$2:T2435,"&lt;&gt;Retracted")=1,1,0))</f>
        <v>0</v>
      </c>
    </row>
    <row r="2436" spans="1:21" x14ac:dyDescent="0.2">
      <c r="A2436" t="s">
        <v>4684</v>
      </c>
      <c r="B2436" t="s">
        <v>456</v>
      </c>
      <c r="C2436" t="s">
        <v>1370</v>
      </c>
      <c r="D2436" t="s">
        <v>1575</v>
      </c>
      <c r="E2436" t="s">
        <v>4685</v>
      </c>
      <c r="F2436" t="s">
        <v>1583</v>
      </c>
      <c r="I2436" t="s">
        <v>1058</v>
      </c>
      <c r="K2436">
        <v>1940</v>
      </c>
      <c r="L2436">
        <v>1940</v>
      </c>
      <c r="M2436" t="s">
        <v>203</v>
      </c>
      <c r="N2436" t="s">
        <v>209</v>
      </c>
      <c r="Q2436" s="2" t="str">
        <f>IF($C2436="","",IFERROR(VLOOKUP($C2436,sources!$A$2:$N$200,2,FALSE()),"?"))</f>
        <v>Map</v>
      </c>
      <c r="R2436" s="2" t="str">
        <f t="shared" si="38"/>
        <v>Map</v>
      </c>
      <c r="S2436" s="2" t="str">
        <f>IF($C2436="","",IFERROR(VLOOKUP($C2436,sources!$A$2:$N$200,9,FALSE()),"?"))</f>
        <v>US official</v>
      </c>
      <c r="T2436" t="s">
        <v>5692</v>
      </c>
      <c r="U2436">
        <f>IF(OR(B2436="",C2436="",T2436="Retracted",LEFT(D2436,8)="Negative"),0,IF(COUNTIFS($B$2:B2436,B2436,$C$2:C2436,C2436,$D$2:D2436,"&lt;&gt;Negative*",$T$2:T2436,"&lt;&gt;Retracted")=1,1,0))</f>
        <v>0</v>
      </c>
    </row>
    <row r="2437" spans="1:21" x14ac:dyDescent="0.2">
      <c r="A2437" t="s">
        <v>4686</v>
      </c>
      <c r="B2437" t="s">
        <v>542</v>
      </c>
      <c r="C2437" t="s">
        <v>1370</v>
      </c>
      <c r="D2437" t="s">
        <v>1575</v>
      </c>
      <c r="E2437" t="s">
        <v>4687</v>
      </c>
      <c r="F2437" t="s">
        <v>1583</v>
      </c>
      <c r="I2437" t="s">
        <v>1058</v>
      </c>
      <c r="K2437">
        <v>1940</v>
      </c>
      <c r="L2437">
        <v>1940</v>
      </c>
      <c r="M2437" t="s">
        <v>203</v>
      </c>
      <c r="N2437" t="s">
        <v>209</v>
      </c>
      <c r="Q2437" s="2" t="str">
        <f>IF($C2437="","",IFERROR(VLOOKUP($C2437,sources!$A$2:$N$200,2,FALSE()),"?"))</f>
        <v>Map</v>
      </c>
      <c r="R2437" s="2" t="str">
        <f t="shared" si="38"/>
        <v>Map</v>
      </c>
      <c r="S2437" s="2" t="str">
        <f>IF($C2437="","",IFERROR(VLOOKUP($C2437,sources!$A$2:$N$200,9,FALSE()),"?"))</f>
        <v>US official</v>
      </c>
      <c r="T2437" t="s">
        <v>5692</v>
      </c>
      <c r="U2437">
        <f>IF(OR(B2437="",C2437="",T2437="Retracted",LEFT(D2437,8)="Negative"),0,IF(COUNTIFS($B$2:B2437,B2437,$C$2:C2437,C2437,$D$2:D2437,"&lt;&gt;Negative*",$T$2:T2437,"&lt;&gt;Retracted")=1,1,0))</f>
        <v>1</v>
      </c>
    </row>
    <row r="2438" spans="1:21" x14ac:dyDescent="0.2">
      <c r="A2438" t="s">
        <v>4688</v>
      </c>
      <c r="B2438" t="s">
        <v>447</v>
      </c>
      <c r="C2438" t="s">
        <v>1370</v>
      </c>
      <c r="D2438" t="s">
        <v>1575</v>
      </c>
      <c r="E2438" t="s">
        <v>4689</v>
      </c>
      <c r="F2438" t="s">
        <v>1583</v>
      </c>
      <c r="I2438" t="s">
        <v>1058</v>
      </c>
      <c r="K2438">
        <v>1940</v>
      </c>
      <c r="L2438">
        <v>1940</v>
      </c>
      <c r="M2438" t="s">
        <v>203</v>
      </c>
      <c r="N2438" t="s">
        <v>203</v>
      </c>
      <c r="Q2438" s="2" t="str">
        <f>IF($C2438="","",IFERROR(VLOOKUP($C2438,sources!$A$2:$N$200,2,FALSE()),"?"))</f>
        <v>Map</v>
      </c>
      <c r="R2438" s="2" t="str">
        <f t="shared" si="38"/>
        <v>Map</v>
      </c>
      <c r="S2438" s="2" t="str">
        <f>IF($C2438="","",IFERROR(VLOOKUP($C2438,sources!$A$2:$N$200,9,FALSE()),"?"))</f>
        <v>US official</v>
      </c>
      <c r="T2438" t="s">
        <v>5692</v>
      </c>
      <c r="U2438">
        <f>IF(OR(B2438="",C2438="",T2438="Retracted",LEFT(D2438,8)="Negative"),0,IF(COUNTIFS($B$2:B2438,B2438,$C$2:C2438,C2438,$D$2:D2438,"&lt;&gt;Negative*",$T$2:T2438,"&lt;&gt;Retracted")=1,1,0))</f>
        <v>0</v>
      </c>
    </row>
    <row r="2439" spans="1:21" x14ac:dyDescent="0.2">
      <c r="A2439" t="s">
        <v>4690</v>
      </c>
      <c r="B2439" t="s">
        <v>525</v>
      </c>
      <c r="C2439" t="s">
        <v>1370</v>
      </c>
      <c r="D2439" t="s">
        <v>1575</v>
      </c>
      <c r="E2439" t="s">
        <v>4691</v>
      </c>
      <c r="F2439" t="s">
        <v>1583</v>
      </c>
      <c r="I2439" t="s">
        <v>1058</v>
      </c>
      <c r="K2439">
        <v>1940</v>
      </c>
      <c r="L2439">
        <v>1940</v>
      </c>
      <c r="M2439" t="s">
        <v>203</v>
      </c>
      <c r="N2439" t="s">
        <v>203</v>
      </c>
      <c r="Q2439" s="2" t="str">
        <f>IF($C2439="","",IFERROR(VLOOKUP($C2439,sources!$A$2:$N$200,2,FALSE()),"?"))</f>
        <v>Map</v>
      </c>
      <c r="R2439" s="2" t="str">
        <f t="shared" si="38"/>
        <v>Map</v>
      </c>
      <c r="S2439" s="2" t="str">
        <f>IF($C2439="","",IFERROR(VLOOKUP($C2439,sources!$A$2:$N$200,9,FALSE()),"?"))</f>
        <v>US official</v>
      </c>
      <c r="T2439" t="s">
        <v>5692</v>
      </c>
      <c r="U2439">
        <f>IF(OR(B2439="",C2439="",T2439="Retracted",LEFT(D2439,8)="Negative"),0,IF(COUNTIFS($B$2:B2439,B2439,$C$2:C2439,C2439,$D$2:D2439,"&lt;&gt;Negative*",$T$2:T2439,"&lt;&gt;Retracted")=1,1,0))</f>
        <v>0</v>
      </c>
    </row>
    <row r="2440" spans="1:21" ht="26" x14ac:dyDescent="0.2">
      <c r="A2440" t="s">
        <v>4692</v>
      </c>
      <c r="B2440" t="s">
        <v>330</v>
      </c>
      <c r="C2440" t="s">
        <v>1514</v>
      </c>
      <c r="D2440" t="s">
        <v>1575</v>
      </c>
      <c r="E2440" t="s">
        <v>4693</v>
      </c>
      <c r="F2440" t="s">
        <v>1583</v>
      </c>
      <c r="I2440" t="s">
        <v>1058</v>
      </c>
      <c r="K2440">
        <v>1920</v>
      </c>
      <c r="L2440">
        <v>1920</v>
      </c>
      <c r="M2440" t="s">
        <v>203</v>
      </c>
      <c r="N2440" t="s">
        <v>203</v>
      </c>
      <c r="Q2440" s="2" t="str">
        <f>IF($C2440="","",IFERROR(VLOOKUP($C2440,sources!$A$2:$N$200,2,FALSE()),"?"))</f>
        <v>Map</v>
      </c>
      <c r="R2440" s="2" t="str">
        <f t="shared" si="38"/>
        <v>Map</v>
      </c>
      <c r="S2440" s="2" t="str">
        <f>IF($C2440="","",IFERROR(VLOOKUP($C2440,sources!$A$2:$N$200,9,FALSE()),"?"))</f>
        <v>Colonial power - US official</v>
      </c>
      <c r="T2440" t="s">
        <v>5692</v>
      </c>
      <c r="U2440">
        <f>IF(OR(B2440="",C2440="",T2440="Retracted",LEFT(D2440,8)="Negative"),0,IF(COUNTIFS($B$2:B2440,B2440,$C$2:C2440,C2440,$D$2:D2440,"&lt;&gt;Negative*",$T$2:T2440,"&lt;&gt;Retracted")=1,1,0))</f>
        <v>1</v>
      </c>
    </row>
    <row r="2441" spans="1:21" ht="26" x14ac:dyDescent="0.2">
      <c r="A2441" t="s">
        <v>4694</v>
      </c>
      <c r="B2441" t="s">
        <v>415</v>
      </c>
      <c r="C2441" t="s">
        <v>1514</v>
      </c>
      <c r="D2441" t="s">
        <v>1575</v>
      </c>
      <c r="E2441" t="s">
        <v>2551</v>
      </c>
      <c r="F2441" t="s">
        <v>1583</v>
      </c>
      <c r="I2441" t="s">
        <v>1058</v>
      </c>
      <c r="K2441">
        <v>1920</v>
      </c>
      <c r="L2441">
        <v>1920</v>
      </c>
      <c r="M2441" t="s">
        <v>203</v>
      </c>
      <c r="N2441" t="s">
        <v>203</v>
      </c>
      <c r="Q2441" s="2" t="str">
        <f>IF($C2441="","",IFERROR(VLOOKUP($C2441,sources!$A$2:$N$200,2,FALSE()),"?"))</f>
        <v>Map</v>
      </c>
      <c r="R2441" s="2" t="str">
        <f t="shared" si="38"/>
        <v>Map</v>
      </c>
      <c r="S2441" s="2" t="str">
        <f>IF($C2441="","",IFERROR(VLOOKUP($C2441,sources!$A$2:$N$200,9,FALSE()),"?"))</f>
        <v>Colonial power - US official</v>
      </c>
      <c r="T2441" t="s">
        <v>5692</v>
      </c>
      <c r="U2441">
        <f>IF(OR(B2441="",C2441="",T2441="Retracted",LEFT(D2441,8)="Negative"),0,IF(COUNTIFS($B$2:B2441,B2441,$C$2:C2441,C2441,$D$2:D2441,"&lt;&gt;Negative*",$T$2:T2441,"&lt;&gt;Retracted")=1,1,0))</f>
        <v>1</v>
      </c>
    </row>
    <row r="2442" spans="1:21" ht="26" x14ac:dyDescent="0.2">
      <c r="A2442" t="s">
        <v>4695</v>
      </c>
      <c r="B2442" t="s">
        <v>226</v>
      </c>
      <c r="C2442" t="s">
        <v>1514</v>
      </c>
      <c r="D2442" t="s">
        <v>1575</v>
      </c>
      <c r="E2442" t="s">
        <v>4696</v>
      </c>
      <c r="F2442" t="s">
        <v>1583</v>
      </c>
      <c r="I2442" t="s">
        <v>1058</v>
      </c>
      <c r="K2442">
        <v>1920</v>
      </c>
      <c r="L2442">
        <v>1920</v>
      </c>
      <c r="M2442" t="s">
        <v>203</v>
      </c>
      <c r="N2442" t="s">
        <v>203</v>
      </c>
      <c r="Q2442" s="2" t="str">
        <f>IF($C2442="","",IFERROR(VLOOKUP($C2442,sources!$A$2:$N$200,2,FALSE()),"?"))</f>
        <v>Map</v>
      </c>
      <c r="R2442" s="2" t="str">
        <f t="shared" si="38"/>
        <v>Map</v>
      </c>
      <c r="S2442" s="2" t="str">
        <f>IF($C2442="","",IFERROR(VLOOKUP($C2442,sources!$A$2:$N$200,9,FALSE()),"?"))</f>
        <v>Colonial power - US official</v>
      </c>
      <c r="T2442" t="s">
        <v>5692</v>
      </c>
      <c r="U2442">
        <f>IF(OR(B2442="",C2442="",T2442="Retracted",LEFT(D2442,8)="Negative"),0,IF(COUNTIFS($B$2:B2442,B2442,$C$2:C2442,C2442,$D$2:D2442,"&lt;&gt;Negative*",$T$2:T2442,"&lt;&gt;Retracted")=1,1,0))</f>
        <v>1</v>
      </c>
    </row>
    <row r="2443" spans="1:21" ht="26" x14ac:dyDescent="0.2">
      <c r="A2443" t="s">
        <v>4697</v>
      </c>
      <c r="B2443" t="s">
        <v>403</v>
      </c>
      <c r="C2443" t="s">
        <v>1514</v>
      </c>
      <c r="D2443" t="s">
        <v>1575</v>
      </c>
      <c r="E2443" t="s">
        <v>404</v>
      </c>
      <c r="F2443" t="s">
        <v>1583</v>
      </c>
      <c r="I2443" t="s">
        <v>1058</v>
      </c>
      <c r="K2443">
        <v>1920</v>
      </c>
      <c r="L2443">
        <v>1920</v>
      </c>
      <c r="M2443" t="s">
        <v>203</v>
      </c>
      <c r="N2443" t="s">
        <v>203</v>
      </c>
      <c r="Q2443" s="2" t="str">
        <f>IF($C2443="","",IFERROR(VLOOKUP($C2443,sources!$A$2:$N$200,2,FALSE()),"?"))</f>
        <v>Map</v>
      </c>
      <c r="R2443" s="2" t="str">
        <f t="shared" si="38"/>
        <v>Map</v>
      </c>
      <c r="S2443" s="2" t="str">
        <f>IF($C2443="","",IFERROR(VLOOKUP($C2443,sources!$A$2:$N$200,9,FALSE()),"?"))</f>
        <v>Colonial power - US official</v>
      </c>
      <c r="T2443" t="s">
        <v>5692</v>
      </c>
      <c r="U2443">
        <f>IF(OR(B2443="",C2443="",T2443="Retracted",LEFT(D2443,8)="Negative"),0,IF(COUNTIFS($B$2:B2443,B2443,$C$2:C2443,C2443,$D$2:D2443,"&lt;&gt;Negative*",$T$2:T2443,"&lt;&gt;Retracted")=1,1,0))</f>
        <v>1</v>
      </c>
    </row>
    <row r="2444" spans="1:21" ht="26" x14ac:dyDescent="0.2">
      <c r="A2444" t="s">
        <v>4698</v>
      </c>
      <c r="B2444" t="s">
        <v>847</v>
      </c>
      <c r="C2444" t="s">
        <v>1514</v>
      </c>
      <c r="D2444" t="s">
        <v>1575</v>
      </c>
      <c r="E2444" t="s">
        <v>848</v>
      </c>
      <c r="F2444" t="s">
        <v>1583</v>
      </c>
      <c r="I2444" t="s">
        <v>1058</v>
      </c>
      <c r="K2444">
        <v>1920</v>
      </c>
      <c r="L2444">
        <v>1920</v>
      </c>
      <c r="M2444" t="s">
        <v>203</v>
      </c>
      <c r="N2444" t="s">
        <v>203</v>
      </c>
      <c r="Q2444" s="2" t="str">
        <f>IF($C2444="","",IFERROR(VLOOKUP($C2444,sources!$A$2:$N$200,2,FALSE()),"?"))</f>
        <v>Map</v>
      </c>
      <c r="R2444" s="2" t="str">
        <f t="shared" si="38"/>
        <v>Map</v>
      </c>
      <c r="S2444" s="2" t="str">
        <f>IF($C2444="","",IFERROR(VLOOKUP($C2444,sources!$A$2:$N$200,9,FALSE()),"?"))</f>
        <v>Colonial power - US official</v>
      </c>
      <c r="T2444" t="s">
        <v>5692</v>
      </c>
      <c r="U2444">
        <f>IF(OR(B2444="",C2444="",T2444="Retracted",LEFT(D2444,8)="Negative"),0,IF(COUNTIFS($B$2:B2444,B2444,$C$2:C2444,C2444,$D$2:D2444,"&lt;&gt;Negative*",$T$2:T2444,"&lt;&gt;Retracted")=1,1,0))</f>
        <v>1</v>
      </c>
    </row>
    <row r="2445" spans="1:21" ht="26" x14ac:dyDescent="0.2">
      <c r="A2445" t="s">
        <v>4699</v>
      </c>
      <c r="B2445" t="s">
        <v>354</v>
      </c>
      <c r="C2445" t="s">
        <v>1514</v>
      </c>
      <c r="D2445" t="s">
        <v>1575</v>
      </c>
      <c r="E2445" t="s">
        <v>355</v>
      </c>
      <c r="F2445" t="s">
        <v>1583</v>
      </c>
      <c r="I2445" t="s">
        <v>1058</v>
      </c>
      <c r="M2445" t="s">
        <v>190</v>
      </c>
      <c r="N2445" t="s">
        <v>203</v>
      </c>
      <c r="Q2445" s="2" t="str">
        <f>IF($C2445="","",IFERROR(VLOOKUP($C2445,sources!$A$2:$N$200,2,FALSE()),"?"))</f>
        <v>Map</v>
      </c>
      <c r="R2445" s="2" t="str">
        <f t="shared" si="38"/>
        <v>Map</v>
      </c>
      <c r="S2445" s="2" t="str">
        <f>IF($C2445="","",IFERROR(VLOOKUP($C2445,sources!$A$2:$N$200,9,FALSE()),"?"))</f>
        <v>Colonial power - US official</v>
      </c>
      <c r="T2445" t="s">
        <v>5692</v>
      </c>
      <c r="U2445">
        <f>IF(OR(B2445="",C2445="",T2445="Retracted",LEFT(D2445,8)="Negative"),0,IF(COUNTIFS($B$2:B2445,B2445,$C$2:C2445,C2445,$D$2:D2445,"&lt;&gt;Negative*",$T$2:T2445,"&lt;&gt;Retracted")=1,1,0))</f>
        <v>1</v>
      </c>
    </row>
    <row r="2446" spans="1:21" ht="26" x14ac:dyDescent="0.2">
      <c r="A2446" t="s">
        <v>4700</v>
      </c>
      <c r="B2446" t="s">
        <v>369</v>
      </c>
      <c r="C2446" t="s">
        <v>1514</v>
      </c>
      <c r="D2446" t="s">
        <v>1575</v>
      </c>
      <c r="E2446" t="s">
        <v>370</v>
      </c>
      <c r="F2446" t="s">
        <v>1583</v>
      </c>
      <c r="I2446" t="s">
        <v>1058</v>
      </c>
      <c r="K2446">
        <v>1920</v>
      </c>
      <c r="L2446">
        <v>1920</v>
      </c>
      <c r="M2446" t="s">
        <v>203</v>
      </c>
      <c r="N2446" t="s">
        <v>203</v>
      </c>
      <c r="Q2446" s="2" t="str">
        <f>IF($C2446="","",IFERROR(VLOOKUP($C2446,sources!$A$2:$N$200,2,FALSE()),"?"))</f>
        <v>Map</v>
      </c>
      <c r="R2446" s="2" t="str">
        <f t="shared" si="38"/>
        <v>Map</v>
      </c>
      <c r="S2446" s="2" t="str">
        <f>IF($C2446="","",IFERROR(VLOOKUP($C2446,sources!$A$2:$N$200,9,FALSE()),"?"))</f>
        <v>Colonial power - US official</v>
      </c>
      <c r="T2446" t="s">
        <v>5692</v>
      </c>
      <c r="U2446">
        <f>IF(OR(B2446="",C2446="",T2446="Retracted",LEFT(D2446,8)="Negative"),0,IF(COUNTIFS($B$2:B2446,B2446,$C$2:C2446,C2446,$D$2:D2446,"&lt;&gt;Negative*",$T$2:T2446,"&lt;&gt;Retracted")=1,1,0))</f>
        <v>1</v>
      </c>
    </row>
    <row r="2447" spans="1:21" ht="26" x14ac:dyDescent="0.2">
      <c r="A2447" t="s">
        <v>4701</v>
      </c>
      <c r="B2447" t="s">
        <v>261</v>
      </c>
      <c r="C2447" t="s">
        <v>1514</v>
      </c>
      <c r="D2447" t="s">
        <v>1575</v>
      </c>
      <c r="E2447" t="s">
        <v>262</v>
      </c>
      <c r="F2447" t="s">
        <v>1583</v>
      </c>
      <c r="I2447" t="s">
        <v>1058</v>
      </c>
      <c r="K2447">
        <v>1920</v>
      </c>
      <c r="L2447">
        <v>1920</v>
      </c>
      <c r="M2447" t="s">
        <v>203</v>
      </c>
      <c r="N2447" t="s">
        <v>203</v>
      </c>
      <c r="Q2447" s="2" t="str">
        <f>IF($C2447="","",IFERROR(VLOOKUP($C2447,sources!$A$2:$N$200,2,FALSE()),"?"))</f>
        <v>Map</v>
      </c>
      <c r="R2447" s="2" t="str">
        <f t="shared" si="38"/>
        <v>Map</v>
      </c>
      <c r="S2447" s="2" t="str">
        <f>IF($C2447="","",IFERROR(VLOOKUP($C2447,sources!$A$2:$N$200,9,FALSE()),"?"))</f>
        <v>Colonial power - US official</v>
      </c>
      <c r="T2447" t="s">
        <v>5692</v>
      </c>
      <c r="U2447">
        <f>IF(OR(B2447="",C2447="",T2447="Retracted",LEFT(D2447,8)="Negative"),0,IF(COUNTIFS($B$2:B2447,B2447,$C$2:C2447,C2447,$D$2:D2447,"&lt;&gt;Negative*",$T$2:T2447,"&lt;&gt;Retracted")=1,1,0))</f>
        <v>1</v>
      </c>
    </row>
    <row r="2448" spans="1:21" ht="26" x14ac:dyDescent="0.2">
      <c r="A2448" t="s">
        <v>4702</v>
      </c>
      <c r="B2448" t="s">
        <v>233</v>
      </c>
      <c r="C2448" t="s">
        <v>1514</v>
      </c>
      <c r="D2448" t="s">
        <v>1575</v>
      </c>
      <c r="E2448" t="s">
        <v>234</v>
      </c>
      <c r="F2448" t="s">
        <v>1583</v>
      </c>
      <c r="I2448" t="s">
        <v>1058</v>
      </c>
      <c r="M2448" t="s">
        <v>190</v>
      </c>
      <c r="N2448" t="s">
        <v>203</v>
      </c>
      <c r="Q2448" s="2" t="str">
        <f>IF($C2448="","",IFERROR(VLOOKUP($C2448,sources!$A$2:$N$200,2,FALSE()),"?"))</f>
        <v>Map</v>
      </c>
      <c r="R2448" s="2" t="str">
        <f t="shared" si="38"/>
        <v>Map</v>
      </c>
      <c r="S2448" s="2" t="str">
        <f>IF($C2448="","",IFERROR(VLOOKUP($C2448,sources!$A$2:$N$200,9,FALSE()),"?"))</f>
        <v>Colonial power - US official</v>
      </c>
      <c r="T2448" t="s">
        <v>5692</v>
      </c>
      <c r="U2448">
        <f>IF(OR(B2448="",C2448="",T2448="Retracted",LEFT(D2448,8)="Negative"),0,IF(COUNTIFS($B$2:B2448,B2448,$C$2:C2448,C2448,$D$2:D2448,"&lt;&gt;Negative*",$T$2:T2448,"&lt;&gt;Retracted")=1,1,0))</f>
        <v>1</v>
      </c>
    </row>
    <row r="2449" spans="1:21" ht="26" x14ac:dyDescent="0.2">
      <c r="A2449" t="s">
        <v>4703</v>
      </c>
      <c r="B2449" t="s">
        <v>247</v>
      </c>
      <c r="C2449" t="s">
        <v>1514</v>
      </c>
      <c r="D2449" t="s">
        <v>1575</v>
      </c>
      <c r="E2449" t="s">
        <v>248</v>
      </c>
      <c r="F2449" t="s">
        <v>1583</v>
      </c>
      <c r="I2449" t="s">
        <v>1058</v>
      </c>
      <c r="M2449" t="s">
        <v>190</v>
      </c>
      <c r="N2449" t="s">
        <v>203</v>
      </c>
      <c r="Q2449" s="2" t="str">
        <f>IF($C2449="","",IFERROR(VLOOKUP($C2449,sources!$A$2:$N$200,2,FALSE()),"?"))</f>
        <v>Map</v>
      </c>
      <c r="R2449" s="2" t="str">
        <f t="shared" si="38"/>
        <v>Map</v>
      </c>
      <c r="S2449" s="2" t="str">
        <f>IF($C2449="","",IFERROR(VLOOKUP($C2449,sources!$A$2:$N$200,9,FALSE()),"?"))</f>
        <v>Colonial power - US official</v>
      </c>
      <c r="T2449" t="s">
        <v>5692</v>
      </c>
      <c r="U2449">
        <f>IF(OR(B2449="",C2449="",T2449="Retracted",LEFT(D2449,8)="Negative"),0,IF(COUNTIFS($B$2:B2449,B2449,$C$2:C2449,C2449,$D$2:D2449,"&lt;&gt;Negative*",$T$2:T2449,"&lt;&gt;Retracted")=1,1,0))</f>
        <v>1</v>
      </c>
    </row>
    <row r="2450" spans="1:21" ht="26" x14ac:dyDescent="0.2">
      <c r="A2450" t="s">
        <v>4704</v>
      </c>
      <c r="B2450" t="s">
        <v>344</v>
      </c>
      <c r="C2450" t="s">
        <v>1514</v>
      </c>
      <c r="D2450" t="s">
        <v>1575</v>
      </c>
      <c r="E2450" t="s">
        <v>2471</v>
      </c>
      <c r="F2450" t="s">
        <v>1583</v>
      </c>
      <c r="I2450" t="s">
        <v>1058</v>
      </c>
      <c r="K2450">
        <v>1920</v>
      </c>
      <c r="L2450">
        <v>1920</v>
      </c>
      <c r="M2450" t="s">
        <v>203</v>
      </c>
      <c r="N2450" t="s">
        <v>203</v>
      </c>
      <c r="Q2450" s="2" t="str">
        <f>IF($C2450="","",IFERROR(VLOOKUP($C2450,sources!$A$2:$N$200,2,FALSE()),"?"))</f>
        <v>Map</v>
      </c>
      <c r="R2450" s="2" t="str">
        <f t="shared" si="38"/>
        <v>Map</v>
      </c>
      <c r="S2450" s="2" t="str">
        <f>IF($C2450="","",IFERROR(VLOOKUP($C2450,sources!$A$2:$N$200,9,FALSE()),"?"))</f>
        <v>Colonial power - US official</v>
      </c>
      <c r="T2450" t="s">
        <v>5692</v>
      </c>
      <c r="U2450">
        <f>IF(OR(B2450="",C2450="",T2450="Retracted",LEFT(D2450,8)="Negative"),0,IF(COUNTIFS($B$2:B2450,B2450,$C$2:C2450,C2450,$D$2:D2450,"&lt;&gt;Negative*",$T$2:T2450,"&lt;&gt;Retracted")=1,1,0))</f>
        <v>1</v>
      </c>
    </row>
    <row r="2451" spans="1:21" ht="26" x14ac:dyDescent="0.2">
      <c r="A2451" t="s">
        <v>4705</v>
      </c>
      <c r="B2451" t="s">
        <v>374</v>
      </c>
      <c r="C2451" t="s">
        <v>1514</v>
      </c>
      <c r="D2451" t="s">
        <v>1575</v>
      </c>
      <c r="E2451" t="s">
        <v>4706</v>
      </c>
      <c r="F2451" t="s">
        <v>1583</v>
      </c>
      <c r="I2451" t="s">
        <v>1058</v>
      </c>
      <c r="M2451" t="s">
        <v>190</v>
      </c>
      <c r="N2451" t="s">
        <v>203</v>
      </c>
      <c r="Q2451" s="2" t="str">
        <f>IF($C2451="","",IFERROR(VLOOKUP($C2451,sources!$A$2:$N$200,2,FALSE()),"?"))</f>
        <v>Map</v>
      </c>
      <c r="R2451" s="2" t="str">
        <f t="shared" si="38"/>
        <v>Map</v>
      </c>
      <c r="S2451" s="2" t="str">
        <f>IF($C2451="","",IFERROR(VLOOKUP($C2451,sources!$A$2:$N$200,9,FALSE()),"?"))</f>
        <v>Colonial power - US official</v>
      </c>
      <c r="T2451" t="s">
        <v>5692</v>
      </c>
      <c r="U2451">
        <f>IF(OR(B2451="",C2451="",T2451="Retracted",LEFT(D2451,8)="Negative"),0,IF(COUNTIFS($B$2:B2451,B2451,$C$2:C2451,C2451,$D$2:D2451,"&lt;&gt;Negative*",$T$2:T2451,"&lt;&gt;Retracted")=1,1,0))</f>
        <v>1</v>
      </c>
    </row>
    <row r="2452" spans="1:21" ht="26" x14ac:dyDescent="0.2">
      <c r="A2452" t="s">
        <v>4707</v>
      </c>
      <c r="B2452" t="s">
        <v>351</v>
      </c>
      <c r="C2452" t="s">
        <v>1514</v>
      </c>
      <c r="D2452" t="s">
        <v>1575</v>
      </c>
      <c r="E2452" t="s">
        <v>352</v>
      </c>
      <c r="F2452" t="s">
        <v>1583</v>
      </c>
      <c r="I2452" t="s">
        <v>1058</v>
      </c>
      <c r="K2452">
        <v>1920</v>
      </c>
      <c r="L2452">
        <v>1920</v>
      </c>
      <c r="M2452" t="s">
        <v>203</v>
      </c>
      <c r="N2452" t="s">
        <v>203</v>
      </c>
      <c r="Q2452" s="2" t="str">
        <f>IF($C2452="","",IFERROR(VLOOKUP($C2452,sources!$A$2:$N$200,2,FALSE()),"?"))</f>
        <v>Map</v>
      </c>
      <c r="R2452" s="2" t="str">
        <f t="shared" si="38"/>
        <v>Map</v>
      </c>
      <c r="S2452" s="2" t="str">
        <f>IF($C2452="","",IFERROR(VLOOKUP($C2452,sources!$A$2:$N$200,9,FALSE()),"?"))</f>
        <v>Colonial power - US official</v>
      </c>
      <c r="T2452" t="s">
        <v>5692</v>
      </c>
      <c r="U2452">
        <f>IF(OR(B2452="",C2452="",T2452="Retracted",LEFT(D2452,8)="Negative"),0,IF(COUNTIFS($B$2:B2452,B2452,$C$2:C2452,C2452,$D$2:D2452,"&lt;&gt;Negative*",$T$2:T2452,"&lt;&gt;Retracted")=1,1,0))</f>
        <v>1</v>
      </c>
    </row>
    <row r="2453" spans="1:21" ht="26" x14ac:dyDescent="0.2">
      <c r="A2453" t="s">
        <v>4708</v>
      </c>
      <c r="B2453" t="s">
        <v>411</v>
      </c>
      <c r="C2453" t="s">
        <v>1514</v>
      </c>
      <c r="D2453" t="s">
        <v>1575</v>
      </c>
      <c r="E2453" t="s">
        <v>2549</v>
      </c>
      <c r="F2453" t="s">
        <v>1583</v>
      </c>
      <c r="I2453" t="s">
        <v>1058</v>
      </c>
      <c r="K2453">
        <v>1920</v>
      </c>
      <c r="L2453">
        <v>1920</v>
      </c>
      <c r="M2453" t="s">
        <v>203</v>
      </c>
      <c r="N2453" t="s">
        <v>203</v>
      </c>
      <c r="Q2453" s="2" t="str">
        <f>IF($C2453="","",IFERROR(VLOOKUP($C2453,sources!$A$2:$N$200,2,FALSE()),"?"))</f>
        <v>Map</v>
      </c>
      <c r="R2453" s="2" t="str">
        <f t="shared" si="38"/>
        <v>Map</v>
      </c>
      <c r="S2453" s="2" t="str">
        <f>IF($C2453="","",IFERROR(VLOOKUP($C2453,sources!$A$2:$N$200,9,FALSE()),"?"))</f>
        <v>Colonial power - US official</v>
      </c>
      <c r="T2453" t="s">
        <v>5692</v>
      </c>
      <c r="U2453">
        <f>IF(OR(B2453="",C2453="",T2453="Retracted",LEFT(D2453,8)="Negative"),0,IF(COUNTIFS($B$2:B2453,B2453,$C$2:C2453,C2453,$D$2:D2453,"&lt;&gt;Negative*",$T$2:T2453,"&lt;&gt;Retracted")=1,1,0))</f>
        <v>1</v>
      </c>
    </row>
    <row r="2454" spans="1:21" ht="26" x14ac:dyDescent="0.2">
      <c r="A2454" t="s">
        <v>4709</v>
      </c>
      <c r="B2454" t="s">
        <v>447</v>
      </c>
      <c r="C2454" t="s">
        <v>1514</v>
      </c>
      <c r="D2454" t="s">
        <v>1575</v>
      </c>
      <c r="E2454" t="s">
        <v>3715</v>
      </c>
      <c r="F2454" t="s">
        <v>1583</v>
      </c>
      <c r="I2454" t="s">
        <v>1058</v>
      </c>
      <c r="K2454">
        <v>1920</v>
      </c>
      <c r="L2454">
        <v>1920</v>
      </c>
      <c r="M2454" t="s">
        <v>203</v>
      </c>
      <c r="N2454" t="s">
        <v>203</v>
      </c>
      <c r="Q2454" s="2" t="str">
        <f>IF($C2454="","",IFERROR(VLOOKUP($C2454,sources!$A$2:$N$200,2,FALSE()),"?"))</f>
        <v>Map</v>
      </c>
      <c r="R2454" s="2" t="str">
        <f t="shared" si="38"/>
        <v>Map</v>
      </c>
      <c r="S2454" s="2" t="str">
        <f>IF($C2454="","",IFERROR(VLOOKUP($C2454,sources!$A$2:$N$200,9,FALSE()),"?"))</f>
        <v>Colonial power - US official</v>
      </c>
      <c r="T2454" t="s">
        <v>5692</v>
      </c>
      <c r="U2454">
        <f>IF(OR(B2454="",C2454="",T2454="Retracted",LEFT(D2454,8)="Negative"),0,IF(COUNTIFS($B$2:B2454,B2454,$C$2:C2454,C2454,$D$2:D2454,"&lt;&gt;Negative*",$T$2:T2454,"&lt;&gt;Retracted")=1,1,0))</f>
        <v>1</v>
      </c>
    </row>
    <row r="2455" spans="1:21" ht="26" x14ac:dyDescent="0.2">
      <c r="A2455" t="s">
        <v>4710</v>
      </c>
      <c r="B2455" t="s">
        <v>472</v>
      </c>
      <c r="C2455" t="s">
        <v>1514</v>
      </c>
      <c r="D2455" t="s">
        <v>1575</v>
      </c>
      <c r="E2455" t="s">
        <v>473</v>
      </c>
      <c r="F2455" t="s">
        <v>1583</v>
      </c>
      <c r="I2455" t="s">
        <v>1058</v>
      </c>
      <c r="K2455">
        <v>1920</v>
      </c>
      <c r="L2455">
        <v>1920</v>
      </c>
      <c r="M2455" t="s">
        <v>203</v>
      </c>
      <c r="N2455" t="s">
        <v>203</v>
      </c>
      <c r="Q2455" s="2" t="str">
        <f>IF($C2455="","",IFERROR(VLOOKUP($C2455,sources!$A$2:$N$200,2,FALSE()),"?"))</f>
        <v>Map</v>
      </c>
      <c r="R2455" s="2" t="str">
        <f t="shared" si="38"/>
        <v>Map</v>
      </c>
      <c r="S2455" s="2" t="str">
        <f>IF($C2455="","",IFERROR(VLOOKUP($C2455,sources!$A$2:$N$200,9,FALSE()),"?"))</f>
        <v>Colonial power - US official</v>
      </c>
      <c r="T2455" t="s">
        <v>5692</v>
      </c>
      <c r="U2455">
        <f>IF(OR(B2455="",C2455="",T2455="Retracted",LEFT(D2455,8)="Negative"),0,IF(COUNTIFS($B$2:B2455,B2455,$C$2:C2455,C2455,$D$2:D2455,"&lt;&gt;Negative*",$T$2:T2455,"&lt;&gt;Retracted")=1,1,0))</f>
        <v>1</v>
      </c>
    </row>
    <row r="2456" spans="1:21" ht="26" x14ac:dyDescent="0.2">
      <c r="A2456" t="s">
        <v>4711</v>
      </c>
      <c r="B2456" t="s">
        <v>639</v>
      </c>
      <c r="C2456" t="s">
        <v>1514</v>
      </c>
      <c r="D2456" t="s">
        <v>1575</v>
      </c>
      <c r="E2456" t="s">
        <v>640</v>
      </c>
      <c r="F2456" t="s">
        <v>1583</v>
      </c>
      <c r="I2456" t="s">
        <v>1058</v>
      </c>
      <c r="K2456">
        <v>1920</v>
      </c>
      <c r="L2456">
        <v>1920</v>
      </c>
      <c r="M2456" t="s">
        <v>203</v>
      </c>
      <c r="N2456" t="s">
        <v>203</v>
      </c>
      <c r="Q2456" s="2" t="str">
        <f>IF($C2456="","",IFERROR(VLOOKUP($C2456,sources!$A$2:$N$200,2,FALSE()),"?"))</f>
        <v>Map</v>
      </c>
      <c r="R2456" s="2" t="str">
        <f t="shared" si="38"/>
        <v>Map</v>
      </c>
      <c r="S2456" s="2" t="str">
        <f>IF($C2456="","",IFERROR(VLOOKUP($C2456,sources!$A$2:$N$200,9,FALSE()),"?"))</f>
        <v>Colonial power - US official</v>
      </c>
      <c r="T2456" t="s">
        <v>5692</v>
      </c>
      <c r="U2456">
        <f>IF(OR(B2456="",C2456="",T2456="Retracted",LEFT(D2456,8)="Negative"),0,IF(COUNTIFS($B$2:B2456,B2456,$C$2:C2456,C2456,$D$2:D2456,"&lt;&gt;Negative*",$T$2:T2456,"&lt;&gt;Retracted")=1,1,0))</f>
        <v>1</v>
      </c>
    </row>
    <row r="2457" spans="1:21" ht="26" x14ac:dyDescent="0.2">
      <c r="A2457" t="s">
        <v>4712</v>
      </c>
      <c r="B2457" t="s">
        <v>643</v>
      </c>
      <c r="C2457" t="s">
        <v>1514</v>
      </c>
      <c r="D2457" t="s">
        <v>1575</v>
      </c>
      <c r="E2457" t="s">
        <v>644</v>
      </c>
      <c r="F2457" t="s">
        <v>1583</v>
      </c>
      <c r="I2457" t="s">
        <v>1058</v>
      </c>
      <c r="K2457">
        <v>1920</v>
      </c>
      <c r="L2457">
        <v>1920</v>
      </c>
      <c r="M2457" t="s">
        <v>203</v>
      </c>
      <c r="N2457" t="s">
        <v>203</v>
      </c>
      <c r="Q2457" s="2" t="str">
        <f>IF($C2457="","",IFERROR(VLOOKUP($C2457,sources!$A$2:$N$200,2,FALSE()),"?"))</f>
        <v>Map</v>
      </c>
      <c r="R2457" s="2" t="str">
        <f t="shared" si="38"/>
        <v>Map</v>
      </c>
      <c r="S2457" s="2" t="str">
        <f>IF($C2457="","",IFERROR(VLOOKUP($C2457,sources!$A$2:$N$200,9,FALSE()),"?"))</f>
        <v>Colonial power - US official</v>
      </c>
      <c r="T2457" t="s">
        <v>5692</v>
      </c>
      <c r="U2457">
        <f>IF(OR(B2457="",C2457="",T2457="Retracted",LEFT(D2457,8)="Negative"),0,IF(COUNTIFS($B$2:B2457,B2457,$C$2:C2457,C2457,$D$2:D2457,"&lt;&gt;Negative*",$T$2:T2457,"&lt;&gt;Retracted")=1,1,0))</f>
        <v>1</v>
      </c>
    </row>
    <row r="2458" spans="1:21" ht="26" x14ac:dyDescent="0.2">
      <c r="A2458" t="s">
        <v>4713</v>
      </c>
      <c r="B2458" t="s">
        <v>635</v>
      </c>
      <c r="C2458" t="s">
        <v>1514</v>
      </c>
      <c r="D2458" t="s">
        <v>1575</v>
      </c>
      <c r="E2458" t="s">
        <v>636</v>
      </c>
      <c r="F2458" t="s">
        <v>1583</v>
      </c>
      <c r="I2458" t="s">
        <v>1058</v>
      </c>
      <c r="K2458">
        <v>1920</v>
      </c>
      <c r="L2458">
        <v>1920</v>
      </c>
      <c r="M2458" t="s">
        <v>203</v>
      </c>
      <c r="N2458" t="s">
        <v>203</v>
      </c>
      <c r="Q2458" s="2" t="str">
        <f>IF($C2458="","",IFERROR(VLOOKUP($C2458,sources!$A$2:$N$200,2,FALSE()),"?"))</f>
        <v>Map</v>
      </c>
      <c r="R2458" s="2" t="str">
        <f t="shared" si="38"/>
        <v>Map</v>
      </c>
      <c r="S2458" s="2" t="str">
        <f>IF($C2458="","",IFERROR(VLOOKUP($C2458,sources!$A$2:$N$200,9,FALSE()),"?"))</f>
        <v>Colonial power - US official</v>
      </c>
      <c r="T2458" t="s">
        <v>5692</v>
      </c>
      <c r="U2458">
        <f>IF(OR(B2458="",C2458="",T2458="Retracted",LEFT(D2458,8)="Negative"),0,IF(COUNTIFS($B$2:B2458,B2458,$C$2:C2458,C2458,$D$2:D2458,"&lt;&gt;Negative*",$T$2:T2458,"&lt;&gt;Retracted")=1,1,0))</f>
        <v>1</v>
      </c>
    </row>
    <row r="2459" spans="1:21" ht="26" x14ac:dyDescent="0.2">
      <c r="A2459" t="s">
        <v>4714</v>
      </c>
      <c r="B2459" t="s">
        <v>429</v>
      </c>
      <c r="C2459" t="s">
        <v>1514</v>
      </c>
      <c r="D2459" t="s">
        <v>1575</v>
      </c>
      <c r="E2459" t="s">
        <v>430</v>
      </c>
      <c r="F2459" t="s">
        <v>1583</v>
      </c>
      <c r="I2459" t="s">
        <v>1058</v>
      </c>
      <c r="K2459">
        <v>1920</v>
      </c>
      <c r="L2459">
        <v>1920</v>
      </c>
      <c r="M2459" t="s">
        <v>203</v>
      </c>
      <c r="N2459" t="s">
        <v>203</v>
      </c>
      <c r="Q2459" s="2" t="str">
        <f>IF($C2459="","",IFERROR(VLOOKUP($C2459,sources!$A$2:$N$200,2,FALSE()),"?"))</f>
        <v>Map</v>
      </c>
      <c r="R2459" s="2" t="str">
        <f t="shared" si="38"/>
        <v>Map</v>
      </c>
      <c r="S2459" s="2" t="str">
        <f>IF($C2459="","",IFERROR(VLOOKUP($C2459,sources!$A$2:$N$200,9,FALSE()),"?"))</f>
        <v>Colonial power - US official</v>
      </c>
      <c r="T2459" t="s">
        <v>5692</v>
      </c>
      <c r="U2459">
        <f>IF(OR(B2459="",C2459="",T2459="Retracted",LEFT(D2459,8)="Negative"),0,IF(COUNTIFS($B$2:B2459,B2459,$C$2:C2459,C2459,$D$2:D2459,"&lt;&gt;Negative*",$T$2:T2459,"&lt;&gt;Retracted")=1,1,0))</f>
        <v>1</v>
      </c>
    </row>
    <row r="2460" spans="1:21" ht="26" x14ac:dyDescent="0.2">
      <c r="A2460" t="s">
        <v>4715</v>
      </c>
      <c r="B2460" t="s">
        <v>242</v>
      </c>
      <c r="C2460" t="s">
        <v>1514</v>
      </c>
      <c r="D2460" t="s">
        <v>1613</v>
      </c>
      <c r="E2460" t="s">
        <v>243</v>
      </c>
      <c r="F2460" t="s">
        <v>1583</v>
      </c>
      <c r="I2460" t="s">
        <v>1058</v>
      </c>
      <c r="K2460">
        <v>1920</v>
      </c>
      <c r="L2460">
        <v>1920</v>
      </c>
      <c r="M2460" t="s">
        <v>203</v>
      </c>
      <c r="N2460" t="s">
        <v>209</v>
      </c>
      <c r="Q2460" s="2" t="str">
        <f>IF($C2460="","",IFERROR(VLOOKUP($C2460,sources!$A$2:$N$200,2,FALSE()),"?"))</f>
        <v>Map</v>
      </c>
      <c r="R2460" s="2" t="str">
        <f t="shared" si="38"/>
        <v>Map</v>
      </c>
      <c r="S2460" s="2" t="str">
        <f>IF($C2460="","",IFERROR(VLOOKUP($C2460,sources!$A$2:$N$200,9,FALSE()),"?"))</f>
        <v>Colonial power - US official</v>
      </c>
      <c r="T2460" t="s">
        <v>5692</v>
      </c>
      <c r="U2460">
        <f>IF(OR(B2460="",C2460="",T2460="Retracted",LEFT(D2460,8)="Negative"),0,IF(COUNTIFS($B$2:B2460,B2460,$C$2:C2460,C2460,$D$2:D2460,"&lt;&gt;Negative*",$T$2:T2460,"&lt;&gt;Retracted")=1,1,0))</f>
        <v>0</v>
      </c>
    </row>
    <row r="2461" spans="1:21" ht="26" x14ac:dyDescent="0.2">
      <c r="A2461" t="s">
        <v>4716</v>
      </c>
      <c r="B2461" t="s">
        <v>179</v>
      </c>
      <c r="C2461" t="s">
        <v>1514</v>
      </c>
      <c r="D2461" t="s">
        <v>1613</v>
      </c>
      <c r="E2461" t="s">
        <v>180</v>
      </c>
      <c r="F2461" t="s">
        <v>1583</v>
      </c>
      <c r="I2461" t="s">
        <v>1058</v>
      </c>
      <c r="K2461">
        <v>1920</v>
      </c>
      <c r="L2461">
        <v>1920</v>
      </c>
      <c r="M2461" t="s">
        <v>203</v>
      </c>
      <c r="N2461" t="s">
        <v>209</v>
      </c>
      <c r="Q2461" s="2" t="str">
        <f>IF($C2461="","",IFERROR(VLOOKUP($C2461,sources!$A$2:$N$200,2,FALSE()),"?"))</f>
        <v>Map</v>
      </c>
      <c r="R2461" s="2" t="str">
        <f t="shared" si="38"/>
        <v>Map</v>
      </c>
      <c r="S2461" s="2" t="str">
        <f>IF($C2461="","",IFERROR(VLOOKUP($C2461,sources!$A$2:$N$200,9,FALSE()),"?"))</f>
        <v>Colonial power - US official</v>
      </c>
      <c r="T2461" t="s">
        <v>5692</v>
      </c>
      <c r="U2461">
        <f>IF(OR(B2461="",C2461="",T2461="Retracted",LEFT(D2461,8)="Negative"),0,IF(COUNTIFS($B$2:B2461,B2461,$C$2:C2461,C2461,$D$2:D2461,"&lt;&gt;Negative*",$T$2:T2461,"&lt;&gt;Retracted")=1,1,0))</f>
        <v>0</v>
      </c>
    </row>
    <row r="2462" spans="1:21" ht="26" x14ac:dyDescent="0.2">
      <c r="A2462" t="s">
        <v>4717</v>
      </c>
      <c r="B2462" t="s">
        <v>253</v>
      </c>
      <c r="C2462" t="s">
        <v>1514</v>
      </c>
      <c r="D2462" t="s">
        <v>1613</v>
      </c>
      <c r="E2462" t="s">
        <v>254</v>
      </c>
      <c r="F2462" t="s">
        <v>1583</v>
      </c>
      <c r="I2462" t="s">
        <v>1058</v>
      </c>
      <c r="K2462">
        <v>1920</v>
      </c>
      <c r="L2462">
        <v>1920</v>
      </c>
      <c r="M2462" t="s">
        <v>203</v>
      </c>
      <c r="N2462" t="s">
        <v>209</v>
      </c>
      <c r="Q2462" s="2" t="str">
        <f>IF($C2462="","",IFERROR(VLOOKUP($C2462,sources!$A$2:$N$200,2,FALSE()),"?"))</f>
        <v>Map</v>
      </c>
      <c r="R2462" s="2" t="str">
        <f t="shared" si="38"/>
        <v>Map</v>
      </c>
      <c r="S2462" s="2" t="str">
        <f>IF($C2462="","",IFERROR(VLOOKUP($C2462,sources!$A$2:$N$200,9,FALSE()),"?"))</f>
        <v>Colonial power - US official</v>
      </c>
      <c r="T2462" t="s">
        <v>5692</v>
      </c>
      <c r="U2462">
        <f>IF(OR(B2462="",C2462="",T2462="Retracted",LEFT(D2462,8)="Negative"),0,IF(COUNTIFS($B$2:B2462,B2462,$C$2:C2462,C2462,$D$2:D2462,"&lt;&gt;Negative*",$T$2:T2462,"&lt;&gt;Retracted")=1,1,0))</f>
        <v>0</v>
      </c>
    </row>
    <row r="2463" spans="1:21" ht="26" x14ac:dyDescent="0.2">
      <c r="A2463" t="s">
        <v>4718</v>
      </c>
      <c r="B2463" t="s">
        <v>363</v>
      </c>
      <c r="C2463" t="s">
        <v>1514</v>
      </c>
      <c r="D2463" t="s">
        <v>1613</v>
      </c>
      <c r="E2463" t="s">
        <v>1654</v>
      </c>
      <c r="F2463" t="s">
        <v>1583</v>
      </c>
      <c r="I2463" t="s">
        <v>1058</v>
      </c>
      <c r="K2463">
        <v>1920</v>
      </c>
      <c r="L2463">
        <v>1920</v>
      </c>
      <c r="M2463" t="s">
        <v>203</v>
      </c>
      <c r="N2463" t="s">
        <v>209</v>
      </c>
      <c r="Q2463" s="2" t="str">
        <f>IF($C2463="","",IFERROR(VLOOKUP($C2463,sources!$A$2:$N$200,2,FALSE()),"?"))</f>
        <v>Map</v>
      </c>
      <c r="R2463" s="2" t="str">
        <f t="shared" si="38"/>
        <v>Map</v>
      </c>
      <c r="S2463" s="2" t="str">
        <f>IF($C2463="","",IFERROR(VLOOKUP($C2463,sources!$A$2:$N$200,9,FALSE()),"?"))</f>
        <v>Colonial power - US official</v>
      </c>
      <c r="T2463" t="s">
        <v>5692</v>
      </c>
      <c r="U2463">
        <f>IF(OR(B2463="",C2463="",T2463="Retracted",LEFT(D2463,8)="Negative"),0,IF(COUNTIFS($B$2:B2463,B2463,$C$2:C2463,C2463,$D$2:D2463,"&lt;&gt;Negative*",$T$2:T2463,"&lt;&gt;Retracted")=1,1,0))</f>
        <v>0</v>
      </c>
    </row>
    <row r="2464" spans="1:21" ht="26" x14ac:dyDescent="0.2">
      <c r="A2464" t="s">
        <v>4719</v>
      </c>
      <c r="B2464" t="s">
        <v>395</v>
      </c>
      <c r="C2464" t="s">
        <v>1514</v>
      </c>
      <c r="D2464" t="s">
        <v>1613</v>
      </c>
      <c r="E2464" t="s">
        <v>396</v>
      </c>
      <c r="F2464" t="s">
        <v>1583</v>
      </c>
      <c r="I2464" t="s">
        <v>1058</v>
      </c>
      <c r="K2464">
        <v>1920</v>
      </c>
      <c r="L2464">
        <v>1920</v>
      </c>
      <c r="M2464" t="s">
        <v>203</v>
      </c>
      <c r="N2464" t="s">
        <v>209</v>
      </c>
      <c r="Q2464" s="2" t="str">
        <f>IF($C2464="","",IFERROR(VLOOKUP($C2464,sources!$A$2:$N$200,2,FALSE()),"?"))</f>
        <v>Map</v>
      </c>
      <c r="R2464" s="2" t="str">
        <f t="shared" si="38"/>
        <v>Map</v>
      </c>
      <c r="S2464" s="2" t="str">
        <f>IF($C2464="","",IFERROR(VLOOKUP($C2464,sources!$A$2:$N$200,9,FALSE()),"?"))</f>
        <v>Colonial power - US official</v>
      </c>
      <c r="T2464" t="s">
        <v>5692</v>
      </c>
      <c r="U2464">
        <f>IF(OR(B2464="",C2464="",T2464="Retracted",LEFT(D2464,8)="Negative"),0,IF(COUNTIFS($B$2:B2464,B2464,$C$2:C2464,C2464,$D$2:D2464,"&lt;&gt;Negative*",$T$2:T2464,"&lt;&gt;Retracted")=1,1,0))</f>
        <v>0</v>
      </c>
    </row>
    <row r="2465" spans="1:21" ht="26" x14ac:dyDescent="0.2">
      <c r="A2465" t="s">
        <v>4720</v>
      </c>
      <c r="B2465" t="s">
        <v>265</v>
      </c>
      <c r="C2465" t="s">
        <v>1514</v>
      </c>
      <c r="D2465" t="s">
        <v>1613</v>
      </c>
      <c r="E2465" t="s">
        <v>266</v>
      </c>
      <c r="F2465" t="s">
        <v>1583</v>
      </c>
      <c r="I2465" t="s">
        <v>1058</v>
      </c>
      <c r="K2465">
        <v>1920</v>
      </c>
      <c r="L2465">
        <v>1920</v>
      </c>
      <c r="M2465" t="s">
        <v>203</v>
      </c>
      <c r="N2465" t="s">
        <v>209</v>
      </c>
      <c r="Q2465" s="2" t="str">
        <f>IF($C2465="","",IFERROR(VLOOKUP($C2465,sources!$A$2:$N$200,2,FALSE()),"?"))</f>
        <v>Map</v>
      </c>
      <c r="R2465" s="2" t="str">
        <f t="shared" si="38"/>
        <v>Map</v>
      </c>
      <c r="S2465" s="2" t="str">
        <f>IF($C2465="","",IFERROR(VLOOKUP($C2465,sources!$A$2:$N$200,9,FALSE()),"?"))</f>
        <v>Colonial power - US official</v>
      </c>
      <c r="T2465" t="s">
        <v>5692</v>
      </c>
      <c r="U2465">
        <f>IF(OR(B2465="",C2465="",T2465="Retracted",LEFT(D2465,8)="Negative"),0,IF(COUNTIFS($B$2:B2465,B2465,$C$2:C2465,C2465,$D$2:D2465,"&lt;&gt;Negative*",$T$2:T2465,"&lt;&gt;Retracted")=1,1,0))</f>
        <v>0</v>
      </c>
    </row>
    <row r="2466" spans="1:21" ht="26" x14ac:dyDescent="0.2">
      <c r="A2466" t="s">
        <v>4721</v>
      </c>
      <c r="B2466" t="s">
        <v>360</v>
      </c>
      <c r="C2466" t="s">
        <v>1514</v>
      </c>
      <c r="D2466" t="s">
        <v>1613</v>
      </c>
      <c r="E2466" t="s">
        <v>361</v>
      </c>
      <c r="F2466" t="s">
        <v>1583</v>
      </c>
      <c r="I2466" t="s">
        <v>1058</v>
      </c>
      <c r="K2466">
        <v>1920</v>
      </c>
      <c r="L2466">
        <v>1920</v>
      </c>
      <c r="M2466" t="s">
        <v>203</v>
      </c>
      <c r="N2466" t="s">
        <v>209</v>
      </c>
      <c r="Q2466" s="2" t="str">
        <f>IF($C2466="","",IFERROR(VLOOKUP($C2466,sources!$A$2:$N$200,2,FALSE()),"?"))</f>
        <v>Map</v>
      </c>
      <c r="R2466" s="2" t="str">
        <f t="shared" si="38"/>
        <v>Map</v>
      </c>
      <c r="S2466" s="2" t="str">
        <f>IF($C2466="","",IFERROR(VLOOKUP($C2466,sources!$A$2:$N$200,9,FALSE()),"?"))</f>
        <v>Colonial power - US official</v>
      </c>
      <c r="T2466" t="s">
        <v>5692</v>
      </c>
      <c r="U2466">
        <f>IF(OR(B2466="",C2466="",T2466="Retracted",LEFT(D2466,8)="Negative"),0,IF(COUNTIFS($B$2:B2466,B2466,$C$2:C2466,C2466,$D$2:D2466,"&lt;&gt;Negative*",$T$2:T2466,"&lt;&gt;Retracted")=1,1,0))</f>
        <v>0</v>
      </c>
    </row>
    <row r="2467" spans="1:21" ht="26" x14ac:dyDescent="0.2">
      <c r="A2467" t="s">
        <v>4722</v>
      </c>
      <c r="B2467" t="s">
        <v>433</v>
      </c>
      <c r="C2467" t="s">
        <v>1514</v>
      </c>
      <c r="D2467" t="s">
        <v>1613</v>
      </c>
      <c r="E2467" t="s">
        <v>434</v>
      </c>
      <c r="F2467" t="s">
        <v>1583</v>
      </c>
      <c r="I2467" t="s">
        <v>1058</v>
      </c>
      <c r="K2467">
        <v>1920</v>
      </c>
      <c r="L2467">
        <v>1920</v>
      </c>
      <c r="M2467" t="s">
        <v>203</v>
      </c>
      <c r="N2467" t="s">
        <v>209</v>
      </c>
      <c r="Q2467" s="2" t="str">
        <f>IF($C2467="","",IFERROR(VLOOKUP($C2467,sources!$A$2:$N$200,2,FALSE()),"?"))</f>
        <v>Map</v>
      </c>
      <c r="R2467" s="2" t="str">
        <f t="shared" si="38"/>
        <v>Map</v>
      </c>
      <c r="S2467" s="2" t="str">
        <f>IF($C2467="","",IFERROR(VLOOKUP($C2467,sources!$A$2:$N$200,9,FALSE()),"?"))</f>
        <v>Colonial power - US official</v>
      </c>
      <c r="T2467" t="s">
        <v>5692</v>
      </c>
      <c r="U2467">
        <f>IF(OR(B2467="",C2467="",T2467="Retracted",LEFT(D2467,8)="Negative"),0,IF(COUNTIFS($B$2:B2467,B2467,$C$2:C2467,C2467,$D$2:D2467,"&lt;&gt;Negative*",$T$2:T2467,"&lt;&gt;Retracted")=1,1,0))</f>
        <v>0</v>
      </c>
    </row>
    <row r="2468" spans="1:21" ht="26" x14ac:dyDescent="0.2">
      <c r="A2468" t="s">
        <v>4723</v>
      </c>
      <c r="B2468" t="s">
        <v>456</v>
      </c>
      <c r="C2468" t="s">
        <v>1514</v>
      </c>
      <c r="D2468" t="s">
        <v>1575</v>
      </c>
      <c r="E2468" t="s">
        <v>457</v>
      </c>
      <c r="F2468" t="s">
        <v>1583</v>
      </c>
      <c r="I2468" t="s">
        <v>1058</v>
      </c>
      <c r="K2468">
        <v>1920</v>
      </c>
      <c r="L2468">
        <v>1920</v>
      </c>
      <c r="M2468" t="s">
        <v>203</v>
      </c>
      <c r="N2468" t="s">
        <v>203</v>
      </c>
      <c r="Q2468" s="2" t="str">
        <f>IF($C2468="","",IFERROR(VLOOKUP($C2468,sources!$A$2:$N$200,2,FALSE()),"?"))</f>
        <v>Map</v>
      </c>
      <c r="R2468" s="2" t="str">
        <f t="shared" si="38"/>
        <v>Map</v>
      </c>
      <c r="S2468" s="2" t="str">
        <f>IF($C2468="","",IFERROR(VLOOKUP($C2468,sources!$A$2:$N$200,9,FALSE()),"?"))</f>
        <v>Colonial power - US official</v>
      </c>
      <c r="T2468" t="s">
        <v>5692</v>
      </c>
      <c r="U2468">
        <f>IF(OR(B2468="",C2468="",T2468="Retracted",LEFT(D2468,8)="Negative"),0,IF(COUNTIFS($B$2:B2468,B2468,$C$2:C2468,C2468,$D$2:D2468,"&lt;&gt;Negative*",$T$2:T2468,"&lt;&gt;Retracted")=1,1,0))</f>
        <v>1</v>
      </c>
    </row>
    <row r="2469" spans="1:21" ht="26" x14ac:dyDescent="0.2">
      <c r="A2469" t="s">
        <v>4724</v>
      </c>
      <c r="B2469" t="s">
        <v>510</v>
      </c>
      <c r="C2469" t="s">
        <v>1514</v>
      </c>
      <c r="D2469" t="s">
        <v>1564</v>
      </c>
      <c r="E2469" t="s">
        <v>4725</v>
      </c>
      <c r="F2469" t="s">
        <v>1583</v>
      </c>
      <c r="I2469" t="s">
        <v>1058</v>
      </c>
      <c r="K2469">
        <v>1920</v>
      </c>
      <c r="L2469">
        <v>1920</v>
      </c>
      <c r="M2469" t="s">
        <v>203</v>
      </c>
      <c r="N2469" t="s">
        <v>203</v>
      </c>
      <c r="Q2469" s="2" t="str">
        <f>IF($C2469="","",IFERROR(VLOOKUP($C2469,sources!$A$2:$N$200,2,FALSE()),"?"))</f>
        <v>Map</v>
      </c>
      <c r="R2469" s="2" t="str">
        <f t="shared" si="38"/>
        <v>Map</v>
      </c>
      <c r="S2469" s="2" t="str">
        <f>IF($C2469="","",IFERROR(VLOOKUP($C2469,sources!$A$2:$N$200,9,FALSE()),"?"))</f>
        <v>Colonial power - US official</v>
      </c>
      <c r="T2469" t="s">
        <v>5692</v>
      </c>
      <c r="U2469">
        <f>IF(OR(B2469="",C2469="",T2469="Retracted",LEFT(D2469,8)="Negative"),0,IF(COUNTIFS($B$2:B2469,B2469,$C$2:C2469,C2469,$D$2:D2469,"&lt;&gt;Negative*",$T$2:T2469,"&lt;&gt;Retracted")=1,1,0))</f>
        <v>1</v>
      </c>
    </row>
    <row r="2470" spans="1:21" ht="26" x14ac:dyDescent="0.2">
      <c r="A2470" t="s">
        <v>4726</v>
      </c>
      <c r="B2470" t="s">
        <v>461</v>
      </c>
      <c r="C2470" t="s">
        <v>1514</v>
      </c>
      <c r="D2470" t="s">
        <v>1613</v>
      </c>
      <c r="E2470" t="s">
        <v>462</v>
      </c>
      <c r="F2470" t="s">
        <v>1583</v>
      </c>
      <c r="I2470" t="s">
        <v>1058</v>
      </c>
      <c r="K2470">
        <v>1920</v>
      </c>
      <c r="L2470">
        <v>1920</v>
      </c>
      <c r="M2470" t="s">
        <v>203</v>
      </c>
      <c r="N2470" t="s">
        <v>209</v>
      </c>
      <c r="Q2470" s="2" t="str">
        <f>IF($C2470="","",IFERROR(VLOOKUP($C2470,sources!$A$2:$N$200,2,FALSE()),"?"))</f>
        <v>Map</v>
      </c>
      <c r="R2470" s="2" t="str">
        <f t="shared" si="38"/>
        <v>Map</v>
      </c>
      <c r="S2470" s="2" t="str">
        <f>IF($C2470="","",IFERROR(VLOOKUP($C2470,sources!$A$2:$N$200,9,FALSE()),"?"))</f>
        <v>Colonial power - US official</v>
      </c>
      <c r="T2470" t="s">
        <v>5692</v>
      </c>
      <c r="U2470">
        <f>IF(OR(B2470="",C2470="",T2470="Retracted",LEFT(D2470,8)="Negative"),0,IF(COUNTIFS($B$2:B2470,B2470,$C$2:C2470,C2470,$D$2:D2470,"&lt;&gt;Negative*",$T$2:T2470,"&lt;&gt;Retracted")=1,1,0))</f>
        <v>0</v>
      </c>
    </row>
    <row r="2471" spans="1:21" ht="26" x14ac:dyDescent="0.2">
      <c r="A2471" t="s">
        <v>4727</v>
      </c>
      <c r="B2471" t="s">
        <v>786</v>
      </c>
      <c r="C2471" t="s">
        <v>1514</v>
      </c>
      <c r="D2471" t="s">
        <v>1613</v>
      </c>
      <c r="E2471" t="s">
        <v>787</v>
      </c>
      <c r="F2471" t="s">
        <v>1583</v>
      </c>
      <c r="I2471" t="s">
        <v>1058</v>
      </c>
      <c r="K2471">
        <v>1920</v>
      </c>
      <c r="L2471">
        <v>1920</v>
      </c>
      <c r="M2471" t="s">
        <v>203</v>
      </c>
      <c r="N2471" t="s">
        <v>203</v>
      </c>
      <c r="Q2471" s="2" t="str">
        <f>IF($C2471="","",IFERROR(VLOOKUP($C2471,sources!$A$2:$N$200,2,FALSE()),"?"))</f>
        <v>Map</v>
      </c>
      <c r="R2471" s="2" t="str">
        <f t="shared" si="38"/>
        <v>Map</v>
      </c>
      <c r="S2471" s="2" t="str">
        <f>IF($C2471="","",IFERROR(VLOOKUP($C2471,sources!$A$2:$N$200,9,FALSE()),"?"))</f>
        <v>Colonial power - US official</v>
      </c>
      <c r="T2471" t="s">
        <v>5692</v>
      </c>
      <c r="U2471">
        <f>IF(OR(B2471="",C2471="",T2471="Retracted",LEFT(D2471,8)="Negative"),0,IF(COUNTIFS($B$2:B2471,B2471,$C$2:C2471,C2471,$D$2:D2471,"&lt;&gt;Negative*",$T$2:T2471,"&lt;&gt;Retracted")=1,1,0))</f>
        <v>0</v>
      </c>
    </row>
    <row r="2472" spans="1:21" ht="26" x14ac:dyDescent="0.2">
      <c r="A2472" t="s">
        <v>4728</v>
      </c>
      <c r="B2472" t="s">
        <v>994</v>
      </c>
      <c r="C2472" t="s">
        <v>1514</v>
      </c>
      <c r="D2472" t="s">
        <v>1613</v>
      </c>
      <c r="E2472" t="s">
        <v>995</v>
      </c>
      <c r="F2472" t="s">
        <v>1583</v>
      </c>
      <c r="I2472" t="s">
        <v>1058</v>
      </c>
      <c r="K2472">
        <v>1920</v>
      </c>
      <c r="L2472">
        <v>1920</v>
      </c>
      <c r="M2472" t="s">
        <v>190</v>
      </c>
      <c r="N2472" t="s">
        <v>190</v>
      </c>
      <c r="Q2472" s="2" t="str">
        <f>IF($C2472="","",IFERROR(VLOOKUP($C2472,sources!$A$2:$N$200,2,FALSE()),"?"))</f>
        <v>Map</v>
      </c>
      <c r="R2472" s="2" t="str">
        <f t="shared" si="38"/>
        <v>Map</v>
      </c>
      <c r="S2472" s="2" t="str">
        <f>IF($C2472="","",IFERROR(VLOOKUP($C2472,sources!$A$2:$N$200,9,FALSE()),"?"))</f>
        <v>Colonial power - US official</v>
      </c>
      <c r="T2472" t="s">
        <v>5692</v>
      </c>
      <c r="U2472">
        <f>IF(OR(B2472="",C2472="",T2472="Retracted",LEFT(D2472,8)="Negative"),0,IF(COUNTIFS($B$2:B2472,B2472,$C$2:C2472,C2472,$D$2:D2472,"&lt;&gt;Negative*",$T$2:T2472,"&lt;&gt;Retracted")=1,1,0))</f>
        <v>0</v>
      </c>
    </row>
    <row r="2473" spans="1:21" ht="52" x14ac:dyDescent="0.2">
      <c r="A2473" t="s">
        <v>4729</v>
      </c>
      <c r="B2473" t="s">
        <v>639</v>
      </c>
      <c r="C2473" t="s">
        <v>1530</v>
      </c>
      <c r="D2473" t="s">
        <v>1613</v>
      </c>
      <c r="E2473" t="s">
        <v>4730</v>
      </c>
      <c r="F2473" t="s">
        <v>1583</v>
      </c>
      <c r="I2473" t="s">
        <v>1058</v>
      </c>
      <c r="K2473">
        <v>1934</v>
      </c>
      <c r="L2473">
        <v>1934</v>
      </c>
      <c r="M2473" t="s">
        <v>209</v>
      </c>
      <c r="N2473" t="s">
        <v>190</v>
      </c>
      <c r="Q2473" s="2" t="str">
        <f>IF($C2473="","",IFERROR(VLOOKUP($C2473,sources!$A$2:$N$200,2,FALSE()),"?"))</f>
        <v>Map</v>
      </c>
      <c r="R2473" s="2" t="str">
        <f t="shared" si="38"/>
        <v>Map</v>
      </c>
      <c r="S2473" s="2" t="str">
        <f>IF($C2473="","",IFERROR(VLOOKUP($C2473,sources!$A$2:$N$200,9,FALSE()),"?"))</f>
        <v>Colonial power - US official (memory cartography)</v>
      </c>
      <c r="T2473" t="s">
        <v>5692</v>
      </c>
      <c r="U2473">
        <f>IF(OR(B2473="",C2473="",T2473="Retracted",LEFT(D2473,8)="Negative"),0,IF(COUNTIFS($B$2:B2473,B2473,$C$2:C2473,C2473,$D$2:D2473,"&lt;&gt;Negative*",$T$2:T2473,"&lt;&gt;Retracted")=1,1,0))</f>
        <v>0</v>
      </c>
    </row>
    <row r="2474" spans="1:21" ht="52" x14ac:dyDescent="0.2">
      <c r="A2474" t="s">
        <v>4731</v>
      </c>
      <c r="B2474" t="s">
        <v>199</v>
      </c>
      <c r="C2474" t="s">
        <v>1530</v>
      </c>
      <c r="D2474" t="s">
        <v>1575</v>
      </c>
      <c r="E2474" t="s">
        <v>4732</v>
      </c>
      <c r="F2474" t="s">
        <v>1583</v>
      </c>
      <c r="I2474" t="s">
        <v>1058</v>
      </c>
      <c r="M2474" t="s">
        <v>190</v>
      </c>
      <c r="N2474" t="s">
        <v>203</v>
      </c>
      <c r="Q2474" s="2" t="str">
        <f>IF($C2474="","",IFERROR(VLOOKUP($C2474,sources!$A$2:$N$200,2,FALSE()),"?"))</f>
        <v>Map</v>
      </c>
      <c r="R2474" s="2" t="str">
        <f t="shared" si="38"/>
        <v>Map</v>
      </c>
      <c r="S2474" s="2" t="str">
        <f>IF($C2474="","",IFERROR(VLOOKUP($C2474,sources!$A$2:$N$200,9,FALSE()),"?"))</f>
        <v>Colonial power - US official (memory cartography)</v>
      </c>
      <c r="T2474" t="s">
        <v>5692</v>
      </c>
      <c r="U2474">
        <f>IF(OR(B2474="",C2474="",T2474="Retracted",LEFT(D2474,8)="Negative"),0,IF(COUNTIFS($B$2:B2474,B2474,$C$2:C2474,C2474,$D$2:D2474,"&lt;&gt;Negative*",$T$2:T2474,"&lt;&gt;Retracted")=1,1,0))</f>
        <v>1</v>
      </c>
    </row>
    <row r="2475" spans="1:21" x14ac:dyDescent="0.2">
      <c r="A2475" t="s">
        <v>4733</v>
      </c>
      <c r="B2475" t="s">
        <v>773</v>
      </c>
      <c r="C2475" t="s">
        <v>1445</v>
      </c>
      <c r="D2475" t="s">
        <v>1613</v>
      </c>
      <c r="E2475" t="s">
        <v>3208</v>
      </c>
      <c r="F2475" t="s">
        <v>1583</v>
      </c>
      <c r="I2475" t="s">
        <v>1058</v>
      </c>
      <c r="M2475" t="s">
        <v>190</v>
      </c>
      <c r="N2475" t="s">
        <v>209</v>
      </c>
      <c r="Q2475" s="2" t="str">
        <f>IF($C2475="","",IFERROR(VLOOKUP($C2475,sources!$A$2:$N$200,2,FALSE()),"?"))</f>
        <v>Newspaper</v>
      </c>
      <c r="R2475" s="2" t="str">
        <f t="shared" si="38"/>
        <v>Textual</v>
      </c>
      <c r="S2475" s="2" t="str">
        <f>IF($C2475="","",IFERROR(VLOOKUP($C2475,sources!$A$2:$N$200,9,FALSE()),"?"))</f>
        <v>Panamanian</v>
      </c>
      <c r="T2475" t="s">
        <v>5692</v>
      </c>
      <c r="U2475">
        <f>IF(OR(B2475="",C2475="",T2475="Retracted",LEFT(D2475,8)="Negative"),0,IF(COUNTIFS($B$2:B2475,B2475,$C$2:C2475,C2475,$D$2:D2475,"&lt;&gt;Negative*",$T$2:T2475,"&lt;&gt;Retracted")=1,1,0))</f>
        <v>0</v>
      </c>
    </row>
    <row r="2476" spans="1:21" x14ac:dyDescent="0.2">
      <c r="A2476" t="s">
        <v>4734</v>
      </c>
      <c r="B2476" t="s">
        <v>776</v>
      </c>
      <c r="C2476" t="s">
        <v>1445</v>
      </c>
      <c r="D2476" t="s">
        <v>1575</v>
      </c>
      <c r="E2476" t="s">
        <v>777</v>
      </c>
      <c r="F2476" t="s">
        <v>1583</v>
      </c>
      <c r="I2476" t="s">
        <v>1058</v>
      </c>
      <c r="K2476">
        <v>1907</v>
      </c>
      <c r="L2476">
        <v>1907</v>
      </c>
      <c r="M2476" t="s">
        <v>209</v>
      </c>
      <c r="N2476" t="s">
        <v>203</v>
      </c>
      <c r="Q2476" s="2" t="str">
        <f>IF($C2476="","",IFERROR(VLOOKUP($C2476,sources!$A$2:$N$200,2,FALSE()),"?"))</f>
        <v>Newspaper</v>
      </c>
      <c r="R2476" s="2" t="str">
        <f t="shared" si="38"/>
        <v>Textual</v>
      </c>
      <c r="S2476" s="2" t="str">
        <f>IF($C2476="","",IFERROR(VLOOKUP($C2476,sources!$A$2:$N$200,9,FALSE()),"?"))</f>
        <v>Panamanian</v>
      </c>
      <c r="T2476" t="s">
        <v>5692</v>
      </c>
      <c r="U2476">
        <f>IF(OR(B2476="",C2476="",T2476="Retracted",LEFT(D2476,8)="Negative"),0,IF(COUNTIFS($B$2:B2476,B2476,$C$2:C2476,C2476,$D$2:D2476,"&lt;&gt;Negative*",$T$2:T2476,"&lt;&gt;Retracted")=1,1,0))</f>
        <v>1</v>
      </c>
    </row>
    <row r="2477" spans="1:21" x14ac:dyDescent="0.2">
      <c r="A2477" t="s">
        <v>4735</v>
      </c>
      <c r="B2477" t="s">
        <v>783</v>
      </c>
      <c r="C2477" t="s">
        <v>1445</v>
      </c>
      <c r="D2477" t="s">
        <v>1613</v>
      </c>
      <c r="E2477" t="s">
        <v>784</v>
      </c>
      <c r="F2477" t="s">
        <v>1583</v>
      </c>
      <c r="I2477" t="s">
        <v>1058</v>
      </c>
      <c r="M2477" t="s">
        <v>190</v>
      </c>
      <c r="N2477" t="s">
        <v>209</v>
      </c>
      <c r="Q2477" s="2" t="str">
        <f>IF($C2477="","",IFERROR(VLOOKUP($C2477,sources!$A$2:$N$200,2,FALSE()),"?"))</f>
        <v>Newspaper</v>
      </c>
      <c r="R2477" s="2" t="str">
        <f t="shared" si="38"/>
        <v>Textual</v>
      </c>
      <c r="S2477" s="2" t="str">
        <f>IF($C2477="","",IFERROR(VLOOKUP($C2477,sources!$A$2:$N$200,9,FALSE()),"?"))</f>
        <v>Panamanian</v>
      </c>
      <c r="T2477" t="s">
        <v>5692</v>
      </c>
      <c r="U2477">
        <f>IF(OR(B2477="",C2477="",T2477="Retracted",LEFT(D2477,8)="Negative"),0,IF(COUNTIFS($B$2:B2477,B2477,$C$2:C2477,C2477,$D$2:D2477,"&lt;&gt;Negative*",$T$2:T2477,"&lt;&gt;Retracted")=1,1,0))</f>
        <v>0</v>
      </c>
    </row>
    <row r="2478" spans="1:21" x14ac:dyDescent="0.2">
      <c r="A2478" t="s">
        <v>4736</v>
      </c>
      <c r="B2478" t="s">
        <v>791</v>
      </c>
      <c r="C2478" t="s">
        <v>1445</v>
      </c>
      <c r="D2478" t="s">
        <v>1575</v>
      </c>
      <c r="E2478" t="s">
        <v>4737</v>
      </c>
      <c r="F2478" t="s">
        <v>1583</v>
      </c>
      <c r="I2478" t="s">
        <v>1058</v>
      </c>
      <c r="M2478" t="s">
        <v>190</v>
      </c>
      <c r="N2478" t="s">
        <v>190</v>
      </c>
      <c r="Q2478" s="2" t="str">
        <f>IF($C2478="","",IFERROR(VLOOKUP($C2478,sources!$A$2:$N$200,2,FALSE()),"?"))</f>
        <v>Newspaper</v>
      </c>
      <c r="R2478" s="2" t="str">
        <f t="shared" si="38"/>
        <v>Textual</v>
      </c>
      <c r="S2478" s="2" t="str">
        <f>IF($C2478="","",IFERROR(VLOOKUP($C2478,sources!$A$2:$N$200,9,FALSE()),"?"))</f>
        <v>Panamanian</v>
      </c>
      <c r="T2478" t="s">
        <v>5692</v>
      </c>
      <c r="U2478">
        <f>IF(OR(B2478="",C2478="",T2478="Retracted",LEFT(D2478,8)="Negative"),0,IF(COUNTIFS($B$2:B2478,B2478,$C$2:C2478,C2478,$D$2:D2478,"&lt;&gt;Negative*",$T$2:T2478,"&lt;&gt;Retracted")=1,1,0))</f>
        <v>1</v>
      </c>
    </row>
    <row r="2479" spans="1:21" x14ac:dyDescent="0.2">
      <c r="A2479" t="s">
        <v>4738</v>
      </c>
      <c r="B2479" t="s">
        <v>796</v>
      </c>
      <c r="C2479" t="s">
        <v>1445</v>
      </c>
      <c r="D2479" t="s">
        <v>1613</v>
      </c>
      <c r="E2479" t="s">
        <v>4319</v>
      </c>
      <c r="F2479" t="s">
        <v>1583</v>
      </c>
      <c r="I2479" t="s">
        <v>1058</v>
      </c>
      <c r="M2479" t="s">
        <v>190</v>
      </c>
      <c r="N2479" t="s">
        <v>209</v>
      </c>
      <c r="Q2479" s="2" t="str">
        <f>IF($C2479="","",IFERROR(VLOOKUP($C2479,sources!$A$2:$N$200,2,FALSE()),"?"))</f>
        <v>Newspaper</v>
      </c>
      <c r="R2479" s="2" t="str">
        <f t="shared" si="38"/>
        <v>Textual</v>
      </c>
      <c r="S2479" s="2" t="str">
        <f>IF($C2479="","",IFERROR(VLOOKUP($C2479,sources!$A$2:$N$200,9,FALSE()),"?"))</f>
        <v>Panamanian</v>
      </c>
      <c r="T2479" t="s">
        <v>5692</v>
      </c>
      <c r="U2479">
        <f>IF(OR(B2479="",C2479="",T2479="Retracted",LEFT(D2479,8)="Negative"),0,IF(COUNTIFS($B$2:B2479,B2479,$C$2:C2479,C2479,$D$2:D2479,"&lt;&gt;Negative*",$T$2:T2479,"&lt;&gt;Retracted")=1,1,0))</f>
        <v>0</v>
      </c>
    </row>
    <row r="2480" spans="1:21" x14ac:dyDescent="0.2">
      <c r="A2480" t="s">
        <v>4739</v>
      </c>
      <c r="B2480" t="s">
        <v>801</v>
      </c>
      <c r="C2480" t="s">
        <v>1445</v>
      </c>
      <c r="D2480" t="s">
        <v>1575</v>
      </c>
      <c r="E2480" t="s">
        <v>4740</v>
      </c>
      <c r="F2480" t="s">
        <v>1583</v>
      </c>
      <c r="I2480" t="s">
        <v>1058</v>
      </c>
      <c r="K2480">
        <v>1904</v>
      </c>
      <c r="L2480">
        <v>1904</v>
      </c>
      <c r="M2480" t="s">
        <v>209</v>
      </c>
      <c r="N2480" t="s">
        <v>203</v>
      </c>
      <c r="Q2480" s="2" t="str">
        <f>IF($C2480="","",IFERROR(VLOOKUP($C2480,sources!$A$2:$N$200,2,FALSE()),"?"))</f>
        <v>Newspaper</v>
      </c>
      <c r="R2480" s="2" t="str">
        <f t="shared" si="38"/>
        <v>Textual</v>
      </c>
      <c r="S2480" s="2" t="str">
        <f>IF($C2480="","",IFERROR(VLOOKUP($C2480,sources!$A$2:$N$200,9,FALSE()),"?"))</f>
        <v>Panamanian</v>
      </c>
      <c r="T2480" t="s">
        <v>5692</v>
      </c>
      <c r="U2480">
        <f>IF(OR(B2480="",C2480="",T2480="Retracted",LEFT(D2480,8)="Negative"),0,IF(COUNTIFS($B$2:B2480,B2480,$C$2:C2480,C2480,$D$2:D2480,"&lt;&gt;Negative*",$T$2:T2480,"&lt;&gt;Retracted")=1,1,0))</f>
        <v>1</v>
      </c>
    </row>
    <row r="2481" spans="1:21" x14ac:dyDescent="0.2">
      <c r="A2481" t="s">
        <v>4741</v>
      </c>
      <c r="B2481" t="s">
        <v>805</v>
      </c>
      <c r="C2481" t="s">
        <v>1445</v>
      </c>
      <c r="D2481" t="s">
        <v>1575</v>
      </c>
      <c r="E2481" t="s">
        <v>806</v>
      </c>
      <c r="F2481" t="s">
        <v>1583</v>
      </c>
      <c r="I2481" t="s">
        <v>1058</v>
      </c>
      <c r="K2481">
        <v>1909</v>
      </c>
      <c r="L2481">
        <v>1909</v>
      </c>
      <c r="M2481" t="s">
        <v>209</v>
      </c>
      <c r="N2481" t="s">
        <v>203</v>
      </c>
      <c r="Q2481" s="2" t="str">
        <f>IF($C2481="","",IFERROR(VLOOKUP($C2481,sources!$A$2:$N$200,2,FALSE()),"?"))</f>
        <v>Newspaper</v>
      </c>
      <c r="R2481" s="2" t="str">
        <f t="shared" si="38"/>
        <v>Textual</v>
      </c>
      <c r="S2481" s="2" t="str">
        <f>IF($C2481="","",IFERROR(VLOOKUP($C2481,sources!$A$2:$N$200,9,FALSE()),"?"))</f>
        <v>Panamanian</v>
      </c>
      <c r="T2481" t="s">
        <v>5692</v>
      </c>
      <c r="U2481">
        <f>IF(OR(B2481="",C2481="",T2481="Retracted",LEFT(D2481,8)="Negative"),0,IF(COUNTIFS($B$2:B2481,B2481,$C$2:C2481,C2481,$D$2:D2481,"&lt;&gt;Negative*",$T$2:T2481,"&lt;&gt;Retracted")=1,1,0))</f>
        <v>1</v>
      </c>
    </row>
    <row r="2482" spans="1:21" x14ac:dyDescent="0.2">
      <c r="A2482" t="s">
        <v>4742</v>
      </c>
      <c r="B2482" t="s">
        <v>808</v>
      </c>
      <c r="C2482" t="s">
        <v>1445</v>
      </c>
      <c r="D2482" t="s">
        <v>1575</v>
      </c>
      <c r="E2482" t="s">
        <v>3400</v>
      </c>
      <c r="F2482" t="s">
        <v>1583</v>
      </c>
      <c r="I2482" t="s">
        <v>1058</v>
      </c>
      <c r="K2482">
        <v>1911</v>
      </c>
      <c r="L2482">
        <v>1911</v>
      </c>
      <c r="M2482" t="s">
        <v>209</v>
      </c>
      <c r="N2482" t="s">
        <v>203</v>
      </c>
      <c r="Q2482" s="2" t="str">
        <f>IF($C2482="","",IFERROR(VLOOKUP($C2482,sources!$A$2:$N$200,2,FALSE()),"?"))</f>
        <v>Newspaper</v>
      </c>
      <c r="R2482" s="2" t="str">
        <f t="shared" si="38"/>
        <v>Textual</v>
      </c>
      <c r="S2482" s="2" t="str">
        <f>IF($C2482="","",IFERROR(VLOOKUP($C2482,sources!$A$2:$N$200,9,FALSE()),"?"))</f>
        <v>Panamanian</v>
      </c>
      <c r="T2482" t="s">
        <v>5692</v>
      </c>
      <c r="U2482">
        <f>IF(OR(B2482="",C2482="",T2482="Retracted",LEFT(D2482,8)="Negative"),0,IF(COUNTIFS($B$2:B2482,B2482,$C$2:C2482,C2482,$D$2:D2482,"&lt;&gt;Negative*",$T$2:T2482,"&lt;&gt;Retracted")=1,1,0))</f>
        <v>1</v>
      </c>
    </row>
    <row r="2483" spans="1:21" x14ac:dyDescent="0.2">
      <c r="A2483" t="s">
        <v>4743</v>
      </c>
      <c r="B2483" t="s">
        <v>811</v>
      </c>
      <c r="C2483" t="s">
        <v>1445</v>
      </c>
      <c r="D2483" t="s">
        <v>1613</v>
      </c>
      <c r="E2483" t="s">
        <v>812</v>
      </c>
      <c r="F2483" t="s">
        <v>1583</v>
      </c>
      <c r="I2483" t="s">
        <v>1058</v>
      </c>
      <c r="M2483" t="s">
        <v>190</v>
      </c>
      <c r="N2483" t="s">
        <v>209</v>
      </c>
      <c r="Q2483" s="2" t="str">
        <f>IF($C2483="","",IFERROR(VLOOKUP($C2483,sources!$A$2:$N$200,2,FALSE()),"?"))</f>
        <v>Newspaper</v>
      </c>
      <c r="R2483" s="2" t="str">
        <f t="shared" si="38"/>
        <v>Textual</v>
      </c>
      <c r="S2483" s="2" t="str">
        <f>IF($C2483="","",IFERROR(VLOOKUP($C2483,sources!$A$2:$N$200,9,FALSE()),"?"))</f>
        <v>Panamanian</v>
      </c>
      <c r="T2483" t="s">
        <v>5692</v>
      </c>
      <c r="U2483">
        <f>IF(OR(B2483="",C2483="",T2483="Retracted",LEFT(D2483,8)="Negative"),0,IF(COUNTIFS($B$2:B2483,B2483,$C$2:C2483,C2483,$D$2:D2483,"&lt;&gt;Negative*",$T$2:T2483,"&lt;&gt;Retracted")=1,1,0))</f>
        <v>0</v>
      </c>
    </row>
    <row r="2484" spans="1:21" x14ac:dyDescent="0.2">
      <c r="A2484" t="s">
        <v>4744</v>
      </c>
      <c r="B2484" t="s">
        <v>816</v>
      </c>
      <c r="C2484" t="s">
        <v>1445</v>
      </c>
      <c r="D2484" t="s">
        <v>1564</v>
      </c>
      <c r="E2484" t="s">
        <v>4251</v>
      </c>
      <c r="F2484" t="s">
        <v>1583</v>
      </c>
      <c r="I2484" t="s">
        <v>1058</v>
      </c>
      <c r="K2484">
        <v>1910</v>
      </c>
      <c r="L2484">
        <v>1910</v>
      </c>
      <c r="M2484" t="s">
        <v>209</v>
      </c>
      <c r="N2484" t="s">
        <v>209</v>
      </c>
      <c r="Q2484" s="2" t="str">
        <f>IF($C2484="","",IFERROR(VLOOKUP($C2484,sources!$A$2:$N$200,2,FALSE()),"?"))</f>
        <v>Newspaper</v>
      </c>
      <c r="R2484" s="2" t="str">
        <f t="shared" si="38"/>
        <v>Textual</v>
      </c>
      <c r="S2484" s="2" t="str">
        <f>IF($C2484="","",IFERROR(VLOOKUP($C2484,sources!$A$2:$N$200,9,FALSE()),"?"))</f>
        <v>Panamanian</v>
      </c>
      <c r="T2484" t="s">
        <v>5692</v>
      </c>
      <c r="U2484">
        <f>IF(OR(B2484="",C2484="",T2484="Retracted",LEFT(D2484,8)="Negative"),0,IF(COUNTIFS($B$2:B2484,B2484,$C$2:C2484,C2484,$D$2:D2484,"&lt;&gt;Negative*",$T$2:T2484,"&lt;&gt;Retracted")=1,1,0))</f>
        <v>1</v>
      </c>
    </row>
    <row r="2485" spans="1:21" x14ac:dyDescent="0.2">
      <c r="A2485" t="s">
        <v>4745</v>
      </c>
      <c r="B2485" t="s">
        <v>819</v>
      </c>
      <c r="C2485" t="s">
        <v>1445</v>
      </c>
      <c r="D2485" t="s">
        <v>1564</v>
      </c>
      <c r="E2485" t="s">
        <v>820</v>
      </c>
      <c r="F2485" t="s">
        <v>1583</v>
      </c>
      <c r="I2485" t="s">
        <v>1058</v>
      </c>
      <c r="K2485">
        <v>1904</v>
      </c>
      <c r="L2485">
        <v>1904</v>
      </c>
      <c r="M2485" t="s">
        <v>209</v>
      </c>
      <c r="N2485" t="s">
        <v>209</v>
      </c>
      <c r="Q2485" s="2" t="str">
        <f>IF($C2485="","",IFERROR(VLOOKUP($C2485,sources!$A$2:$N$200,2,FALSE()),"?"))</f>
        <v>Newspaper</v>
      </c>
      <c r="R2485" s="2" t="str">
        <f t="shared" si="38"/>
        <v>Textual</v>
      </c>
      <c r="S2485" s="2" t="str">
        <f>IF($C2485="","",IFERROR(VLOOKUP($C2485,sources!$A$2:$N$200,9,FALSE()),"?"))</f>
        <v>Panamanian</v>
      </c>
      <c r="T2485" t="s">
        <v>5692</v>
      </c>
      <c r="U2485">
        <f>IF(OR(B2485="",C2485="",T2485="Retracted",LEFT(D2485,8)="Negative"),0,IF(COUNTIFS($B$2:B2485,B2485,$C$2:C2485,C2485,$D$2:D2485,"&lt;&gt;Negative*",$T$2:T2485,"&lt;&gt;Retracted")=1,1,0))</f>
        <v>1</v>
      </c>
    </row>
    <row r="2486" spans="1:21" x14ac:dyDescent="0.2">
      <c r="A2486" t="s">
        <v>4746</v>
      </c>
      <c r="B2486" t="s">
        <v>824</v>
      </c>
      <c r="C2486" t="s">
        <v>1445</v>
      </c>
      <c r="D2486" t="s">
        <v>1613</v>
      </c>
      <c r="E2486" t="s">
        <v>825</v>
      </c>
      <c r="F2486" t="s">
        <v>1583</v>
      </c>
      <c r="I2486" t="s">
        <v>1058</v>
      </c>
      <c r="M2486" t="s">
        <v>190</v>
      </c>
      <c r="N2486" t="s">
        <v>209</v>
      </c>
      <c r="Q2486" s="2" t="str">
        <f>IF($C2486="","",IFERROR(VLOOKUP($C2486,sources!$A$2:$N$200,2,FALSE()),"?"))</f>
        <v>Newspaper</v>
      </c>
      <c r="R2486" s="2" t="str">
        <f t="shared" si="38"/>
        <v>Textual</v>
      </c>
      <c r="S2486" s="2" t="str">
        <f>IF($C2486="","",IFERROR(VLOOKUP($C2486,sources!$A$2:$N$200,9,FALSE()),"?"))</f>
        <v>Panamanian</v>
      </c>
      <c r="T2486" t="s">
        <v>5692</v>
      </c>
      <c r="U2486">
        <f>IF(OR(B2486="",C2486="",T2486="Retracted",LEFT(D2486,8)="Negative"),0,IF(COUNTIFS($B$2:B2486,B2486,$C$2:C2486,C2486,$D$2:D2486,"&lt;&gt;Negative*",$T$2:T2486,"&lt;&gt;Retracted")=1,1,0))</f>
        <v>0</v>
      </c>
    </row>
    <row r="2487" spans="1:21" x14ac:dyDescent="0.2">
      <c r="A2487" t="s">
        <v>4747</v>
      </c>
      <c r="B2487" t="s">
        <v>828</v>
      </c>
      <c r="C2487" t="s">
        <v>1445</v>
      </c>
      <c r="D2487" t="s">
        <v>1613</v>
      </c>
      <c r="E2487" t="s">
        <v>829</v>
      </c>
      <c r="F2487" t="s">
        <v>1583</v>
      </c>
      <c r="I2487" t="s">
        <v>1058</v>
      </c>
      <c r="M2487" t="s">
        <v>190</v>
      </c>
      <c r="N2487" t="s">
        <v>209</v>
      </c>
      <c r="Q2487" s="2" t="str">
        <f>IF($C2487="","",IFERROR(VLOOKUP($C2487,sources!$A$2:$N$200,2,FALSE()),"?"))</f>
        <v>Newspaper</v>
      </c>
      <c r="R2487" s="2" t="str">
        <f t="shared" si="38"/>
        <v>Textual</v>
      </c>
      <c r="S2487" s="2" t="str">
        <f>IF($C2487="","",IFERROR(VLOOKUP($C2487,sources!$A$2:$N$200,9,FALSE()),"?"))</f>
        <v>Panamanian</v>
      </c>
      <c r="T2487" t="s">
        <v>5692</v>
      </c>
      <c r="U2487">
        <f>IF(OR(B2487="",C2487="",T2487="Retracted",LEFT(D2487,8)="Negative"),0,IF(COUNTIFS($B$2:B2487,B2487,$C$2:C2487,C2487,$D$2:D2487,"&lt;&gt;Negative*",$T$2:T2487,"&lt;&gt;Retracted")=1,1,0))</f>
        <v>0</v>
      </c>
    </row>
    <row r="2488" spans="1:21" x14ac:dyDescent="0.2">
      <c r="A2488" t="s">
        <v>4748</v>
      </c>
      <c r="B2488" t="s">
        <v>832</v>
      </c>
      <c r="C2488" t="s">
        <v>1445</v>
      </c>
      <c r="D2488" t="s">
        <v>1613</v>
      </c>
      <c r="E2488" t="s">
        <v>833</v>
      </c>
      <c r="F2488" t="s">
        <v>1583</v>
      </c>
      <c r="I2488" t="s">
        <v>1058</v>
      </c>
      <c r="M2488" t="s">
        <v>190</v>
      </c>
      <c r="N2488" t="s">
        <v>209</v>
      </c>
      <c r="Q2488" s="2" t="str">
        <f>IF($C2488="","",IFERROR(VLOOKUP($C2488,sources!$A$2:$N$200,2,FALSE()),"?"))</f>
        <v>Newspaper</v>
      </c>
      <c r="R2488" s="2" t="str">
        <f t="shared" si="38"/>
        <v>Textual</v>
      </c>
      <c r="S2488" s="2" t="str">
        <f>IF($C2488="","",IFERROR(VLOOKUP($C2488,sources!$A$2:$N$200,9,FALSE()),"?"))</f>
        <v>Panamanian</v>
      </c>
      <c r="T2488" t="s">
        <v>5692</v>
      </c>
      <c r="U2488">
        <f>IF(OR(B2488="",C2488="",T2488="Retracted",LEFT(D2488,8)="Negative"),0,IF(COUNTIFS($B$2:B2488,B2488,$C$2:C2488,C2488,$D$2:D2488,"&lt;&gt;Negative*",$T$2:T2488,"&lt;&gt;Retracted")=1,1,0))</f>
        <v>0</v>
      </c>
    </row>
    <row r="2489" spans="1:21" x14ac:dyDescent="0.2">
      <c r="A2489" t="s">
        <v>4749</v>
      </c>
      <c r="B2489" t="s">
        <v>835</v>
      </c>
      <c r="C2489" t="s">
        <v>1445</v>
      </c>
      <c r="D2489" t="s">
        <v>1575</v>
      </c>
      <c r="E2489" t="s">
        <v>504</v>
      </c>
      <c r="F2489" t="s">
        <v>1583</v>
      </c>
      <c r="I2489" t="s">
        <v>1058</v>
      </c>
      <c r="K2489">
        <v>1907</v>
      </c>
      <c r="L2489">
        <v>1907</v>
      </c>
      <c r="M2489" t="s">
        <v>209</v>
      </c>
      <c r="N2489" t="s">
        <v>203</v>
      </c>
      <c r="Q2489" s="2" t="str">
        <f>IF($C2489="","",IFERROR(VLOOKUP($C2489,sources!$A$2:$N$200,2,FALSE()),"?"))</f>
        <v>Newspaper</v>
      </c>
      <c r="R2489" s="2" t="str">
        <f t="shared" si="38"/>
        <v>Textual</v>
      </c>
      <c r="S2489" s="2" t="str">
        <f>IF($C2489="","",IFERROR(VLOOKUP($C2489,sources!$A$2:$N$200,9,FALSE()),"?"))</f>
        <v>Panamanian</v>
      </c>
      <c r="T2489" t="s">
        <v>5692</v>
      </c>
      <c r="U2489">
        <f>IF(OR(B2489="",C2489="",T2489="Retracted",LEFT(D2489,8)="Negative"),0,IF(COUNTIFS($B$2:B2489,B2489,$C$2:C2489,C2489,$D$2:D2489,"&lt;&gt;Negative*",$T$2:T2489,"&lt;&gt;Retracted")=1,1,0))</f>
        <v>1</v>
      </c>
    </row>
    <row r="2490" spans="1:21" x14ac:dyDescent="0.2">
      <c r="A2490" t="s">
        <v>4750</v>
      </c>
      <c r="B2490" t="s">
        <v>847</v>
      </c>
      <c r="C2490" t="s">
        <v>1445</v>
      </c>
      <c r="D2490" t="s">
        <v>1613</v>
      </c>
      <c r="E2490" t="s">
        <v>848</v>
      </c>
      <c r="F2490" t="s">
        <v>1583</v>
      </c>
      <c r="I2490" t="s">
        <v>1058</v>
      </c>
      <c r="M2490" t="s">
        <v>190</v>
      </c>
      <c r="N2490" t="s">
        <v>209</v>
      </c>
      <c r="Q2490" s="2" t="str">
        <f>IF($C2490="","",IFERROR(VLOOKUP($C2490,sources!$A$2:$N$200,2,FALSE()),"?"))</f>
        <v>Newspaper</v>
      </c>
      <c r="R2490" s="2" t="str">
        <f t="shared" si="38"/>
        <v>Textual</v>
      </c>
      <c r="S2490" s="2" t="str">
        <f>IF($C2490="","",IFERROR(VLOOKUP($C2490,sources!$A$2:$N$200,9,FALSE()),"?"))</f>
        <v>Panamanian</v>
      </c>
      <c r="T2490" t="s">
        <v>5692</v>
      </c>
      <c r="U2490">
        <f>IF(OR(B2490="",C2490="",T2490="Retracted",LEFT(D2490,8)="Negative"),0,IF(COUNTIFS($B$2:B2490,B2490,$C$2:C2490,C2490,$D$2:D2490,"&lt;&gt;Negative*",$T$2:T2490,"&lt;&gt;Retracted")=1,1,0))</f>
        <v>0</v>
      </c>
    </row>
    <row r="2491" spans="1:21" x14ac:dyDescent="0.2">
      <c r="A2491" t="s">
        <v>4751</v>
      </c>
      <c r="B2491" t="s">
        <v>852</v>
      </c>
      <c r="C2491" t="s">
        <v>1445</v>
      </c>
      <c r="D2491" t="s">
        <v>1613</v>
      </c>
      <c r="E2491" t="s">
        <v>854</v>
      </c>
      <c r="F2491" t="s">
        <v>1583</v>
      </c>
      <c r="I2491" t="s">
        <v>1058</v>
      </c>
      <c r="M2491" t="s">
        <v>190</v>
      </c>
      <c r="N2491" t="s">
        <v>209</v>
      </c>
      <c r="Q2491" s="2" t="str">
        <f>IF($C2491="","",IFERROR(VLOOKUP($C2491,sources!$A$2:$N$200,2,FALSE()),"?"))</f>
        <v>Newspaper</v>
      </c>
      <c r="R2491" s="2" t="str">
        <f t="shared" si="38"/>
        <v>Textual</v>
      </c>
      <c r="S2491" s="2" t="str">
        <f>IF($C2491="","",IFERROR(VLOOKUP($C2491,sources!$A$2:$N$200,9,FALSE()),"?"))</f>
        <v>Panamanian</v>
      </c>
      <c r="T2491" t="s">
        <v>5692</v>
      </c>
      <c r="U2491">
        <f>IF(OR(B2491="",C2491="",T2491="Retracted",LEFT(D2491,8)="Negative"),0,IF(COUNTIFS($B$2:B2491,B2491,$C$2:C2491,C2491,$D$2:D2491,"&lt;&gt;Negative*",$T$2:T2491,"&lt;&gt;Retracted")=1,1,0))</f>
        <v>0</v>
      </c>
    </row>
    <row r="2492" spans="1:21" x14ac:dyDescent="0.2">
      <c r="A2492" t="s">
        <v>4752</v>
      </c>
      <c r="B2492" t="s">
        <v>856</v>
      </c>
      <c r="C2492" t="s">
        <v>1445</v>
      </c>
      <c r="D2492" t="s">
        <v>1613</v>
      </c>
      <c r="E2492" t="s">
        <v>4334</v>
      </c>
      <c r="F2492" t="s">
        <v>1583</v>
      </c>
      <c r="I2492" t="s">
        <v>1058</v>
      </c>
      <c r="M2492" t="s">
        <v>190</v>
      </c>
      <c r="N2492" t="s">
        <v>209</v>
      </c>
      <c r="Q2492" s="2" t="str">
        <f>IF($C2492="","",IFERROR(VLOOKUP($C2492,sources!$A$2:$N$200,2,FALSE()),"?"))</f>
        <v>Newspaper</v>
      </c>
      <c r="R2492" s="2" t="str">
        <f t="shared" si="38"/>
        <v>Textual</v>
      </c>
      <c r="S2492" s="2" t="str">
        <f>IF($C2492="","",IFERROR(VLOOKUP($C2492,sources!$A$2:$N$200,9,FALSE()),"?"))</f>
        <v>Panamanian</v>
      </c>
      <c r="T2492" t="s">
        <v>5692</v>
      </c>
      <c r="U2492">
        <f>IF(OR(B2492="",C2492="",T2492="Retracted",LEFT(D2492,8)="Negative"),0,IF(COUNTIFS($B$2:B2492,B2492,$C$2:C2492,C2492,$D$2:D2492,"&lt;&gt;Negative*",$T$2:T2492,"&lt;&gt;Retracted")=1,1,0))</f>
        <v>0</v>
      </c>
    </row>
    <row r="2493" spans="1:21" x14ac:dyDescent="0.2">
      <c r="A2493" t="s">
        <v>4753</v>
      </c>
      <c r="B2493" t="s">
        <v>860</v>
      </c>
      <c r="C2493" t="s">
        <v>1445</v>
      </c>
      <c r="D2493" t="s">
        <v>1575</v>
      </c>
      <c r="E2493" t="s">
        <v>3322</v>
      </c>
      <c r="F2493" t="s">
        <v>1583</v>
      </c>
      <c r="I2493" t="s">
        <v>1058</v>
      </c>
      <c r="K2493">
        <v>1913</v>
      </c>
      <c r="L2493">
        <v>1913</v>
      </c>
      <c r="M2493" t="s">
        <v>209</v>
      </c>
      <c r="N2493" t="s">
        <v>203</v>
      </c>
      <c r="Q2493" s="2" t="str">
        <f>IF($C2493="","",IFERROR(VLOOKUP($C2493,sources!$A$2:$N$200,2,FALSE()),"?"))</f>
        <v>Newspaper</v>
      </c>
      <c r="R2493" s="2" t="str">
        <f t="shared" si="38"/>
        <v>Textual</v>
      </c>
      <c r="S2493" s="2" t="str">
        <f>IF($C2493="","",IFERROR(VLOOKUP($C2493,sources!$A$2:$N$200,9,FALSE()),"?"))</f>
        <v>Panamanian</v>
      </c>
      <c r="T2493" t="s">
        <v>5692</v>
      </c>
      <c r="U2493">
        <f>IF(OR(B2493="",C2493="",T2493="Retracted",LEFT(D2493,8)="Negative"),0,IF(COUNTIFS($B$2:B2493,B2493,$C$2:C2493,C2493,$D$2:D2493,"&lt;&gt;Negative*",$T$2:T2493,"&lt;&gt;Retracted")=1,1,0))</f>
        <v>1</v>
      </c>
    </row>
    <row r="2494" spans="1:21" x14ac:dyDescent="0.2">
      <c r="A2494" t="s">
        <v>4754</v>
      </c>
      <c r="B2494" t="s">
        <v>865</v>
      </c>
      <c r="C2494" t="s">
        <v>1445</v>
      </c>
      <c r="D2494" t="s">
        <v>1613</v>
      </c>
      <c r="E2494" t="s">
        <v>3324</v>
      </c>
      <c r="F2494" t="s">
        <v>1583</v>
      </c>
      <c r="I2494" t="s">
        <v>1058</v>
      </c>
      <c r="M2494" t="s">
        <v>190</v>
      </c>
      <c r="N2494" t="s">
        <v>209</v>
      </c>
      <c r="Q2494" s="2" t="str">
        <f>IF($C2494="","",IFERROR(VLOOKUP($C2494,sources!$A$2:$N$200,2,FALSE()),"?"))</f>
        <v>Newspaper</v>
      </c>
      <c r="R2494" s="2" t="str">
        <f t="shared" si="38"/>
        <v>Textual</v>
      </c>
      <c r="S2494" s="2" t="str">
        <f>IF($C2494="","",IFERROR(VLOOKUP($C2494,sources!$A$2:$N$200,9,FALSE()),"?"))</f>
        <v>Panamanian</v>
      </c>
      <c r="T2494" t="s">
        <v>5692</v>
      </c>
      <c r="U2494">
        <f>IF(OR(B2494="",C2494="",T2494="Retracted",LEFT(D2494,8)="Negative"),0,IF(COUNTIFS($B$2:B2494,B2494,$C$2:C2494,C2494,$D$2:D2494,"&lt;&gt;Negative*",$T$2:T2494,"&lt;&gt;Retracted")=1,1,0))</f>
        <v>0</v>
      </c>
    </row>
    <row r="2495" spans="1:21" x14ac:dyDescent="0.2">
      <c r="A2495" t="s">
        <v>4755</v>
      </c>
      <c r="B2495" t="s">
        <v>869</v>
      </c>
      <c r="C2495" t="s">
        <v>1445</v>
      </c>
      <c r="D2495" t="s">
        <v>1575</v>
      </c>
      <c r="E2495" t="s">
        <v>4338</v>
      </c>
      <c r="F2495" t="s">
        <v>1583</v>
      </c>
      <c r="I2495" t="s">
        <v>1058</v>
      </c>
      <c r="K2495">
        <v>1906</v>
      </c>
      <c r="L2495">
        <v>1906</v>
      </c>
      <c r="M2495" t="s">
        <v>209</v>
      </c>
      <c r="N2495" t="s">
        <v>209</v>
      </c>
      <c r="Q2495" s="2" t="str">
        <f>IF($C2495="","",IFERROR(VLOOKUP($C2495,sources!$A$2:$N$200,2,FALSE()),"?"))</f>
        <v>Newspaper</v>
      </c>
      <c r="R2495" s="2" t="str">
        <f t="shared" si="38"/>
        <v>Textual</v>
      </c>
      <c r="S2495" s="2" t="str">
        <f>IF($C2495="","",IFERROR(VLOOKUP($C2495,sources!$A$2:$N$200,9,FALSE()),"?"))</f>
        <v>Panamanian</v>
      </c>
      <c r="T2495" t="s">
        <v>5692</v>
      </c>
      <c r="U2495">
        <f>IF(OR(B2495="",C2495="",T2495="Retracted",LEFT(D2495,8)="Negative"),0,IF(COUNTIFS($B$2:B2495,B2495,$C$2:C2495,C2495,$D$2:D2495,"&lt;&gt;Negative*",$T$2:T2495,"&lt;&gt;Retracted")=1,1,0))</f>
        <v>1</v>
      </c>
    </row>
    <row r="2496" spans="1:21" x14ac:dyDescent="0.2">
      <c r="A2496" t="s">
        <v>4756</v>
      </c>
      <c r="B2496" t="s">
        <v>873</v>
      </c>
      <c r="C2496" t="s">
        <v>1445</v>
      </c>
      <c r="D2496" t="s">
        <v>1575</v>
      </c>
      <c r="E2496" t="s">
        <v>4563</v>
      </c>
      <c r="F2496" t="s">
        <v>1583</v>
      </c>
      <c r="I2496" t="s">
        <v>1058</v>
      </c>
      <c r="K2496">
        <v>1907</v>
      </c>
      <c r="L2496">
        <v>1907</v>
      </c>
      <c r="M2496" t="s">
        <v>209</v>
      </c>
      <c r="N2496" t="s">
        <v>209</v>
      </c>
      <c r="Q2496" s="2" t="str">
        <f>IF($C2496="","",IFERROR(VLOOKUP($C2496,sources!$A$2:$N$200,2,FALSE()),"?"))</f>
        <v>Newspaper</v>
      </c>
      <c r="R2496" s="2" t="str">
        <f t="shared" si="38"/>
        <v>Textual</v>
      </c>
      <c r="S2496" s="2" t="str">
        <f>IF($C2496="","",IFERROR(VLOOKUP($C2496,sources!$A$2:$N$200,9,FALSE()),"?"))</f>
        <v>Panamanian</v>
      </c>
      <c r="T2496" t="s">
        <v>5692</v>
      </c>
      <c r="U2496">
        <f>IF(OR(B2496="",C2496="",T2496="Retracted",LEFT(D2496,8)="Negative"),0,IF(COUNTIFS($B$2:B2496,B2496,$C$2:C2496,C2496,$D$2:D2496,"&lt;&gt;Negative*",$T$2:T2496,"&lt;&gt;Retracted")=1,1,0))</f>
        <v>1</v>
      </c>
    </row>
    <row r="2497" spans="1:21" x14ac:dyDescent="0.2">
      <c r="A2497" t="s">
        <v>4757</v>
      </c>
      <c r="B2497" t="s">
        <v>876</v>
      </c>
      <c r="C2497" t="s">
        <v>1445</v>
      </c>
      <c r="D2497" t="s">
        <v>1575</v>
      </c>
      <c r="E2497" t="s">
        <v>4758</v>
      </c>
      <c r="F2497" t="s">
        <v>1583</v>
      </c>
      <c r="I2497" t="s">
        <v>1058</v>
      </c>
      <c r="K2497">
        <v>1908</v>
      </c>
      <c r="L2497">
        <v>1908</v>
      </c>
      <c r="M2497" t="s">
        <v>209</v>
      </c>
      <c r="N2497" t="s">
        <v>203</v>
      </c>
      <c r="Q2497" s="2" t="str">
        <f>IF($C2497="","",IFERROR(VLOOKUP($C2497,sources!$A$2:$N$200,2,FALSE()),"?"))</f>
        <v>Newspaper</v>
      </c>
      <c r="R2497" s="2" t="str">
        <f t="shared" si="38"/>
        <v>Textual</v>
      </c>
      <c r="S2497" s="2" t="str">
        <f>IF($C2497="","",IFERROR(VLOOKUP($C2497,sources!$A$2:$N$200,9,FALSE()),"?"))</f>
        <v>Panamanian</v>
      </c>
      <c r="T2497" t="s">
        <v>5692</v>
      </c>
      <c r="U2497">
        <f>IF(OR(B2497="",C2497="",T2497="Retracted",LEFT(D2497,8)="Negative"),0,IF(COUNTIFS($B$2:B2497,B2497,$C$2:C2497,C2497,$D$2:D2497,"&lt;&gt;Negative*",$T$2:T2497,"&lt;&gt;Retracted")=1,1,0))</f>
        <v>1</v>
      </c>
    </row>
    <row r="2498" spans="1:21" x14ac:dyDescent="0.2">
      <c r="A2498" t="s">
        <v>4759</v>
      </c>
      <c r="B2498" t="s">
        <v>879</v>
      </c>
      <c r="C2498" t="s">
        <v>1445</v>
      </c>
      <c r="D2498" t="s">
        <v>1613</v>
      </c>
      <c r="E2498" t="s">
        <v>4313</v>
      </c>
      <c r="F2498" t="s">
        <v>1583</v>
      </c>
      <c r="I2498" t="s">
        <v>1058</v>
      </c>
      <c r="M2498" t="s">
        <v>190</v>
      </c>
      <c r="N2498" t="s">
        <v>209</v>
      </c>
      <c r="Q2498" s="2" t="str">
        <f>IF($C2498="","",IFERROR(VLOOKUP($C2498,sources!$A$2:$N$200,2,FALSE()),"?"))</f>
        <v>Newspaper</v>
      </c>
      <c r="R2498" s="2" t="str">
        <f t="shared" ref="R2498:R2561" si="39">IF($Q2498="","",IF($Q2498="Map","Map",IF(OR($Q2498="Photograph",$Q2498="Postcard"),"Image",IF(OR($Q2498="Census or roll",$Q2498="Report",$Q2498="Newspaper",$Q2498="Letter",$Q2498="Memoir",$Q2498="Administrative",$Q2498="Web compilation"),"Textual",IF($Q2498="Legal claim","Legal/admin",IF($Q2498="Secondary","Secondary","Other"))))))</f>
        <v>Textual</v>
      </c>
      <c r="S2498" s="2" t="str">
        <f>IF($C2498="","",IFERROR(VLOOKUP($C2498,sources!$A$2:$N$200,9,FALSE()),"?"))</f>
        <v>Panamanian</v>
      </c>
      <c r="T2498" t="s">
        <v>5692</v>
      </c>
      <c r="U2498">
        <f>IF(OR(B2498="",C2498="",T2498="Retracted",LEFT(D2498,8)="Negative"),0,IF(COUNTIFS($B$2:B2498,B2498,$C$2:C2498,C2498,$D$2:D2498,"&lt;&gt;Negative*",$T$2:T2498,"&lt;&gt;Retracted")=1,1,0))</f>
        <v>0</v>
      </c>
    </row>
    <row r="2499" spans="1:21" x14ac:dyDescent="0.2">
      <c r="A2499" t="s">
        <v>4760</v>
      </c>
      <c r="B2499" t="s">
        <v>883</v>
      </c>
      <c r="C2499" t="s">
        <v>1445</v>
      </c>
      <c r="D2499" t="s">
        <v>1613</v>
      </c>
      <c r="E2499" t="s">
        <v>884</v>
      </c>
      <c r="F2499" t="s">
        <v>1583</v>
      </c>
      <c r="I2499" t="s">
        <v>1058</v>
      </c>
      <c r="M2499" t="s">
        <v>190</v>
      </c>
      <c r="N2499" t="s">
        <v>209</v>
      </c>
      <c r="Q2499" s="2" t="str">
        <f>IF($C2499="","",IFERROR(VLOOKUP($C2499,sources!$A$2:$N$200,2,FALSE()),"?"))</f>
        <v>Newspaper</v>
      </c>
      <c r="R2499" s="2" t="str">
        <f t="shared" si="39"/>
        <v>Textual</v>
      </c>
      <c r="S2499" s="2" t="str">
        <f>IF($C2499="","",IFERROR(VLOOKUP($C2499,sources!$A$2:$N$200,9,FALSE()),"?"))</f>
        <v>Panamanian</v>
      </c>
      <c r="T2499" t="s">
        <v>5692</v>
      </c>
      <c r="U2499">
        <f>IF(OR(B2499="",C2499="",T2499="Retracted",LEFT(D2499,8)="Negative"),0,IF(COUNTIFS($B$2:B2499,B2499,$C$2:C2499,C2499,$D$2:D2499,"&lt;&gt;Negative*",$T$2:T2499,"&lt;&gt;Retracted")=1,1,0))</f>
        <v>0</v>
      </c>
    </row>
    <row r="2500" spans="1:21" x14ac:dyDescent="0.2">
      <c r="A2500" t="s">
        <v>4761</v>
      </c>
      <c r="B2500" t="s">
        <v>888</v>
      </c>
      <c r="C2500" t="s">
        <v>1445</v>
      </c>
      <c r="D2500" t="s">
        <v>1575</v>
      </c>
      <c r="E2500" t="s">
        <v>4265</v>
      </c>
      <c r="F2500" t="s">
        <v>1583</v>
      </c>
      <c r="I2500" t="s">
        <v>1058</v>
      </c>
      <c r="K2500">
        <v>1908</v>
      </c>
      <c r="L2500">
        <v>1908</v>
      </c>
      <c r="M2500" t="s">
        <v>209</v>
      </c>
      <c r="N2500" t="s">
        <v>203</v>
      </c>
      <c r="Q2500" s="2" t="str">
        <f>IF($C2500="","",IFERROR(VLOOKUP($C2500,sources!$A$2:$N$200,2,FALSE()),"?"))</f>
        <v>Newspaper</v>
      </c>
      <c r="R2500" s="2" t="str">
        <f t="shared" si="39"/>
        <v>Textual</v>
      </c>
      <c r="S2500" s="2" t="str">
        <f>IF($C2500="","",IFERROR(VLOOKUP($C2500,sources!$A$2:$N$200,9,FALSE()),"?"))</f>
        <v>Panamanian</v>
      </c>
      <c r="T2500" t="s">
        <v>5692</v>
      </c>
      <c r="U2500">
        <f>IF(OR(B2500="",C2500="",T2500="Retracted",LEFT(D2500,8)="Negative"),0,IF(COUNTIFS($B$2:B2500,B2500,$C$2:C2500,C2500,$D$2:D2500,"&lt;&gt;Negative*",$T$2:T2500,"&lt;&gt;Retracted")=1,1,0))</f>
        <v>1</v>
      </c>
    </row>
    <row r="2501" spans="1:21" x14ac:dyDescent="0.2">
      <c r="A2501" t="s">
        <v>4762</v>
      </c>
      <c r="B2501" t="s">
        <v>892</v>
      </c>
      <c r="C2501" t="s">
        <v>1445</v>
      </c>
      <c r="D2501" t="s">
        <v>1613</v>
      </c>
      <c r="E2501" t="s">
        <v>4345</v>
      </c>
      <c r="F2501" t="s">
        <v>1583</v>
      </c>
      <c r="I2501" t="s">
        <v>1058</v>
      </c>
      <c r="M2501" t="s">
        <v>190</v>
      </c>
      <c r="N2501" t="s">
        <v>209</v>
      </c>
      <c r="Q2501" s="2" t="str">
        <f>IF($C2501="","",IFERROR(VLOOKUP($C2501,sources!$A$2:$N$200,2,FALSE()),"?"))</f>
        <v>Newspaper</v>
      </c>
      <c r="R2501" s="2" t="str">
        <f t="shared" si="39"/>
        <v>Textual</v>
      </c>
      <c r="S2501" s="2" t="str">
        <f>IF($C2501="","",IFERROR(VLOOKUP($C2501,sources!$A$2:$N$200,9,FALSE()),"?"))</f>
        <v>Panamanian</v>
      </c>
      <c r="T2501" t="s">
        <v>5692</v>
      </c>
      <c r="U2501">
        <f>IF(OR(B2501="",C2501="",T2501="Retracted",LEFT(D2501,8)="Negative"),0,IF(COUNTIFS($B$2:B2501,B2501,$C$2:C2501,C2501,$D$2:D2501,"&lt;&gt;Negative*",$T$2:T2501,"&lt;&gt;Retracted")=1,1,0))</f>
        <v>0</v>
      </c>
    </row>
    <row r="2502" spans="1:21" x14ac:dyDescent="0.2">
      <c r="A2502" t="s">
        <v>4763</v>
      </c>
      <c r="B2502" t="s">
        <v>896</v>
      </c>
      <c r="C2502" t="s">
        <v>1445</v>
      </c>
      <c r="D2502" t="s">
        <v>1613</v>
      </c>
      <c r="E2502" t="s">
        <v>897</v>
      </c>
      <c r="F2502" t="s">
        <v>1583</v>
      </c>
      <c r="I2502" t="s">
        <v>1058</v>
      </c>
      <c r="M2502" t="s">
        <v>190</v>
      </c>
      <c r="N2502" t="s">
        <v>209</v>
      </c>
      <c r="Q2502" s="2" t="str">
        <f>IF($C2502="","",IFERROR(VLOOKUP($C2502,sources!$A$2:$N$200,2,FALSE()),"?"))</f>
        <v>Newspaper</v>
      </c>
      <c r="R2502" s="2" t="str">
        <f t="shared" si="39"/>
        <v>Textual</v>
      </c>
      <c r="S2502" s="2" t="str">
        <f>IF($C2502="","",IFERROR(VLOOKUP($C2502,sources!$A$2:$N$200,9,FALSE()),"?"))</f>
        <v>Panamanian</v>
      </c>
      <c r="T2502" t="s">
        <v>5692</v>
      </c>
      <c r="U2502">
        <f>IF(OR(B2502="",C2502="",T2502="Retracted",LEFT(D2502,8)="Negative"),0,IF(COUNTIFS($B$2:B2502,B2502,$C$2:C2502,C2502,$D$2:D2502,"&lt;&gt;Negative*",$T$2:T2502,"&lt;&gt;Retracted")=1,1,0))</f>
        <v>0</v>
      </c>
    </row>
    <row r="2503" spans="1:21" x14ac:dyDescent="0.2">
      <c r="A2503" t="s">
        <v>4764</v>
      </c>
      <c r="B2503" t="s">
        <v>899</v>
      </c>
      <c r="C2503" t="s">
        <v>1445</v>
      </c>
      <c r="D2503" t="s">
        <v>1575</v>
      </c>
      <c r="E2503" t="s">
        <v>4571</v>
      </c>
      <c r="F2503" t="s">
        <v>1583</v>
      </c>
      <c r="I2503" t="s">
        <v>1058</v>
      </c>
      <c r="K2503">
        <v>1908</v>
      </c>
      <c r="L2503">
        <v>1908</v>
      </c>
      <c r="M2503" t="s">
        <v>209</v>
      </c>
      <c r="N2503" t="s">
        <v>203</v>
      </c>
      <c r="Q2503" s="2" t="str">
        <f>IF($C2503="","",IFERROR(VLOOKUP($C2503,sources!$A$2:$N$200,2,FALSE()),"?"))</f>
        <v>Newspaper</v>
      </c>
      <c r="R2503" s="2" t="str">
        <f t="shared" si="39"/>
        <v>Textual</v>
      </c>
      <c r="S2503" s="2" t="str">
        <f>IF($C2503="","",IFERROR(VLOOKUP($C2503,sources!$A$2:$N$200,9,FALSE()),"?"))</f>
        <v>Panamanian</v>
      </c>
      <c r="T2503" t="s">
        <v>5692</v>
      </c>
      <c r="U2503">
        <f>IF(OR(B2503="",C2503="",T2503="Retracted",LEFT(D2503,8)="Negative"),0,IF(COUNTIFS($B$2:B2503,B2503,$C$2:C2503,C2503,$D$2:D2503,"&lt;&gt;Negative*",$T$2:T2503,"&lt;&gt;Retracted")=1,1,0))</f>
        <v>1</v>
      </c>
    </row>
    <row r="2504" spans="1:21" x14ac:dyDescent="0.2">
      <c r="A2504" t="s">
        <v>4765</v>
      </c>
      <c r="B2504" t="s">
        <v>902</v>
      </c>
      <c r="C2504" t="s">
        <v>1445</v>
      </c>
      <c r="D2504" t="s">
        <v>1575</v>
      </c>
      <c r="E2504" t="s">
        <v>903</v>
      </c>
      <c r="F2504" t="s">
        <v>1583</v>
      </c>
      <c r="I2504" t="s">
        <v>1058</v>
      </c>
      <c r="K2504">
        <v>1908</v>
      </c>
      <c r="L2504">
        <v>1908</v>
      </c>
      <c r="M2504" t="s">
        <v>209</v>
      </c>
      <c r="N2504" t="s">
        <v>203</v>
      </c>
      <c r="Q2504" s="2" t="str">
        <f>IF($C2504="","",IFERROR(VLOOKUP($C2504,sources!$A$2:$N$200,2,FALSE()),"?"))</f>
        <v>Newspaper</v>
      </c>
      <c r="R2504" s="2" t="str">
        <f t="shared" si="39"/>
        <v>Textual</v>
      </c>
      <c r="S2504" s="2" t="str">
        <f>IF($C2504="","",IFERROR(VLOOKUP($C2504,sources!$A$2:$N$200,9,FALSE()),"?"))</f>
        <v>Panamanian</v>
      </c>
      <c r="T2504" t="s">
        <v>5692</v>
      </c>
      <c r="U2504">
        <f>IF(OR(B2504="",C2504="",T2504="Retracted",LEFT(D2504,8)="Negative"),0,IF(COUNTIFS($B$2:B2504,B2504,$C$2:C2504,C2504,$D$2:D2504,"&lt;&gt;Negative*",$T$2:T2504,"&lt;&gt;Retracted")=1,1,0))</f>
        <v>1</v>
      </c>
    </row>
    <row r="2505" spans="1:21" x14ac:dyDescent="0.2">
      <c r="A2505" t="s">
        <v>4766</v>
      </c>
      <c r="B2505" t="s">
        <v>906</v>
      </c>
      <c r="C2505" t="s">
        <v>1445</v>
      </c>
      <c r="D2505" t="s">
        <v>1613</v>
      </c>
      <c r="E2505" t="s">
        <v>908</v>
      </c>
      <c r="F2505" t="s">
        <v>1583</v>
      </c>
      <c r="I2505" t="s">
        <v>1058</v>
      </c>
      <c r="M2505" t="s">
        <v>190</v>
      </c>
      <c r="N2505" t="s">
        <v>209</v>
      </c>
      <c r="Q2505" s="2" t="str">
        <f>IF($C2505="","",IFERROR(VLOOKUP($C2505,sources!$A$2:$N$200,2,FALSE()),"?"))</f>
        <v>Newspaper</v>
      </c>
      <c r="R2505" s="2" t="str">
        <f t="shared" si="39"/>
        <v>Textual</v>
      </c>
      <c r="S2505" s="2" t="str">
        <f>IF($C2505="","",IFERROR(VLOOKUP($C2505,sources!$A$2:$N$200,9,FALSE()),"?"))</f>
        <v>Panamanian</v>
      </c>
      <c r="T2505" t="s">
        <v>5692</v>
      </c>
      <c r="U2505">
        <f>IF(OR(B2505="",C2505="",T2505="Retracted",LEFT(D2505,8)="Negative"),0,IF(COUNTIFS($B$2:B2505,B2505,$C$2:C2505,C2505,$D$2:D2505,"&lt;&gt;Negative*",$T$2:T2505,"&lt;&gt;Retracted")=1,1,0))</f>
        <v>0</v>
      </c>
    </row>
    <row r="2506" spans="1:21" x14ac:dyDescent="0.2">
      <c r="A2506" t="s">
        <v>4767</v>
      </c>
      <c r="B2506" t="s">
        <v>910</v>
      </c>
      <c r="C2506" t="s">
        <v>1445</v>
      </c>
      <c r="D2506" t="s">
        <v>1575</v>
      </c>
      <c r="E2506" t="s">
        <v>4768</v>
      </c>
      <c r="F2506" t="s">
        <v>1583</v>
      </c>
      <c r="I2506" t="s">
        <v>1058</v>
      </c>
      <c r="M2506" t="s">
        <v>190</v>
      </c>
      <c r="N2506" t="s">
        <v>190</v>
      </c>
      <c r="Q2506" s="2" t="str">
        <f>IF($C2506="","",IFERROR(VLOOKUP($C2506,sources!$A$2:$N$200,2,FALSE()),"?"))</f>
        <v>Newspaper</v>
      </c>
      <c r="R2506" s="2" t="str">
        <f t="shared" si="39"/>
        <v>Textual</v>
      </c>
      <c r="S2506" s="2" t="str">
        <f>IF($C2506="","",IFERROR(VLOOKUP($C2506,sources!$A$2:$N$200,9,FALSE()),"?"))</f>
        <v>Panamanian</v>
      </c>
      <c r="T2506" t="s">
        <v>5692</v>
      </c>
      <c r="U2506">
        <f>IF(OR(B2506="",C2506="",T2506="Retracted",LEFT(D2506,8)="Negative"),0,IF(COUNTIFS($B$2:B2506,B2506,$C$2:C2506,C2506,$D$2:D2506,"&lt;&gt;Negative*",$T$2:T2506,"&lt;&gt;Retracted")=1,1,0))</f>
        <v>1</v>
      </c>
    </row>
    <row r="2507" spans="1:21" x14ac:dyDescent="0.2">
      <c r="A2507" t="s">
        <v>4769</v>
      </c>
      <c r="B2507" t="s">
        <v>914</v>
      </c>
      <c r="C2507" t="s">
        <v>1445</v>
      </c>
      <c r="D2507" t="s">
        <v>1613</v>
      </c>
      <c r="E2507" t="s">
        <v>915</v>
      </c>
      <c r="F2507" t="s">
        <v>1583</v>
      </c>
      <c r="I2507" t="s">
        <v>1058</v>
      </c>
      <c r="M2507" t="s">
        <v>190</v>
      </c>
      <c r="N2507" t="s">
        <v>209</v>
      </c>
      <c r="Q2507" s="2" t="str">
        <f>IF($C2507="","",IFERROR(VLOOKUP($C2507,sources!$A$2:$N$200,2,FALSE()),"?"))</f>
        <v>Newspaper</v>
      </c>
      <c r="R2507" s="2" t="str">
        <f t="shared" si="39"/>
        <v>Textual</v>
      </c>
      <c r="S2507" s="2" t="str">
        <f>IF($C2507="","",IFERROR(VLOOKUP($C2507,sources!$A$2:$N$200,9,FALSE()),"?"))</f>
        <v>Panamanian</v>
      </c>
      <c r="T2507" t="s">
        <v>5692</v>
      </c>
      <c r="U2507">
        <f>IF(OR(B2507="",C2507="",T2507="Retracted",LEFT(D2507,8)="Negative"),0,IF(COUNTIFS($B$2:B2507,B2507,$C$2:C2507,C2507,$D$2:D2507,"&lt;&gt;Negative*",$T$2:T2507,"&lt;&gt;Retracted")=1,1,0))</f>
        <v>0</v>
      </c>
    </row>
    <row r="2508" spans="1:21" x14ac:dyDescent="0.2">
      <c r="A2508" t="s">
        <v>4770</v>
      </c>
      <c r="B2508" t="s">
        <v>917</v>
      </c>
      <c r="C2508" t="s">
        <v>1445</v>
      </c>
      <c r="D2508" t="s">
        <v>1575</v>
      </c>
      <c r="E2508" t="s">
        <v>918</v>
      </c>
      <c r="F2508" t="s">
        <v>1583</v>
      </c>
      <c r="I2508" t="s">
        <v>1058</v>
      </c>
      <c r="M2508" t="s">
        <v>190</v>
      </c>
      <c r="N2508" t="s">
        <v>190</v>
      </c>
      <c r="Q2508" s="2" t="str">
        <f>IF($C2508="","",IFERROR(VLOOKUP($C2508,sources!$A$2:$N$200,2,FALSE()),"?"))</f>
        <v>Newspaper</v>
      </c>
      <c r="R2508" s="2" t="str">
        <f t="shared" si="39"/>
        <v>Textual</v>
      </c>
      <c r="S2508" s="2" t="str">
        <f>IF($C2508="","",IFERROR(VLOOKUP($C2508,sources!$A$2:$N$200,9,FALSE()),"?"))</f>
        <v>Panamanian</v>
      </c>
      <c r="T2508" t="s">
        <v>5692</v>
      </c>
      <c r="U2508">
        <f>IF(OR(B2508="",C2508="",T2508="Retracted",LEFT(D2508,8)="Negative"),0,IF(COUNTIFS($B$2:B2508,B2508,$C$2:C2508,C2508,$D$2:D2508,"&lt;&gt;Negative*",$T$2:T2508,"&lt;&gt;Retracted")=1,1,0))</f>
        <v>1</v>
      </c>
    </row>
    <row r="2509" spans="1:21" x14ac:dyDescent="0.2">
      <c r="A2509" t="s">
        <v>4771</v>
      </c>
      <c r="B2509" t="s">
        <v>920</v>
      </c>
      <c r="C2509" t="s">
        <v>1445</v>
      </c>
      <c r="D2509" t="s">
        <v>1575</v>
      </c>
      <c r="E2509" t="s">
        <v>921</v>
      </c>
      <c r="F2509" t="s">
        <v>1583</v>
      </c>
      <c r="I2509" t="s">
        <v>1058</v>
      </c>
      <c r="M2509" t="s">
        <v>190</v>
      </c>
      <c r="N2509" t="s">
        <v>190</v>
      </c>
      <c r="Q2509" s="2" t="str">
        <f>IF($C2509="","",IFERROR(VLOOKUP($C2509,sources!$A$2:$N$200,2,FALSE()),"?"))</f>
        <v>Newspaper</v>
      </c>
      <c r="R2509" s="2" t="str">
        <f t="shared" si="39"/>
        <v>Textual</v>
      </c>
      <c r="S2509" s="2" t="str">
        <f>IF($C2509="","",IFERROR(VLOOKUP($C2509,sources!$A$2:$N$200,9,FALSE()),"?"))</f>
        <v>Panamanian</v>
      </c>
      <c r="T2509" t="s">
        <v>5692</v>
      </c>
      <c r="U2509">
        <f>IF(OR(B2509="",C2509="",T2509="Retracted",LEFT(D2509,8)="Negative"),0,IF(COUNTIFS($B$2:B2509,B2509,$C$2:C2509,C2509,$D$2:D2509,"&lt;&gt;Negative*",$T$2:T2509,"&lt;&gt;Retracted")=1,1,0))</f>
        <v>1</v>
      </c>
    </row>
    <row r="2510" spans="1:21" x14ac:dyDescent="0.2">
      <c r="A2510" t="s">
        <v>4772</v>
      </c>
      <c r="B2510" t="s">
        <v>924</v>
      </c>
      <c r="C2510" t="s">
        <v>1445</v>
      </c>
      <c r="D2510" t="s">
        <v>1575</v>
      </c>
      <c r="E2510" t="s">
        <v>4773</v>
      </c>
      <c r="F2510" t="s">
        <v>1583</v>
      </c>
      <c r="I2510" t="s">
        <v>1058</v>
      </c>
      <c r="M2510" t="s">
        <v>190</v>
      </c>
      <c r="N2510" t="s">
        <v>190</v>
      </c>
      <c r="Q2510" s="2" t="str">
        <f>IF($C2510="","",IFERROR(VLOOKUP($C2510,sources!$A$2:$N$200,2,FALSE()),"?"))</f>
        <v>Newspaper</v>
      </c>
      <c r="R2510" s="2" t="str">
        <f t="shared" si="39"/>
        <v>Textual</v>
      </c>
      <c r="S2510" s="2" t="str">
        <f>IF($C2510="","",IFERROR(VLOOKUP($C2510,sources!$A$2:$N$200,9,FALSE()),"?"))</f>
        <v>Panamanian</v>
      </c>
      <c r="T2510" t="s">
        <v>5692</v>
      </c>
      <c r="U2510">
        <f>IF(OR(B2510="",C2510="",T2510="Retracted",LEFT(D2510,8)="Negative"),0,IF(COUNTIFS($B$2:B2510,B2510,$C$2:C2510,C2510,$D$2:D2510,"&lt;&gt;Negative*",$T$2:T2510,"&lt;&gt;Retracted")=1,1,0))</f>
        <v>1</v>
      </c>
    </row>
    <row r="2511" spans="1:21" x14ac:dyDescent="0.2">
      <c r="A2511" t="s">
        <v>4774</v>
      </c>
      <c r="B2511" t="s">
        <v>932</v>
      </c>
      <c r="C2511" t="s">
        <v>1445</v>
      </c>
      <c r="D2511" t="s">
        <v>1575</v>
      </c>
      <c r="E2511" t="s">
        <v>934</v>
      </c>
      <c r="F2511" t="s">
        <v>1583</v>
      </c>
      <c r="I2511" t="s">
        <v>1058</v>
      </c>
      <c r="K2511">
        <v>1905</v>
      </c>
      <c r="L2511">
        <v>1905</v>
      </c>
      <c r="M2511" t="s">
        <v>209</v>
      </c>
      <c r="N2511" t="s">
        <v>203</v>
      </c>
      <c r="Q2511" s="2" t="str">
        <f>IF($C2511="","",IFERROR(VLOOKUP($C2511,sources!$A$2:$N$200,2,FALSE()),"?"))</f>
        <v>Newspaper</v>
      </c>
      <c r="R2511" s="2" t="str">
        <f t="shared" si="39"/>
        <v>Textual</v>
      </c>
      <c r="S2511" s="2" t="str">
        <f>IF($C2511="","",IFERROR(VLOOKUP($C2511,sources!$A$2:$N$200,9,FALSE()),"?"))</f>
        <v>Panamanian</v>
      </c>
      <c r="T2511" t="s">
        <v>5692</v>
      </c>
      <c r="U2511">
        <f>IF(OR(B2511="",C2511="",T2511="Retracted",LEFT(D2511,8)="Negative"),0,IF(COUNTIFS($B$2:B2511,B2511,$C$2:C2511,C2511,$D$2:D2511,"&lt;&gt;Negative*",$T$2:T2511,"&lt;&gt;Retracted")=1,1,0))</f>
        <v>1</v>
      </c>
    </row>
    <row r="2512" spans="1:21" x14ac:dyDescent="0.2">
      <c r="A2512" t="s">
        <v>4775</v>
      </c>
      <c r="B2512" t="s">
        <v>938</v>
      </c>
      <c r="C2512" t="s">
        <v>1445</v>
      </c>
      <c r="D2512" t="s">
        <v>1575</v>
      </c>
      <c r="E2512" t="s">
        <v>939</v>
      </c>
      <c r="F2512" t="s">
        <v>1583</v>
      </c>
      <c r="I2512" t="s">
        <v>1058</v>
      </c>
      <c r="K2512">
        <v>1905</v>
      </c>
      <c r="L2512">
        <v>1905</v>
      </c>
      <c r="M2512" t="s">
        <v>209</v>
      </c>
      <c r="N2512" t="s">
        <v>203</v>
      </c>
      <c r="Q2512" s="2" t="str">
        <f>IF($C2512="","",IFERROR(VLOOKUP($C2512,sources!$A$2:$N$200,2,FALSE()),"?"))</f>
        <v>Newspaper</v>
      </c>
      <c r="R2512" s="2" t="str">
        <f t="shared" si="39"/>
        <v>Textual</v>
      </c>
      <c r="S2512" s="2" t="str">
        <f>IF($C2512="","",IFERROR(VLOOKUP($C2512,sources!$A$2:$N$200,9,FALSE()),"?"))</f>
        <v>Panamanian</v>
      </c>
      <c r="T2512" t="s">
        <v>5692</v>
      </c>
      <c r="U2512">
        <f>IF(OR(B2512="",C2512="",T2512="Retracted",LEFT(D2512,8)="Negative"),0,IF(COUNTIFS($B$2:B2512,B2512,$C$2:C2512,C2512,$D$2:D2512,"&lt;&gt;Negative*",$T$2:T2512,"&lt;&gt;Retracted")=1,1,0))</f>
        <v>1</v>
      </c>
    </row>
    <row r="2513" spans="1:21" x14ac:dyDescent="0.2">
      <c r="A2513" t="s">
        <v>4776</v>
      </c>
      <c r="B2513" t="s">
        <v>943</v>
      </c>
      <c r="C2513" t="s">
        <v>1445</v>
      </c>
      <c r="D2513" t="s">
        <v>1575</v>
      </c>
      <c r="E2513" t="s">
        <v>4033</v>
      </c>
      <c r="F2513" t="s">
        <v>1583</v>
      </c>
      <c r="I2513" t="s">
        <v>1058</v>
      </c>
      <c r="K2513">
        <v>1904</v>
      </c>
      <c r="L2513">
        <v>1904</v>
      </c>
      <c r="M2513" t="s">
        <v>209</v>
      </c>
      <c r="N2513" t="s">
        <v>203</v>
      </c>
      <c r="Q2513" s="2" t="str">
        <f>IF($C2513="","",IFERROR(VLOOKUP($C2513,sources!$A$2:$N$200,2,FALSE()),"?"))</f>
        <v>Newspaper</v>
      </c>
      <c r="R2513" s="2" t="str">
        <f t="shared" si="39"/>
        <v>Textual</v>
      </c>
      <c r="S2513" s="2" t="str">
        <f>IF($C2513="","",IFERROR(VLOOKUP($C2513,sources!$A$2:$N$200,9,FALSE()),"?"))</f>
        <v>Panamanian</v>
      </c>
      <c r="T2513" t="s">
        <v>5692</v>
      </c>
      <c r="U2513">
        <f>IF(OR(B2513="",C2513="",T2513="Retracted",LEFT(D2513,8)="Negative"),0,IF(COUNTIFS($B$2:B2513,B2513,$C$2:C2513,C2513,$D$2:D2513,"&lt;&gt;Negative*",$T$2:T2513,"&lt;&gt;Retracted")=1,1,0))</f>
        <v>1</v>
      </c>
    </row>
    <row r="2514" spans="1:21" x14ac:dyDescent="0.2">
      <c r="A2514" t="s">
        <v>4777</v>
      </c>
      <c r="B2514" t="s">
        <v>947</v>
      </c>
      <c r="C2514" t="s">
        <v>1445</v>
      </c>
      <c r="D2514" t="s">
        <v>1575</v>
      </c>
      <c r="E2514" t="s">
        <v>4778</v>
      </c>
      <c r="F2514" t="s">
        <v>1583</v>
      </c>
      <c r="I2514" t="s">
        <v>1058</v>
      </c>
      <c r="K2514">
        <v>1906</v>
      </c>
      <c r="L2514">
        <v>1906</v>
      </c>
      <c r="M2514" t="s">
        <v>209</v>
      </c>
      <c r="N2514" t="s">
        <v>209</v>
      </c>
      <c r="Q2514" s="2" t="str">
        <f>IF($C2514="","",IFERROR(VLOOKUP($C2514,sources!$A$2:$N$200,2,FALSE()),"?"))</f>
        <v>Newspaper</v>
      </c>
      <c r="R2514" s="2" t="str">
        <f t="shared" si="39"/>
        <v>Textual</v>
      </c>
      <c r="S2514" s="2" t="str">
        <f>IF($C2514="","",IFERROR(VLOOKUP($C2514,sources!$A$2:$N$200,9,FALSE()),"?"))</f>
        <v>Panamanian</v>
      </c>
      <c r="T2514" t="s">
        <v>5692</v>
      </c>
      <c r="U2514">
        <f>IF(OR(B2514="",C2514="",T2514="Retracted",LEFT(D2514,8)="Negative"),0,IF(COUNTIFS($B$2:B2514,B2514,$C$2:C2514,C2514,$D$2:D2514,"&lt;&gt;Negative*",$T$2:T2514,"&lt;&gt;Retracted")=1,1,0))</f>
        <v>1</v>
      </c>
    </row>
    <row r="2515" spans="1:21" x14ac:dyDescent="0.2">
      <c r="A2515" t="s">
        <v>4779</v>
      </c>
      <c r="B2515" t="s">
        <v>936</v>
      </c>
      <c r="C2515" t="s">
        <v>1445</v>
      </c>
      <c r="D2515" t="s">
        <v>1575</v>
      </c>
      <c r="E2515" t="s">
        <v>4362</v>
      </c>
      <c r="F2515" t="s">
        <v>1583</v>
      </c>
      <c r="I2515" t="s">
        <v>1058</v>
      </c>
      <c r="K2515">
        <v>1904</v>
      </c>
      <c r="L2515">
        <v>1904</v>
      </c>
      <c r="M2515" t="s">
        <v>209</v>
      </c>
      <c r="N2515" t="s">
        <v>203</v>
      </c>
      <c r="Q2515" s="2" t="str">
        <f>IF($C2515="","",IFERROR(VLOOKUP($C2515,sources!$A$2:$N$200,2,FALSE()),"?"))</f>
        <v>Newspaper</v>
      </c>
      <c r="R2515" s="2" t="str">
        <f t="shared" si="39"/>
        <v>Textual</v>
      </c>
      <c r="S2515" s="2" t="str">
        <f>IF($C2515="","",IFERROR(VLOOKUP($C2515,sources!$A$2:$N$200,9,FALSE()),"?"))</f>
        <v>Panamanian</v>
      </c>
      <c r="T2515" t="s">
        <v>5692</v>
      </c>
      <c r="U2515">
        <f>IF(OR(B2515="",C2515="",T2515="Retracted",LEFT(D2515,8)="Negative"),0,IF(COUNTIFS($B$2:B2515,B2515,$C$2:C2515,C2515,$D$2:D2515,"&lt;&gt;Negative*",$T$2:T2515,"&lt;&gt;Retracted")=1,1,0))</f>
        <v>1</v>
      </c>
    </row>
    <row r="2516" spans="1:21" x14ac:dyDescent="0.2">
      <c r="A2516" t="s">
        <v>4780</v>
      </c>
      <c r="B2516" t="s">
        <v>955</v>
      </c>
      <c r="C2516" t="s">
        <v>1445</v>
      </c>
      <c r="D2516" t="s">
        <v>1575</v>
      </c>
      <c r="E2516" t="s">
        <v>4781</v>
      </c>
      <c r="F2516" t="s">
        <v>1583</v>
      </c>
      <c r="I2516" t="s">
        <v>1058</v>
      </c>
      <c r="K2516">
        <v>1904</v>
      </c>
      <c r="L2516">
        <v>1904</v>
      </c>
      <c r="M2516" t="s">
        <v>209</v>
      </c>
      <c r="N2516" t="s">
        <v>209</v>
      </c>
      <c r="Q2516" s="2" t="str">
        <f>IF($C2516="","",IFERROR(VLOOKUP($C2516,sources!$A$2:$N$200,2,FALSE()),"?"))</f>
        <v>Newspaper</v>
      </c>
      <c r="R2516" s="2" t="str">
        <f t="shared" si="39"/>
        <v>Textual</v>
      </c>
      <c r="S2516" s="2" t="str">
        <f>IF($C2516="","",IFERROR(VLOOKUP($C2516,sources!$A$2:$N$200,9,FALSE()),"?"))</f>
        <v>Panamanian</v>
      </c>
      <c r="T2516" t="s">
        <v>5692</v>
      </c>
      <c r="U2516">
        <f>IF(OR(B2516="",C2516="",T2516="Retracted",LEFT(D2516,8)="Negative"),0,IF(COUNTIFS($B$2:B2516,B2516,$C$2:C2516,C2516,$D$2:D2516,"&lt;&gt;Negative*",$T$2:T2516,"&lt;&gt;Retracted")=1,1,0))</f>
        <v>1</v>
      </c>
    </row>
    <row r="2517" spans="1:21" x14ac:dyDescent="0.2">
      <c r="A2517" t="s">
        <v>4782</v>
      </c>
      <c r="B2517" t="s">
        <v>962</v>
      </c>
      <c r="C2517" t="s">
        <v>1445</v>
      </c>
      <c r="D2517" t="s">
        <v>1575</v>
      </c>
      <c r="E2517" t="s">
        <v>963</v>
      </c>
      <c r="F2517" t="s">
        <v>1583</v>
      </c>
      <c r="I2517" t="s">
        <v>1058</v>
      </c>
      <c r="K2517">
        <v>1904</v>
      </c>
      <c r="L2517">
        <v>1904</v>
      </c>
      <c r="M2517" t="s">
        <v>209</v>
      </c>
      <c r="N2517" t="s">
        <v>203</v>
      </c>
      <c r="Q2517" s="2" t="str">
        <f>IF($C2517="","",IFERROR(VLOOKUP($C2517,sources!$A$2:$N$200,2,FALSE()),"?"))</f>
        <v>Newspaper</v>
      </c>
      <c r="R2517" s="2" t="str">
        <f t="shared" si="39"/>
        <v>Textual</v>
      </c>
      <c r="S2517" s="2" t="str">
        <f>IF($C2517="","",IFERROR(VLOOKUP($C2517,sources!$A$2:$N$200,9,FALSE()),"?"))</f>
        <v>Panamanian</v>
      </c>
      <c r="T2517" t="s">
        <v>5692</v>
      </c>
      <c r="U2517">
        <f>IF(OR(B2517="",C2517="",T2517="Retracted",LEFT(D2517,8)="Negative"),0,IF(COUNTIFS($B$2:B2517,B2517,$C$2:C2517,C2517,$D$2:D2517,"&lt;&gt;Negative*",$T$2:T2517,"&lt;&gt;Retracted")=1,1,0))</f>
        <v>1</v>
      </c>
    </row>
    <row r="2518" spans="1:21" x14ac:dyDescent="0.2">
      <c r="A2518" t="s">
        <v>4783</v>
      </c>
      <c r="B2518" t="s">
        <v>971</v>
      </c>
      <c r="C2518" t="s">
        <v>1445</v>
      </c>
      <c r="D2518" t="s">
        <v>1575</v>
      </c>
      <c r="E2518" t="s">
        <v>4296</v>
      </c>
      <c r="F2518" t="s">
        <v>1583</v>
      </c>
      <c r="I2518" t="s">
        <v>1058</v>
      </c>
      <c r="K2518">
        <v>1905</v>
      </c>
      <c r="L2518">
        <v>1905</v>
      </c>
      <c r="M2518" t="s">
        <v>209</v>
      </c>
      <c r="N2518" t="s">
        <v>203</v>
      </c>
      <c r="Q2518" s="2" t="str">
        <f>IF($C2518="","",IFERROR(VLOOKUP($C2518,sources!$A$2:$N$200,2,FALSE()),"?"))</f>
        <v>Newspaper</v>
      </c>
      <c r="R2518" s="2" t="str">
        <f t="shared" si="39"/>
        <v>Textual</v>
      </c>
      <c r="S2518" s="2" t="str">
        <f>IF($C2518="","",IFERROR(VLOOKUP($C2518,sources!$A$2:$N$200,9,FALSE()),"?"))</f>
        <v>Panamanian</v>
      </c>
      <c r="T2518" t="s">
        <v>5692</v>
      </c>
      <c r="U2518">
        <f>IF(OR(B2518="",C2518="",T2518="Retracted",LEFT(D2518,8)="Negative"),0,IF(COUNTIFS($B$2:B2518,B2518,$C$2:C2518,C2518,$D$2:D2518,"&lt;&gt;Negative*",$T$2:T2518,"&lt;&gt;Retracted")=1,1,0))</f>
        <v>1</v>
      </c>
    </row>
    <row r="2519" spans="1:21" x14ac:dyDescent="0.2">
      <c r="A2519" t="s">
        <v>4784</v>
      </c>
      <c r="B2519" t="s">
        <v>974</v>
      </c>
      <c r="C2519" t="s">
        <v>1445</v>
      </c>
      <c r="D2519" t="s">
        <v>1613</v>
      </c>
      <c r="E2519" t="s">
        <v>4298</v>
      </c>
      <c r="F2519" t="s">
        <v>1583</v>
      </c>
      <c r="I2519" t="s">
        <v>1058</v>
      </c>
      <c r="M2519" t="s">
        <v>190</v>
      </c>
      <c r="N2519" t="s">
        <v>209</v>
      </c>
      <c r="Q2519" s="2" t="str">
        <f>IF($C2519="","",IFERROR(VLOOKUP($C2519,sources!$A$2:$N$200,2,FALSE()),"?"))</f>
        <v>Newspaper</v>
      </c>
      <c r="R2519" s="2" t="str">
        <f t="shared" si="39"/>
        <v>Textual</v>
      </c>
      <c r="S2519" s="2" t="str">
        <f>IF($C2519="","",IFERROR(VLOOKUP($C2519,sources!$A$2:$N$200,9,FALSE()),"?"))</f>
        <v>Panamanian</v>
      </c>
      <c r="T2519" t="s">
        <v>5692</v>
      </c>
      <c r="U2519">
        <f>IF(OR(B2519="",C2519="",T2519="Retracted",LEFT(D2519,8)="Negative"),0,IF(COUNTIFS($B$2:B2519,B2519,$C$2:C2519,C2519,$D$2:D2519,"&lt;&gt;Negative*",$T$2:T2519,"&lt;&gt;Retracted")=1,1,0))</f>
        <v>0</v>
      </c>
    </row>
    <row r="2520" spans="1:21" x14ac:dyDescent="0.2">
      <c r="A2520" t="s">
        <v>4785</v>
      </c>
      <c r="B2520" t="s">
        <v>979</v>
      </c>
      <c r="C2520" t="s">
        <v>1445</v>
      </c>
      <c r="D2520" t="s">
        <v>1613</v>
      </c>
      <c r="E2520" t="s">
        <v>981</v>
      </c>
      <c r="F2520" t="s">
        <v>1583</v>
      </c>
      <c r="I2520" t="s">
        <v>1058</v>
      </c>
      <c r="M2520" t="s">
        <v>190</v>
      </c>
      <c r="N2520" t="s">
        <v>209</v>
      </c>
      <c r="Q2520" s="2" t="str">
        <f>IF($C2520="","",IFERROR(VLOOKUP($C2520,sources!$A$2:$N$200,2,FALSE()),"?"))</f>
        <v>Newspaper</v>
      </c>
      <c r="R2520" s="2" t="str">
        <f t="shared" si="39"/>
        <v>Textual</v>
      </c>
      <c r="S2520" s="2" t="str">
        <f>IF($C2520="","",IFERROR(VLOOKUP($C2520,sources!$A$2:$N$200,9,FALSE()),"?"))</f>
        <v>Panamanian</v>
      </c>
      <c r="T2520" t="s">
        <v>5692</v>
      </c>
      <c r="U2520">
        <f>IF(OR(B2520="",C2520="",T2520="Retracted",LEFT(D2520,8)="Negative"),0,IF(COUNTIFS($B$2:B2520,B2520,$C$2:C2520,C2520,$D$2:D2520,"&lt;&gt;Negative*",$T$2:T2520,"&lt;&gt;Retracted")=1,1,0))</f>
        <v>0</v>
      </c>
    </row>
    <row r="2521" spans="1:21" x14ac:dyDescent="0.2">
      <c r="A2521" t="s">
        <v>4786</v>
      </c>
      <c r="B2521" t="s">
        <v>983</v>
      </c>
      <c r="C2521" t="s">
        <v>1445</v>
      </c>
      <c r="D2521" t="s">
        <v>1575</v>
      </c>
      <c r="E2521" t="s">
        <v>985</v>
      </c>
      <c r="F2521" t="s">
        <v>1583</v>
      </c>
      <c r="I2521" t="s">
        <v>1058</v>
      </c>
      <c r="K2521">
        <v>1912</v>
      </c>
      <c r="L2521">
        <v>1912</v>
      </c>
      <c r="M2521" t="s">
        <v>209</v>
      </c>
      <c r="N2521" t="s">
        <v>203</v>
      </c>
      <c r="Q2521" s="2" t="str">
        <f>IF($C2521="","",IFERROR(VLOOKUP($C2521,sources!$A$2:$N$200,2,FALSE()),"?"))</f>
        <v>Newspaper</v>
      </c>
      <c r="R2521" s="2" t="str">
        <f t="shared" si="39"/>
        <v>Textual</v>
      </c>
      <c r="S2521" s="2" t="str">
        <f>IF($C2521="","",IFERROR(VLOOKUP($C2521,sources!$A$2:$N$200,9,FALSE()),"?"))</f>
        <v>Panamanian</v>
      </c>
      <c r="T2521" t="s">
        <v>5692</v>
      </c>
      <c r="U2521">
        <f>IF(OR(B2521="",C2521="",T2521="Retracted",LEFT(D2521,8)="Negative"),0,IF(COUNTIFS($B$2:B2521,B2521,$C$2:C2521,C2521,$D$2:D2521,"&lt;&gt;Negative*",$T$2:T2521,"&lt;&gt;Retracted")=1,1,0))</f>
        <v>1</v>
      </c>
    </row>
    <row r="2522" spans="1:21" x14ac:dyDescent="0.2">
      <c r="A2522" t="s">
        <v>4787</v>
      </c>
      <c r="B2522" t="s">
        <v>994</v>
      </c>
      <c r="C2522" t="s">
        <v>1445</v>
      </c>
      <c r="D2522" t="s">
        <v>1575</v>
      </c>
      <c r="E2522" t="s">
        <v>995</v>
      </c>
      <c r="F2522" t="s">
        <v>1583</v>
      </c>
      <c r="I2522" t="s">
        <v>1058</v>
      </c>
      <c r="K2522">
        <v>1910</v>
      </c>
      <c r="L2522">
        <v>1910</v>
      </c>
      <c r="M2522" t="s">
        <v>209</v>
      </c>
      <c r="N2522" t="s">
        <v>203</v>
      </c>
      <c r="Q2522" s="2" t="str">
        <f>IF($C2522="","",IFERROR(VLOOKUP($C2522,sources!$A$2:$N$200,2,FALSE()),"?"))</f>
        <v>Newspaper</v>
      </c>
      <c r="R2522" s="2" t="str">
        <f t="shared" si="39"/>
        <v>Textual</v>
      </c>
      <c r="S2522" s="2" t="str">
        <f>IF($C2522="","",IFERROR(VLOOKUP($C2522,sources!$A$2:$N$200,9,FALSE()),"?"))</f>
        <v>Panamanian</v>
      </c>
      <c r="T2522" t="s">
        <v>5692</v>
      </c>
      <c r="U2522">
        <f>IF(OR(B2522="",C2522="",T2522="Retracted",LEFT(D2522,8)="Negative"),0,IF(COUNTIFS($B$2:B2522,B2522,$C$2:C2522,C2522,$D$2:D2522,"&lt;&gt;Negative*",$T$2:T2522,"&lt;&gt;Retracted")=1,1,0))</f>
        <v>1</v>
      </c>
    </row>
    <row r="2523" spans="1:21" x14ac:dyDescent="0.2">
      <c r="A2523" t="s">
        <v>4788</v>
      </c>
      <c r="B2523" t="s">
        <v>997</v>
      </c>
      <c r="C2523" t="s">
        <v>1445</v>
      </c>
      <c r="D2523" t="s">
        <v>1575</v>
      </c>
      <c r="E2523" t="s">
        <v>4305</v>
      </c>
      <c r="F2523" t="s">
        <v>1583</v>
      </c>
      <c r="I2523" t="s">
        <v>1058</v>
      </c>
      <c r="K2523">
        <v>1909</v>
      </c>
      <c r="L2523">
        <v>1909</v>
      </c>
      <c r="M2523" t="s">
        <v>209</v>
      </c>
      <c r="N2523" t="s">
        <v>203</v>
      </c>
      <c r="Q2523" s="2" t="str">
        <f>IF($C2523="","",IFERROR(VLOOKUP($C2523,sources!$A$2:$N$200,2,FALSE()),"?"))</f>
        <v>Newspaper</v>
      </c>
      <c r="R2523" s="2" t="str">
        <f t="shared" si="39"/>
        <v>Textual</v>
      </c>
      <c r="S2523" s="2" t="str">
        <f>IF($C2523="","",IFERROR(VLOOKUP($C2523,sources!$A$2:$N$200,9,FALSE()),"?"))</f>
        <v>Panamanian</v>
      </c>
      <c r="T2523" t="s">
        <v>5692</v>
      </c>
      <c r="U2523">
        <f>IF(OR(B2523="",C2523="",T2523="Retracted",LEFT(D2523,8)="Negative"),0,IF(COUNTIFS($B$2:B2523,B2523,$C$2:C2523,C2523,$D$2:D2523,"&lt;&gt;Negative*",$T$2:T2523,"&lt;&gt;Retracted")=1,1,0))</f>
        <v>1</v>
      </c>
    </row>
    <row r="2524" spans="1:21" x14ac:dyDescent="0.2">
      <c r="A2524" t="s">
        <v>4789</v>
      </c>
      <c r="B2524" t="s">
        <v>1002</v>
      </c>
      <c r="C2524" t="s">
        <v>1445</v>
      </c>
      <c r="D2524" t="s">
        <v>1613</v>
      </c>
      <c r="E2524" t="s">
        <v>1003</v>
      </c>
      <c r="F2524" t="s">
        <v>1583</v>
      </c>
      <c r="I2524" t="s">
        <v>1058</v>
      </c>
      <c r="M2524" t="s">
        <v>190</v>
      </c>
      <c r="N2524" t="s">
        <v>209</v>
      </c>
      <c r="Q2524" s="2" t="str">
        <f>IF($C2524="","",IFERROR(VLOOKUP($C2524,sources!$A$2:$N$200,2,FALSE()),"?"))</f>
        <v>Newspaper</v>
      </c>
      <c r="R2524" s="2" t="str">
        <f t="shared" si="39"/>
        <v>Textual</v>
      </c>
      <c r="S2524" s="2" t="str">
        <f>IF($C2524="","",IFERROR(VLOOKUP($C2524,sources!$A$2:$N$200,9,FALSE()),"?"))</f>
        <v>Panamanian</v>
      </c>
      <c r="T2524" t="s">
        <v>5692</v>
      </c>
      <c r="U2524">
        <f>IF(OR(B2524="",C2524="",T2524="Retracted",LEFT(D2524,8)="Negative"),0,IF(COUNTIFS($B$2:B2524,B2524,$C$2:C2524,C2524,$D$2:D2524,"&lt;&gt;Negative*",$T$2:T2524,"&lt;&gt;Retracted")=1,1,0))</f>
        <v>0</v>
      </c>
    </row>
    <row r="2525" spans="1:21" x14ac:dyDescent="0.2">
      <c r="A2525" t="s">
        <v>4790</v>
      </c>
      <c r="B2525" t="s">
        <v>1012</v>
      </c>
      <c r="C2525" t="s">
        <v>1445</v>
      </c>
      <c r="D2525" t="s">
        <v>1575</v>
      </c>
      <c r="E2525" t="s">
        <v>1013</v>
      </c>
      <c r="F2525" t="s">
        <v>1583</v>
      </c>
      <c r="I2525" t="s">
        <v>1058</v>
      </c>
      <c r="M2525" t="s">
        <v>209</v>
      </c>
      <c r="N2525" t="s">
        <v>190</v>
      </c>
      <c r="Q2525" s="2" t="str">
        <f>IF($C2525="","",IFERROR(VLOOKUP($C2525,sources!$A$2:$N$200,2,FALSE()),"?"))</f>
        <v>Newspaper</v>
      </c>
      <c r="R2525" s="2" t="str">
        <f t="shared" si="39"/>
        <v>Textual</v>
      </c>
      <c r="S2525" s="2" t="str">
        <f>IF($C2525="","",IFERROR(VLOOKUP($C2525,sources!$A$2:$N$200,9,FALSE()),"?"))</f>
        <v>Panamanian</v>
      </c>
      <c r="T2525" t="s">
        <v>5692</v>
      </c>
      <c r="U2525">
        <f>IF(OR(B2525="",C2525="",T2525="Retracted",LEFT(D2525,8)="Negative"),0,IF(COUNTIFS($B$2:B2525,B2525,$C$2:C2525,C2525,$D$2:D2525,"&lt;&gt;Negative*",$T$2:T2525,"&lt;&gt;Retracted")=1,1,0))</f>
        <v>1</v>
      </c>
    </row>
    <row r="2526" spans="1:21" x14ac:dyDescent="0.2">
      <c r="A2526" t="s">
        <v>4791</v>
      </c>
      <c r="B2526" t="s">
        <v>1017</v>
      </c>
      <c r="C2526" t="s">
        <v>1445</v>
      </c>
      <c r="D2526" t="s">
        <v>1575</v>
      </c>
      <c r="E2526" t="s">
        <v>1018</v>
      </c>
      <c r="F2526" t="s">
        <v>1583</v>
      </c>
      <c r="I2526" t="s">
        <v>1058</v>
      </c>
      <c r="M2526" t="s">
        <v>190</v>
      </c>
      <c r="N2526" t="s">
        <v>190</v>
      </c>
      <c r="Q2526" s="2" t="str">
        <f>IF($C2526="","",IFERROR(VLOOKUP($C2526,sources!$A$2:$N$200,2,FALSE()),"?"))</f>
        <v>Newspaper</v>
      </c>
      <c r="R2526" s="2" t="str">
        <f t="shared" si="39"/>
        <v>Textual</v>
      </c>
      <c r="S2526" s="2" t="str">
        <f>IF($C2526="","",IFERROR(VLOOKUP($C2526,sources!$A$2:$N$200,9,FALSE()),"?"))</f>
        <v>Panamanian</v>
      </c>
      <c r="T2526" t="s">
        <v>5692</v>
      </c>
      <c r="U2526">
        <f>IF(OR(B2526="",C2526="",T2526="Retracted",LEFT(D2526,8)="Negative"),0,IF(COUNTIFS($B$2:B2526,B2526,$C$2:C2526,C2526,$D$2:D2526,"&lt;&gt;Negative*",$T$2:T2526,"&lt;&gt;Retracted")=1,1,0))</f>
        <v>1</v>
      </c>
    </row>
    <row r="2527" spans="1:21" x14ac:dyDescent="0.2">
      <c r="A2527" t="s">
        <v>4792</v>
      </c>
      <c r="B2527" t="s">
        <v>1021</v>
      </c>
      <c r="C2527" t="s">
        <v>1445</v>
      </c>
      <c r="D2527" t="s">
        <v>1575</v>
      </c>
      <c r="E2527" t="s">
        <v>1022</v>
      </c>
      <c r="F2527" t="s">
        <v>1583</v>
      </c>
      <c r="I2527" t="s">
        <v>1058</v>
      </c>
      <c r="M2527" t="s">
        <v>209</v>
      </c>
      <c r="N2527" t="s">
        <v>190</v>
      </c>
      <c r="Q2527" s="2" t="str">
        <f>IF($C2527="","",IFERROR(VLOOKUP($C2527,sources!$A$2:$N$200,2,FALSE()),"?"))</f>
        <v>Newspaper</v>
      </c>
      <c r="R2527" s="2" t="str">
        <f t="shared" si="39"/>
        <v>Textual</v>
      </c>
      <c r="S2527" s="2" t="str">
        <f>IF($C2527="","",IFERROR(VLOOKUP($C2527,sources!$A$2:$N$200,9,FALSE()),"?"))</f>
        <v>Panamanian</v>
      </c>
      <c r="T2527" t="s">
        <v>5692</v>
      </c>
      <c r="U2527">
        <f>IF(OR(B2527="",C2527="",T2527="Retracted",LEFT(D2527,8)="Negative"),0,IF(COUNTIFS($B$2:B2527,B2527,$C$2:C2527,C2527,$D$2:D2527,"&lt;&gt;Negative*",$T$2:T2527,"&lt;&gt;Retracted")=1,1,0))</f>
        <v>1</v>
      </c>
    </row>
    <row r="2528" spans="1:21" x14ac:dyDescent="0.2">
      <c r="A2528" t="s">
        <v>4793</v>
      </c>
      <c r="B2528" t="s">
        <v>783</v>
      </c>
      <c r="C2528" t="s">
        <v>1203</v>
      </c>
      <c r="D2528" t="s">
        <v>1613</v>
      </c>
      <c r="E2528" t="s">
        <v>784</v>
      </c>
      <c r="F2528" t="s">
        <v>1583</v>
      </c>
      <c r="I2528" t="s">
        <v>1058</v>
      </c>
      <c r="M2528" t="s">
        <v>190</v>
      </c>
      <c r="N2528" t="s">
        <v>209</v>
      </c>
      <c r="Q2528" s="2" t="str">
        <f>IF($C2528="","",IFERROR(VLOOKUP($C2528,sources!$A$2:$N$200,2,FALSE()),"?"))</f>
        <v>Newspaper</v>
      </c>
      <c r="R2528" s="2" t="str">
        <f t="shared" si="39"/>
        <v>Textual</v>
      </c>
      <c r="S2528" s="2" t="str">
        <f>IF($C2528="","",IFERROR(VLOOKUP($C2528,sources!$A$2:$N$200,9,FALSE()),"?"))</f>
        <v>US press</v>
      </c>
      <c r="T2528" t="s">
        <v>5692</v>
      </c>
      <c r="U2528">
        <f>IF(OR(B2528="",C2528="",T2528="Retracted",LEFT(D2528,8)="Negative"),0,IF(COUNTIFS($B$2:B2528,B2528,$C$2:C2528,C2528,$D$2:D2528,"&lt;&gt;Negative*",$T$2:T2528,"&lt;&gt;Retracted")=1,1,0))</f>
        <v>0</v>
      </c>
    </row>
    <row r="2529" spans="1:21" x14ac:dyDescent="0.2">
      <c r="A2529" t="s">
        <v>4794</v>
      </c>
      <c r="B2529" t="s">
        <v>786</v>
      </c>
      <c r="C2529" t="s">
        <v>1203</v>
      </c>
      <c r="D2529" t="s">
        <v>1575</v>
      </c>
      <c r="E2529" t="s">
        <v>787</v>
      </c>
      <c r="F2529" t="s">
        <v>1583</v>
      </c>
      <c r="I2529" t="s">
        <v>1058</v>
      </c>
      <c r="M2529" t="s">
        <v>190</v>
      </c>
      <c r="N2529" t="s">
        <v>190</v>
      </c>
      <c r="Q2529" s="2" t="str">
        <f>IF($C2529="","",IFERROR(VLOOKUP($C2529,sources!$A$2:$N$200,2,FALSE()),"?"))</f>
        <v>Newspaper</v>
      </c>
      <c r="R2529" s="2" t="str">
        <f t="shared" si="39"/>
        <v>Textual</v>
      </c>
      <c r="S2529" s="2" t="str">
        <f>IF($C2529="","",IFERROR(VLOOKUP($C2529,sources!$A$2:$N$200,9,FALSE()),"?"))</f>
        <v>US press</v>
      </c>
      <c r="T2529" t="s">
        <v>5692</v>
      </c>
      <c r="U2529">
        <f>IF(OR(B2529="",C2529="",T2529="Retracted",LEFT(D2529,8)="Negative"),0,IF(COUNTIFS($B$2:B2529,B2529,$C$2:C2529,C2529,$D$2:D2529,"&lt;&gt;Negative*",$T$2:T2529,"&lt;&gt;Retracted")=1,1,0))</f>
        <v>1</v>
      </c>
    </row>
    <row r="2530" spans="1:21" x14ac:dyDescent="0.2">
      <c r="A2530" t="s">
        <v>4795</v>
      </c>
      <c r="B2530" t="s">
        <v>791</v>
      </c>
      <c r="C2530" t="s">
        <v>1203</v>
      </c>
      <c r="D2530" t="s">
        <v>1575</v>
      </c>
      <c r="E2530" t="s">
        <v>4737</v>
      </c>
      <c r="F2530" t="s">
        <v>1583</v>
      </c>
      <c r="I2530" t="s">
        <v>1058</v>
      </c>
      <c r="M2530" t="s">
        <v>190</v>
      </c>
      <c r="N2530" t="s">
        <v>190</v>
      </c>
      <c r="Q2530" s="2" t="str">
        <f>IF($C2530="","",IFERROR(VLOOKUP($C2530,sources!$A$2:$N$200,2,FALSE()),"?"))</f>
        <v>Newspaper</v>
      </c>
      <c r="R2530" s="2" t="str">
        <f t="shared" si="39"/>
        <v>Textual</v>
      </c>
      <c r="S2530" s="2" t="str">
        <f>IF($C2530="","",IFERROR(VLOOKUP($C2530,sources!$A$2:$N$200,9,FALSE()),"?"))</f>
        <v>US press</v>
      </c>
      <c r="T2530" t="s">
        <v>5692</v>
      </c>
      <c r="U2530">
        <f>IF(OR(B2530="",C2530="",T2530="Retracted",LEFT(D2530,8)="Negative"),0,IF(COUNTIFS($B$2:B2530,B2530,$C$2:C2530,C2530,$D$2:D2530,"&lt;&gt;Negative*",$T$2:T2530,"&lt;&gt;Retracted")=1,1,0))</f>
        <v>1</v>
      </c>
    </row>
    <row r="2531" spans="1:21" x14ac:dyDescent="0.2">
      <c r="A2531" t="s">
        <v>4796</v>
      </c>
      <c r="B2531" t="s">
        <v>796</v>
      </c>
      <c r="C2531" t="s">
        <v>1203</v>
      </c>
      <c r="D2531" t="s">
        <v>1575</v>
      </c>
      <c r="E2531" t="s">
        <v>4797</v>
      </c>
      <c r="F2531" t="s">
        <v>1583</v>
      </c>
      <c r="I2531" t="s">
        <v>1058</v>
      </c>
      <c r="M2531" t="s">
        <v>190</v>
      </c>
      <c r="N2531" t="s">
        <v>190</v>
      </c>
      <c r="Q2531" s="2" t="str">
        <f>IF($C2531="","",IFERROR(VLOOKUP($C2531,sources!$A$2:$N$200,2,FALSE()),"?"))</f>
        <v>Newspaper</v>
      </c>
      <c r="R2531" s="2" t="str">
        <f t="shared" si="39"/>
        <v>Textual</v>
      </c>
      <c r="S2531" s="2" t="str">
        <f>IF($C2531="","",IFERROR(VLOOKUP($C2531,sources!$A$2:$N$200,9,FALSE()),"?"))</f>
        <v>US press</v>
      </c>
      <c r="T2531" t="s">
        <v>5692</v>
      </c>
      <c r="U2531">
        <f>IF(OR(B2531="",C2531="",T2531="Retracted",LEFT(D2531,8)="Negative"),0,IF(COUNTIFS($B$2:B2531,B2531,$C$2:C2531,C2531,$D$2:D2531,"&lt;&gt;Negative*",$T$2:T2531,"&lt;&gt;Retracted")=1,1,0))</f>
        <v>1</v>
      </c>
    </row>
    <row r="2532" spans="1:21" x14ac:dyDescent="0.2">
      <c r="A2532" t="s">
        <v>4798</v>
      </c>
      <c r="B2532" t="s">
        <v>801</v>
      </c>
      <c r="C2532" t="s">
        <v>1203</v>
      </c>
      <c r="D2532" t="s">
        <v>1575</v>
      </c>
      <c r="E2532" t="s">
        <v>802</v>
      </c>
      <c r="F2532" t="s">
        <v>1583</v>
      </c>
      <c r="I2532" t="s">
        <v>1058</v>
      </c>
      <c r="K2532">
        <v>1904</v>
      </c>
      <c r="L2532">
        <v>1904</v>
      </c>
      <c r="M2532" t="s">
        <v>209</v>
      </c>
      <c r="N2532" t="s">
        <v>203</v>
      </c>
      <c r="Q2532" s="2" t="str">
        <f>IF($C2532="","",IFERROR(VLOOKUP($C2532,sources!$A$2:$N$200,2,FALSE()),"?"))</f>
        <v>Newspaper</v>
      </c>
      <c r="R2532" s="2" t="str">
        <f t="shared" si="39"/>
        <v>Textual</v>
      </c>
      <c r="S2532" s="2" t="str">
        <f>IF($C2532="","",IFERROR(VLOOKUP($C2532,sources!$A$2:$N$200,9,FALSE()),"?"))</f>
        <v>US press</v>
      </c>
      <c r="T2532" t="s">
        <v>5692</v>
      </c>
      <c r="U2532">
        <f>IF(OR(B2532="",C2532="",T2532="Retracted",LEFT(D2532,8)="Negative"),0,IF(COUNTIFS($B$2:B2532,B2532,$C$2:C2532,C2532,$D$2:D2532,"&lt;&gt;Negative*",$T$2:T2532,"&lt;&gt;Retracted")=1,1,0))</f>
        <v>1</v>
      </c>
    </row>
    <row r="2533" spans="1:21" x14ac:dyDescent="0.2">
      <c r="A2533" t="s">
        <v>4799</v>
      </c>
      <c r="B2533" t="s">
        <v>805</v>
      </c>
      <c r="C2533" t="s">
        <v>1203</v>
      </c>
      <c r="D2533" t="s">
        <v>1575</v>
      </c>
      <c r="E2533" t="s">
        <v>806</v>
      </c>
      <c r="F2533" t="s">
        <v>1583</v>
      </c>
      <c r="I2533" t="s">
        <v>1058</v>
      </c>
      <c r="K2533">
        <v>1906</v>
      </c>
      <c r="L2533">
        <v>1906</v>
      </c>
      <c r="M2533" t="s">
        <v>209</v>
      </c>
      <c r="N2533" t="s">
        <v>203</v>
      </c>
      <c r="Q2533" s="2" t="str">
        <f>IF($C2533="","",IFERROR(VLOOKUP($C2533,sources!$A$2:$N$200,2,FALSE()),"?"))</f>
        <v>Newspaper</v>
      </c>
      <c r="R2533" s="2" t="str">
        <f t="shared" si="39"/>
        <v>Textual</v>
      </c>
      <c r="S2533" s="2" t="str">
        <f>IF($C2533="","",IFERROR(VLOOKUP($C2533,sources!$A$2:$N$200,9,FALSE()),"?"))</f>
        <v>US press</v>
      </c>
      <c r="T2533" t="s">
        <v>5692</v>
      </c>
      <c r="U2533">
        <f>IF(OR(B2533="",C2533="",T2533="Retracted",LEFT(D2533,8)="Negative"),0,IF(COUNTIFS($B$2:B2533,B2533,$C$2:C2533,C2533,$D$2:D2533,"&lt;&gt;Negative*",$T$2:T2533,"&lt;&gt;Retracted")=1,1,0))</f>
        <v>1</v>
      </c>
    </row>
    <row r="2534" spans="1:21" x14ac:dyDescent="0.2">
      <c r="A2534" t="s">
        <v>4800</v>
      </c>
      <c r="B2534" t="s">
        <v>808</v>
      </c>
      <c r="C2534" t="s">
        <v>1203</v>
      </c>
      <c r="D2534" t="s">
        <v>1575</v>
      </c>
      <c r="E2534" t="s">
        <v>3356</v>
      </c>
      <c r="F2534" t="s">
        <v>1583</v>
      </c>
      <c r="I2534" t="s">
        <v>1058</v>
      </c>
      <c r="M2534" t="s">
        <v>190</v>
      </c>
      <c r="N2534" t="s">
        <v>190</v>
      </c>
      <c r="Q2534" s="2" t="str">
        <f>IF($C2534="","",IFERROR(VLOOKUP($C2534,sources!$A$2:$N$200,2,FALSE()),"?"))</f>
        <v>Newspaper</v>
      </c>
      <c r="R2534" s="2" t="str">
        <f t="shared" si="39"/>
        <v>Textual</v>
      </c>
      <c r="S2534" s="2" t="str">
        <f>IF($C2534="","",IFERROR(VLOOKUP($C2534,sources!$A$2:$N$200,9,FALSE()),"?"))</f>
        <v>US press</v>
      </c>
      <c r="T2534" t="s">
        <v>5692</v>
      </c>
      <c r="U2534">
        <f>IF(OR(B2534="",C2534="",T2534="Retracted",LEFT(D2534,8)="Negative"),0,IF(COUNTIFS($B$2:B2534,B2534,$C$2:C2534,C2534,$D$2:D2534,"&lt;&gt;Negative*",$T$2:T2534,"&lt;&gt;Retracted")=1,1,0))</f>
        <v>1</v>
      </c>
    </row>
    <row r="2535" spans="1:21" x14ac:dyDescent="0.2">
      <c r="A2535" t="s">
        <v>4801</v>
      </c>
      <c r="B2535" t="s">
        <v>811</v>
      </c>
      <c r="C2535" t="s">
        <v>1203</v>
      </c>
      <c r="D2535" t="s">
        <v>1575</v>
      </c>
      <c r="E2535" t="s">
        <v>812</v>
      </c>
      <c r="F2535" t="s">
        <v>1583</v>
      </c>
      <c r="I2535" t="s">
        <v>1058</v>
      </c>
      <c r="M2535" t="s">
        <v>190</v>
      </c>
      <c r="N2535" t="s">
        <v>190</v>
      </c>
      <c r="Q2535" s="2" t="str">
        <f>IF($C2535="","",IFERROR(VLOOKUP($C2535,sources!$A$2:$N$200,2,FALSE()),"?"))</f>
        <v>Newspaper</v>
      </c>
      <c r="R2535" s="2" t="str">
        <f t="shared" si="39"/>
        <v>Textual</v>
      </c>
      <c r="S2535" s="2" t="str">
        <f>IF($C2535="","",IFERROR(VLOOKUP($C2535,sources!$A$2:$N$200,9,FALSE()),"?"))</f>
        <v>US press</v>
      </c>
      <c r="T2535" t="s">
        <v>5692</v>
      </c>
      <c r="U2535">
        <f>IF(OR(B2535="",C2535="",T2535="Retracted",LEFT(D2535,8)="Negative"),0,IF(COUNTIFS($B$2:B2535,B2535,$C$2:C2535,C2535,$D$2:D2535,"&lt;&gt;Negative*",$T$2:T2535,"&lt;&gt;Retracted")=1,1,0))</f>
        <v>1</v>
      </c>
    </row>
    <row r="2536" spans="1:21" x14ac:dyDescent="0.2">
      <c r="A2536" t="s">
        <v>4802</v>
      </c>
      <c r="B2536" t="s">
        <v>816</v>
      </c>
      <c r="C2536" t="s">
        <v>1203</v>
      </c>
      <c r="D2536" t="s">
        <v>1575</v>
      </c>
      <c r="E2536" t="s">
        <v>4251</v>
      </c>
      <c r="F2536" t="s">
        <v>1583</v>
      </c>
      <c r="I2536" t="s">
        <v>1058</v>
      </c>
      <c r="M2536" t="s">
        <v>190</v>
      </c>
      <c r="N2536" t="s">
        <v>190</v>
      </c>
      <c r="Q2536" s="2" t="str">
        <f>IF($C2536="","",IFERROR(VLOOKUP($C2536,sources!$A$2:$N$200,2,FALSE()),"?"))</f>
        <v>Newspaper</v>
      </c>
      <c r="R2536" s="2" t="str">
        <f t="shared" si="39"/>
        <v>Textual</v>
      </c>
      <c r="S2536" s="2" t="str">
        <f>IF($C2536="","",IFERROR(VLOOKUP($C2536,sources!$A$2:$N$200,9,FALSE()),"?"))</f>
        <v>US press</v>
      </c>
      <c r="T2536" t="s">
        <v>5692</v>
      </c>
      <c r="U2536">
        <f>IF(OR(B2536="",C2536="",T2536="Retracted",LEFT(D2536,8)="Negative"),0,IF(COUNTIFS($B$2:B2536,B2536,$C$2:C2536,C2536,$D$2:D2536,"&lt;&gt;Negative*",$T$2:T2536,"&lt;&gt;Retracted")=1,1,0))</f>
        <v>1</v>
      </c>
    </row>
    <row r="2537" spans="1:21" x14ac:dyDescent="0.2">
      <c r="A2537" t="s">
        <v>4803</v>
      </c>
      <c r="B2537" t="s">
        <v>819</v>
      </c>
      <c r="C2537" t="s">
        <v>1203</v>
      </c>
      <c r="D2537" t="s">
        <v>1564</v>
      </c>
      <c r="E2537" t="s">
        <v>820</v>
      </c>
      <c r="F2537" t="s">
        <v>1583</v>
      </c>
      <c r="I2537" t="s">
        <v>1058</v>
      </c>
      <c r="K2537">
        <v>1913</v>
      </c>
      <c r="L2537">
        <v>1913</v>
      </c>
      <c r="M2537" t="s">
        <v>209</v>
      </c>
      <c r="N2537" t="s">
        <v>203</v>
      </c>
      <c r="Q2537" s="2" t="str">
        <f>IF($C2537="","",IFERROR(VLOOKUP($C2537,sources!$A$2:$N$200,2,FALSE()),"?"))</f>
        <v>Newspaper</v>
      </c>
      <c r="R2537" s="2" t="str">
        <f t="shared" si="39"/>
        <v>Textual</v>
      </c>
      <c r="S2537" s="2" t="str">
        <f>IF($C2537="","",IFERROR(VLOOKUP($C2537,sources!$A$2:$N$200,9,FALSE()),"?"))</f>
        <v>US press</v>
      </c>
      <c r="T2537" t="s">
        <v>5692</v>
      </c>
      <c r="U2537">
        <f>IF(OR(B2537="",C2537="",T2537="Retracted",LEFT(D2537,8)="Negative"),0,IF(COUNTIFS($B$2:B2537,B2537,$C$2:C2537,C2537,$D$2:D2537,"&lt;&gt;Negative*",$T$2:T2537,"&lt;&gt;Retracted")=1,1,0))</f>
        <v>1</v>
      </c>
    </row>
    <row r="2538" spans="1:21" x14ac:dyDescent="0.2">
      <c r="A2538" t="s">
        <v>4804</v>
      </c>
      <c r="B2538" t="s">
        <v>824</v>
      </c>
      <c r="C2538" t="s">
        <v>1203</v>
      </c>
      <c r="D2538" t="s">
        <v>1613</v>
      </c>
      <c r="E2538" t="s">
        <v>825</v>
      </c>
      <c r="F2538" t="s">
        <v>1583</v>
      </c>
      <c r="I2538" t="s">
        <v>1058</v>
      </c>
      <c r="M2538" t="s">
        <v>190</v>
      </c>
      <c r="N2538" t="s">
        <v>209</v>
      </c>
      <c r="Q2538" s="2" t="str">
        <f>IF($C2538="","",IFERROR(VLOOKUP($C2538,sources!$A$2:$N$200,2,FALSE()),"?"))</f>
        <v>Newspaper</v>
      </c>
      <c r="R2538" s="2" t="str">
        <f t="shared" si="39"/>
        <v>Textual</v>
      </c>
      <c r="S2538" s="2" t="str">
        <f>IF($C2538="","",IFERROR(VLOOKUP($C2538,sources!$A$2:$N$200,9,FALSE()),"?"))</f>
        <v>US press</v>
      </c>
      <c r="T2538" t="s">
        <v>5692</v>
      </c>
      <c r="U2538">
        <f>IF(OR(B2538="",C2538="",T2538="Retracted",LEFT(D2538,8)="Negative"),0,IF(COUNTIFS($B$2:B2538,B2538,$C$2:C2538,C2538,$D$2:D2538,"&lt;&gt;Negative*",$T$2:T2538,"&lt;&gt;Retracted")=1,1,0))</f>
        <v>0</v>
      </c>
    </row>
    <row r="2539" spans="1:21" x14ac:dyDescent="0.2">
      <c r="A2539" t="s">
        <v>4805</v>
      </c>
      <c r="B2539" t="s">
        <v>828</v>
      </c>
      <c r="C2539" t="s">
        <v>1203</v>
      </c>
      <c r="D2539" t="s">
        <v>1575</v>
      </c>
      <c r="E2539" t="s">
        <v>829</v>
      </c>
      <c r="F2539" t="s">
        <v>1583</v>
      </c>
      <c r="I2539" t="s">
        <v>1058</v>
      </c>
      <c r="K2539">
        <v>1914</v>
      </c>
      <c r="L2539">
        <v>1914</v>
      </c>
      <c r="M2539" t="s">
        <v>209</v>
      </c>
      <c r="N2539" t="s">
        <v>203</v>
      </c>
      <c r="Q2539" s="2" t="str">
        <f>IF($C2539="","",IFERROR(VLOOKUP($C2539,sources!$A$2:$N$200,2,FALSE()),"?"))</f>
        <v>Newspaper</v>
      </c>
      <c r="R2539" s="2" t="str">
        <f t="shared" si="39"/>
        <v>Textual</v>
      </c>
      <c r="S2539" s="2" t="str">
        <f>IF($C2539="","",IFERROR(VLOOKUP($C2539,sources!$A$2:$N$200,9,FALSE()),"?"))</f>
        <v>US press</v>
      </c>
      <c r="T2539" t="s">
        <v>5692</v>
      </c>
      <c r="U2539">
        <f>IF(OR(B2539="",C2539="",T2539="Retracted",LEFT(D2539,8)="Negative"),0,IF(COUNTIFS($B$2:B2539,B2539,$C$2:C2539,C2539,$D$2:D2539,"&lt;&gt;Negative*",$T$2:T2539,"&lt;&gt;Retracted")=1,1,0))</f>
        <v>1</v>
      </c>
    </row>
    <row r="2540" spans="1:21" x14ac:dyDescent="0.2">
      <c r="A2540" t="s">
        <v>4806</v>
      </c>
      <c r="B2540" t="s">
        <v>832</v>
      </c>
      <c r="C2540" t="s">
        <v>1203</v>
      </c>
      <c r="D2540" t="s">
        <v>1575</v>
      </c>
      <c r="E2540" t="s">
        <v>833</v>
      </c>
      <c r="F2540" t="s">
        <v>1583</v>
      </c>
      <c r="I2540" t="s">
        <v>1058</v>
      </c>
      <c r="M2540" t="s">
        <v>190</v>
      </c>
      <c r="N2540" t="s">
        <v>190</v>
      </c>
      <c r="Q2540" s="2" t="str">
        <f>IF($C2540="","",IFERROR(VLOOKUP($C2540,sources!$A$2:$N$200,2,FALSE()),"?"))</f>
        <v>Newspaper</v>
      </c>
      <c r="R2540" s="2" t="str">
        <f t="shared" si="39"/>
        <v>Textual</v>
      </c>
      <c r="S2540" s="2" t="str">
        <f>IF($C2540="","",IFERROR(VLOOKUP($C2540,sources!$A$2:$N$200,9,FALSE()),"?"))</f>
        <v>US press</v>
      </c>
      <c r="T2540" t="s">
        <v>5692</v>
      </c>
      <c r="U2540">
        <f>IF(OR(B2540="",C2540="",T2540="Retracted",LEFT(D2540,8)="Negative"),0,IF(COUNTIFS($B$2:B2540,B2540,$C$2:C2540,C2540,$D$2:D2540,"&lt;&gt;Negative*",$T$2:T2540,"&lt;&gt;Retracted")=1,1,0))</f>
        <v>1</v>
      </c>
    </row>
    <row r="2541" spans="1:21" x14ac:dyDescent="0.2">
      <c r="A2541" t="s">
        <v>4807</v>
      </c>
      <c r="B2541" t="s">
        <v>835</v>
      </c>
      <c r="C2541" t="s">
        <v>1203</v>
      </c>
      <c r="D2541" t="s">
        <v>1575</v>
      </c>
      <c r="E2541" t="s">
        <v>504</v>
      </c>
      <c r="F2541" t="s">
        <v>1583</v>
      </c>
      <c r="I2541" t="s">
        <v>1058</v>
      </c>
      <c r="K2541">
        <v>1908</v>
      </c>
      <c r="L2541">
        <v>1908</v>
      </c>
      <c r="M2541" t="s">
        <v>209</v>
      </c>
      <c r="N2541" t="s">
        <v>209</v>
      </c>
      <c r="Q2541" s="2" t="str">
        <f>IF($C2541="","",IFERROR(VLOOKUP($C2541,sources!$A$2:$N$200,2,FALSE()),"?"))</f>
        <v>Newspaper</v>
      </c>
      <c r="R2541" s="2" t="str">
        <f t="shared" si="39"/>
        <v>Textual</v>
      </c>
      <c r="S2541" s="2" t="str">
        <f>IF($C2541="","",IFERROR(VLOOKUP($C2541,sources!$A$2:$N$200,9,FALSE()),"?"))</f>
        <v>US press</v>
      </c>
      <c r="T2541" t="s">
        <v>5692</v>
      </c>
      <c r="U2541">
        <f>IF(OR(B2541="",C2541="",T2541="Retracted",LEFT(D2541,8)="Negative"),0,IF(COUNTIFS($B$2:B2541,B2541,$C$2:C2541,C2541,$D$2:D2541,"&lt;&gt;Negative*",$T$2:T2541,"&lt;&gt;Retracted")=1,1,0))</f>
        <v>1</v>
      </c>
    </row>
    <row r="2542" spans="1:21" x14ac:dyDescent="0.2">
      <c r="A2542" t="s">
        <v>4808</v>
      </c>
      <c r="B2542" t="s">
        <v>847</v>
      </c>
      <c r="C2542" t="s">
        <v>1203</v>
      </c>
      <c r="D2542" t="s">
        <v>1613</v>
      </c>
      <c r="E2542" t="s">
        <v>848</v>
      </c>
      <c r="F2542" t="s">
        <v>1583</v>
      </c>
      <c r="I2542" t="s">
        <v>1058</v>
      </c>
      <c r="M2542" t="s">
        <v>190</v>
      </c>
      <c r="N2542" t="s">
        <v>209</v>
      </c>
      <c r="Q2542" s="2" t="str">
        <f>IF($C2542="","",IFERROR(VLOOKUP($C2542,sources!$A$2:$N$200,2,FALSE()),"?"))</f>
        <v>Newspaper</v>
      </c>
      <c r="R2542" s="2" t="str">
        <f t="shared" si="39"/>
        <v>Textual</v>
      </c>
      <c r="S2542" s="2" t="str">
        <f>IF($C2542="","",IFERROR(VLOOKUP($C2542,sources!$A$2:$N$200,9,FALSE()),"?"))</f>
        <v>US press</v>
      </c>
      <c r="T2542" t="s">
        <v>5692</v>
      </c>
      <c r="U2542">
        <f>IF(OR(B2542="",C2542="",T2542="Retracted",LEFT(D2542,8)="Negative"),0,IF(COUNTIFS($B$2:B2542,B2542,$C$2:C2542,C2542,$D$2:D2542,"&lt;&gt;Negative*",$T$2:T2542,"&lt;&gt;Retracted")=1,1,0))</f>
        <v>0</v>
      </c>
    </row>
    <row r="2543" spans="1:21" x14ac:dyDescent="0.2">
      <c r="A2543" t="s">
        <v>4809</v>
      </c>
      <c r="B2543" t="s">
        <v>856</v>
      </c>
      <c r="C2543" t="s">
        <v>1203</v>
      </c>
      <c r="D2543" t="s">
        <v>1613</v>
      </c>
      <c r="E2543" t="s">
        <v>4334</v>
      </c>
      <c r="F2543" t="s">
        <v>1583</v>
      </c>
      <c r="I2543" t="s">
        <v>1058</v>
      </c>
      <c r="M2543" t="s">
        <v>190</v>
      </c>
      <c r="N2543" t="s">
        <v>209</v>
      </c>
      <c r="Q2543" s="2" t="str">
        <f>IF($C2543="","",IFERROR(VLOOKUP($C2543,sources!$A$2:$N$200,2,FALSE()),"?"))</f>
        <v>Newspaper</v>
      </c>
      <c r="R2543" s="2" t="str">
        <f t="shared" si="39"/>
        <v>Textual</v>
      </c>
      <c r="S2543" s="2" t="str">
        <f>IF($C2543="","",IFERROR(VLOOKUP($C2543,sources!$A$2:$N$200,9,FALSE()),"?"))</f>
        <v>US press</v>
      </c>
      <c r="T2543" t="s">
        <v>5692</v>
      </c>
      <c r="U2543">
        <f>IF(OR(B2543="",C2543="",T2543="Retracted",LEFT(D2543,8)="Negative"),0,IF(COUNTIFS($B$2:B2543,B2543,$C$2:C2543,C2543,$D$2:D2543,"&lt;&gt;Negative*",$T$2:T2543,"&lt;&gt;Retracted")=1,1,0))</f>
        <v>0</v>
      </c>
    </row>
    <row r="2544" spans="1:21" x14ac:dyDescent="0.2">
      <c r="A2544" t="s">
        <v>4810</v>
      </c>
      <c r="B2544" t="s">
        <v>860</v>
      </c>
      <c r="C2544" t="s">
        <v>1203</v>
      </c>
      <c r="D2544" t="s">
        <v>1613</v>
      </c>
      <c r="E2544" t="s">
        <v>3322</v>
      </c>
      <c r="F2544" t="s">
        <v>1583</v>
      </c>
      <c r="I2544" t="s">
        <v>1058</v>
      </c>
      <c r="M2544" t="s">
        <v>190</v>
      </c>
      <c r="N2544" t="s">
        <v>209</v>
      </c>
      <c r="Q2544" s="2" t="str">
        <f>IF($C2544="","",IFERROR(VLOOKUP($C2544,sources!$A$2:$N$200,2,FALSE()),"?"))</f>
        <v>Newspaper</v>
      </c>
      <c r="R2544" s="2" t="str">
        <f t="shared" si="39"/>
        <v>Textual</v>
      </c>
      <c r="S2544" s="2" t="str">
        <f>IF($C2544="","",IFERROR(VLOOKUP($C2544,sources!$A$2:$N$200,9,FALSE()),"?"))</f>
        <v>US press</v>
      </c>
      <c r="T2544" t="s">
        <v>5692</v>
      </c>
      <c r="U2544">
        <f>IF(OR(B2544="",C2544="",T2544="Retracted",LEFT(D2544,8)="Negative"),0,IF(COUNTIFS($B$2:B2544,B2544,$C$2:C2544,C2544,$D$2:D2544,"&lt;&gt;Negative*",$T$2:T2544,"&lt;&gt;Retracted")=1,1,0))</f>
        <v>0</v>
      </c>
    </row>
    <row r="2545" spans="1:21" x14ac:dyDescent="0.2">
      <c r="A2545" t="s">
        <v>4811</v>
      </c>
      <c r="B2545" t="s">
        <v>865</v>
      </c>
      <c r="C2545" t="s">
        <v>1203</v>
      </c>
      <c r="D2545" t="s">
        <v>1575</v>
      </c>
      <c r="E2545" t="s">
        <v>3324</v>
      </c>
      <c r="F2545" t="s">
        <v>1583</v>
      </c>
      <c r="I2545" t="s">
        <v>1058</v>
      </c>
      <c r="M2545" t="s">
        <v>190</v>
      </c>
      <c r="N2545" t="s">
        <v>190</v>
      </c>
      <c r="Q2545" s="2" t="str">
        <f>IF($C2545="","",IFERROR(VLOOKUP($C2545,sources!$A$2:$N$200,2,FALSE()),"?"))</f>
        <v>Newspaper</v>
      </c>
      <c r="R2545" s="2" t="str">
        <f t="shared" si="39"/>
        <v>Textual</v>
      </c>
      <c r="S2545" s="2" t="str">
        <f>IF($C2545="","",IFERROR(VLOOKUP($C2545,sources!$A$2:$N$200,9,FALSE()),"?"))</f>
        <v>US press</v>
      </c>
      <c r="T2545" t="s">
        <v>5692</v>
      </c>
      <c r="U2545">
        <f>IF(OR(B2545="",C2545="",T2545="Retracted",LEFT(D2545,8)="Negative"),0,IF(COUNTIFS($B$2:B2545,B2545,$C$2:C2545,C2545,$D$2:D2545,"&lt;&gt;Negative*",$T$2:T2545,"&lt;&gt;Retracted")=1,1,0))</f>
        <v>1</v>
      </c>
    </row>
    <row r="2546" spans="1:21" x14ac:dyDescent="0.2">
      <c r="A2546" t="s">
        <v>4812</v>
      </c>
      <c r="B2546" t="s">
        <v>869</v>
      </c>
      <c r="C2546" t="s">
        <v>1203</v>
      </c>
      <c r="D2546" t="s">
        <v>1575</v>
      </c>
      <c r="E2546" t="s">
        <v>4813</v>
      </c>
      <c r="F2546" t="s">
        <v>1583</v>
      </c>
      <c r="I2546" t="s">
        <v>1058</v>
      </c>
      <c r="K2546">
        <v>1906</v>
      </c>
      <c r="L2546">
        <v>1906</v>
      </c>
      <c r="M2546" t="s">
        <v>190</v>
      </c>
      <c r="N2546" t="s">
        <v>203</v>
      </c>
      <c r="Q2546" s="2" t="str">
        <f>IF($C2546="","",IFERROR(VLOOKUP($C2546,sources!$A$2:$N$200,2,FALSE()),"?"))</f>
        <v>Newspaper</v>
      </c>
      <c r="R2546" s="2" t="str">
        <f t="shared" si="39"/>
        <v>Textual</v>
      </c>
      <c r="S2546" s="2" t="str">
        <f>IF($C2546="","",IFERROR(VLOOKUP($C2546,sources!$A$2:$N$200,9,FALSE()),"?"))</f>
        <v>US press</v>
      </c>
      <c r="T2546" t="s">
        <v>5692</v>
      </c>
      <c r="U2546">
        <f>IF(OR(B2546="",C2546="",T2546="Retracted",LEFT(D2546,8)="Negative"),0,IF(COUNTIFS($B$2:B2546,B2546,$C$2:C2546,C2546,$D$2:D2546,"&lt;&gt;Negative*",$T$2:T2546,"&lt;&gt;Retracted")=1,1,0))</f>
        <v>1</v>
      </c>
    </row>
    <row r="2547" spans="1:21" x14ac:dyDescent="0.2">
      <c r="A2547" t="s">
        <v>4814</v>
      </c>
      <c r="B2547" t="s">
        <v>873</v>
      </c>
      <c r="C2547" t="s">
        <v>1203</v>
      </c>
      <c r="D2547" t="s">
        <v>1613</v>
      </c>
      <c r="E2547" t="s">
        <v>4311</v>
      </c>
      <c r="F2547" t="s">
        <v>1583</v>
      </c>
      <c r="I2547" t="s">
        <v>1058</v>
      </c>
      <c r="M2547" t="s">
        <v>190</v>
      </c>
      <c r="N2547" t="s">
        <v>209</v>
      </c>
      <c r="Q2547" s="2" t="str">
        <f>IF($C2547="","",IFERROR(VLOOKUP($C2547,sources!$A$2:$N$200,2,FALSE()),"?"))</f>
        <v>Newspaper</v>
      </c>
      <c r="R2547" s="2" t="str">
        <f t="shared" si="39"/>
        <v>Textual</v>
      </c>
      <c r="S2547" s="2" t="str">
        <f>IF($C2547="","",IFERROR(VLOOKUP($C2547,sources!$A$2:$N$200,9,FALSE()),"?"))</f>
        <v>US press</v>
      </c>
      <c r="T2547" t="s">
        <v>5692</v>
      </c>
      <c r="U2547">
        <f>IF(OR(B2547="",C2547="",T2547="Retracted",LEFT(D2547,8)="Negative"),0,IF(COUNTIFS($B$2:B2547,B2547,$C$2:C2547,C2547,$D$2:D2547,"&lt;&gt;Negative*",$T$2:T2547,"&lt;&gt;Retracted")=1,1,0))</f>
        <v>0</v>
      </c>
    </row>
    <row r="2548" spans="1:21" x14ac:dyDescent="0.2">
      <c r="A2548" t="s">
        <v>4815</v>
      </c>
      <c r="B2548" t="s">
        <v>876</v>
      </c>
      <c r="C2548" t="s">
        <v>1203</v>
      </c>
      <c r="D2548" t="s">
        <v>1575</v>
      </c>
      <c r="E2548" t="s">
        <v>4816</v>
      </c>
      <c r="F2548" t="s">
        <v>1583</v>
      </c>
      <c r="I2548" t="s">
        <v>1058</v>
      </c>
      <c r="K2548">
        <v>1907</v>
      </c>
      <c r="L2548">
        <v>1907</v>
      </c>
      <c r="M2548" t="s">
        <v>209</v>
      </c>
      <c r="N2548" t="s">
        <v>203</v>
      </c>
      <c r="Q2548" s="2" t="str">
        <f>IF($C2548="","",IFERROR(VLOOKUP($C2548,sources!$A$2:$N$200,2,FALSE()),"?"))</f>
        <v>Newspaper</v>
      </c>
      <c r="R2548" s="2" t="str">
        <f t="shared" si="39"/>
        <v>Textual</v>
      </c>
      <c r="S2548" s="2" t="str">
        <f>IF($C2548="","",IFERROR(VLOOKUP($C2548,sources!$A$2:$N$200,9,FALSE()),"?"))</f>
        <v>US press</v>
      </c>
      <c r="T2548" t="s">
        <v>5692</v>
      </c>
      <c r="U2548">
        <f>IF(OR(B2548="",C2548="",T2548="Retracted",LEFT(D2548,8)="Negative"),0,IF(COUNTIFS($B$2:B2548,B2548,$C$2:C2548,C2548,$D$2:D2548,"&lt;&gt;Negative*",$T$2:T2548,"&lt;&gt;Retracted")=1,1,0))</f>
        <v>1</v>
      </c>
    </row>
    <row r="2549" spans="1:21" x14ac:dyDescent="0.2">
      <c r="A2549" t="s">
        <v>4817</v>
      </c>
      <c r="B2549" t="s">
        <v>879</v>
      </c>
      <c r="C2549" t="s">
        <v>1203</v>
      </c>
      <c r="D2549" t="s">
        <v>1613</v>
      </c>
      <c r="E2549" t="s">
        <v>4313</v>
      </c>
      <c r="F2549" t="s">
        <v>1583</v>
      </c>
      <c r="I2549" t="s">
        <v>1058</v>
      </c>
      <c r="M2549" t="s">
        <v>190</v>
      </c>
      <c r="N2549" t="s">
        <v>209</v>
      </c>
      <c r="Q2549" s="2" t="str">
        <f>IF($C2549="","",IFERROR(VLOOKUP($C2549,sources!$A$2:$N$200,2,FALSE()),"?"))</f>
        <v>Newspaper</v>
      </c>
      <c r="R2549" s="2" t="str">
        <f t="shared" si="39"/>
        <v>Textual</v>
      </c>
      <c r="S2549" s="2" t="str">
        <f>IF($C2549="","",IFERROR(VLOOKUP($C2549,sources!$A$2:$N$200,9,FALSE()),"?"))</f>
        <v>US press</v>
      </c>
      <c r="T2549" t="s">
        <v>5692</v>
      </c>
      <c r="U2549">
        <f>IF(OR(B2549="",C2549="",T2549="Retracted",LEFT(D2549,8)="Negative"),0,IF(COUNTIFS($B$2:B2549,B2549,$C$2:C2549,C2549,$D$2:D2549,"&lt;&gt;Negative*",$T$2:T2549,"&lt;&gt;Retracted")=1,1,0))</f>
        <v>0</v>
      </c>
    </row>
    <row r="2550" spans="1:21" x14ac:dyDescent="0.2">
      <c r="A2550" t="s">
        <v>4818</v>
      </c>
      <c r="B2550" t="s">
        <v>883</v>
      </c>
      <c r="C2550" t="s">
        <v>1203</v>
      </c>
      <c r="D2550" t="s">
        <v>1613</v>
      </c>
      <c r="E2550" t="s">
        <v>884</v>
      </c>
      <c r="F2550" t="s">
        <v>1583</v>
      </c>
      <c r="I2550" t="s">
        <v>1058</v>
      </c>
      <c r="M2550" t="s">
        <v>190</v>
      </c>
      <c r="N2550" t="s">
        <v>209</v>
      </c>
      <c r="Q2550" s="2" t="str">
        <f>IF($C2550="","",IFERROR(VLOOKUP($C2550,sources!$A$2:$N$200,2,FALSE()),"?"))</f>
        <v>Newspaper</v>
      </c>
      <c r="R2550" s="2" t="str">
        <f t="shared" si="39"/>
        <v>Textual</v>
      </c>
      <c r="S2550" s="2" t="str">
        <f>IF($C2550="","",IFERROR(VLOOKUP($C2550,sources!$A$2:$N$200,9,FALSE()),"?"))</f>
        <v>US press</v>
      </c>
      <c r="T2550" t="s">
        <v>5692</v>
      </c>
      <c r="U2550">
        <f>IF(OR(B2550="",C2550="",T2550="Retracted",LEFT(D2550,8)="Negative"),0,IF(COUNTIFS($B$2:B2550,B2550,$C$2:C2550,C2550,$D$2:D2550,"&lt;&gt;Negative*",$T$2:T2550,"&lt;&gt;Retracted")=1,1,0))</f>
        <v>0</v>
      </c>
    </row>
    <row r="2551" spans="1:21" x14ac:dyDescent="0.2">
      <c r="A2551" t="s">
        <v>4819</v>
      </c>
      <c r="B2551" t="s">
        <v>888</v>
      </c>
      <c r="C2551" t="s">
        <v>1203</v>
      </c>
      <c r="D2551" t="s">
        <v>1613</v>
      </c>
      <c r="E2551" t="s">
        <v>4265</v>
      </c>
      <c r="F2551" t="s">
        <v>1583</v>
      </c>
      <c r="I2551" t="s">
        <v>1058</v>
      </c>
      <c r="M2551" t="s">
        <v>190</v>
      </c>
      <c r="N2551" t="s">
        <v>209</v>
      </c>
      <c r="Q2551" s="2" t="str">
        <f>IF($C2551="","",IFERROR(VLOOKUP($C2551,sources!$A$2:$N$200,2,FALSE()),"?"))</f>
        <v>Newspaper</v>
      </c>
      <c r="R2551" s="2" t="str">
        <f t="shared" si="39"/>
        <v>Textual</v>
      </c>
      <c r="S2551" s="2" t="str">
        <f>IF($C2551="","",IFERROR(VLOOKUP($C2551,sources!$A$2:$N$200,9,FALSE()),"?"))</f>
        <v>US press</v>
      </c>
      <c r="T2551" t="s">
        <v>5692</v>
      </c>
      <c r="U2551">
        <f>IF(OR(B2551="",C2551="",T2551="Retracted",LEFT(D2551,8)="Negative"),0,IF(COUNTIFS($B$2:B2551,B2551,$C$2:C2551,C2551,$D$2:D2551,"&lt;&gt;Negative*",$T$2:T2551,"&lt;&gt;Retracted")=1,1,0))</f>
        <v>0</v>
      </c>
    </row>
    <row r="2552" spans="1:21" x14ac:dyDescent="0.2">
      <c r="A2552" t="s">
        <v>4820</v>
      </c>
      <c r="B2552" t="s">
        <v>892</v>
      </c>
      <c r="C2552" t="s">
        <v>1203</v>
      </c>
      <c r="D2552" t="s">
        <v>1613</v>
      </c>
      <c r="E2552" t="s">
        <v>4345</v>
      </c>
      <c r="F2552" t="s">
        <v>1583</v>
      </c>
      <c r="I2552" t="s">
        <v>1058</v>
      </c>
      <c r="M2552" t="s">
        <v>190</v>
      </c>
      <c r="N2552" t="s">
        <v>209</v>
      </c>
      <c r="Q2552" s="2" t="str">
        <f>IF($C2552="","",IFERROR(VLOOKUP($C2552,sources!$A$2:$N$200,2,FALSE()),"?"))</f>
        <v>Newspaper</v>
      </c>
      <c r="R2552" s="2" t="str">
        <f t="shared" si="39"/>
        <v>Textual</v>
      </c>
      <c r="S2552" s="2" t="str">
        <f>IF($C2552="","",IFERROR(VLOOKUP($C2552,sources!$A$2:$N$200,9,FALSE()),"?"))</f>
        <v>US press</v>
      </c>
      <c r="T2552" t="s">
        <v>5692</v>
      </c>
      <c r="U2552">
        <f>IF(OR(B2552="",C2552="",T2552="Retracted",LEFT(D2552,8)="Negative"),0,IF(COUNTIFS($B$2:B2552,B2552,$C$2:C2552,C2552,$D$2:D2552,"&lt;&gt;Negative*",$T$2:T2552,"&lt;&gt;Retracted")=1,1,0))</f>
        <v>0</v>
      </c>
    </row>
    <row r="2553" spans="1:21" x14ac:dyDescent="0.2">
      <c r="A2553" t="s">
        <v>4821</v>
      </c>
      <c r="B2553" t="s">
        <v>896</v>
      </c>
      <c r="C2553" t="s">
        <v>1203</v>
      </c>
      <c r="D2553" t="s">
        <v>1613</v>
      </c>
      <c r="E2553" t="s">
        <v>897</v>
      </c>
      <c r="F2553" t="s">
        <v>1583</v>
      </c>
      <c r="I2553" t="s">
        <v>1058</v>
      </c>
      <c r="M2553" t="s">
        <v>190</v>
      </c>
      <c r="N2553" t="s">
        <v>209</v>
      </c>
      <c r="Q2553" s="2" t="str">
        <f>IF($C2553="","",IFERROR(VLOOKUP($C2553,sources!$A$2:$N$200,2,FALSE()),"?"))</f>
        <v>Newspaper</v>
      </c>
      <c r="R2553" s="2" t="str">
        <f t="shared" si="39"/>
        <v>Textual</v>
      </c>
      <c r="S2553" s="2" t="str">
        <f>IF($C2553="","",IFERROR(VLOOKUP($C2553,sources!$A$2:$N$200,9,FALSE()),"?"))</f>
        <v>US press</v>
      </c>
      <c r="T2553" t="s">
        <v>5692</v>
      </c>
      <c r="U2553">
        <f>IF(OR(B2553="",C2553="",T2553="Retracted",LEFT(D2553,8)="Negative"),0,IF(COUNTIFS($B$2:B2553,B2553,$C$2:C2553,C2553,$D$2:D2553,"&lt;&gt;Negative*",$T$2:T2553,"&lt;&gt;Retracted")=1,1,0))</f>
        <v>0</v>
      </c>
    </row>
    <row r="2554" spans="1:21" x14ac:dyDescent="0.2">
      <c r="A2554" t="s">
        <v>4822</v>
      </c>
      <c r="B2554" t="s">
        <v>899</v>
      </c>
      <c r="C2554" t="s">
        <v>1203</v>
      </c>
      <c r="D2554" t="s">
        <v>1575</v>
      </c>
      <c r="E2554" t="s">
        <v>4571</v>
      </c>
      <c r="F2554" t="s">
        <v>1583</v>
      </c>
      <c r="I2554" t="s">
        <v>1058</v>
      </c>
      <c r="K2554">
        <v>1914</v>
      </c>
      <c r="L2554">
        <v>1914</v>
      </c>
      <c r="M2554" t="s">
        <v>209</v>
      </c>
      <c r="N2554" t="s">
        <v>209</v>
      </c>
      <c r="Q2554" s="2" t="str">
        <f>IF($C2554="","",IFERROR(VLOOKUP($C2554,sources!$A$2:$N$200,2,FALSE()),"?"))</f>
        <v>Newspaper</v>
      </c>
      <c r="R2554" s="2" t="str">
        <f t="shared" si="39"/>
        <v>Textual</v>
      </c>
      <c r="S2554" s="2" t="str">
        <f>IF($C2554="","",IFERROR(VLOOKUP($C2554,sources!$A$2:$N$200,9,FALSE()),"?"))</f>
        <v>US press</v>
      </c>
      <c r="T2554" t="s">
        <v>5692</v>
      </c>
      <c r="U2554">
        <f>IF(OR(B2554="",C2554="",T2554="Retracted",LEFT(D2554,8)="Negative"),0,IF(COUNTIFS($B$2:B2554,B2554,$C$2:C2554,C2554,$D$2:D2554,"&lt;&gt;Negative*",$T$2:T2554,"&lt;&gt;Retracted")=1,1,0))</f>
        <v>1</v>
      </c>
    </row>
    <row r="2555" spans="1:21" x14ac:dyDescent="0.2">
      <c r="A2555" t="s">
        <v>4823</v>
      </c>
      <c r="B2555" t="s">
        <v>902</v>
      </c>
      <c r="C2555" t="s">
        <v>1203</v>
      </c>
      <c r="D2555" t="s">
        <v>1575</v>
      </c>
      <c r="E2555" t="s">
        <v>903</v>
      </c>
      <c r="F2555" t="s">
        <v>1583</v>
      </c>
      <c r="I2555" t="s">
        <v>1058</v>
      </c>
      <c r="K2555">
        <v>1913</v>
      </c>
      <c r="L2555">
        <v>1913</v>
      </c>
      <c r="M2555" t="s">
        <v>209</v>
      </c>
      <c r="N2555" t="s">
        <v>209</v>
      </c>
      <c r="Q2555" s="2" t="str">
        <f>IF($C2555="","",IFERROR(VLOOKUP($C2555,sources!$A$2:$N$200,2,FALSE()),"?"))</f>
        <v>Newspaper</v>
      </c>
      <c r="R2555" s="2" t="str">
        <f t="shared" si="39"/>
        <v>Textual</v>
      </c>
      <c r="S2555" s="2" t="str">
        <f>IF($C2555="","",IFERROR(VLOOKUP($C2555,sources!$A$2:$N$200,9,FALSE()),"?"))</f>
        <v>US press</v>
      </c>
      <c r="T2555" t="s">
        <v>5692</v>
      </c>
      <c r="U2555">
        <f>IF(OR(B2555="",C2555="",T2555="Retracted",LEFT(D2555,8)="Negative"),0,IF(COUNTIFS($B$2:B2555,B2555,$C$2:C2555,C2555,$D$2:D2555,"&lt;&gt;Negative*",$T$2:T2555,"&lt;&gt;Retracted")=1,1,0))</f>
        <v>1</v>
      </c>
    </row>
    <row r="2556" spans="1:21" x14ac:dyDescent="0.2">
      <c r="A2556" t="s">
        <v>4824</v>
      </c>
      <c r="B2556" t="s">
        <v>906</v>
      </c>
      <c r="C2556" t="s">
        <v>1203</v>
      </c>
      <c r="D2556" t="s">
        <v>1575</v>
      </c>
      <c r="E2556" t="s">
        <v>908</v>
      </c>
      <c r="F2556" t="s">
        <v>1583</v>
      </c>
      <c r="I2556" t="s">
        <v>1058</v>
      </c>
      <c r="M2556" t="s">
        <v>190</v>
      </c>
      <c r="N2556" t="s">
        <v>190</v>
      </c>
      <c r="Q2556" s="2" t="str">
        <f>IF($C2556="","",IFERROR(VLOOKUP($C2556,sources!$A$2:$N$200,2,FALSE()),"?"))</f>
        <v>Newspaper</v>
      </c>
      <c r="R2556" s="2" t="str">
        <f t="shared" si="39"/>
        <v>Textual</v>
      </c>
      <c r="S2556" s="2" t="str">
        <f>IF($C2556="","",IFERROR(VLOOKUP($C2556,sources!$A$2:$N$200,9,FALSE()),"?"))</f>
        <v>US press</v>
      </c>
      <c r="T2556" t="s">
        <v>5692</v>
      </c>
      <c r="U2556">
        <f>IF(OR(B2556="",C2556="",T2556="Retracted",LEFT(D2556,8)="Negative"),0,IF(COUNTIFS($B$2:B2556,B2556,$C$2:C2556,C2556,$D$2:D2556,"&lt;&gt;Negative*",$T$2:T2556,"&lt;&gt;Retracted")=1,1,0))</f>
        <v>1</v>
      </c>
    </row>
    <row r="2557" spans="1:21" x14ac:dyDescent="0.2">
      <c r="A2557" t="s">
        <v>4825</v>
      </c>
      <c r="B2557" t="s">
        <v>910</v>
      </c>
      <c r="C2557" t="s">
        <v>1203</v>
      </c>
      <c r="D2557" t="s">
        <v>1575</v>
      </c>
      <c r="E2557" t="s">
        <v>4768</v>
      </c>
      <c r="F2557" t="s">
        <v>1583</v>
      </c>
      <c r="I2557" t="s">
        <v>1058</v>
      </c>
      <c r="M2557" t="s">
        <v>190</v>
      </c>
      <c r="N2557" t="s">
        <v>190</v>
      </c>
      <c r="Q2557" s="2" t="str">
        <f>IF($C2557="","",IFERROR(VLOOKUP($C2557,sources!$A$2:$N$200,2,FALSE()),"?"))</f>
        <v>Newspaper</v>
      </c>
      <c r="R2557" s="2" t="str">
        <f t="shared" si="39"/>
        <v>Textual</v>
      </c>
      <c r="S2557" s="2" t="str">
        <f>IF($C2557="","",IFERROR(VLOOKUP($C2557,sources!$A$2:$N$200,9,FALSE()),"?"))</f>
        <v>US press</v>
      </c>
      <c r="T2557" t="s">
        <v>5692</v>
      </c>
      <c r="U2557">
        <f>IF(OR(B2557="",C2557="",T2557="Retracted",LEFT(D2557,8)="Negative"),0,IF(COUNTIFS($B$2:B2557,B2557,$C$2:C2557,C2557,$D$2:D2557,"&lt;&gt;Negative*",$T$2:T2557,"&lt;&gt;Retracted")=1,1,0))</f>
        <v>1</v>
      </c>
    </row>
    <row r="2558" spans="1:21" x14ac:dyDescent="0.2">
      <c r="A2558" t="s">
        <v>4826</v>
      </c>
      <c r="B2558" t="s">
        <v>914</v>
      </c>
      <c r="C2558" t="s">
        <v>1203</v>
      </c>
      <c r="D2558" t="s">
        <v>1613</v>
      </c>
      <c r="E2558" t="s">
        <v>915</v>
      </c>
      <c r="F2558" t="s">
        <v>1583</v>
      </c>
      <c r="I2558" t="s">
        <v>1058</v>
      </c>
      <c r="M2558" t="s">
        <v>190</v>
      </c>
      <c r="N2558" t="s">
        <v>209</v>
      </c>
      <c r="Q2558" s="2" t="str">
        <f>IF($C2558="","",IFERROR(VLOOKUP($C2558,sources!$A$2:$N$200,2,FALSE()),"?"))</f>
        <v>Newspaper</v>
      </c>
      <c r="R2558" s="2" t="str">
        <f t="shared" si="39"/>
        <v>Textual</v>
      </c>
      <c r="S2558" s="2" t="str">
        <f>IF($C2558="","",IFERROR(VLOOKUP($C2558,sources!$A$2:$N$200,9,FALSE()),"?"))</f>
        <v>US press</v>
      </c>
      <c r="T2558" t="s">
        <v>5692</v>
      </c>
      <c r="U2558">
        <f>IF(OR(B2558="",C2558="",T2558="Retracted",LEFT(D2558,8)="Negative"),0,IF(COUNTIFS($B$2:B2558,B2558,$C$2:C2558,C2558,$D$2:D2558,"&lt;&gt;Negative*",$T$2:T2558,"&lt;&gt;Retracted")=1,1,0))</f>
        <v>0</v>
      </c>
    </row>
    <row r="2559" spans="1:21" x14ac:dyDescent="0.2">
      <c r="A2559" t="s">
        <v>4827</v>
      </c>
      <c r="B2559" t="s">
        <v>917</v>
      </c>
      <c r="C2559" t="s">
        <v>1203</v>
      </c>
      <c r="D2559" t="s">
        <v>1575</v>
      </c>
      <c r="E2559" t="s">
        <v>918</v>
      </c>
      <c r="F2559" t="s">
        <v>1583</v>
      </c>
      <c r="I2559" t="s">
        <v>1058</v>
      </c>
      <c r="M2559" t="s">
        <v>190</v>
      </c>
      <c r="N2559" t="s">
        <v>190</v>
      </c>
      <c r="Q2559" s="2" t="str">
        <f>IF($C2559="","",IFERROR(VLOOKUP($C2559,sources!$A$2:$N$200,2,FALSE()),"?"))</f>
        <v>Newspaper</v>
      </c>
      <c r="R2559" s="2" t="str">
        <f t="shared" si="39"/>
        <v>Textual</v>
      </c>
      <c r="S2559" s="2" t="str">
        <f>IF($C2559="","",IFERROR(VLOOKUP($C2559,sources!$A$2:$N$200,9,FALSE()),"?"))</f>
        <v>US press</v>
      </c>
      <c r="T2559" t="s">
        <v>5692</v>
      </c>
      <c r="U2559">
        <f>IF(OR(B2559="",C2559="",T2559="Retracted",LEFT(D2559,8)="Negative"),0,IF(COUNTIFS($B$2:B2559,B2559,$C$2:C2559,C2559,$D$2:D2559,"&lt;&gt;Negative*",$T$2:T2559,"&lt;&gt;Retracted")=1,1,0))</f>
        <v>1</v>
      </c>
    </row>
    <row r="2560" spans="1:21" x14ac:dyDescent="0.2">
      <c r="A2560" t="s">
        <v>4828</v>
      </c>
      <c r="B2560" t="s">
        <v>920</v>
      </c>
      <c r="C2560" t="s">
        <v>1203</v>
      </c>
      <c r="D2560" t="s">
        <v>1575</v>
      </c>
      <c r="E2560" t="s">
        <v>921</v>
      </c>
      <c r="F2560" t="s">
        <v>1583</v>
      </c>
      <c r="I2560" t="s">
        <v>1058</v>
      </c>
      <c r="M2560" t="s">
        <v>190</v>
      </c>
      <c r="N2560" t="s">
        <v>190</v>
      </c>
      <c r="Q2560" s="2" t="str">
        <f>IF($C2560="","",IFERROR(VLOOKUP($C2560,sources!$A$2:$N$200,2,FALSE()),"?"))</f>
        <v>Newspaper</v>
      </c>
      <c r="R2560" s="2" t="str">
        <f t="shared" si="39"/>
        <v>Textual</v>
      </c>
      <c r="S2560" s="2" t="str">
        <f>IF($C2560="","",IFERROR(VLOOKUP($C2560,sources!$A$2:$N$200,9,FALSE()),"?"))</f>
        <v>US press</v>
      </c>
      <c r="T2560" t="s">
        <v>5692</v>
      </c>
      <c r="U2560">
        <f>IF(OR(B2560="",C2560="",T2560="Retracted",LEFT(D2560,8)="Negative"),0,IF(COUNTIFS($B$2:B2560,B2560,$C$2:C2560,C2560,$D$2:D2560,"&lt;&gt;Negative*",$T$2:T2560,"&lt;&gt;Retracted")=1,1,0))</f>
        <v>1</v>
      </c>
    </row>
    <row r="2561" spans="1:21" x14ac:dyDescent="0.2">
      <c r="A2561" t="s">
        <v>4829</v>
      </c>
      <c r="B2561" t="s">
        <v>924</v>
      </c>
      <c r="C2561" t="s">
        <v>1203</v>
      </c>
      <c r="D2561" t="s">
        <v>1575</v>
      </c>
      <c r="E2561" t="s">
        <v>4773</v>
      </c>
      <c r="F2561" t="s">
        <v>1583</v>
      </c>
      <c r="I2561" t="s">
        <v>1058</v>
      </c>
      <c r="M2561" t="s">
        <v>190</v>
      </c>
      <c r="N2561" t="s">
        <v>190</v>
      </c>
      <c r="Q2561" s="2" t="str">
        <f>IF($C2561="","",IFERROR(VLOOKUP($C2561,sources!$A$2:$N$200,2,FALSE()),"?"))</f>
        <v>Newspaper</v>
      </c>
      <c r="R2561" s="2" t="str">
        <f t="shared" si="39"/>
        <v>Textual</v>
      </c>
      <c r="S2561" s="2" t="str">
        <f>IF($C2561="","",IFERROR(VLOOKUP($C2561,sources!$A$2:$N$200,9,FALSE()),"?"))</f>
        <v>US press</v>
      </c>
      <c r="T2561" t="s">
        <v>5692</v>
      </c>
      <c r="U2561">
        <f>IF(OR(B2561="",C2561="",T2561="Retracted",LEFT(D2561,8)="Negative"),0,IF(COUNTIFS($B$2:B2561,B2561,$C$2:C2561,C2561,$D$2:D2561,"&lt;&gt;Negative*",$T$2:T2561,"&lt;&gt;Retracted")=1,1,0))</f>
        <v>1</v>
      </c>
    </row>
    <row r="2562" spans="1:21" x14ac:dyDescent="0.2">
      <c r="A2562" t="s">
        <v>4830</v>
      </c>
      <c r="B2562" t="s">
        <v>932</v>
      </c>
      <c r="C2562" t="s">
        <v>1203</v>
      </c>
      <c r="D2562" t="s">
        <v>1575</v>
      </c>
      <c r="E2562" t="s">
        <v>934</v>
      </c>
      <c r="F2562" t="s">
        <v>1583</v>
      </c>
      <c r="I2562" t="s">
        <v>1058</v>
      </c>
      <c r="M2562" t="s">
        <v>190</v>
      </c>
      <c r="N2562" t="s">
        <v>190</v>
      </c>
      <c r="Q2562" s="2" t="str">
        <f>IF($C2562="","",IFERROR(VLOOKUP($C2562,sources!$A$2:$N$200,2,FALSE()),"?"))</f>
        <v>Newspaper</v>
      </c>
      <c r="R2562" s="2" t="str">
        <f t="shared" ref="R2562:R2625" si="40">IF($Q2562="","",IF($Q2562="Map","Map",IF(OR($Q2562="Photograph",$Q2562="Postcard"),"Image",IF(OR($Q2562="Census or roll",$Q2562="Report",$Q2562="Newspaper",$Q2562="Letter",$Q2562="Memoir",$Q2562="Administrative",$Q2562="Web compilation"),"Textual",IF($Q2562="Legal claim","Legal/admin",IF($Q2562="Secondary","Secondary","Other"))))))</f>
        <v>Textual</v>
      </c>
      <c r="S2562" s="2" t="str">
        <f>IF($C2562="","",IFERROR(VLOOKUP($C2562,sources!$A$2:$N$200,9,FALSE()),"?"))</f>
        <v>US press</v>
      </c>
      <c r="T2562" t="s">
        <v>5692</v>
      </c>
      <c r="U2562">
        <f>IF(OR(B2562="",C2562="",T2562="Retracted",LEFT(D2562,8)="Negative"),0,IF(COUNTIFS($B$2:B2562,B2562,$C$2:C2562,C2562,$D$2:D2562,"&lt;&gt;Negative*",$T$2:T2562,"&lt;&gt;Retracted")=1,1,0))</f>
        <v>1</v>
      </c>
    </row>
    <row r="2563" spans="1:21" x14ac:dyDescent="0.2">
      <c r="A2563" t="s">
        <v>4831</v>
      </c>
      <c r="B2563" t="s">
        <v>938</v>
      </c>
      <c r="C2563" t="s">
        <v>1203</v>
      </c>
      <c r="D2563" t="s">
        <v>1575</v>
      </c>
      <c r="E2563" t="s">
        <v>939</v>
      </c>
      <c r="F2563" t="s">
        <v>1583</v>
      </c>
      <c r="I2563" t="s">
        <v>1058</v>
      </c>
      <c r="M2563" t="s">
        <v>190</v>
      </c>
      <c r="N2563" t="s">
        <v>190</v>
      </c>
      <c r="Q2563" s="2" t="str">
        <f>IF($C2563="","",IFERROR(VLOOKUP($C2563,sources!$A$2:$N$200,2,FALSE()),"?"))</f>
        <v>Newspaper</v>
      </c>
      <c r="R2563" s="2" t="str">
        <f t="shared" si="40"/>
        <v>Textual</v>
      </c>
      <c r="S2563" s="2" t="str">
        <f>IF($C2563="","",IFERROR(VLOOKUP($C2563,sources!$A$2:$N$200,9,FALSE()),"?"))</f>
        <v>US press</v>
      </c>
      <c r="T2563" t="s">
        <v>5692</v>
      </c>
      <c r="U2563">
        <f>IF(OR(B2563="",C2563="",T2563="Retracted",LEFT(D2563,8)="Negative"),0,IF(COUNTIFS($B$2:B2563,B2563,$C$2:C2563,C2563,$D$2:D2563,"&lt;&gt;Negative*",$T$2:T2563,"&lt;&gt;Retracted")=1,1,0))</f>
        <v>1</v>
      </c>
    </row>
    <row r="2564" spans="1:21" x14ac:dyDescent="0.2">
      <c r="A2564" t="s">
        <v>4832</v>
      </c>
      <c r="B2564" t="s">
        <v>943</v>
      </c>
      <c r="C2564" t="s">
        <v>1203</v>
      </c>
      <c r="D2564" t="s">
        <v>1575</v>
      </c>
      <c r="E2564" t="s">
        <v>4033</v>
      </c>
      <c r="F2564" t="s">
        <v>1583</v>
      </c>
      <c r="I2564" t="s">
        <v>1058</v>
      </c>
      <c r="M2564" t="s">
        <v>190</v>
      </c>
      <c r="N2564" t="s">
        <v>190</v>
      </c>
      <c r="Q2564" s="2" t="str">
        <f>IF($C2564="","",IFERROR(VLOOKUP($C2564,sources!$A$2:$N$200,2,FALSE()),"?"))</f>
        <v>Newspaper</v>
      </c>
      <c r="R2564" s="2" t="str">
        <f t="shared" si="40"/>
        <v>Textual</v>
      </c>
      <c r="S2564" s="2" t="str">
        <f>IF($C2564="","",IFERROR(VLOOKUP($C2564,sources!$A$2:$N$200,9,FALSE()),"?"))</f>
        <v>US press</v>
      </c>
      <c r="T2564" t="s">
        <v>5692</v>
      </c>
      <c r="U2564">
        <f>IF(OR(B2564="",C2564="",T2564="Retracted",LEFT(D2564,8)="Negative"),0,IF(COUNTIFS($B$2:B2564,B2564,$C$2:C2564,C2564,$D$2:D2564,"&lt;&gt;Negative*",$T$2:T2564,"&lt;&gt;Retracted")=1,1,0))</f>
        <v>1</v>
      </c>
    </row>
    <row r="2565" spans="1:21" x14ac:dyDescent="0.2">
      <c r="A2565" t="s">
        <v>4833</v>
      </c>
      <c r="B2565" t="s">
        <v>947</v>
      </c>
      <c r="C2565" t="s">
        <v>1203</v>
      </c>
      <c r="D2565" t="s">
        <v>1575</v>
      </c>
      <c r="E2565" t="s">
        <v>4360</v>
      </c>
      <c r="F2565" t="s">
        <v>1583</v>
      </c>
      <c r="I2565" t="s">
        <v>1058</v>
      </c>
      <c r="M2565" t="s">
        <v>190</v>
      </c>
      <c r="N2565" t="s">
        <v>190</v>
      </c>
      <c r="Q2565" s="2" t="str">
        <f>IF($C2565="","",IFERROR(VLOOKUP($C2565,sources!$A$2:$N$200,2,FALSE()),"?"))</f>
        <v>Newspaper</v>
      </c>
      <c r="R2565" s="2" t="str">
        <f t="shared" si="40"/>
        <v>Textual</v>
      </c>
      <c r="S2565" s="2" t="str">
        <f>IF($C2565="","",IFERROR(VLOOKUP($C2565,sources!$A$2:$N$200,9,FALSE()),"?"))</f>
        <v>US press</v>
      </c>
      <c r="T2565" t="s">
        <v>5692</v>
      </c>
      <c r="U2565">
        <f>IF(OR(B2565="",C2565="",T2565="Retracted",LEFT(D2565,8)="Negative"),0,IF(COUNTIFS($B$2:B2565,B2565,$C$2:C2565,C2565,$D$2:D2565,"&lt;&gt;Negative*",$T$2:T2565,"&lt;&gt;Retracted")=1,1,0))</f>
        <v>1</v>
      </c>
    </row>
    <row r="2566" spans="1:21" x14ac:dyDescent="0.2">
      <c r="A2566" t="s">
        <v>4834</v>
      </c>
      <c r="B2566" t="s">
        <v>936</v>
      </c>
      <c r="C2566" t="s">
        <v>1203</v>
      </c>
      <c r="D2566" t="s">
        <v>1575</v>
      </c>
      <c r="E2566" t="s">
        <v>4362</v>
      </c>
      <c r="F2566" t="s">
        <v>1583</v>
      </c>
      <c r="I2566" t="s">
        <v>1058</v>
      </c>
      <c r="M2566" t="s">
        <v>190</v>
      </c>
      <c r="N2566" t="s">
        <v>190</v>
      </c>
      <c r="Q2566" s="2" t="str">
        <f>IF($C2566="","",IFERROR(VLOOKUP($C2566,sources!$A$2:$N$200,2,FALSE()),"?"))</f>
        <v>Newspaper</v>
      </c>
      <c r="R2566" s="2" t="str">
        <f t="shared" si="40"/>
        <v>Textual</v>
      </c>
      <c r="S2566" s="2" t="str">
        <f>IF($C2566="","",IFERROR(VLOOKUP($C2566,sources!$A$2:$N$200,9,FALSE()),"?"))</f>
        <v>US press</v>
      </c>
      <c r="T2566" t="s">
        <v>5692</v>
      </c>
      <c r="U2566">
        <f>IF(OR(B2566="",C2566="",T2566="Retracted",LEFT(D2566,8)="Negative"),0,IF(COUNTIFS($B$2:B2566,B2566,$C$2:C2566,C2566,$D$2:D2566,"&lt;&gt;Negative*",$T$2:T2566,"&lt;&gt;Retracted")=1,1,0))</f>
        <v>1</v>
      </c>
    </row>
    <row r="2567" spans="1:21" x14ac:dyDescent="0.2">
      <c r="A2567" t="s">
        <v>4835</v>
      </c>
      <c r="B2567" t="s">
        <v>955</v>
      </c>
      <c r="C2567" t="s">
        <v>1203</v>
      </c>
      <c r="D2567" t="s">
        <v>1575</v>
      </c>
      <c r="E2567" t="s">
        <v>4290</v>
      </c>
      <c r="F2567" t="s">
        <v>1583</v>
      </c>
      <c r="I2567" t="s">
        <v>1058</v>
      </c>
      <c r="M2567" t="s">
        <v>190</v>
      </c>
      <c r="N2567" t="s">
        <v>190</v>
      </c>
      <c r="Q2567" s="2" t="str">
        <f>IF($C2567="","",IFERROR(VLOOKUP($C2567,sources!$A$2:$N$200,2,FALSE()),"?"))</f>
        <v>Newspaper</v>
      </c>
      <c r="R2567" s="2" t="str">
        <f t="shared" si="40"/>
        <v>Textual</v>
      </c>
      <c r="S2567" s="2" t="str">
        <f>IF($C2567="","",IFERROR(VLOOKUP($C2567,sources!$A$2:$N$200,9,FALSE()),"?"))</f>
        <v>US press</v>
      </c>
      <c r="T2567" t="s">
        <v>5692</v>
      </c>
      <c r="U2567">
        <f>IF(OR(B2567="",C2567="",T2567="Retracted",LEFT(D2567,8)="Negative"),0,IF(COUNTIFS($B$2:B2567,B2567,$C$2:C2567,C2567,$D$2:D2567,"&lt;&gt;Negative*",$T$2:T2567,"&lt;&gt;Retracted")=1,1,0))</f>
        <v>1</v>
      </c>
    </row>
    <row r="2568" spans="1:21" x14ac:dyDescent="0.2">
      <c r="A2568" t="s">
        <v>4836</v>
      </c>
      <c r="B2568" t="s">
        <v>959</v>
      </c>
      <c r="C2568" t="s">
        <v>1203</v>
      </c>
      <c r="D2568" t="s">
        <v>1575</v>
      </c>
      <c r="E2568" t="s">
        <v>960</v>
      </c>
      <c r="F2568" t="s">
        <v>1583</v>
      </c>
      <c r="I2568" t="s">
        <v>1058</v>
      </c>
      <c r="M2568" t="s">
        <v>190</v>
      </c>
      <c r="N2568" t="s">
        <v>190</v>
      </c>
      <c r="Q2568" s="2" t="str">
        <f>IF($C2568="","",IFERROR(VLOOKUP($C2568,sources!$A$2:$N$200,2,FALSE()),"?"))</f>
        <v>Newspaper</v>
      </c>
      <c r="R2568" s="2" t="str">
        <f t="shared" si="40"/>
        <v>Textual</v>
      </c>
      <c r="S2568" s="2" t="str">
        <f>IF($C2568="","",IFERROR(VLOOKUP($C2568,sources!$A$2:$N$200,9,FALSE()),"?"))</f>
        <v>US press</v>
      </c>
      <c r="T2568" t="s">
        <v>5692</v>
      </c>
      <c r="U2568">
        <f>IF(OR(B2568="",C2568="",T2568="Retracted",LEFT(D2568,8)="Negative"),0,IF(COUNTIFS($B$2:B2568,B2568,$C$2:C2568,C2568,$D$2:D2568,"&lt;&gt;Negative*",$T$2:T2568,"&lt;&gt;Retracted")=1,1,0))</f>
        <v>1</v>
      </c>
    </row>
    <row r="2569" spans="1:21" x14ac:dyDescent="0.2">
      <c r="A2569" t="s">
        <v>4837</v>
      </c>
      <c r="B2569" t="s">
        <v>962</v>
      </c>
      <c r="C2569" t="s">
        <v>1203</v>
      </c>
      <c r="D2569" t="s">
        <v>1575</v>
      </c>
      <c r="E2569" t="s">
        <v>963</v>
      </c>
      <c r="F2569" t="s">
        <v>1583</v>
      </c>
      <c r="I2569" t="s">
        <v>1058</v>
      </c>
      <c r="M2569" t="s">
        <v>190</v>
      </c>
      <c r="N2569" t="s">
        <v>190</v>
      </c>
      <c r="Q2569" s="2" t="str">
        <f>IF($C2569="","",IFERROR(VLOOKUP($C2569,sources!$A$2:$N$200,2,FALSE()),"?"))</f>
        <v>Newspaper</v>
      </c>
      <c r="R2569" s="2" t="str">
        <f t="shared" si="40"/>
        <v>Textual</v>
      </c>
      <c r="S2569" s="2" t="str">
        <f>IF($C2569="","",IFERROR(VLOOKUP($C2569,sources!$A$2:$N$200,9,FALSE()),"?"))</f>
        <v>US press</v>
      </c>
      <c r="T2569" t="s">
        <v>5692</v>
      </c>
      <c r="U2569">
        <f>IF(OR(B2569="",C2569="",T2569="Retracted",LEFT(D2569,8)="Negative"),0,IF(COUNTIFS($B$2:B2569,B2569,$C$2:C2569,C2569,$D$2:D2569,"&lt;&gt;Negative*",$T$2:T2569,"&lt;&gt;Retracted")=1,1,0))</f>
        <v>1</v>
      </c>
    </row>
    <row r="2570" spans="1:21" x14ac:dyDescent="0.2">
      <c r="A2570" t="s">
        <v>4838</v>
      </c>
      <c r="B2570" t="s">
        <v>971</v>
      </c>
      <c r="C2570" t="s">
        <v>1203</v>
      </c>
      <c r="D2570" t="s">
        <v>1575</v>
      </c>
      <c r="E2570" t="s">
        <v>4296</v>
      </c>
      <c r="F2570" t="s">
        <v>1583</v>
      </c>
      <c r="I2570" t="s">
        <v>1058</v>
      </c>
      <c r="M2570" t="s">
        <v>190</v>
      </c>
      <c r="N2570" t="s">
        <v>190</v>
      </c>
      <c r="Q2570" s="2" t="str">
        <f>IF($C2570="","",IFERROR(VLOOKUP($C2570,sources!$A$2:$N$200,2,FALSE()),"?"))</f>
        <v>Newspaper</v>
      </c>
      <c r="R2570" s="2" t="str">
        <f t="shared" si="40"/>
        <v>Textual</v>
      </c>
      <c r="S2570" s="2" t="str">
        <f>IF($C2570="","",IFERROR(VLOOKUP($C2570,sources!$A$2:$N$200,9,FALSE()),"?"))</f>
        <v>US press</v>
      </c>
      <c r="T2570" t="s">
        <v>5692</v>
      </c>
      <c r="U2570">
        <f>IF(OR(B2570="",C2570="",T2570="Retracted",LEFT(D2570,8)="Negative"),0,IF(COUNTIFS($B$2:B2570,B2570,$C$2:C2570,C2570,$D$2:D2570,"&lt;&gt;Negative*",$T$2:T2570,"&lt;&gt;Retracted")=1,1,0))</f>
        <v>1</v>
      </c>
    </row>
    <row r="2571" spans="1:21" x14ac:dyDescent="0.2">
      <c r="A2571" t="s">
        <v>4839</v>
      </c>
      <c r="B2571" t="s">
        <v>974</v>
      </c>
      <c r="C2571" t="s">
        <v>1203</v>
      </c>
      <c r="D2571" t="s">
        <v>1613</v>
      </c>
      <c r="E2571" t="s">
        <v>4298</v>
      </c>
      <c r="F2571" t="s">
        <v>1583</v>
      </c>
      <c r="I2571" t="s">
        <v>1058</v>
      </c>
      <c r="M2571" t="s">
        <v>190</v>
      </c>
      <c r="N2571" t="s">
        <v>209</v>
      </c>
      <c r="Q2571" s="2" t="str">
        <f>IF($C2571="","",IFERROR(VLOOKUP($C2571,sources!$A$2:$N$200,2,FALSE()),"?"))</f>
        <v>Newspaper</v>
      </c>
      <c r="R2571" s="2" t="str">
        <f t="shared" si="40"/>
        <v>Textual</v>
      </c>
      <c r="S2571" s="2" t="str">
        <f>IF($C2571="","",IFERROR(VLOOKUP($C2571,sources!$A$2:$N$200,9,FALSE()),"?"))</f>
        <v>US press</v>
      </c>
      <c r="T2571" t="s">
        <v>5692</v>
      </c>
      <c r="U2571">
        <f>IF(OR(B2571="",C2571="",T2571="Retracted",LEFT(D2571,8)="Negative"),0,IF(COUNTIFS($B$2:B2571,B2571,$C$2:C2571,C2571,$D$2:D2571,"&lt;&gt;Negative*",$T$2:T2571,"&lt;&gt;Retracted")=1,1,0))</f>
        <v>0</v>
      </c>
    </row>
    <row r="2572" spans="1:21" x14ac:dyDescent="0.2">
      <c r="A2572" t="s">
        <v>4840</v>
      </c>
      <c r="B2572" t="s">
        <v>979</v>
      </c>
      <c r="C2572" t="s">
        <v>1203</v>
      </c>
      <c r="D2572" t="s">
        <v>1613</v>
      </c>
      <c r="E2572" t="s">
        <v>981</v>
      </c>
      <c r="F2572" t="s">
        <v>1583</v>
      </c>
      <c r="I2572" t="s">
        <v>1058</v>
      </c>
      <c r="M2572" t="s">
        <v>190</v>
      </c>
      <c r="N2572" t="s">
        <v>209</v>
      </c>
      <c r="Q2572" s="2" t="str">
        <f>IF($C2572="","",IFERROR(VLOOKUP($C2572,sources!$A$2:$N$200,2,FALSE()),"?"))</f>
        <v>Newspaper</v>
      </c>
      <c r="R2572" s="2" t="str">
        <f t="shared" si="40"/>
        <v>Textual</v>
      </c>
      <c r="S2572" s="2" t="str">
        <f>IF($C2572="","",IFERROR(VLOOKUP($C2572,sources!$A$2:$N$200,9,FALSE()),"?"))</f>
        <v>US press</v>
      </c>
      <c r="T2572" t="s">
        <v>5692</v>
      </c>
      <c r="U2572">
        <f>IF(OR(B2572="",C2572="",T2572="Retracted",LEFT(D2572,8)="Negative"),0,IF(COUNTIFS($B$2:B2572,B2572,$C$2:C2572,C2572,$D$2:D2572,"&lt;&gt;Negative*",$T$2:T2572,"&lt;&gt;Retracted")=1,1,0))</f>
        <v>0</v>
      </c>
    </row>
    <row r="2573" spans="1:21" x14ac:dyDescent="0.2">
      <c r="A2573" t="s">
        <v>4841</v>
      </c>
      <c r="B2573" t="s">
        <v>983</v>
      </c>
      <c r="C2573" t="s">
        <v>1203</v>
      </c>
      <c r="D2573" t="s">
        <v>1575</v>
      </c>
      <c r="E2573" t="s">
        <v>985</v>
      </c>
      <c r="F2573" t="s">
        <v>1583</v>
      </c>
      <c r="I2573" t="s">
        <v>1058</v>
      </c>
      <c r="K2573">
        <v>1908</v>
      </c>
      <c r="L2573">
        <v>1908</v>
      </c>
      <c r="M2573" t="s">
        <v>209</v>
      </c>
      <c r="N2573" t="s">
        <v>209</v>
      </c>
      <c r="Q2573" s="2" t="str">
        <f>IF($C2573="","",IFERROR(VLOOKUP($C2573,sources!$A$2:$N$200,2,FALSE()),"?"))</f>
        <v>Newspaper</v>
      </c>
      <c r="R2573" s="2" t="str">
        <f t="shared" si="40"/>
        <v>Textual</v>
      </c>
      <c r="S2573" s="2" t="str">
        <f>IF($C2573="","",IFERROR(VLOOKUP($C2573,sources!$A$2:$N$200,9,FALSE()),"?"))</f>
        <v>US press</v>
      </c>
      <c r="T2573" t="s">
        <v>5692</v>
      </c>
      <c r="U2573">
        <f>IF(OR(B2573="",C2573="",T2573="Retracted",LEFT(D2573,8)="Negative"),0,IF(COUNTIFS($B$2:B2573,B2573,$C$2:C2573,C2573,$D$2:D2573,"&lt;&gt;Negative*",$T$2:T2573,"&lt;&gt;Retracted")=1,1,0))</f>
        <v>1</v>
      </c>
    </row>
    <row r="2574" spans="1:21" x14ac:dyDescent="0.2">
      <c r="A2574" t="s">
        <v>4842</v>
      </c>
      <c r="B2574" t="s">
        <v>994</v>
      </c>
      <c r="C2574" t="s">
        <v>1203</v>
      </c>
      <c r="D2574" t="s">
        <v>1613</v>
      </c>
      <c r="E2574" t="s">
        <v>995</v>
      </c>
      <c r="F2574" t="s">
        <v>1583</v>
      </c>
      <c r="I2574" t="s">
        <v>1058</v>
      </c>
      <c r="M2574" t="s">
        <v>190</v>
      </c>
      <c r="N2574" t="s">
        <v>209</v>
      </c>
      <c r="Q2574" s="2" t="str">
        <f>IF($C2574="","",IFERROR(VLOOKUP($C2574,sources!$A$2:$N$200,2,FALSE()),"?"))</f>
        <v>Newspaper</v>
      </c>
      <c r="R2574" s="2" t="str">
        <f t="shared" si="40"/>
        <v>Textual</v>
      </c>
      <c r="S2574" s="2" t="str">
        <f>IF($C2574="","",IFERROR(VLOOKUP($C2574,sources!$A$2:$N$200,9,FALSE()),"?"))</f>
        <v>US press</v>
      </c>
      <c r="T2574" t="s">
        <v>5692</v>
      </c>
      <c r="U2574">
        <f>IF(OR(B2574="",C2574="",T2574="Retracted",LEFT(D2574,8)="Negative"),0,IF(COUNTIFS($B$2:B2574,B2574,$C$2:C2574,C2574,$D$2:D2574,"&lt;&gt;Negative*",$T$2:T2574,"&lt;&gt;Retracted")=1,1,0))</f>
        <v>0</v>
      </c>
    </row>
    <row r="2575" spans="1:21" x14ac:dyDescent="0.2">
      <c r="A2575" t="s">
        <v>4843</v>
      </c>
      <c r="B2575" t="s">
        <v>997</v>
      </c>
      <c r="C2575" t="s">
        <v>1203</v>
      </c>
      <c r="D2575" t="s">
        <v>1575</v>
      </c>
      <c r="E2575" t="s">
        <v>4305</v>
      </c>
      <c r="F2575" t="s">
        <v>1583</v>
      </c>
      <c r="I2575" t="s">
        <v>1058</v>
      </c>
      <c r="K2575">
        <v>1886</v>
      </c>
      <c r="L2575">
        <v>1886</v>
      </c>
      <c r="M2575" t="s">
        <v>209</v>
      </c>
      <c r="N2575" t="s">
        <v>209</v>
      </c>
      <c r="Q2575" s="2" t="str">
        <f>IF($C2575="","",IFERROR(VLOOKUP($C2575,sources!$A$2:$N$200,2,FALSE()),"?"))</f>
        <v>Newspaper</v>
      </c>
      <c r="R2575" s="2" t="str">
        <f t="shared" si="40"/>
        <v>Textual</v>
      </c>
      <c r="S2575" s="2" t="str">
        <f>IF($C2575="","",IFERROR(VLOOKUP($C2575,sources!$A$2:$N$200,9,FALSE()),"?"))</f>
        <v>US press</v>
      </c>
      <c r="T2575" t="s">
        <v>5692</v>
      </c>
      <c r="U2575">
        <f>IF(OR(B2575="",C2575="",T2575="Retracted",LEFT(D2575,8)="Negative"),0,IF(COUNTIFS($B$2:B2575,B2575,$C$2:C2575,C2575,$D$2:D2575,"&lt;&gt;Negative*",$T$2:T2575,"&lt;&gt;Retracted")=1,1,0))</f>
        <v>1</v>
      </c>
    </row>
    <row r="2576" spans="1:21" x14ac:dyDescent="0.2">
      <c r="A2576" t="s">
        <v>4844</v>
      </c>
      <c r="B2576" t="s">
        <v>1002</v>
      </c>
      <c r="C2576" t="s">
        <v>1203</v>
      </c>
      <c r="D2576" t="s">
        <v>1575</v>
      </c>
      <c r="E2576" t="s">
        <v>4845</v>
      </c>
      <c r="F2576" t="s">
        <v>1583</v>
      </c>
      <c r="I2576" t="s">
        <v>1058</v>
      </c>
      <c r="K2576">
        <v>1911</v>
      </c>
      <c r="L2576">
        <v>1911</v>
      </c>
      <c r="M2576" t="s">
        <v>209</v>
      </c>
      <c r="N2576" t="s">
        <v>203</v>
      </c>
      <c r="Q2576" s="2" t="str">
        <f>IF($C2576="","",IFERROR(VLOOKUP($C2576,sources!$A$2:$N$200,2,FALSE()),"?"))</f>
        <v>Newspaper</v>
      </c>
      <c r="R2576" s="2" t="str">
        <f t="shared" si="40"/>
        <v>Textual</v>
      </c>
      <c r="S2576" s="2" t="str">
        <f>IF($C2576="","",IFERROR(VLOOKUP($C2576,sources!$A$2:$N$200,9,FALSE()),"?"))</f>
        <v>US press</v>
      </c>
      <c r="T2576" t="s">
        <v>5692</v>
      </c>
      <c r="U2576">
        <f>IF(OR(B2576="",C2576="",T2576="Retracted",LEFT(D2576,8)="Negative"),0,IF(COUNTIFS($B$2:B2576,B2576,$C$2:C2576,C2576,$D$2:D2576,"&lt;&gt;Negative*",$T$2:T2576,"&lt;&gt;Retracted")=1,1,0))</f>
        <v>1</v>
      </c>
    </row>
    <row r="2577" spans="1:21" x14ac:dyDescent="0.2">
      <c r="A2577" t="s">
        <v>4846</v>
      </c>
      <c r="B2577" t="s">
        <v>1008</v>
      </c>
      <c r="C2577" t="s">
        <v>1203</v>
      </c>
      <c r="D2577" t="s">
        <v>1575</v>
      </c>
      <c r="E2577" t="s">
        <v>854</v>
      </c>
      <c r="F2577" t="s">
        <v>1583</v>
      </c>
      <c r="I2577" t="s">
        <v>1058</v>
      </c>
      <c r="M2577" t="s">
        <v>190</v>
      </c>
      <c r="N2577" t="s">
        <v>190</v>
      </c>
      <c r="Q2577" s="2" t="str">
        <f>IF($C2577="","",IFERROR(VLOOKUP($C2577,sources!$A$2:$N$200,2,FALSE()),"?"))</f>
        <v>Newspaper</v>
      </c>
      <c r="R2577" s="2" t="str">
        <f t="shared" si="40"/>
        <v>Textual</v>
      </c>
      <c r="S2577" s="2" t="str">
        <f>IF($C2577="","",IFERROR(VLOOKUP($C2577,sources!$A$2:$N$200,9,FALSE()),"?"))</f>
        <v>US press</v>
      </c>
      <c r="T2577" t="s">
        <v>5692</v>
      </c>
      <c r="U2577">
        <f>IF(OR(B2577="",C2577="",T2577="Retracted",LEFT(D2577,8)="Negative"),0,IF(COUNTIFS($B$2:B2577,B2577,$C$2:C2577,C2577,$D$2:D2577,"&lt;&gt;Negative*",$T$2:T2577,"&lt;&gt;Retracted")=1,1,0))</f>
        <v>1</v>
      </c>
    </row>
    <row r="2578" spans="1:21" x14ac:dyDescent="0.2">
      <c r="A2578" t="s">
        <v>4847</v>
      </c>
      <c r="B2578" t="s">
        <v>1012</v>
      </c>
      <c r="C2578" t="s">
        <v>1203</v>
      </c>
      <c r="D2578" t="s">
        <v>1575</v>
      </c>
      <c r="E2578" t="s">
        <v>4848</v>
      </c>
      <c r="F2578" t="s">
        <v>1583</v>
      </c>
      <c r="I2578" t="s">
        <v>1058</v>
      </c>
      <c r="M2578" t="s">
        <v>190</v>
      </c>
      <c r="N2578" t="s">
        <v>190</v>
      </c>
      <c r="Q2578" s="2" t="str">
        <f>IF($C2578="","",IFERROR(VLOOKUP($C2578,sources!$A$2:$N$200,2,FALSE()),"?"))</f>
        <v>Newspaper</v>
      </c>
      <c r="R2578" s="2" t="str">
        <f t="shared" si="40"/>
        <v>Textual</v>
      </c>
      <c r="S2578" s="2" t="str">
        <f>IF($C2578="","",IFERROR(VLOOKUP($C2578,sources!$A$2:$N$200,9,FALSE()),"?"))</f>
        <v>US press</v>
      </c>
      <c r="T2578" t="s">
        <v>5692</v>
      </c>
      <c r="U2578">
        <f>IF(OR(B2578="",C2578="",T2578="Retracted",LEFT(D2578,8)="Negative"),0,IF(COUNTIFS($B$2:B2578,B2578,$C$2:C2578,C2578,$D$2:D2578,"&lt;&gt;Negative*",$T$2:T2578,"&lt;&gt;Retracted")=1,1,0))</f>
        <v>1</v>
      </c>
    </row>
    <row r="2579" spans="1:21" x14ac:dyDescent="0.2">
      <c r="A2579" t="s">
        <v>4849</v>
      </c>
      <c r="B2579" t="s">
        <v>1017</v>
      </c>
      <c r="C2579" t="s">
        <v>1203</v>
      </c>
      <c r="D2579" t="s">
        <v>1575</v>
      </c>
      <c r="E2579" t="s">
        <v>1018</v>
      </c>
      <c r="F2579" t="s">
        <v>1583</v>
      </c>
      <c r="I2579" t="s">
        <v>1058</v>
      </c>
      <c r="M2579" t="s">
        <v>190</v>
      </c>
      <c r="N2579" t="s">
        <v>190</v>
      </c>
      <c r="Q2579" s="2" t="str">
        <f>IF($C2579="","",IFERROR(VLOOKUP($C2579,sources!$A$2:$N$200,2,FALSE()),"?"))</f>
        <v>Newspaper</v>
      </c>
      <c r="R2579" s="2" t="str">
        <f t="shared" si="40"/>
        <v>Textual</v>
      </c>
      <c r="S2579" s="2" t="str">
        <f>IF($C2579="","",IFERROR(VLOOKUP($C2579,sources!$A$2:$N$200,9,FALSE()),"?"))</f>
        <v>US press</v>
      </c>
      <c r="T2579" t="s">
        <v>5692</v>
      </c>
      <c r="U2579">
        <f>IF(OR(B2579="",C2579="",T2579="Retracted",LEFT(D2579,8)="Negative"),0,IF(COUNTIFS($B$2:B2579,B2579,$C$2:C2579,C2579,$D$2:D2579,"&lt;&gt;Negative*",$T$2:T2579,"&lt;&gt;Retracted")=1,1,0))</f>
        <v>1</v>
      </c>
    </row>
    <row r="2580" spans="1:21" x14ac:dyDescent="0.2">
      <c r="A2580" t="s">
        <v>4850</v>
      </c>
      <c r="B2580" t="s">
        <v>1021</v>
      </c>
      <c r="C2580" t="s">
        <v>1203</v>
      </c>
      <c r="D2580" t="s">
        <v>1575</v>
      </c>
      <c r="E2580" t="s">
        <v>1022</v>
      </c>
      <c r="F2580" t="s">
        <v>1583</v>
      </c>
      <c r="I2580" t="s">
        <v>1058</v>
      </c>
      <c r="M2580" t="s">
        <v>190</v>
      </c>
      <c r="N2580" t="s">
        <v>190</v>
      </c>
      <c r="Q2580" s="2" t="str">
        <f>IF($C2580="","",IFERROR(VLOOKUP($C2580,sources!$A$2:$N$200,2,FALSE()),"?"))</f>
        <v>Newspaper</v>
      </c>
      <c r="R2580" s="2" t="str">
        <f t="shared" si="40"/>
        <v>Textual</v>
      </c>
      <c r="S2580" s="2" t="str">
        <f>IF($C2580="","",IFERROR(VLOOKUP($C2580,sources!$A$2:$N$200,9,FALSE()),"?"))</f>
        <v>US press</v>
      </c>
      <c r="T2580" t="s">
        <v>5692</v>
      </c>
      <c r="U2580">
        <f>IF(OR(B2580="",C2580="",T2580="Retracted",LEFT(D2580,8)="Negative"),0,IF(COUNTIFS($B$2:B2580,B2580,$C$2:C2580,C2580,$D$2:D2580,"&lt;&gt;Negative*",$T$2:T2580,"&lt;&gt;Retracted")=1,1,0))</f>
        <v>1</v>
      </c>
    </row>
    <row r="2581" spans="1:21" x14ac:dyDescent="0.2">
      <c r="A2581" t="s">
        <v>4851</v>
      </c>
      <c r="B2581" t="s">
        <v>1026</v>
      </c>
      <c r="C2581" t="s">
        <v>1203</v>
      </c>
      <c r="D2581" t="s">
        <v>1613</v>
      </c>
      <c r="E2581" t="s">
        <v>854</v>
      </c>
      <c r="F2581" t="s">
        <v>1583</v>
      </c>
      <c r="I2581" t="s">
        <v>1058</v>
      </c>
      <c r="M2581" t="s">
        <v>190</v>
      </c>
      <c r="N2581" t="s">
        <v>209</v>
      </c>
      <c r="Q2581" s="2" t="str">
        <f>IF($C2581="","",IFERROR(VLOOKUP($C2581,sources!$A$2:$N$200,2,FALSE()),"?"))</f>
        <v>Newspaper</v>
      </c>
      <c r="R2581" s="2" t="str">
        <f t="shared" si="40"/>
        <v>Textual</v>
      </c>
      <c r="S2581" s="2" t="str">
        <f>IF($C2581="","",IFERROR(VLOOKUP($C2581,sources!$A$2:$N$200,9,FALSE()),"?"))</f>
        <v>US press</v>
      </c>
      <c r="T2581" t="s">
        <v>5692</v>
      </c>
      <c r="U2581">
        <f>IF(OR(B2581="",C2581="",T2581="Retracted",LEFT(D2581,8)="Negative"),0,IF(COUNTIFS($B$2:B2581,B2581,$C$2:C2581,C2581,$D$2:D2581,"&lt;&gt;Negative*",$T$2:T2581,"&lt;&gt;Retracted")=1,1,0))</f>
        <v>0</v>
      </c>
    </row>
    <row r="2582" spans="1:21" x14ac:dyDescent="0.2">
      <c r="A2582" t="s">
        <v>4852</v>
      </c>
      <c r="B2582" t="s">
        <v>1026</v>
      </c>
      <c r="C2582" t="s">
        <v>1445</v>
      </c>
      <c r="D2582" t="s">
        <v>1613</v>
      </c>
      <c r="E2582" t="s">
        <v>854</v>
      </c>
      <c r="F2582" t="s">
        <v>1583</v>
      </c>
      <c r="I2582" t="s">
        <v>1058</v>
      </c>
      <c r="M2582" t="s">
        <v>190</v>
      </c>
      <c r="N2582" t="s">
        <v>209</v>
      </c>
      <c r="Q2582" s="2" t="str">
        <f>IF($C2582="","",IFERROR(VLOOKUP($C2582,sources!$A$2:$N$200,2,FALSE()),"?"))</f>
        <v>Newspaper</v>
      </c>
      <c r="R2582" s="2" t="str">
        <f t="shared" si="40"/>
        <v>Textual</v>
      </c>
      <c r="S2582" s="2" t="str">
        <f>IF($C2582="","",IFERROR(VLOOKUP($C2582,sources!$A$2:$N$200,9,FALSE()),"?"))</f>
        <v>Panamanian</v>
      </c>
      <c r="T2582" t="s">
        <v>5692</v>
      </c>
      <c r="U2582">
        <f>IF(OR(B2582="",C2582="",T2582="Retracted",LEFT(D2582,8)="Negative"),0,IF(COUNTIFS($B$2:B2582,B2582,$C$2:C2582,C2582,$D$2:D2582,"&lt;&gt;Negative*",$T$2:T2582,"&lt;&gt;Retracted")=1,1,0))</f>
        <v>0</v>
      </c>
    </row>
    <row r="2583" spans="1:21" x14ac:dyDescent="0.2">
      <c r="A2583" t="s">
        <v>4853</v>
      </c>
      <c r="B2583" t="s">
        <v>1008</v>
      </c>
      <c r="C2583" t="s">
        <v>1445</v>
      </c>
      <c r="D2583" t="s">
        <v>1613</v>
      </c>
      <c r="E2583" t="s">
        <v>854</v>
      </c>
      <c r="F2583" t="s">
        <v>1583</v>
      </c>
      <c r="I2583" t="s">
        <v>1058</v>
      </c>
      <c r="M2583" t="s">
        <v>190</v>
      </c>
      <c r="N2583" t="s">
        <v>209</v>
      </c>
      <c r="Q2583" s="2" t="str">
        <f>IF($C2583="","",IFERROR(VLOOKUP($C2583,sources!$A$2:$N$200,2,FALSE()),"?"))</f>
        <v>Newspaper</v>
      </c>
      <c r="R2583" s="2" t="str">
        <f t="shared" si="40"/>
        <v>Textual</v>
      </c>
      <c r="S2583" s="2" t="str">
        <f>IF($C2583="","",IFERROR(VLOOKUP($C2583,sources!$A$2:$N$200,9,FALSE()),"?"))</f>
        <v>Panamanian</v>
      </c>
      <c r="T2583" t="s">
        <v>5692</v>
      </c>
      <c r="U2583">
        <f>IF(OR(B2583="",C2583="",T2583="Retracted",LEFT(D2583,8)="Negative"),0,IF(COUNTIFS($B$2:B2583,B2583,$C$2:C2583,C2583,$D$2:D2583,"&lt;&gt;Negative*",$T$2:T2583,"&lt;&gt;Retracted")=1,1,0))</f>
        <v>0</v>
      </c>
    </row>
    <row r="2584" spans="1:21" x14ac:dyDescent="0.2">
      <c r="A2584" t="s">
        <v>4854</v>
      </c>
      <c r="B2584" t="s">
        <v>1026</v>
      </c>
      <c r="C2584" t="s">
        <v>1258</v>
      </c>
      <c r="D2584" t="s">
        <v>1613</v>
      </c>
      <c r="E2584" t="s">
        <v>854</v>
      </c>
      <c r="F2584" t="s">
        <v>1583</v>
      </c>
      <c r="I2584" t="s">
        <v>1058</v>
      </c>
      <c r="M2584" t="s">
        <v>190</v>
      </c>
      <c r="N2584" t="s">
        <v>209</v>
      </c>
      <c r="Q2584" s="2" t="str">
        <f>IF($C2584="","",IFERROR(VLOOKUP($C2584,sources!$A$2:$N$200,2,FALSE()),"?"))</f>
        <v>Administrative</v>
      </c>
      <c r="R2584" s="2" t="str">
        <f t="shared" si="40"/>
        <v>Textual</v>
      </c>
      <c r="S2584" s="2" t="str">
        <f>IF($C2584="","",IFERROR(VLOOKUP($C2584,sources!$A$2:$N$200,9,FALSE()),"?"))</f>
        <v>US official</v>
      </c>
      <c r="T2584" t="s">
        <v>5692</v>
      </c>
      <c r="U2584">
        <f>IF(OR(B2584="",C2584="",T2584="Retracted",LEFT(D2584,8)="Negative"),0,IF(COUNTIFS($B$2:B2584,B2584,$C$2:C2584,C2584,$D$2:D2584,"&lt;&gt;Negative*",$T$2:T2584,"&lt;&gt;Retracted")=1,1,0))</f>
        <v>0</v>
      </c>
    </row>
    <row r="2585" spans="1:21" ht="26" x14ac:dyDescent="0.2">
      <c r="A2585" t="s">
        <v>4855</v>
      </c>
      <c r="B2585" t="s">
        <v>1026</v>
      </c>
      <c r="C2585" t="s">
        <v>1393</v>
      </c>
      <c r="D2585" t="s">
        <v>1613</v>
      </c>
      <c r="E2585" t="s">
        <v>854</v>
      </c>
      <c r="F2585" t="s">
        <v>1583</v>
      </c>
      <c r="I2585" t="s">
        <v>1058</v>
      </c>
      <c r="M2585" t="s">
        <v>190</v>
      </c>
      <c r="N2585" t="s">
        <v>209</v>
      </c>
      <c r="Q2585" s="2" t="str">
        <f>IF($C2585="","",IFERROR(VLOOKUP($C2585,sources!$A$2:$N$200,2,FALSE()),"?"))</f>
        <v>Web compilation</v>
      </c>
      <c r="R2585" s="2" t="str">
        <f t="shared" si="40"/>
        <v>Textual</v>
      </c>
      <c r="S2585" s="2" t="str">
        <f>IF($C2585="","",IFERROR(VLOOKUP($C2585,sources!$A$2:$N$200,9,FALSE()),"?"))</f>
        <v>Caribbean community</v>
      </c>
      <c r="T2585" t="s">
        <v>5692</v>
      </c>
      <c r="U2585">
        <f>IF(OR(B2585="",C2585="",T2585="Retracted",LEFT(D2585,8)="Negative"),0,IF(COUNTIFS($B$2:B2585,B2585,$C$2:C2585,C2585,$D$2:D2585,"&lt;&gt;Negative*",$T$2:T2585,"&lt;&gt;Retracted")=1,1,0))</f>
        <v>0</v>
      </c>
    </row>
    <row r="2586" spans="1:21" x14ac:dyDescent="0.2">
      <c r="A2586" t="s">
        <v>4856</v>
      </c>
      <c r="B2586" t="s">
        <v>330</v>
      </c>
      <c r="C2586" t="s">
        <v>1370</v>
      </c>
      <c r="D2586" t="s">
        <v>1572</v>
      </c>
      <c r="E2586" t="s">
        <v>4857</v>
      </c>
      <c r="F2586" t="s">
        <v>1583</v>
      </c>
      <c r="G2586">
        <v>9.3635789999999997</v>
      </c>
      <c r="H2586">
        <v>-79.908794</v>
      </c>
      <c r="I2586" t="s">
        <v>3312</v>
      </c>
      <c r="J2586">
        <v>300</v>
      </c>
      <c r="K2586">
        <v>1940</v>
      </c>
      <c r="L2586">
        <v>1940</v>
      </c>
      <c r="M2586" t="s">
        <v>203</v>
      </c>
      <c r="N2586" t="s">
        <v>203</v>
      </c>
      <c r="Q2586" s="2" t="str">
        <f>IF($C2586="","",IFERROR(VLOOKUP($C2586,sources!$A$2:$N$200,2,FALSE()),"?"))</f>
        <v>Map</v>
      </c>
      <c r="R2586" s="2" t="str">
        <f t="shared" si="40"/>
        <v>Map</v>
      </c>
      <c r="S2586" s="2" t="str">
        <f>IF($C2586="","",IFERROR(VLOOKUP($C2586,sources!$A$2:$N$200,9,FALSE()),"?"))</f>
        <v>US official</v>
      </c>
      <c r="T2586" t="s">
        <v>5692</v>
      </c>
      <c r="U2586">
        <f>IF(OR(B2586="",C2586="",T2586="Retracted",LEFT(D2586,8)="Negative"),0,IF(COUNTIFS($B$2:B2586,B2586,$C$2:C2586,C2586,$D$2:D2586,"&lt;&gt;Negative*",$T$2:T2586,"&lt;&gt;Retracted")=1,1,0))</f>
        <v>0</v>
      </c>
    </row>
    <row r="2587" spans="1:21" x14ac:dyDescent="0.2">
      <c r="A2587" t="s">
        <v>4858</v>
      </c>
      <c r="B2587" t="s">
        <v>1002</v>
      </c>
      <c r="C2587" t="s">
        <v>1370</v>
      </c>
      <c r="D2587" t="s">
        <v>1572</v>
      </c>
      <c r="E2587" t="s">
        <v>4859</v>
      </c>
      <c r="F2587" t="s">
        <v>1583</v>
      </c>
      <c r="G2587">
        <v>9.3649290000000001</v>
      </c>
      <c r="H2587">
        <v>-79.910781</v>
      </c>
      <c r="I2587" t="s">
        <v>3312</v>
      </c>
      <c r="J2587">
        <v>200</v>
      </c>
      <c r="K2587">
        <v>1940</v>
      </c>
      <c r="L2587">
        <v>1940</v>
      </c>
      <c r="M2587" t="s">
        <v>203</v>
      </c>
      <c r="N2587" t="s">
        <v>203</v>
      </c>
      <c r="Q2587" s="2" t="str">
        <f>IF($C2587="","",IFERROR(VLOOKUP($C2587,sources!$A$2:$N$200,2,FALSE()),"?"))</f>
        <v>Map</v>
      </c>
      <c r="R2587" s="2" t="str">
        <f t="shared" si="40"/>
        <v>Map</v>
      </c>
      <c r="S2587" s="2" t="str">
        <f>IF($C2587="","",IFERROR(VLOOKUP($C2587,sources!$A$2:$N$200,9,FALSE()),"?"))</f>
        <v>US official</v>
      </c>
      <c r="T2587" t="s">
        <v>5692</v>
      </c>
      <c r="U2587">
        <f>IF(OR(B2587="",C2587="",T2587="Retracted",LEFT(D2587,8)="Negative"),0,IF(COUNTIFS($B$2:B2587,B2587,$C$2:C2587,C2587,$D$2:D2587,"&lt;&gt;Negative*",$T$2:T2587,"&lt;&gt;Retracted")=1,1,0))</f>
        <v>1</v>
      </c>
    </row>
    <row r="2588" spans="1:21" x14ac:dyDescent="0.2">
      <c r="A2588" t="s">
        <v>4860</v>
      </c>
      <c r="B2588" t="s">
        <v>330</v>
      </c>
      <c r="C2588" t="s">
        <v>1370</v>
      </c>
      <c r="D2588" t="s">
        <v>1572</v>
      </c>
      <c r="E2588" t="s">
        <v>4861</v>
      </c>
      <c r="F2588" t="s">
        <v>1583</v>
      </c>
      <c r="G2588">
        <v>9.3629770000000008</v>
      </c>
      <c r="H2588">
        <v>-79.898173999999997</v>
      </c>
      <c r="I2588" t="s">
        <v>3312</v>
      </c>
      <c r="J2588">
        <v>300</v>
      </c>
      <c r="K2588">
        <v>1940</v>
      </c>
      <c r="L2588">
        <v>1940</v>
      </c>
      <c r="M2588" t="s">
        <v>203</v>
      </c>
      <c r="N2588" t="s">
        <v>203</v>
      </c>
      <c r="Q2588" s="2" t="str">
        <f>IF($C2588="","",IFERROR(VLOOKUP($C2588,sources!$A$2:$N$200,2,FALSE()),"?"))</f>
        <v>Map</v>
      </c>
      <c r="R2588" s="2" t="str">
        <f t="shared" si="40"/>
        <v>Map</v>
      </c>
      <c r="S2588" s="2" t="str">
        <f>IF($C2588="","",IFERROR(VLOOKUP($C2588,sources!$A$2:$N$200,9,FALSE()),"?"))</f>
        <v>US official</v>
      </c>
      <c r="T2588" t="s">
        <v>5692</v>
      </c>
      <c r="U2588">
        <f>IF(OR(B2588="",C2588="",T2588="Retracted",LEFT(D2588,8)="Negative"),0,IF(COUNTIFS($B$2:B2588,B2588,$C$2:C2588,C2588,$D$2:D2588,"&lt;&gt;Negative*",$T$2:T2588,"&lt;&gt;Retracted")=1,1,0))</f>
        <v>0</v>
      </c>
    </row>
    <row r="2589" spans="1:21" x14ac:dyDescent="0.2">
      <c r="A2589" t="s">
        <v>4862</v>
      </c>
      <c r="B2589" t="s">
        <v>525</v>
      </c>
      <c r="C2589" t="s">
        <v>1370</v>
      </c>
      <c r="D2589" t="s">
        <v>1572</v>
      </c>
      <c r="E2589" t="s">
        <v>4863</v>
      </c>
      <c r="F2589" t="s">
        <v>1583</v>
      </c>
      <c r="G2589">
        <v>9.0024639999999998</v>
      </c>
      <c r="H2589">
        <v>-79.584598</v>
      </c>
      <c r="I2589" t="s">
        <v>3312</v>
      </c>
      <c r="J2589">
        <v>800</v>
      </c>
      <c r="K2589">
        <v>1940</v>
      </c>
      <c r="L2589">
        <v>1940</v>
      </c>
      <c r="M2589" t="s">
        <v>203</v>
      </c>
      <c r="N2589" t="s">
        <v>209</v>
      </c>
      <c r="Q2589" s="2" t="str">
        <f>IF($C2589="","",IFERROR(VLOOKUP($C2589,sources!$A$2:$N$200,2,FALSE()),"?"))</f>
        <v>Map</v>
      </c>
      <c r="R2589" s="2" t="str">
        <f t="shared" si="40"/>
        <v>Map</v>
      </c>
      <c r="S2589" s="2" t="str">
        <f>IF($C2589="","",IFERROR(VLOOKUP($C2589,sources!$A$2:$N$200,9,FALSE()),"?"))</f>
        <v>US official</v>
      </c>
      <c r="T2589" t="s">
        <v>5692</v>
      </c>
      <c r="U2589">
        <f>IF(OR(B2589="",C2589="",T2589="Retracted",LEFT(D2589,8)="Negative"),0,IF(COUNTIFS($B$2:B2589,B2589,$C$2:C2589,C2589,$D$2:D2589,"&lt;&gt;Negative*",$T$2:T2589,"&lt;&gt;Retracted")=1,1,0))</f>
        <v>0</v>
      </c>
    </row>
    <row r="2590" spans="1:21" x14ac:dyDescent="0.2">
      <c r="A2590" t="s">
        <v>4864</v>
      </c>
      <c r="B2590" t="s">
        <v>351</v>
      </c>
      <c r="C2590" t="s">
        <v>1370</v>
      </c>
      <c r="D2590" t="s">
        <v>1572</v>
      </c>
      <c r="E2590" t="s">
        <v>4865</v>
      </c>
      <c r="F2590" t="s">
        <v>1583</v>
      </c>
      <c r="G2590">
        <v>8.9820340000000005</v>
      </c>
      <c r="H2590">
        <v>-79.570077999999995</v>
      </c>
      <c r="I2590" t="s">
        <v>3312</v>
      </c>
      <c r="J2590">
        <v>400</v>
      </c>
      <c r="K2590">
        <v>1940</v>
      </c>
      <c r="L2590">
        <v>1940</v>
      </c>
      <c r="M2590" t="s">
        <v>203</v>
      </c>
      <c r="N2590" t="s">
        <v>203</v>
      </c>
      <c r="Q2590" s="2" t="str">
        <f>IF($C2590="","",IFERROR(VLOOKUP($C2590,sources!$A$2:$N$200,2,FALSE()),"?"))</f>
        <v>Map</v>
      </c>
      <c r="R2590" s="2" t="str">
        <f t="shared" si="40"/>
        <v>Map</v>
      </c>
      <c r="S2590" s="2" t="str">
        <f>IF($C2590="","",IFERROR(VLOOKUP($C2590,sources!$A$2:$N$200,9,FALSE()),"?"))</f>
        <v>US official</v>
      </c>
      <c r="T2590" t="s">
        <v>5692</v>
      </c>
      <c r="U2590">
        <f>IF(OR(B2590="",C2590="",T2590="Retracted",LEFT(D2590,8)="Negative"),0,IF(COUNTIFS($B$2:B2590,B2590,$C$2:C2590,C2590,$D$2:D2590,"&lt;&gt;Negative*",$T$2:T2590,"&lt;&gt;Retracted")=1,1,0))</f>
        <v>0</v>
      </c>
    </row>
    <row r="2591" spans="1:21" x14ac:dyDescent="0.2">
      <c r="A2591" t="s">
        <v>4866</v>
      </c>
      <c r="B2591" t="s">
        <v>947</v>
      </c>
      <c r="C2591" t="s">
        <v>1203</v>
      </c>
      <c r="D2591" t="s">
        <v>1575</v>
      </c>
      <c r="E2591" t="s">
        <v>4867</v>
      </c>
      <c r="F2591" t="s">
        <v>1583</v>
      </c>
      <c r="I2591" t="s">
        <v>1058</v>
      </c>
      <c r="K2591">
        <v>1889</v>
      </c>
      <c r="L2591">
        <v>1889</v>
      </c>
      <c r="M2591" t="s">
        <v>209</v>
      </c>
      <c r="N2591" t="s">
        <v>203</v>
      </c>
      <c r="Q2591" s="2" t="str">
        <f>IF($C2591="","",IFERROR(VLOOKUP($C2591,sources!$A$2:$N$200,2,FALSE()),"?"))</f>
        <v>Newspaper</v>
      </c>
      <c r="R2591" s="2" t="str">
        <f t="shared" si="40"/>
        <v>Textual</v>
      </c>
      <c r="S2591" s="2" t="str">
        <f>IF($C2591="","",IFERROR(VLOOKUP($C2591,sources!$A$2:$N$200,9,FALSE()),"?"))</f>
        <v>US press</v>
      </c>
      <c r="T2591" t="s">
        <v>5692</v>
      </c>
      <c r="U2591">
        <f>IF(OR(B2591="",C2591="",T2591="Retracted",LEFT(D2591,8)="Negative"),0,IF(COUNTIFS($B$2:B2591,B2591,$C$2:C2591,C2591,$D$2:D2591,"&lt;&gt;Negative*",$T$2:T2591,"&lt;&gt;Retracted")=1,1,0))</f>
        <v>0</v>
      </c>
    </row>
    <row r="2592" spans="1:21" x14ac:dyDescent="0.2">
      <c r="A2592" t="s">
        <v>4868</v>
      </c>
      <c r="B2592" t="s">
        <v>938</v>
      </c>
      <c r="C2592" t="s">
        <v>1203</v>
      </c>
      <c r="D2592" t="s">
        <v>1575</v>
      </c>
      <c r="E2592" t="s">
        <v>939</v>
      </c>
      <c r="F2592" t="s">
        <v>1583</v>
      </c>
      <c r="I2592" t="s">
        <v>1058</v>
      </c>
      <c r="K2592">
        <v>1889</v>
      </c>
      <c r="L2592">
        <v>1889</v>
      </c>
      <c r="M2592" t="s">
        <v>209</v>
      </c>
      <c r="N2592" t="s">
        <v>203</v>
      </c>
      <c r="Q2592" s="2" t="str">
        <f>IF($C2592="","",IFERROR(VLOOKUP($C2592,sources!$A$2:$N$200,2,FALSE()),"?"))</f>
        <v>Newspaper</v>
      </c>
      <c r="R2592" s="2" t="str">
        <f t="shared" si="40"/>
        <v>Textual</v>
      </c>
      <c r="S2592" s="2" t="str">
        <f>IF($C2592="","",IFERROR(VLOOKUP($C2592,sources!$A$2:$N$200,9,FALSE()),"?"))</f>
        <v>US press</v>
      </c>
      <c r="T2592" t="s">
        <v>5692</v>
      </c>
      <c r="U2592">
        <f>IF(OR(B2592="",C2592="",T2592="Retracted",LEFT(D2592,8)="Negative"),0,IF(COUNTIFS($B$2:B2592,B2592,$C$2:C2592,C2592,$D$2:D2592,"&lt;&gt;Negative*",$T$2:T2592,"&lt;&gt;Retracted")=1,1,0))</f>
        <v>0</v>
      </c>
    </row>
    <row r="2593" spans="1:21" x14ac:dyDescent="0.2">
      <c r="A2593" t="s">
        <v>4869</v>
      </c>
      <c r="B2593" t="s">
        <v>447</v>
      </c>
      <c r="C2593" t="s">
        <v>1370</v>
      </c>
      <c r="D2593" t="s">
        <v>1572</v>
      </c>
      <c r="E2593" t="s">
        <v>4870</v>
      </c>
      <c r="F2593" t="s">
        <v>1583</v>
      </c>
      <c r="G2593">
        <v>8.9142919999999997</v>
      </c>
      <c r="H2593">
        <v>-79.570660000000004</v>
      </c>
      <c r="I2593" t="s">
        <v>3312</v>
      </c>
      <c r="J2593">
        <v>400</v>
      </c>
      <c r="K2593">
        <v>1940</v>
      </c>
      <c r="L2593">
        <v>1940</v>
      </c>
      <c r="M2593" t="s">
        <v>203</v>
      </c>
      <c r="N2593" t="s">
        <v>203</v>
      </c>
      <c r="Q2593" s="2" t="str">
        <f>IF($C2593="","",IFERROR(VLOOKUP($C2593,sources!$A$2:$N$200,2,FALSE()),"?"))</f>
        <v>Map</v>
      </c>
      <c r="R2593" s="2" t="str">
        <f t="shared" si="40"/>
        <v>Map</v>
      </c>
      <c r="S2593" s="2" t="str">
        <f>IF($C2593="","",IFERROR(VLOOKUP($C2593,sources!$A$2:$N$200,9,FALSE()),"?"))</f>
        <v>US official</v>
      </c>
      <c r="T2593" t="s">
        <v>5692</v>
      </c>
      <c r="U2593">
        <f>IF(OR(B2593="",C2593="",T2593="Retracted",LEFT(D2593,8)="Negative"),0,IF(COUNTIFS($B$2:B2593,B2593,$C$2:C2593,C2593,$D$2:D2593,"&lt;&gt;Negative*",$T$2:T2593,"&lt;&gt;Retracted")=1,1,0))</f>
        <v>0</v>
      </c>
    </row>
    <row r="2594" spans="1:21" ht="26" x14ac:dyDescent="0.2">
      <c r="A2594" t="s">
        <v>4871</v>
      </c>
      <c r="B2594" t="s">
        <v>816</v>
      </c>
      <c r="C2594" t="s">
        <v>1384</v>
      </c>
      <c r="D2594" t="s">
        <v>1575</v>
      </c>
      <c r="E2594" t="s">
        <v>4251</v>
      </c>
      <c r="F2594" t="s">
        <v>1583</v>
      </c>
      <c r="I2594" t="s">
        <v>1058</v>
      </c>
      <c r="M2594" t="s">
        <v>190</v>
      </c>
      <c r="N2594" t="s">
        <v>190</v>
      </c>
      <c r="Q2594" s="2" t="str">
        <f>IF($C2594="","",IFERROR(VLOOKUP($C2594,sources!$A$2:$N$200,2,FALSE()),"?"))</f>
        <v>Newspaper</v>
      </c>
      <c r="R2594" s="2" t="str">
        <f t="shared" si="40"/>
        <v>Textual</v>
      </c>
      <c r="S2594" s="2" t="str">
        <f>IF($C2594="","",IFERROR(VLOOKUP($C2594,sources!$A$2:$N$200,9,FALSE()),"?"))</f>
        <v>Caribbean community</v>
      </c>
      <c r="T2594" t="s">
        <v>5692</v>
      </c>
      <c r="U2594">
        <f>IF(OR(B2594="",C2594="",T2594="Retracted",LEFT(D2594,8)="Negative"),0,IF(COUNTIFS($B$2:B2594,B2594,$C$2:C2594,C2594,$D$2:D2594,"&lt;&gt;Negative*",$T$2:T2594,"&lt;&gt;Retracted")=1,1,0))</f>
        <v>1</v>
      </c>
    </row>
    <row r="2595" spans="1:21" ht="26" x14ac:dyDescent="0.2">
      <c r="A2595" t="s">
        <v>4872</v>
      </c>
      <c r="B2595" t="s">
        <v>852</v>
      </c>
      <c r="C2595" t="s">
        <v>1384</v>
      </c>
      <c r="D2595" t="s">
        <v>1613</v>
      </c>
      <c r="E2595" t="s">
        <v>854</v>
      </c>
      <c r="F2595" t="s">
        <v>1583</v>
      </c>
      <c r="I2595" t="s">
        <v>1058</v>
      </c>
      <c r="N2595" t="s">
        <v>209</v>
      </c>
      <c r="Q2595" s="2" t="str">
        <f>IF($C2595="","",IFERROR(VLOOKUP($C2595,sources!$A$2:$N$200,2,FALSE()),"?"))</f>
        <v>Newspaper</v>
      </c>
      <c r="R2595" s="2" t="str">
        <f t="shared" si="40"/>
        <v>Textual</v>
      </c>
      <c r="S2595" s="2" t="str">
        <f>IF($C2595="","",IFERROR(VLOOKUP($C2595,sources!$A$2:$N$200,9,FALSE()),"?"))</f>
        <v>Caribbean community</v>
      </c>
      <c r="T2595" t="s">
        <v>5692</v>
      </c>
      <c r="U2595">
        <f>IF(OR(B2595="",C2595="",T2595="Retracted",LEFT(D2595,8)="Negative"),0,IF(COUNTIFS($B$2:B2595,B2595,$C$2:C2595,C2595,$D$2:D2595,"&lt;&gt;Negative*",$T$2:T2595,"&lt;&gt;Retracted")=1,1,0))</f>
        <v>0</v>
      </c>
    </row>
    <row r="2596" spans="1:21" ht="26" x14ac:dyDescent="0.2">
      <c r="A2596" t="s">
        <v>4873</v>
      </c>
      <c r="B2596" t="s">
        <v>1008</v>
      </c>
      <c r="C2596" t="s">
        <v>1384</v>
      </c>
      <c r="D2596" t="s">
        <v>1613</v>
      </c>
      <c r="E2596" t="s">
        <v>854</v>
      </c>
      <c r="F2596" t="s">
        <v>1583</v>
      </c>
      <c r="I2596" t="s">
        <v>1058</v>
      </c>
      <c r="N2596" t="s">
        <v>209</v>
      </c>
      <c r="Q2596" s="2" t="str">
        <f>IF($C2596="","",IFERROR(VLOOKUP($C2596,sources!$A$2:$N$200,2,FALSE()),"?"))</f>
        <v>Newspaper</v>
      </c>
      <c r="R2596" s="2" t="str">
        <f t="shared" si="40"/>
        <v>Textual</v>
      </c>
      <c r="S2596" s="2" t="str">
        <f>IF($C2596="","",IFERROR(VLOOKUP($C2596,sources!$A$2:$N$200,9,FALSE()),"?"))</f>
        <v>Caribbean community</v>
      </c>
      <c r="T2596" t="s">
        <v>5692</v>
      </c>
      <c r="U2596">
        <f>IF(OR(B2596="",C2596="",T2596="Retracted",LEFT(D2596,8)="Negative"),0,IF(COUNTIFS($B$2:B2596,B2596,$C$2:C2596,C2596,$D$2:D2596,"&lt;&gt;Negative*",$T$2:T2596,"&lt;&gt;Retracted")=1,1,0))</f>
        <v>0</v>
      </c>
    </row>
    <row r="2597" spans="1:21" ht="26" x14ac:dyDescent="0.2">
      <c r="A2597" t="s">
        <v>4874</v>
      </c>
      <c r="B2597" t="s">
        <v>1026</v>
      </c>
      <c r="C2597" t="s">
        <v>1384</v>
      </c>
      <c r="D2597" t="s">
        <v>1613</v>
      </c>
      <c r="E2597" t="s">
        <v>854</v>
      </c>
      <c r="F2597" t="s">
        <v>1583</v>
      </c>
      <c r="I2597" t="s">
        <v>1058</v>
      </c>
      <c r="N2597" t="s">
        <v>209</v>
      </c>
      <c r="Q2597" s="2" t="str">
        <f>IF($C2597="","",IFERROR(VLOOKUP($C2597,sources!$A$2:$N$200,2,FALSE()),"?"))</f>
        <v>Newspaper</v>
      </c>
      <c r="R2597" s="2" t="str">
        <f t="shared" si="40"/>
        <v>Textual</v>
      </c>
      <c r="S2597" s="2" t="str">
        <f>IF($C2597="","",IFERROR(VLOOKUP($C2597,sources!$A$2:$N$200,9,FALSE()),"?"))</f>
        <v>Caribbean community</v>
      </c>
      <c r="T2597" t="s">
        <v>5692</v>
      </c>
      <c r="U2597">
        <f>IF(OR(B2597="",C2597="",T2597="Retracted",LEFT(D2597,8)="Negative"),0,IF(COUNTIFS($B$2:B2597,B2597,$C$2:C2597,C2597,$D$2:D2597,"&lt;&gt;Negative*",$T$2:T2597,"&lt;&gt;Retracted")=1,1,0))</f>
        <v>0</v>
      </c>
    </row>
    <row r="2598" spans="1:21" ht="26" x14ac:dyDescent="0.2">
      <c r="A2598" t="s">
        <v>4875</v>
      </c>
      <c r="B2598" t="s">
        <v>917</v>
      </c>
      <c r="C2598" t="s">
        <v>1384</v>
      </c>
      <c r="D2598" t="s">
        <v>1613</v>
      </c>
      <c r="E2598" t="s">
        <v>918</v>
      </c>
      <c r="F2598" t="s">
        <v>1583</v>
      </c>
      <c r="I2598" t="s">
        <v>1058</v>
      </c>
      <c r="N2598" t="s">
        <v>209</v>
      </c>
      <c r="Q2598" s="2" t="str">
        <f>IF($C2598="","",IFERROR(VLOOKUP($C2598,sources!$A$2:$N$200,2,FALSE()),"?"))</f>
        <v>Newspaper</v>
      </c>
      <c r="R2598" s="2" t="str">
        <f t="shared" si="40"/>
        <v>Textual</v>
      </c>
      <c r="S2598" s="2" t="str">
        <f>IF($C2598="","",IFERROR(VLOOKUP($C2598,sources!$A$2:$N$200,9,FALSE()),"?"))</f>
        <v>Caribbean community</v>
      </c>
      <c r="T2598" t="s">
        <v>5692</v>
      </c>
      <c r="U2598">
        <f>IF(OR(B2598="",C2598="",T2598="Retracted",LEFT(D2598,8)="Negative"),0,IF(COUNTIFS($B$2:B2598,B2598,$C$2:C2598,C2598,$D$2:D2598,"&lt;&gt;Negative*",$T$2:T2598,"&lt;&gt;Retracted")=1,1,0))</f>
        <v>0</v>
      </c>
    </row>
    <row r="2599" spans="1:21" ht="26" x14ac:dyDescent="0.2">
      <c r="A2599" t="s">
        <v>4876</v>
      </c>
      <c r="B2599" t="s">
        <v>920</v>
      </c>
      <c r="C2599" t="s">
        <v>1384</v>
      </c>
      <c r="D2599" t="s">
        <v>1575</v>
      </c>
      <c r="E2599" t="s">
        <v>921</v>
      </c>
      <c r="F2599" t="s">
        <v>1583</v>
      </c>
      <c r="I2599" t="s">
        <v>1058</v>
      </c>
      <c r="M2599" t="s">
        <v>190</v>
      </c>
      <c r="N2599" t="s">
        <v>190</v>
      </c>
      <c r="Q2599" s="2" t="str">
        <f>IF($C2599="","",IFERROR(VLOOKUP($C2599,sources!$A$2:$N$200,2,FALSE()),"?"))</f>
        <v>Newspaper</v>
      </c>
      <c r="R2599" s="2" t="str">
        <f t="shared" si="40"/>
        <v>Textual</v>
      </c>
      <c r="S2599" s="2" t="str">
        <f>IF($C2599="","",IFERROR(VLOOKUP($C2599,sources!$A$2:$N$200,9,FALSE()),"?"))</f>
        <v>Caribbean community</v>
      </c>
      <c r="T2599" t="s">
        <v>5692</v>
      </c>
      <c r="U2599">
        <f>IF(OR(B2599="",C2599="",T2599="Retracted",LEFT(D2599,8)="Negative"),0,IF(COUNTIFS($B$2:B2599,B2599,$C$2:C2599,C2599,$D$2:D2599,"&lt;&gt;Negative*",$T$2:T2599,"&lt;&gt;Retracted")=1,1,0))</f>
        <v>1</v>
      </c>
    </row>
    <row r="2600" spans="1:21" ht="26" x14ac:dyDescent="0.2">
      <c r="A2600" t="s">
        <v>4877</v>
      </c>
      <c r="B2600" t="s">
        <v>928</v>
      </c>
      <c r="C2600" t="s">
        <v>1384</v>
      </c>
      <c r="D2600" t="s">
        <v>1575</v>
      </c>
      <c r="E2600" t="s">
        <v>375</v>
      </c>
      <c r="F2600" t="s">
        <v>1583</v>
      </c>
      <c r="I2600" t="s">
        <v>1058</v>
      </c>
      <c r="M2600" t="s">
        <v>190</v>
      </c>
      <c r="N2600" t="s">
        <v>190</v>
      </c>
      <c r="Q2600" s="2" t="str">
        <f>IF($C2600="","",IFERROR(VLOOKUP($C2600,sources!$A$2:$N$200,2,FALSE()),"?"))</f>
        <v>Newspaper</v>
      </c>
      <c r="R2600" s="2" t="str">
        <f t="shared" si="40"/>
        <v>Textual</v>
      </c>
      <c r="S2600" s="2" t="str">
        <f>IF($C2600="","",IFERROR(VLOOKUP($C2600,sources!$A$2:$N$200,9,FALSE()),"?"))</f>
        <v>Caribbean community</v>
      </c>
      <c r="T2600" t="s">
        <v>5692</v>
      </c>
      <c r="U2600">
        <f>IF(OR(B2600="",C2600="",T2600="Retracted",LEFT(D2600,8)="Negative"),0,IF(COUNTIFS($B$2:B2600,B2600,$C$2:C2600,C2600,$D$2:D2600,"&lt;&gt;Negative*",$T$2:T2600,"&lt;&gt;Retracted")=1,1,0))</f>
        <v>1</v>
      </c>
    </row>
    <row r="2601" spans="1:21" ht="26" x14ac:dyDescent="0.2">
      <c r="A2601" t="s">
        <v>4878</v>
      </c>
      <c r="B2601" t="s">
        <v>943</v>
      </c>
      <c r="C2601" t="s">
        <v>1384</v>
      </c>
      <c r="D2601" t="s">
        <v>1575</v>
      </c>
      <c r="E2601" t="s">
        <v>4033</v>
      </c>
      <c r="F2601" t="s">
        <v>1583</v>
      </c>
      <c r="I2601" t="s">
        <v>1058</v>
      </c>
      <c r="M2601" t="s">
        <v>190</v>
      </c>
      <c r="N2601" t="s">
        <v>190</v>
      </c>
      <c r="Q2601" s="2" t="str">
        <f>IF($C2601="","",IFERROR(VLOOKUP($C2601,sources!$A$2:$N$200,2,FALSE()),"?"))</f>
        <v>Newspaper</v>
      </c>
      <c r="R2601" s="2" t="str">
        <f t="shared" si="40"/>
        <v>Textual</v>
      </c>
      <c r="S2601" s="2" t="str">
        <f>IF($C2601="","",IFERROR(VLOOKUP($C2601,sources!$A$2:$N$200,9,FALSE()),"?"))</f>
        <v>Caribbean community</v>
      </c>
      <c r="T2601" t="s">
        <v>5692</v>
      </c>
      <c r="U2601">
        <f>IF(OR(B2601="",C2601="",T2601="Retracted",LEFT(D2601,8)="Negative"),0,IF(COUNTIFS($B$2:B2601,B2601,$C$2:C2601,C2601,$D$2:D2601,"&lt;&gt;Negative*",$T$2:T2601,"&lt;&gt;Retracted")=1,1,0))</f>
        <v>1</v>
      </c>
    </row>
    <row r="2602" spans="1:21" ht="26" x14ac:dyDescent="0.2">
      <c r="A2602" t="s">
        <v>4879</v>
      </c>
      <c r="B2602" t="s">
        <v>947</v>
      </c>
      <c r="C2602" t="s">
        <v>1384</v>
      </c>
      <c r="D2602" t="s">
        <v>1575</v>
      </c>
      <c r="E2602" t="s">
        <v>4880</v>
      </c>
      <c r="F2602" t="s">
        <v>1583</v>
      </c>
      <c r="I2602" t="s">
        <v>1058</v>
      </c>
      <c r="M2602" t="s">
        <v>190</v>
      </c>
      <c r="N2602" t="s">
        <v>190</v>
      </c>
      <c r="Q2602" s="2" t="str">
        <f>IF($C2602="","",IFERROR(VLOOKUP($C2602,sources!$A$2:$N$200,2,FALSE()),"?"))</f>
        <v>Newspaper</v>
      </c>
      <c r="R2602" s="2" t="str">
        <f t="shared" si="40"/>
        <v>Textual</v>
      </c>
      <c r="S2602" s="2" t="str">
        <f>IF($C2602="","",IFERROR(VLOOKUP($C2602,sources!$A$2:$N$200,9,FALSE()),"?"))</f>
        <v>Caribbean community</v>
      </c>
      <c r="T2602" t="s">
        <v>5692</v>
      </c>
      <c r="U2602">
        <f>IF(OR(B2602="",C2602="",T2602="Retracted",LEFT(D2602,8)="Negative"),0,IF(COUNTIFS($B$2:B2602,B2602,$C$2:C2602,C2602,$D$2:D2602,"&lt;&gt;Negative*",$T$2:T2602,"&lt;&gt;Retracted")=1,1,0))</f>
        <v>1</v>
      </c>
    </row>
    <row r="2603" spans="1:21" ht="26" x14ac:dyDescent="0.2">
      <c r="A2603" t="s">
        <v>4881</v>
      </c>
      <c r="B2603" t="s">
        <v>936</v>
      </c>
      <c r="C2603" t="s">
        <v>1384</v>
      </c>
      <c r="D2603" t="s">
        <v>1575</v>
      </c>
      <c r="E2603" t="s">
        <v>4362</v>
      </c>
      <c r="F2603" t="s">
        <v>1583</v>
      </c>
      <c r="I2603" t="s">
        <v>1058</v>
      </c>
      <c r="M2603" t="s">
        <v>190</v>
      </c>
      <c r="N2603" t="s">
        <v>190</v>
      </c>
      <c r="Q2603" s="2" t="str">
        <f>IF($C2603="","",IFERROR(VLOOKUP($C2603,sources!$A$2:$N$200,2,FALSE()),"?"))</f>
        <v>Newspaper</v>
      </c>
      <c r="R2603" s="2" t="str">
        <f t="shared" si="40"/>
        <v>Textual</v>
      </c>
      <c r="S2603" s="2" t="str">
        <f>IF($C2603="","",IFERROR(VLOOKUP($C2603,sources!$A$2:$N$200,9,FALSE()),"?"))</f>
        <v>Caribbean community</v>
      </c>
      <c r="T2603" t="s">
        <v>5692</v>
      </c>
      <c r="U2603">
        <f>IF(OR(B2603="",C2603="",T2603="Retracted",LEFT(D2603,8)="Negative"),0,IF(COUNTIFS($B$2:B2603,B2603,$C$2:C2603,C2603,$D$2:D2603,"&lt;&gt;Negative*",$T$2:T2603,"&lt;&gt;Retracted")=1,1,0))</f>
        <v>1</v>
      </c>
    </row>
    <row r="2604" spans="1:21" ht="26" x14ac:dyDescent="0.2">
      <c r="A2604" t="s">
        <v>4882</v>
      </c>
      <c r="B2604" t="s">
        <v>1012</v>
      </c>
      <c r="C2604" t="s">
        <v>1384</v>
      </c>
      <c r="D2604" t="s">
        <v>1613</v>
      </c>
      <c r="E2604" t="s">
        <v>1013</v>
      </c>
      <c r="F2604" t="s">
        <v>1583</v>
      </c>
      <c r="I2604" t="s">
        <v>1058</v>
      </c>
      <c r="N2604" t="s">
        <v>209</v>
      </c>
      <c r="Q2604" s="2" t="str">
        <f>IF($C2604="","",IFERROR(VLOOKUP($C2604,sources!$A$2:$N$200,2,FALSE()),"?"))</f>
        <v>Newspaper</v>
      </c>
      <c r="R2604" s="2" t="str">
        <f t="shared" si="40"/>
        <v>Textual</v>
      </c>
      <c r="S2604" s="2" t="str">
        <f>IF($C2604="","",IFERROR(VLOOKUP($C2604,sources!$A$2:$N$200,9,FALSE()),"?"))</f>
        <v>Caribbean community</v>
      </c>
      <c r="T2604" t="s">
        <v>5692</v>
      </c>
      <c r="U2604">
        <f>IF(OR(B2604="",C2604="",T2604="Retracted",LEFT(D2604,8)="Negative"),0,IF(COUNTIFS($B$2:B2604,B2604,$C$2:C2604,C2604,$D$2:D2604,"&lt;&gt;Negative*",$T$2:T2604,"&lt;&gt;Retracted")=1,1,0))</f>
        <v>0</v>
      </c>
    </row>
    <row r="2605" spans="1:21" ht="26" x14ac:dyDescent="0.2">
      <c r="A2605" t="s">
        <v>4883</v>
      </c>
      <c r="B2605" t="s">
        <v>839</v>
      </c>
      <c r="C2605" t="s">
        <v>1384</v>
      </c>
      <c r="D2605" t="s">
        <v>1575</v>
      </c>
      <c r="E2605" t="s">
        <v>511</v>
      </c>
      <c r="F2605" t="s">
        <v>1583</v>
      </c>
      <c r="I2605" t="s">
        <v>1058</v>
      </c>
      <c r="M2605" t="s">
        <v>190</v>
      </c>
      <c r="N2605" t="s">
        <v>190</v>
      </c>
      <c r="Q2605" s="2" t="str">
        <f>IF($C2605="","",IFERROR(VLOOKUP($C2605,sources!$A$2:$N$200,2,FALSE()),"?"))</f>
        <v>Newspaper</v>
      </c>
      <c r="R2605" s="2" t="str">
        <f t="shared" si="40"/>
        <v>Textual</v>
      </c>
      <c r="S2605" s="2" t="str">
        <f>IF($C2605="","",IFERROR(VLOOKUP($C2605,sources!$A$2:$N$200,9,FALSE()),"?"))</f>
        <v>Caribbean community</v>
      </c>
      <c r="T2605" t="s">
        <v>5692</v>
      </c>
      <c r="U2605">
        <f>IF(OR(B2605="",C2605="",T2605="Retracted",LEFT(D2605,8)="Negative"),0,IF(COUNTIFS($B$2:B2605,B2605,$C$2:C2605,C2605,$D$2:D2605,"&lt;&gt;Negative*",$T$2:T2605,"&lt;&gt;Retracted")=1,1,0))</f>
        <v>1</v>
      </c>
    </row>
    <row r="2606" spans="1:21" ht="26" x14ac:dyDescent="0.2">
      <c r="A2606" t="s">
        <v>4884</v>
      </c>
      <c r="B2606" t="s">
        <v>844</v>
      </c>
      <c r="C2606" t="s">
        <v>1384</v>
      </c>
      <c r="D2606" t="s">
        <v>1575</v>
      </c>
      <c r="E2606" t="s">
        <v>345</v>
      </c>
      <c r="F2606" t="s">
        <v>1583</v>
      </c>
      <c r="I2606" t="s">
        <v>1058</v>
      </c>
      <c r="M2606" t="s">
        <v>190</v>
      </c>
      <c r="N2606" t="s">
        <v>190</v>
      </c>
      <c r="Q2606" s="2" t="str">
        <f>IF($C2606="","",IFERROR(VLOOKUP($C2606,sources!$A$2:$N$200,2,FALSE()),"?"))</f>
        <v>Newspaper</v>
      </c>
      <c r="R2606" s="2" t="str">
        <f t="shared" si="40"/>
        <v>Textual</v>
      </c>
      <c r="S2606" s="2" t="str">
        <f>IF($C2606="","",IFERROR(VLOOKUP($C2606,sources!$A$2:$N$200,9,FALSE()),"?"))</f>
        <v>Caribbean community</v>
      </c>
      <c r="T2606" t="s">
        <v>5692</v>
      </c>
      <c r="U2606">
        <f>IF(OR(B2606="",C2606="",T2606="Retracted",LEFT(D2606,8)="Negative"),0,IF(COUNTIFS($B$2:B2606,B2606,$C$2:C2606,C2606,$D$2:D2606,"&lt;&gt;Negative*",$T$2:T2606,"&lt;&gt;Retracted")=1,1,0))</f>
        <v>1</v>
      </c>
    </row>
    <row r="2607" spans="1:21" x14ac:dyDescent="0.2">
      <c r="A2607" t="s">
        <v>4885</v>
      </c>
      <c r="B2607" t="s">
        <v>959</v>
      </c>
      <c r="C2607" t="s">
        <v>1445</v>
      </c>
      <c r="D2607" t="s">
        <v>1575</v>
      </c>
      <c r="E2607" t="s">
        <v>960</v>
      </c>
      <c r="F2607" t="s">
        <v>1583</v>
      </c>
      <c r="I2607" t="s">
        <v>1058</v>
      </c>
      <c r="K2607">
        <v>1904</v>
      </c>
      <c r="L2607">
        <v>1904</v>
      </c>
      <c r="M2607" t="s">
        <v>209</v>
      </c>
      <c r="N2607" t="s">
        <v>209</v>
      </c>
      <c r="Q2607" s="2" t="str">
        <f>IF($C2607="","",IFERROR(VLOOKUP($C2607,sources!$A$2:$N$200,2,FALSE()),"?"))</f>
        <v>Newspaper</v>
      </c>
      <c r="R2607" s="2" t="str">
        <f t="shared" si="40"/>
        <v>Textual</v>
      </c>
      <c r="S2607" s="2" t="str">
        <f>IF($C2607="","",IFERROR(VLOOKUP($C2607,sources!$A$2:$N$200,9,FALSE()),"?"))</f>
        <v>Panamanian</v>
      </c>
      <c r="T2607" t="s">
        <v>5692</v>
      </c>
      <c r="U2607">
        <f>IF(OR(B2607="",C2607="",T2607="Retracted",LEFT(D2607,8)="Negative"),0,IF(COUNTIFS($B$2:B2607,B2607,$C$2:C2607,C2607,$D$2:D2607,"&lt;&gt;Negative*",$T$2:T2607,"&lt;&gt;Retracted")=1,1,0))</f>
        <v>1</v>
      </c>
    </row>
    <row r="2608" spans="1:21" x14ac:dyDescent="0.2">
      <c r="A2608" t="s">
        <v>4886</v>
      </c>
      <c r="B2608" t="s">
        <v>786</v>
      </c>
      <c r="C2608" t="s">
        <v>1445</v>
      </c>
      <c r="D2608" t="s">
        <v>1613</v>
      </c>
      <c r="E2608" t="s">
        <v>787</v>
      </c>
      <c r="F2608" t="s">
        <v>1583</v>
      </c>
      <c r="I2608" t="s">
        <v>1058</v>
      </c>
      <c r="N2608" t="s">
        <v>209</v>
      </c>
      <c r="Q2608" s="2" t="str">
        <f>IF($C2608="","",IFERROR(VLOOKUP($C2608,sources!$A$2:$N$200,2,FALSE()),"?"))</f>
        <v>Newspaper</v>
      </c>
      <c r="R2608" s="2" t="str">
        <f t="shared" si="40"/>
        <v>Textual</v>
      </c>
      <c r="S2608" s="2" t="str">
        <f>IF($C2608="","",IFERROR(VLOOKUP($C2608,sources!$A$2:$N$200,9,FALSE()),"?"))</f>
        <v>Panamanian</v>
      </c>
      <c r="T2608" t="s">
        <v>5692</v>
      </c>
      <c r="U2608">
        <f>IF(OR(B2608="",C2608="",T2608="Retracted",LEFT(D2608,8)="Negative"),0,IF(COUNTIFS($B$2:B2608,B2608,$C$2:C2608,C2608,$D$2:D2608,"&lt;&gt;Negative*",$T$2:T2608,"&lt;&gt;Retracted")=1,1,0))</f>
        <v>0</v>
      </c>
    </row>
    <row r="2609" spans="1:21" ht="26" x14ac:dyDescent="0.2">
      <c r="A2609" t="s">
        <v>4887</v>
      </c>
      <c r="B2609" t="s">
        <v>652</v>
      </c>
      <c r="C2609" t="s">
        <v>1393</v>
      </c>
      <c r="D2609" t="s">
        <v>1613</v>
      </c>
      <c r="E2609" t="s">
        <v>2867</v>
      </c>
      <c r="F2609" t="s">
        <v>1583</v>
      </c>
      <c r="I2609" t="s">
        <v>1058</v>
      </c>
      <c r="M2609" t="s">
        <v>190</v>
      </c>
      <c r="N2609" t="s">
        <v>190</v>
      </c>
      <c r="Q2609" s="2" t="str">
        <f>IF($C2609="","",IFERROR(VLOOKUP($C2609,sources!$A$2:$N$200,2,FALSE()),"?"))</f>
        <v>Web compilation</v>
      </c>
      <c r="R2609" s="2" t="str">
        <f t="shared" si="40"/>
        <v>Textual</v>
      </c>
      <c r="S2609" s="2" t="str">
        <f>IF($C2609="","",IFERROR(VLOOKUP($C2609,sources!$A$2:$N$200,9,FALSE()),"?"))</f>
        <v>Caribbean community</v>
      </c>
      <c r="T2609" t="s">
        <v>5692</v>
      </c>
      <c r="U2609">
        <f>IF(OR(B2609="",C2609="",T2609="Retracted",LEFT(D2609,8)="Negative"),0,IF(COUNTIFS($B$2:B2609,B2609,$C$2:C2609,C2609,$D$2:D2609,"&lt;&gt;Negative*",$T$2:T2609,"&lt;&gt;Retracted")=1,1,0))</f>
        <v>0</v>
      </c>
    </row>
    <row r="2610" spans="1:21" ht="26" x14ac:dyDescent="0.2">
      <c r="A2610" t="s">
        <v>4888</v>
      </c>
      <c r="B2610" t="s">
        <v>656</v>
      </c>
      <c r="C2610" t="s">
        <v>1393</v>
      </c>
      <c r="D2610" t="s">
        <v>1613</v>
      </c>
      <c r="E2610" t="s">
        <v>2869</v>
      </c>
      <c r="F2610" t="s">
        <v>1583</v>
      </c>
      <c r="I2610" t="s">
        <v>1058</v>
      </c>
      <c r="M2610" t="s">
        <v>190</v>
      </c>
      <c r="N2610" t="s">
        <v>190</v>
      </c>
      <c r="Q2610" s="2" t="str">
        <f>IF($C2610="","",IFERROR(VLOOKUP($C2610,sources!$A$2:$N$200,2,FALSE()),"?"))</f>
        <v>Web compilation</v>
      </c>
      <c r="R2610" s="2" t="str">
        <f t="shared" si="40"/>
        <v>Textual</v>
      </c>
      <c r="S2610" s="2" t="str">
        <f>IF($C2610="","",IFERROR(VLOOKUP($C2610,sources!$A$2:$N$200,9,FALSE()),"?"))</f>
        <v>Caribbean community</v>
      </c>
      <c r="T2610" t="s">
        <v>5692</v>
      </c>
      <c r="U2610">
        <f>IF(OR(B2610="",C2610="",T2610="Retracted",LEFT(D2610,8)="Negative"),0,IF(COUNTIFS($B$2:B2610,B2610,$C$2:C2610,C2610,$D$2:D2610,"&lt;&gt;Negative*",$T$2:T2610,"&lt;&gt;Retracted")=1,1,0))</f>
        <v>0</v>
      </c>
    </row>
    <row r="2611" spans="1:21" ht="26" x14ac:dyDescent="0.2">
      <c r="A2611" t="s">
        <v>4889</v>
      </c>
      <c r="B2611" t="s">
        <v>660</v>
      </c>
      <c r="C2611" t="s">
        <v>1393</v>
      </c>
      <c r="D2611" t="s">
        <v>1613</v>
      </c>
      <c r="E2611" t="s">
        <v>4890</v>
      </c>
      <c r="F2611" t="s">
        <v>1583</v>
      </c>
      <c r="I2611" t="s">
        <v>1058</v>
      </c>
      <c r="M2611" t="s">
        <v>190</v>
      </c>
      <c r="N2611" t="s">
        <v>190</v>
      </c>
      <c r="Q2611" s="2" t="str">
        <f>IF($C2611="","",IFERROR(VLOOKUP($C2611,sources!$A$2:$N$200,2,FALSE()),"?"))</f>
        <v>Web compilation</v>
      </c>
      <c r="R2611" s="2" t="str">
        <f t="shared" si="40"/>
        <v>Textual</v>
      </c>
      <c r="S2611" s="2" t="str">
        <f>IF($C2611="","",IFERROR(VLOOKUP($C2611,sources!$A$2:$N$200,9,FALSE()),"?"))</f>
        <v>Caribbean community</v>
      </c>
      <c r="T2611" t="s">
        <v>5692</v>
      </c>
      <c r="U2611">
        <f>IF(OR(B2611="",C2611="",T2611="Retracted",LEFT(D2611,8)="Negative"),0,IF(COUNTIFS($B$2:B2611,B2611,$C$2:C2611,C2611,$D$2:D2611,"&lt;&gt;Negative*",$T$2:T2611,"&lt;&gt;Retracted")=1,1,0))</f>
        <v>0</v>
      </c>
    </row>
    <row r="2612" spans="1:21" ht="26" x14ac:dyDescent="0.2">
      <c r="A2612" t="s">
        <v>4891</v>
      </c>
      <c r="B2612" t="s">
        <v>663</v>
      </c>
      <c r="C2612" t="s">
        <v>1393</v>
      </c>
      <c r="D2612" t="s">
        <v>1575</v>
      </c>
      <c r="E2612" t="s">
        <v>2873</v>
      </c>
      <c r="F2612" t="s">
        <v>1583</v>
      </c>
      <c r="I2612" t="s">
        <v>1058</v>
      </c>
      <c r="K2612">
        <v>1906</v>
      </c>
      <c r="L2612">
        <v>1907</v>
      </c>
      <c r="M2612" t="s">
        <v>190</v>
      </c>
      <c r="N2612" t="s">
        <v>203</v>
      </c>
      <c r="Q2612" s="2" t="str">
        <f>IF($C2612="","",IFERROR(VLOOKUP($C2612,sources!$A$2:$N$200,2,FALSE()),"?"))</f>
        <v>Web compilation</v>
      </c>
      <c r="R2612" s="2" t="str">
        <f t="shared" si="40"/>
        <v>Textual</v>
      </c>
      <c r="S2612" s="2" t="str">
        <f>IF($C2612="","",IFERROR(VLOOKUP($C2612,sources!$A$2:$N$200,9,FALSE()),"?"))</f>
        <v>Caribbean community</v>
      </c>
      <c r="T2612" t="s">
        <v>5692</v>
      </c>
      <c r="U2612">
        <f>IF(OR(B2612="",C2612="",T2612="Retracted",LEFT(D2612,8)="Negative"),0,IF(COUNTIFS($B$2:B2612,B2612,$C$2:C2612,C2612,$D$2:D2612,"&lt;&gt;Negative*",$T$2:T2612,"&lt;&gt;Retracted")=1,1,0))</f>
        <v>1</v>
      </c>
    </row>
    <row r="2613" spans="1:21" ht="26" x14ac:dyDescent="0.2">
      <c r="A2613" t="s">
        <v>4892</v>
      </c>
      <c r="B2613" t="s">
        <v>667</v>
      </c>
      <c r="C2613" t="s">
        <v>1393</v>
      </c>
      <c r="D2613" t="s">
        <v>1613</v>
      </c>
      <c r="E2613" t="s">
        <v>4893</v>
      </c>
      <c r="F2613" t="s">
        <v>1583</v>
      </c>
      <c r="I2613" t="s">
        <v>1058</v>
      </c>
      <c r="M2613" t="s">
        <v>190</v>
      </c>
      <c r="N2613" t="s">
        <v>190</v>
      </c>
      <c r="Q2613" s="2" t="str">
        <f>IF($C2613="","",IFERROR(VLOOKUP($C2613,sources!$A$2:$N$200,2,FALSE()),"?"))</f>
        <v>Web compilation</v>
      </c>
      <c r="R2613" s="2" t="str">
        <f t="shared" si="40"/>
        <v>Textual</v>
      </c>
      <c r="S2613" s="2" t="str">
        <f>IF($C2613="","",IFERROR(VLOOKUP($C2613,sources!$A$2:$N$200,9,FALSE()),"?"))</f>
        <v>Caribbean community</v>
      </c>
      <c r="T2613" t="s">
        <v>5692</v>
      </c>
      <c r="U2613">
        <f>IF(OR(B2613="",C2613="",T2613="Retracted",LEFT(D2613,8)="Negative"),0,IF(COUNTIFS($B$2:B2613,B2613,$C$2:C2613,C2613,$D$2:D2613,"&lt;&gt;Negative*",$T$2:T2613,"&lt;&gt;Retracted")=1,1,0))</f>
        <v>0</v>
      </c>
    </row>
    <row r="2614" spans="1:21" ht="26" x14ac:dyDescent="0.2">
      <c r="A2614" t="s">
        <v>4894</v>
      </c>
      <c r="B2614" t="s">
        <v>670</v>
      </c>
      <c r="C2614" t="s">
        <v>1393</v>
      </c>
      <c r="D2614" t="s">
        <v>1613</v>
      </c>
      <c r="E2614" t="s">
        <v>4895</v>
      </c>
      <c r="F2614" t="s">
        <v>1583</v>
      </c>
      <c r="I2614" t="s">
        <v>1058</v>
      </c>
      <c r="M2614" t="s">
        <v>190</v>
      </c>
      <c r="N2614" t="s">
        <v>190</v>
      </c>
      <c r="Q2614" s="2" t="str">
        <f>IF($C2614="","",IFERROR(VLOOKUP($C2614,sources!$A$2:$N$200,2,FALSE()),"?"))</f>
        <v>Web compilation</v>
      </c>
      <c r="R2614" s="2" t="str">
        <f t="shared" si="40"/>
        <v>Textual</v>
      </c>
      <c r="S2614" s="2" t="str">
        <f>IF($C2614="","",IFERROR(VLOOKUP($C2614,sources!$A$2:$N$200,9,FALSE()),"?"))</f>
        <v>Caribbean community</v>
      </c>
      <c r="T2614" t="s">
        <v>5692</v>
      </c>
      <c r="U2614">
        <f>IF(OR(B2614="",C2614="",T2614="Retracted",LEFT(D2614,8)="Negative"),0,IF(COUNTIFS($B$2:B2614,B2614,$C$2:C2614,C2614,$D$2:D2614,"&lt;&gt;Negative*",$T$2:T2614,"&lt;&gt;Retracted")=1,1,0))</f>
        <v>0</v>
      </c>
    </row>
    <row r="2615" spans="1:21" ht="26" x14ac:dyDescent="0.2">
      <c r="A2615" t="s">
        <v>4896</v>
      </c>
      <c r="B2615" t="s">
        <v>673</v>
      </c>
      <c r="C2615" t="s">
        <v>1393</v>
      </c>
      <c r="D2615" t="s">
        <v>1613</v>
      </c>
      <c r="E2615" t="s">
        <v>4897</v>
      </c>
      <c r="F2615" t="s">
        <v>1583</v>
      </c>
      <c r="I2615" t="s">
        <v>1058</v>
      </c>
      <c r="M2615" t="s">
        <v>190</v>
      </c>
      <c r="N2615" t="s">
        <v>190</v>
      </c>
      <c r="Q2615" s="2" t="str">
        <f>IF($C2615="","",IFERROR(VLOOKUP($C2615,sources!$A$2:$N$200,2,FALSE()),"?"))</f>
        <v>Web compilation</v>
      </c>
      <c r="R2615" s="2" t="str">
        <f t="shared" si="40"/>
        <v>Textual</v>
      </c>
      <c r="S2615" s="2" t="str">
        <f>IF($C2615="","",IFERROR(VLOOKUP($C2615,sources!$A$2:$N$200,9,FALSE()),"?"))</f>
        <v>Caribbean community</v>
      </c>
      <c r="T2615" t="s">
        <v>5692</v>
      </c>
      <c r="U2615">
        <f>IF(OR(B2615="",C2615="",T2615="Retracted",LEFT(D2615,8)="Negative"),0,IF(COUNTIFS($B$2:B2615,B2615,$C$2:C2615,C2615,$D$2:D2615,"&lt;&gt;Negative*",$T$2:T2615,"&lt;&gt;Retracted")=1,1,0))</f>
        <v>0</v>
      </c>
    </row>
    <row r="2616" spans="1:21" ht="26" x14ac:dyDescent="0.2">
      <c r="A2616" t="s">
        <v>4898</v>
      </c>
      <c r="B2616" t="s">
        <v>677</v>
      </c>
      <c r="C2616" t="s">
        <v>1393</v>
      </c>
      <c r="D2616" t="s">
        <v>1613</v>
      </c>
      <c r="E2616" t="s">
        <v>4899</v>
      </c>
      <c r="F2616" t="s">
        <v>1583</v>
      </c>
      <c r="I2616" t="s">
        <v>1058</v>
      </c>
      <c r="M2616" t="s">
        <v>190</v>
      </c>
      <c r="N2616" t="s">
        <v>190</v>
      </c>
      <c r="Q2616" s="2" t="str">
        <f>IF($C2616="","",IFERROR(VLOOKUP($C2616,sources!$A$2:$N$200,2,FALSE()),"?"))</f>
        <v>Web compilation</v>
      </c>
      <c r="R2616" s="2" t="str">
        <f t="shared" si="40"/>
        <v>Textual</v>
      </c>
      <c r="S2616" s="2" t="str">
        <f>IF($C2616="","",IFERROR(VLOOKUP($C2616,sources!$A$2:$N$200,9,FALSE()),"?"))</f>
        <v>Caribbean community</v>
      </c>
      <c r="T2616" t="s">
        <v>5692</v>
      </c>
      <c r="U2616">
        <f>IF(OR(B2616="",C2616="",T2616="Retracted",LEFT(D2616,8)="Negative"),0,IF(COUNTIFS($B$2:B2616,B2616,$C$2:C2616,C2616,$D$2:D2616,"&lt;&gt;Negative*",$T$2:T2616,"&lt;&gt;Retracted")=1,1,0))</f>
        <v>0</v>
      </c>
    </row>
    <row r="2617" spans="1:21" ht="26" x14ac:dyDescent="0.2">
      <c r="A2617" t="s">
        <v>4900</v>
      </c>
      <c r="B2617" t="s">
        <v>680</v>
      </c>
      <c r="C2617" t="s">
        <v>1393</v>
      </c>
      <c r="D2617" t="s">
        <v>1613</v>
      </c>
      <c r="E2617" t="s">
        <v>4901</v>
      </c>
      <c r="F2617" t="s">
        <v>1583</v>
      </c>
      <c r="I2617" t="s">
        <v>1058</v>
      </c>
      <c r="M2617" t="s">
        <v>190</v>
      </c>
      <c r="N2617" t="s">
        <v>190</v>
      </c>
      <c r="Q2617" s="2" t="str">
        <f>IF($C2617="","",IFERROR(VLOOKUP($C2617,sources!$A$2:$N$200,2,FALSE()),"?"))</f>
        <v>Web compilation</v>
      </c>
      <c r="R2617" s="2" t="str">
        <f t="shared" si="40"/>
        <v>Textual</v>
      </c>
      <c r="S2617" s="2" t="str">
        <f>IF($C2617="","",IFERROR(VLOOKUP($C2617,sources!$A$2:$N$200,9,FALSE()),"?"))</f>
        <v>Caribbean community</v>
      </c>
      <c r="T2617" t="s">
        <v>5692</v>
      </c>
      <c r="U2617">
        <f>IF(OR(B2617="",C2617="",T2617="Retracted",LEFT(D2617,8)="Negative"),0,IF(COUNTIFS($B$2:B2617,B2617,$C$2:C2617,C2617,$D$2:D2617,"&lt;&gt;Negative*",$T$2:T2617,"&lt;&gt;Retracted")=1,1,0))</f>
        <v>0</v>
      </c>
    </row>
    <row r="2618" spans="1:21" ht="26" x14ac:dyDescent="0.2">
      <c r="A2618" t="s">
        <v>4902</v>
      </c>
      <c r="B2618" t="s">
        <v>683</v>
      </c>
      <c r="C2618" t="s">
        <v>1393</v>
      </c>
      <c r="D2618" t="s">
        <v>1575</v>
      </c>
      <c r="E2618" t="s">
        <v>2885</v>
      </c>
      <c r="F2618" t="s">
        <v>1583</v>
      </c>
      <c r="I2618" t="s">
        <v>1058</v>
      </c>
      <c r="N2618" t="s">
        <v>209</v>
      </c>
      <c r="Q2618" s="2" t="str">
        <f>IF($C2618="","",IFERROR(VLOOKUP($C2618,sources!$A$2:$N$200,2,FALSE()),"?"))</f>
        <v>Web compilation</v>
      </c>
      <c r="R2618" s="2" t="str">
        <f t="shared" si="40"/>
        <v>Textual</v>
      </c>
      <c r="S2618" s="2" t="str">
        <f>IF($C2618="","",IFERROR(VLOOKUP($C2618,sources!$A$2:$N$200,9,FALSE()),"?"))</f>
        <v>Caribbean community</v>
      </c>
      <c r="T2618" t="s">
        <v>5692</v>
      </c>
      <c r="U2618">
        <f>IF(OR(B2618="",C2618="",T2618="Retracted",LEFT(D2618,8)="Negative"),0,IF(COUNTIFS($B$2:B2618,B2618,$C$2:C2618,C2618,$D$2:D2618,"&lt;&gt;Negative*",$T$2:T2618,"&lt;&gt;Retracted")=1,1,0))</f>
        <v>1</v>
      </c>
    </row>
    <row r="2619" spans="1:21" ht="26" x14ac:dyDescent="0.2">
      <c r="A2619" t="s">
        <v>4903</v>
      </c>
      <c r="B2619" t="s">
        <v>686</v>
      </c>
      <c r="C2619" t="s">
        <v>1393</v>
      </c>
      <c r="D2619" t="s">
        <v>1613</v>
      </c>
      <c r="E2619" t="s">
        <v>3180</v>
      </c>
      <c r="F2619" t="s">
        <v>1583</v>
      </c>
      <c r="I2619" t="s">
        <v>1058</v>
      </c>
      <c r="M2619" t="s">
        <v>190</v>
      </c>
      <c r="N2619" t="s">
        <v>190</v>
      </c>
      <c r="Q2619" s="2" t="str">
        <f>IF($C2619="","",IFERROR(VLOOKUP($C2619,sources!$A$2:$N$200,2,FALSE()),"?"))</f>
        <v>Web compilation</v>
      </c>
      <c r="R2619" s="2" t="str">
        <f t="shared" si="40"/>
        <v>Textual</v>
      </c>
      <c r="S2619" s="2" t="str">
        <f>IF($C2619="","",IFERROR(VLOOKUP($C2619,sources!$A$2:$N$200,9,FALSE()),"?"))</f>
        <v>Caribbean community</v>
      </c>
      <c r="T2619" t="s">
        <v>5692</v>
      </c>
      <c r="U2619">
        <f>IF(OR(B2619="",C2619="",T2619="Retracted",LEFT(D2619,8)="Negative"),0,IF(COUNTIFS($B$2:B2619,B2619,$C$2:C2619,C2619,$D$2:D2619,"&lt;&gt;Negative*",$T$2:T2619,"&lt;&gt;Retracted")=1,1,0))</f>
        <v>0</v>
      </c>
    </row>
    <row r="2620" spans="1:21" ht="26" x14ac:dyDescent="0.2">
      <c r="A2620" t="s">
        <v>4904</v>
      </c>
      <c r="B2620" t="s">
        <v>689</v>
      </c>
      <c r="C2620" t="s">
        <v>1393</v>
      </c>
      <c r="D2620" t="s">
        <v>1575</v>
      </c>
      <c r="E2620" t="s">
        <v>4905</v>
      </c>
      <c r="F2620" t="s">
        <v>1583</v>
      </c>
      <c r="I2620" t="s">
        <v>1058</v>
      </c>
      <c r="K2620">
        <v>1905</v>
      </c>
      <c r="L2620">
        <v>1906</v>
      </c>
      <c r="M2620" t="s">
        <v>190</v>
      </c>
      <c r="N2620" t="s">
        <v>209</v>
      </c>
      <c r="Q2620" s="2" t="str">
        <f>IF($C2620="","",IFERROR(VLOOKUP($C2620,sources!$A$2:$N$200,2,FALSE()),"?"))</f>
        <v>Web compilation</v>
      </c>
      <c r="R2620" s="2" t="str">
        <f t="shared" si="40"/>
        <v>Textual</v>
      </c>
      <c r="S2620" s="2" t="str">
        <f>IF($C2620="","",IFERROR(VLOOKUP($C2620,sources!$A$2:$N$200,9,FALSE()),"?"))</f>
        <v>Caribbean community</v>
      </c>
      <c r="T2620" t="s">
        <v>5692</v>
      </c>
      <c r="U2620">
        <f>IF(OR(B2620="",C2620="",T2620="Retracted",LEFT(D2620,8)="Negative"),0,IF(COUNTIFS($B$2:B2620,B2620,$C$2:C2620,C2620,$D$2:D2620,"&lt;&gt;Negative*",$T$2:T2620,"&lt;&gt;Retracted")=1,1,0))</f>
        <v>1</v>
      </c>
    </row>
    <row r="2621" spans="1:21" ht="26" x14ac:dyDescent="0.2">
      <c r="A2621" t="s">
        <v>4906</v>
      </c>
      <c r="B2621" t="s">
        <v>693</v>
      </c>
      <c r="C2621" t="s">
        <v>1393</v>
      </c>
      <c r="D2621" t="s">
        <v>1613</v>
      </c>
      <c r="E2621" t="s">
        <v>3184</v>
      </c>
      <c r="F2621" t="s">
        <v>1583</v>
      </c>
      <c r="I2621" t="s">
        <v>1058</v>
      </c>
      <c r="M2621" t="s">
        <v>190</v>
      </c>
      <c r="N2621" t="s">
        <v>190</v>
      </c>
      <c r="Q2621" s="2" t="str">
        <f>IF($C2621="","",IFERROR(VLOOKUP($C2621,sources!$A$2:$N$200,2,FALSE()),"?"))</f>
        <v>Web compilation</v>
      </c>
      <c r="R2621" s="2" t="str">
        <f t="shared" si="40"/>
        <v>Textual</v>
      </c>
      <c r="S2621" s="2" t="str">
        <f>IF($C2621="","",IFERROR(VLOOKUP($C2621,sources!$A$2:$N$200,9,FALSE()),"?"))</f>
        <v>Caribbean community</v>
      </c>
      <c r="T2621" t="s">
        <v>5692</v>
      </c>
      <c r="U2621">
        <f>IF(OR(B2621="",C2621="",T2621="Retracted",LEFT(D2621,8)="Negative"),0,IF(COUNTIFS($B$2:B2621,B2621,$C$2:C2621,C2621,$D$2:D2621,"&lt;&gt;Negative*",$T$2:T2621,"&lt;&gt;Retracted")=1,1,0))</f>
        <v>0</v>
      </c>
    </row>
    <row r="2622" spans="1:21" ht="26" x14ac:dyDescent="0.2">
      <c r="A2622" t="s">
        <v>4907</v>
      </c>
      <c r="B2622" t="s">
        <v>698</v>
      </c>
      <c r="C2622" t="s">
        <v>1393</v>
      </c>
      <c r="D2622" t="s">
        <v>1575</v>
      </c>
      <c r="E2622" t="s">
        <v>4908</v>
      </c>
      <c r="F2622" t="s">
        <v>1583</v>
      </c>
      <c r="I2622" t="s">
        <v>1058</v>
      </c>
      <c r="N2622" t="s">
        <v>203</v>
      </c>
      <c r="Q2622" s="2" t="str">
        <f>IF($C2622="","",IFERROR(VLOOKUP($C2622,sources!$A$2:$N$200,2,FALSE()),"?"))</f>
        <v>Web compilation</v>
      </c>
      <c r="R2622" s="2" t="str">
        <f t="shared" si="40"/>
        <v>Textual</v>
      </c>
      <c r="S2622" s="2" t="str">
        <f>IF($C2622="","",IFERROR(VLOOKUP($C2622,sources!$A$2:$N$200,9,FALSE()),"?"))</f>
        <v>Caribbean community</v>
      </c>
      <c r="T2622" t="s">
        <v>5692</v>
      </c>
      <c r="U2622">
        <f>IF(OR(B2622="",C2622="",T2622="Retracted",LEFT(D2622,8)="Negative"),0,IF(COUNTIFS($B$2:B2622,B2622,$C$2:C2622,C2622,$D$2:D2622,"&lt;&gt;Negative*",$T$2:T2622,"&lt;&gt;Retracted")=1,1,0))</f>
        <v>1</v>
      </c>
    </row>
    <row r="2623" spans="1:21" ht="26" x14ac:dyDescent="0.2">
      <c r="A2623" t="s">
        <v>4909</v>
      </c>
      <c r="B2623" t="s">
        <v>701</v>
      </c>
      <c r="C2623" t="s">
        <v>1393</v>
      </c>
      <c r="D2623" t="s">
        <v>1613</v>
      </c>
      <c r="E2623" t="s">
        <v>4910</v>
      </c>
      <c r="F2623" t="s">
        <v>1583</v>
      </c>
      <c r="I2623" t="s">
        <v>1058</v>
      </c>
      <c r="M2623" t="s">
        <v>190</v>
      </c>
      <c r="N2623" t="s">
        <v>190</v>
      </c>
      <c r="Q2623" s="2" t="str">
        <f>IF($C2623="","",IFERROR(VLOOKUP($C2623,sources!$A$2:$N$200,2,FALSE()),"?"))</f>
        <v>Web compilation</v>
      </c>
      <c r="R2623" s="2" t="str">
        <f t="shared" si="40"/>
        <v>Textual</v>
      </c>
      <c r="S2623" s="2" t="str">
        <f>IF($C2623="","",IFERROR(VLOOKUP($C2623,sources!$A$2:$N$200,9,FALSE()),"?"))</f>
        <v>Caribbean community</v>
      </c>
      <c r="T2623" t="s">
        <v>5692</v>
      </c>
      <c r="U2623">
        <f>IF(OR(B2623="",C2623="",T2623="Retracted",LEFT(D2623,8)="Negative"),0,IF(COUNTIFS($B$2:B2623,B2623,$C$2:C2623,C2623,$D$2:D2623,"&lt;&gt;Negative*",$T$2:T2623,"&lt;&gt;Retracted")=1,1,0))</f>
        <v>0</v>
      </c>
    </row>
    <row r="2624" spans="1:21" ht="26" x14ac:dyDescent="0.2">
      <c r="A2624" t="s">
        <v>4911</v>
      </c>
      <c r="B2624" t="s">
        <v>704</v>
      </c>
      <c r="C2624" t="s">
        <v>1393</v>
      </c>
      <c r="D2624" t="s">
        <v>1575</v>
      </c>
      <c r="E2624" t="s">
        <v>4912</v>
      </c>
      <c r="F2624" t="s">
        <v>1583</v>
      </c>
      <c r="I2624" t="s">
        <v>1058</v>
      </c>
      <c r="K2624">
        <v>1913</v>
      </c>
      <c r="L2624">
        <v>1913</v>
      </c>
      <c r="M2624" t="s">
        <v>203</v>
      </c>
      <c r="N2624" t="s">
        <v>203</v>
      </c>
      <c r="Q2624" s="2" t="str">
        <f>IF($C2624="","",IFERROR(VLOOKUP($C2624,sources!$A$2:$N$200,2,FALSE()),"?"))</f>
        <v>Web compilation</v>
      </c>
      <c r="R2624" s="2" t="str">
        <f t="shared" si="40"/>
        <v>Textual</v>
      </c>
      <c r="S2624" s="2" t="str">
        <f>IF($C2624="","",IFERROR(VLOOKUP($C2624,sources!$A$2:$N$200,9,FALSE()),"?"))</f>
        <v>Caribbean community</v>
      </c>
      <c r="T2624" t="s">
        <v>5692</v>
      </c>
      <c r="U2624">
        <f>IF(OR(B2624="",C2624="",T2624="Retracted",LEFT(D2624,8)="Negative"),0,IF(COUNTIFS($B$2:B2624,B2624,$C$2:C2624,C2624,$D$2:D2624,"&lt;&gt;Negative*",$T$2:T2624,"&lt;&gt;Retracted")=1,1,0))</f>
        <v>1</v>
      </c>
    </row>
    <row r="2625" spans="1:21" ht="26" x14ac:dyDescent="0.2">
      <c r="A2625" t="s">
        <v>4913</v>
      </c>
      <c r="B2625" t="s">
        <v>711</v>
      </c>
      <c r="C2625" t="s">
        <v>1393</v>
      </c>
      <c r="D2625" t="s">
        <v>1613</v>
      </c>
      <c r="E2625" t="s">
        <v>4914</v>
      </c>
      <c r="F2625" t="s">
        <v>1583</v>
      </c>
      <c r="I2625" t="s">
        <v>1058</v>
      </c>
      <c r="M2625" t="s">
        <v>190</v>
      </c>
      <c r="N2625" t="s">
        <v>190</v>
      </c>
      <c r="Q2625" s="2" t="str">
        <f>IF($C2625="","",IFERROR(VLOOKUP($C2625,sources!$A$2:$N$200,2,FALSE()),"?"))</f>
        <v>Web compilation</v>
      </c>
      <c r="R2625" s="2" t="str">
        <f t="shared" si="40"/>
        <v>Textual</v>
      </c>
      <c r="S2625" s="2" t="str">
        <f>IF($C2625="","",IFERROR(VLOOKUP($C2625,sources!$A$2:$N$200,9,FALSE()),"?"))</f>
        <v>Caribbean community</v>
      </c>
      <c r="T2625" t="s">
        <v>5692</v>
      </c>
      <c r="U2625">
        <f>IF(OR(B2625="",C2625="",T2625="Retracted",LEFT(D2625,8)="Negative"),0,IF(COUNTIFS($B$2:B2625,B2625,$C$2:C2625,C2625,$D$2:D2625,"&lt;&gt;Negative*",$T$2:T2625,"&lt;&gt;Retracted")=1,1,0))</f>
        <v>0</v>
      </c>
    </row>
    <row r="2626" spans="1:21" ht="26" x14ac:dyDescent="0.2">
      <c r="A2626" t="s">
        <v>4915</v>
      </c>
      <c r="B2626" t="s">
        <v>714</v>
      </c>
      <c r="C2626" t="s">
        <v>1393</v>
      </c>
      <c r="D2626" t="s">
        <v>1575</v>
      </c>
      <c r="E2626" t="s">
        <v>715</v>
      </c>
      <c r="F2626" t="s">
        <v>1583</v>
      </c>
      <c r="I2626" t="s">
        <v>1058</v>
      </c>
      <c r="N2626" t="s">
        <v>209</v>
      </c>
      <c r="Q2626" s="2" t="str">
        <f>IF($C2626="","",IFERROR(VLOOKUP($C2626,sources!$A$2:$N$200,2,FALSE()),"?"))</f>
        <v>Web compilation</v>
      </c>
      <c r="R2626" s="2" t="str">
        <f t="shared" ref="R2626:R2689" si="41">IF($Q2626="","",IF($Q2626="Map","Map",IF(OR($Q2626="Photograph",$Q2626="Postcard"),"Image",IF(OR($Q2626="Census or roll",$Q2626="Report",$Q2626="Newspaper",$Q2626="Letter",$Q2626="Memoir",$Q2626="Administrative",$Q2626="Web compilation"),"Textual",IF($Q2626="Legal claim","Legal/admin",IF($Q2626="Secondary","Secondary","Other"))))))</f>
        <v>Textual</v>
      </c>
      <c r="S2626" s="2" t="str">
        <f>IF($C2626="","",IFERROR(VLOOKUP($C2626,sources!$A$2:$N$200,9,FALSE()),"?"))</f>
        <v>Caribbean community</v>
      </c>
      <c r="T2626" t="s">
        <v>5692</v>
      </c>
      <c r="U2626">
        <f>IF(OR(B2626="",C2626="",T2626="Retracted",LEFT(D2626,8)="Negative"),0,IF(COUNTIFS($B$2:B2626,B2626,$C$2:C2626,C2626,$D$2:D2626,"&lt;&gt;Negative*",$T$2:T2626,"&lt;&gt;Retracted")=1,1,0))</f>
        <v>1</v>
      </c>
    </row>
    <row r="2627" spans="1:21" ht="26" x14ac:dyDescent="0.2">
      <c r="A2627" t="s">
        <v>4916</v>
      </c>
      <c r="B2627" t="s">
        <v>717</v>
      </c>
      <c r="C2627" t="s">
        <v>1393</v>
      </c>
      <c r="D2627" t="s">
        <v>1608</v>
      </c>
      <c r="E2627" t="s">
        <v>3193</v>
      </c>
      <c r="F2627" t="s">
        <v>1583</v>
      </c>
      <c r="I2627" t="s">
        <v>1058</v>
      </c>
      <c r="N2627" t="s">
        <v>190</v>
      </c>
      <c r="Q2627" s="2" t="str">
        <f>IF($C2627="","",IFERROR(VLOOKUP($C2627,sources!$A$2:$N$200,2,FALSE()),"?"))</f>
        <v>Web compilation</v>
      </c>
      <c r="R2627" s="2" t="str">
        <f t="shared" si="41"/>
        <v>Textual</v>
      </c>
      <c r="S2627" s="2" t="str">
        <f>IF($C2627="","",IFERROR(VLOOKUP($C2627,sources!$A$2:$N$200,9,FALSE()),"?"))</f>
        <v>Caribbean community</v>
      </c>
      <c r="T2627" t="s">
        <v>5692</v>
      </c>
      <c r="U2627">
        <f>IF(OR(B2627="",C2627="",T2627="Retracted",LEFT(D2627,8)="Negative"),0,IF(COUNTIFS($B$2:B2627,B2627,$C$2:C2627,C2627,$D$2:D2627,"&lt;&gt;Negative*",$T$2:T2627,"&lt;&gt;Retracted")=1,1,0))</f>
        <v>1</v>
      </c>
    </row>
    <row r="2628" spans="1:21" ht="26" x14ac:dyDescent="0.2">
      <c r="A2628" t="s">
        <v>4917</v>
      </c>
      <c r="B2628" t="s">
        <v>720</v>
      </c>
      <c r="C2628" t="s">
        <v>1393</v>
      </c>
      <c r="D2628" t="s">
        <v>1613</v>
      </c>
      <c r="E2628" t="s">
        <v>3195</v>
      </c>
      <c r="F2628" t="s">
        <v>1583</v>
      </c>
      <c r="I2628" t="s">
        <v>1058</v>
      </c>
      <c r="M2628" t="s">
        <v>190</v>
      </c>
      <c r="N2628" t="s">
        <v>190</v>
      </c>
      <c r="Q2628" s="2" t="str">
        <f>IF($C2628="","",IFERROR(VLOOKUP($C2628,sources!$A$2:$N$200,2,FALSE()),"?"))</f>
        <v>Web compilation</v>
      </c>
      <c r="R2628" s="2" t="str">
        <f t="shared" si="41"/>
        <v>Textual</v>
      </c>
      <c r="S2628" s="2" t="str">
        <f>IF($C2628="","",IFERROR(VLOOKUP($C2628,sources!$A$2:$N$200,9,FALSE()),"?"))</f>
        <v>Caribbean community</v>
      </c>
      <c r="T2628" t="s">
        <v>5692</v>
      </c>
      <c r="U2628">
        <f>IF(OR(B2628="",C2628="",T2628="Retracted",LEFT(D2628,8)="Negative"),0,IF(COUNTIFS($B$2:B2628,B2628,$C$2:C2628,C2628,$D$2:D2628,"&lt;&gt;Negative*",$T$2:T2628,"&lt;&gt;Retracted")=1,1,0))</f>
        <v>0</v>
      </c>
    </row>
    <row r="2629" spans="1:21" ht="26" x14ac:dyDescent="0.2">
      <c r="A2629" t="s">
        <v>4918</v>
      </c>
      <c r="B2629" t="s">
        <v>723</v>
      </c>
      <c r="C2629" t="s">
        <v>1393</v>
      </c>
      <c r="D2629" t="s">
        <v>1613</v>
      </c>
      <c r="E2629" t="s">
        <v>4919</v>
      </c>
      <c r="F2629" t="s">
        <v>1583</v>
      </c>
      <c r="I2629" t="s">
        <v>1058</v>
      </c>
      <c r="M2629" t="s">
        <v>190</v>
      </c>
      <c r="N2629" t="s">
        <v>209</v>
      </c>
      <c r="Q2629" s="2" t="str">
        <f>IF($C2629="","",IFERROR(VLOOKUP($C2629,sources!$A$2:$N$200,2,FALSE()),"?"))</f>
        <v>Web compilation</v>
      </c>
      <c r="R2629" s="2" t="str">
        <f t="shared" si="41"/>
        <v>Textual</v>
      </c>
      <c r="S2629" s="2" t="str">
        <f>IF($C2629="","",IFERROR(VLOOKUP($C2629,sources!$A$2:$N$200,9,FALSE()),"?"))</f>
        <v>Caribbean community</v>
      </c>
      <c r="T2629" t="s">
        <v>5692</v>
      </c>
      <c r="U2629">
        <f>IF(OR(B2629="",C2629="",T2629="Retracted",LEFT(D2629,8)="Negative"),0,IF(COUNTIFS($B$2:B2629,B2629,$C$2:C2629,C2629,$D$2:D2629,"&lt;&gt;Negative*",$T$2:T2629,"&lt;&gt;Retracted")=1,1,0))</f>
        <v>0</v>
      </c>
    </row>
    <row r="2630" spans="1:21" ht="26" x14ac:dyDescent="0.2">
      <c r="A2630" t="s">
        <v>4920</v>
      </c>
      <c r="B2630" t="s">
        <v>727</v>
      </c>
      <c r="C2630" t="s">
        <v>1393</v>
      </c>
      <c r="D2630" t="s">
        <v>1575</v>
      </c>
      <c r="E2630" t="s">
        <v>4921</v>
      </c>
      <c r="F2630" t="s">
        <v>1583</v>
      </c>
      <c r="I2630" t="s">
        <v>1058</v>
      </c>
      <c r="K2630">
        <v>1909</v>
      </c>
      <c r="L2630">
        <v>1909</v>
      </c>
      <c r="M2630" t="s">
        <v>203</v>
      </c>
      <c r="N2630" t="s">
        <v>203</v>
      </c>
      <c r="Q2630" s="2" t="str">
        <f>IF($C2630="","",IFERROR(VLOOKUP($C2630,sources!$A$2:$N$200,2,FALSE()),"?"))</f>
        <v>Web compilation</v>
      </c>
      <c r="R2630" s="2" t="str">
        <f t="shared" si="41"/>
        <v>Textual</v>
      </c>
      <c r="S2630" s="2" t="str">
        <f>IF($C2630="","",IFERROR(VLOOKUP($C2630,sources!$A$2:$N$200,9,FALSE()),"?"))</f>
        <v>Caribbean community</v>
      </c>
      <c r="T2630" t="s">
        <v>5692</v>
      </c>
      <c r="U2630">
        <f>IF(OR(B2630="",C2630="",T2630="Retracted",LEFT(D2630,8)="Negative"),0,IF(COUNTIFS($B$2:B2630,B2630,$C$2:C2630,C2630,$D$2:D2630,"&lt;&gt;Negative*",$T$2:T2630,"&lt;&gt;Retracted")=1,1,0))</f>
        <v>1</v>
      </c>
    </row>
    <row r="2631" spans="1:21" ht="26" x14ac:dyDescent="0.2">
      <c r="A2631" t="s">
        <v>4922</v>
      </c>
      <c r="B2631" t="s">
        <v>730</v>
      </c>
      <c r="C2631" t="s">
        <v>1393</v>
      </c>
      <c r="D2631" t="s">
        <v>1613</v>
      </c>
      <c r="E2631" t="s">
        <v>4923</v>
      </c>
      <c r="F2631" t="s">
        <v>1583</v>
      </c>
      <c r="I2631" t="s">
        <v>1058</v>
      </c>
      <c r="M2631" t="s">
        <v>190</v>
      </c>
      <c r="N2631" t="s">
        <v>190</v>
      </c>
      <c r="Q2631" s="2" t="str">
        <f>IF($C2631="","",IFERROR(VLOOKUP($C2631,sources!$A$2:$N$200,2,FALSE()),"?"))</f>
        <v>Web compilation</v>
      </c>
      <c r="R2631" s="2" t="str">
        <f t="shared" si="41"/>
        <v>Textual</v>
      </c>
      <c r="S2631" s="2" t="str">
        <f>IF($C2631="","",IFERROR(VLOOKUP($C2631,sources!$A$2:$N$200,9,FALSE()),"?"))</f>
        <v>Caribbean community</v>
      </c>
      <c r="T2631" t="s">
        <v>5692</v>
      </c>
      <c r="U2631">
        <f>IF(OR(B2631="",C2631="",T2631="Retracted",LEFT(D2631,8)="Negative"),0,IF(COUNTIFS($B$2:B2631,B2631,$C$2:C2631,C2631,$D$2:D2631,"&lt;&gt;Negative*",$T$2:T2631,"&lt;&gt;Retracted")=1,1,0))</f>
        <v>0</v>
      </c>
    </row>
    <row r="2632" spans="1:21" ht="26" x14ac:dyDescent="0.2">
      <c r="A2632" t="s">
        <v>4924</v>
      </c>
      <c r="B2632" t="s">
        <v>733</v>
      </c>
      <c r="C2632" t="s">
        <v>1393</v>
      </c>
      <c r="D2632" t="s">
        <v>1575</v>
      </c>
      <c r="E2632" t="s">
        <v>4925</v>
      </c>
      <c r="F2632" t="s">
        <v>1583</v>
      </c>
      <c r="I2632" t="s">
        <v>1058</v>
      </c>
      <c r="K2632">
        <v>1905</v>
      </c>
      <c r="L2632">
        <v>1906</v>
      </c>
      <c r="M2632" t="s">
        <v>190</v>
      </c>
      <c r="N2632" t="s">
        <v>203</v>
      </c>
      <c r="Q2632" s="2" t="str">
        <f>IF($C2632="","",IFERROR(VLOOKUP($C2632,sources!$A$2:$N$200,2,FALSE()),"?"))</f>
        <v>Web compilation</v>
      </c>
      <c r="R2632" s="2" t="str">
        <f t="shared" si="41"/>
        <v>Textual</v>
      </c>
      <c r="S2632" s="2" t="str">
        <f>IF($C2632="","",IFERROR(VLOOKUP($C2632,sources!$A$2:$N$200,9,FALSE()),"?"))</f>
        <v>Caribbean community</v>
      </c>
      <c r="T2632" t="s">
        <v>5692</v>
      </c>
      <c r="U2632">
        <f>IF(OR(B2632="",C2632="",T2632="Retracted",LEFT(D2632,8)="Negative"),0,IF(COUNTIFS($B$2:B2632,B2632,$C$2:C2632,C2632,$D$2:D2632,"&lt;&gt;Negative*",$T$2:T2632,"&lt;&gt;Retracted")=1,1,0))</f>
        <v>1</v>
      </c>
    </row>
    <row r="2633" spans="1:21" ht="26" x14ac:dyDescent="0.2">
      <c r="A2633" t="s">
        <v>4926</v>
      </c>
      <c r="B2633" t="s">
        <v>737</v>
      </c>
      <c r="C2633" t="s">
        <v>1393</v>
      </c>
      <c r="D2633" t="s">
        <v>1613</v>
      </c>
      <c r="E2633" t="s">
        <v>4927</v>
      </c>
      <c r="F2633" t="s">
        <v>1583</v>
      </c>
      <c r="I2633" t="s">
        <v>1058</v>
      </c>
      <c r="M2633" t="s">
        <v>190</v>
      </c>
      <c r="N2633" t="s">
        <v>190</v>
      </c>
      <c r="Q2633" s="2" t="str">
        <f>IF($C2633="","",IFERROR(VLOOKUP($C2633,sources!$A$2:$N$200,2,FALSE()),"?"))</f>
        <v>Web compilation</v>
      </c>
      <c r="R2633" s="2" t="str">
        <f t="shared" si="41"/>
        <v>Textual</v>
      </c>
      <c r="S2633" s="2" t="str">
        <f>IF($C2633="","",IFERROR(VLOOKUP($C2633,sources!$A$2:$N$200,9,FALSE()),"?"))</f>
        <v>Caribbean community</v>
      </c>
      <c r="T2633" t="s">
        <v>5692</v>
      </c>
      <c r="U2633">
        <f>IF(OR(B2633="",C2633="",T2633="Retracted",LEFT(D2633,8)="Negative"),0,IF(COUNTIFS($B$2:B2633,B2633,$C$2:C2633,C2633,$D$2:D2633,"&lt;&gt;Negative*",$T$2:T2633,"&lt;&gt;Retracted")=1,1,0))</f>
        <v>0</v>
      </c>
    </row>
    <row r="2634" spans="1:21" ht="26" x14ac:dyDescent="0.2">
      <c r="A2634" t="s">
        <v>4928</v>
      </c>
      <c r="B2634" t="s">
        <v>740</v>
      </c>
      <c r="C2634" t="s">
        <v>1393</v>
      </c>
      <c r="D2634" t="s">
        <v>1613</v>
      </c>
      <c r="E2634" t="s">
        <v>4929</v>
      </c>
      <c r="F2634" t="s">
        <v>1583</v>
      </c>
      <c r="I2634" t="s">
        <v>1058</v>
      </c>
      <c r="M2634" t="s">
        <v>190</v>
      </c>
      <c r="N2634" t="s">
        <v>190</v>
      </c>
      <c r="Q2634" s="2" t="str">
        <f>IF($C2634="","",IFERROR(VLOOKUP($C2634,sources!$A$2:$N$200,2,FALSE()),"?"))</f>
        <v>Web compilation</v>
      </c>
      <c r="R2634" s="2" t="str">
        <f t="shared" si="41"/>
        <v>Textual</v>
      </c>
      <c r="S2634" s="2" t="str">
        <f>IF($C2634="","",IFERROR(VLOOKUP($C2634,sources!$A$2:$N$200,9,FALSE()),"?"))</f>
        <v>Caribbean community</v>
      </c>
      <c r="T2634" t="s">
        <v>5692</v>
      </c>
      <c r="U2634">
        <f>IF(OR(B2634="",C2634="",T2634="Retracted",LEFT(D2634,8)="Negative"),0,IF(COUNTIFS($B$2:B2634,B2634,$C$2:C2634,C2634,$D$2:D2634,"&lt;&gt;Negative*",$T$2:T2634,"&lt;&gt;Retracted")=1,1,0))</f>
        <v>0</v>
      </c>
    </row>
    <row r="2635" spans="1:21" ht="26" x14ac:dyDescent="0.2">
      <c r="A2635" t="s">
        <v>4930</v>
      </c>
      <c r="B2635" t="s">
        <v>743</v>
      </c>
      <c r="C2635" t="s">
        <v>1393</v>
      </c>
      <c r="D2635" t="s">
        <v>1575</v>
      </c>
      <c r="E2635" t="s">
        <v>4931</v>
      </c>
      <c r="F2635" t="s">
        <v>1583</v>
      </c>
      <c r="I2635" t="s">
        <v>1058</v>
      </c>
      <c r="K2635">
        <v>1905</v>
      </c>
      <c r="L2635">
        <v>1905</v>
      </c>
      <c r="M2635" t="s">
        <v>203</v>
      </c>
      <c r="N2635" t="s">
        <v>203</v>
      </c>
      <c r="Q2635" s="2" t="str">
        <f>IF($C2635="","",IFERROR(VLOOKUP($C2635,sources!$A$2:$N$200,2,FALSE()),"?"))</f>
        <v>Web compilation</v>
      </c>
      <c r="R2635" s="2" t="str">
        <f t="shared" si="41"/>
        <v>Textual</v>
      </c>
      <c r="S2635" s="2" t="str">
        <f>IF($C2635="","",IFERROR(VLOOKUP($C2635,sources!$A$2:$N$200,9,FALSE()),"?"))</f>
        <v>Caribbean community</v>
      </c>
      <c r="T2635" t="s">
        <v>5692</v>
      </c>
      <c r="U2635">
        <f>IF(OR(B2635="",C2635="",T2635="Retracted",LEFT(D2635,8)="Negative"),0,IF(COUNTIFS($B$2:B2635,B2635,$C$2:C2635,C2635,$D$2:D2635,"&lt;&gt;Negative*",$T$2:T2635,"&lt;&gt;Retracted")=1,1,0))</f>
        <v>1</v>
      </c>
    </row>
    <row r="2636" spans="1:21" ht="26" x14ac:dyDescent="0.2">
      <c r="A2636" t="s">
        <v>4932</v>
      </c>
      <c r="B2636" t="s">
        <v>746</v>
      </c>
      <c r="C2636" t="s">
        <v>1393</v>
      </c>
      <c r="D2636" t="s">
        <v>1575</v>
      </c>
      <c r="E2636" t="s">
        <v>4933</v>
      </c>
      <c r="F2636" t="s">
        <v>1583</v>
      </c>
      <c r="I2636" t="s">
        <v>1058</v>
      </c>
      <c r="N2636" t="s">
        <v>203</v>
      </c>
      <c r="Q2636" s="2" t="str">
        <f>IF($C2636="","",IFERROR(VLOOKUP($C2636,sources!$A$2:$N$200,2,FALSE()),"?"))</f>
        <v>Web compilation</v>
      </c>
      <c r="R2636" s="2" t="str">
        <f t="shared" si="41"/>
        <v>Textual</v>
      </c>
      <c r="S2636" s="2" t="str">
        <f>IF($C2636="","",IFERROR(VLOOKUP($C2636,sources!$A$2:$N$200,9,FALSE()),"?"))</f>
        <v>Caribbean community</v>
      </c>
      <c r="T2636" t="s">
        <v>5692</v>
      </c>
      <c r="U2636">
        <f>IF(OR(B2636="",C2636="",T2636="Retracted",LEFT(D2636,8)="Negative"),0,IF(COUNTIFS($B$2:B2636,B2636,$C$2:C2636,C2636,$D$2:D2636,"&lt;&gt;Negative*",$T$2:T2636,"&lt;&gt;Retracted")=1,1,0))</f>
        <v>1</v>
      </c>
    </row>
    <row r="2637" spans="1:21" ht="26" x14ac:dyDescent="0.2">
      <c r="A2637" t="s">
        <v>4934</v>
      </c>
      <c r="B2637" t="s">
        <v>749</v>
      </c>
      <c r="C2637" t="s">
        <v>1393</v>
      </c>
      <c r="D2637" t="s">
        <v>1613</v>
      </c>
      <c r="E2637" t="s">
        <v>4935</v>
      </c>
      <c r="F2637" t="s">
        <v>1583</v>
      </c>
      <c r="I2637" t="s">
        <v>1058</v>
      </c>
      <c r="M2637" t="s">
        <v>190</v>
      </c>
      <c r="N2637" t="s">
        <v>190</v>
      </c>
      <c r="Q2637" s="2" t="str">
        <f>IF($C2637="","",IFERROR(VLOOKUP($C2637,sources!$A$2:$N$200,2,FALSE()),"?"))</f>
        <v>Web compilation</v>
      </c>
      <c r="R2637" s="2" t="str">
        <f t="shared" si="41"/>
        <v>Textual</v>
      </c>
      <c r="S2637" s="2" t="str">
        <f>IF($C2637="","",IFERROR(VLOOKUP($C2637,sources!$A$2:$N$200,9,FALSE()),"?"))</f>
        <v>Caribbean community</v>
      </c>
      <c r="T2637" t="s">
        <v>5692</v>
      </c>
      <c r="U2637">
        <f>IF(OR(B2637="",C2637="",T2637="Retracted",LEFT(D2637,8)="Negative"),0,IF(COUNTIFS($B$2:B2637,B2637,$C$2:C2637,C2637,$D$2:D2637,"&lt;&gt;Negative*",$T$2:T2637,"&lt;&gt;Retracted")=1,1,0))</f>
        <v>0</v>
      </c>
    </row>
    <row r="2638" spans="1:21" ht="26" x14ac:dyDescent="0.2">
      <c r="A2638" t="s">
        <v>4936</v>
      </c>
      <c r="B2638" t="s">
        <v>752</v>
      </c>
      <c r="C2638" t="s">
        <v>1393</v>
      </c>
      <c r="D2638" t="s">
        <v>1613</v>
      </c>
      <c r="E2638" t="s">
        <v>4937</v>
      </c>
      <c r="F2638" t="s">
        <v>1583</v>
      </c>
      <c r="I2638" t="s">
        <v>1058</v>
      </c>
      <c r="M2638" t="s">
        <v>190</v>
      </c>
      <c r="N2638" t="s">
        <v>190</v>
      </c>
      <c r="Q2638" s="2" t="str">
        <f>IF($C2638="","",IFERROR(VLOOKUP($C2638,sources!$A$2:$N$200,2,FALSE()),"?"))</f>
        <v>Web compilation</v>
      </c>
      <c r="R2638" s="2" t="str">
        <f t="shared" si="41"/>
        <v>Textual</v>
      </c>
      <c r="S2638" s="2" t="str">
        <f>IF($C2638="","",IFERROR(VLOOKUP($C2638,sources!$A$2:$N$200,9,FALSE()),"?"))</f>
        <v>Caribbean community</v>
      </c>
      <c r="T2638" t="s">
        <v>5692</v>
      </c>
      <c r="U2638">
        <f>IF(OR(B2638="",C2638="",T2638="Retracted",LEFT(D2638,8)="Negative"),0,IF(COUNTIFS($B$2:B2638,B2638,$C$2:C2638,C2638,$D$2:D2638,"&lt;&gt;Negative*",$T$2:T2638,"&lt;&gt;Retracted")=1,1,0))</f>
        <v>0</v>
      </c>
    </row>
    <row r="2639" spans="1:21" ht="26" x14ac:dyDescent="0.2">
      <c r="A2639" t="s">
        <v>4938</v>
      </c>
      <c r="B2639" t="s">
        <v>755</v>
      </c>
      <c r="C2639" t="s">
        <v>1393</v>
      </c>
      <c r="D2639" t="s">
        <v>1613</v>
      </c>
      <c r="E2639" t="s">
        <v>4939</v>
      </c>
      <c r="F2639" t="s">
        <v>1583</v>
      </c>
      <c r="I2639" t="s">
        <v>1058</v>
      </c>
      <c r="M2639" t="s">
        <v>190</v>
      </c>
      <c r="N2639" t="s">
        <v>190</v>
      </c>
      <c r="Q2639" s="2" t="str">
        <f>IF($C2639="","",IFERROR(VLOOKUP($C2639,sources!$A$2:$N$200,2,FALSE()),"?"))</f>
        <v>Web compilation</v>
      </c>
      <c r="R2639" s="2" t="str">
        <f t="shared" si="41"/>
        <v>Textual</v>
      </c>
      <c r="S2639" s="2" t="str">
        <f>IF($C2639="","",IFERROR(VLOOKUP($C2639,sources!$A$2:$N$200,9,FALSE()),"?"))</f>
        <v>Caribbean community</v>
      </c>
      <c r="T2639" t="s">
        <v>5692</v>
      </c>
      <c r="U2639">
        <f>IF(OR(B2639="",C2639="",T2639="Retracted",LEFT(D2639,8)="Negative"),0,IF(COUNTIFS($B$2:B2639,B2639,$C$2:C2639,C2639,$D$2:D2639,"&lt;&gt;Negative*",$T$2:T2639,"&lt;&gt;Retracted")=1,1,0))</f>
        <v>0</v>
      </c>
    </row>
    <row r="2640" spans="1:21" ht="26" x14ac:dyDescent="0.2">
      <c r="A2640" t="s">
        <v>4940</v>
      </c>
      <c r="B2640" t="s">
        <v>758</v>
      </c>
      <c r="C2640" t="s">
        <v>1393</v>
      </c>
      <c r="D2640" t="s">
        <v>1613</v>
      </c>
      <c r="E2640" t="s">
        <v>2718</v>
      </c>
      <c r="F2640" t="s">
        <v>1583</v>
      </c>
      <c r="I2640" t="s">
        <v>1058</v>
      </c>
      <c r="M2640" t="s">
        <v>190</v>
      </c>
      <c r="N2640" t="s">
        <v>190</v>
      </c>
      <c r="Q2640" s="2" t="str">
        <f>IF($C2640="","",IFERROR(VLOOKUP($C2640,sources!$A$2:$N$200,2,FALSE()),"?"))</f>
        <v>Web compilation</v>
      </c>
      <c r="R2640" s="2" t="str">
        <f t="shared" si="41"/>
        <v>Textual</v>
      </c>
      <c r="S2640" s="2" t="str">
        <f>IF($C2640="","",IFERROR(VLOOKUP($C2640,sources!$A$2:$N$200,9,FALSE()),"?"))</f>
        <v>Caribbean community</v>
      </c>
      <c r="T2640" t="s">
        <v>5692</v>
      </c>
      <c r="U2640">
        <f>IF(OR(B2640="",C2640="",T2640="Retracted",LEFT(D2640,8)="Negative"),0,IF(COUNTIFS($B$2:B2640,B2640,$C$2:C2640,C2640,$D$2:D2640,"&lt;&gt;Negative*",$T$2:T2640,"&lt;&gt;Retracted")=1,1,0))</f>
        <v>0</v>
      </c>
    </row>
    <row r="2641" spans="1:21" ht="26" x14ac:dyDescent="0.2">
      <c r="A2641" t="s">
        <v>4941</v>
      </c>
      <c r="B2641" t="s">
        <v>761</v>
      </c>
      <c r="C2641" t="s">
        <v>1393</v>
      </c>
      <c r="D2641" t="s">
        <v>1575</v>
      </c>
      <c r="E2641" t="s">
        <v>4942</v>
      </c>
      <c r="F2641" t="s">
        <v>1583</v>
      </c>
      <c r="I2641" t="s">
        <v>1058</v>
      </c>
      <c r="K2641">
        <v>1906</v>
      </c>
      <c r="L2641">
        <v>1907</v>
      </c>
      <c r="M2641" t="s">
        <v>190</v>
      </c>
      <c r="N2641" t="s">
        <v>203</v>
      </c>
      <c r="Q2641" s="2" t="str">
        <f>IF($C2641="","",IFERROR(VLOOKUP($C2641,sources!$A$2:$N$200,2,FALSE()),"?"))</f>
        <v>Web compilation</v>
      </c>
      <c r="R2641" s="2" t="str">
        <f t="shared" si="41"/>
        <v>Textual</v>
      </c>
      <c r="S2641" s="2" t="str">
        <f>IF($C2641="","",IFERROR(VLOOKUP($C2641,sources!$A$2:$N$200,9,FALSE()),"?"))</f>
        <v>Caribbean community</v>
      </c>
      <c r="T2641" t="s">
        <v>5692</v>
      </c>
      <c r="U2641">
        <f>IF(OR(B2641="",C2641="",T2641="Retracted",LEFT(D2641,8)="Negative"),0,IF(COUNTIFS($B$2:B2641,B2641,$C$2:C2641,C2641,$D$2:D2641,"&lt;&gt;Negative*",$T$2:T2641,"&lt;&gt;Retracted")=1,1,0))</f>
        <v>1</v>
      </c>
    </row>
    <row r="2642" spans="1:21" ht="26" x14ac:dyDescent="0.2">
      <c r="A2642" t="s">
        <v>4943</v>
      </c>
      <c r="B2642" t="s">
        <v>767</v>
      </c>
      <c r="C2642" t="s">
        <v>1393</v>
      </c>
      <c r="D2642" t="s">
        <v>1613</v>
      </c>
      <c r="E2642" t="s">
        <v>4944</v>
      </c>
      <c r="F2642" t="s">
        <v>1583</v>
      </c>
      <c r="I2642" t="s">
        <v>1058</v>
      </c>
      <c r="M2642" t="s">
        <v>190</v>
      </c>
      <c r="N2642" t="s">
        <v>190</v>
      </c>
      <c r="Q2642" s="2" t="str">
        <f>IF($C2642="","",IFERROR(VLOOKUP($C2642,sources!$A$2:$N$200,2,FALSE()),"?"))</f>
        <v>Web compilation</v>
      </c>
      <c r="R2642" s="2" t="str">
        <f t="shared" si="41"/>
        <v>Textual</v>
      </c>
      <c r="S2642" s="2" t="str">
        <f>IF($C2642="","",IFERROR(VLOOKUP($C2642,sources!$A$2:$N$200,9,FALSE()),"?"))</f>
        <v>Caribbean community</v>
      </c>
      <c r="T2642" t="s">
        <v>5692</v>
      </c>
      <c r="U2642">
        <f>IF(OR(B2642="",C2642="",T2642="Retracted",LEFT(D2642,8)="Negative"),0,IF(COUNTIFS($B$2:B2642,B2642,$C$2:C2642,C2642,$D$2:D2642,"&lt;&gt;Negative*",$T$2:T2642,"&lt;&gt;Retracted")=1,1,0))</f>
        <v>0</v>
      </c>
    </row>
    <row r="2643" spans="1:21" ht="26" x14ac:dyDescent="0.2">
      <c r="A2643" t="s">
        <v>4945</v>
      </c>
      <c r="B2643" t="s">
        <v>770</v>
      </c>
      <c r="C2643" t="s">
        <v>1393</v>
      </c>
      <c r="D2643" t="s">
        <v>1613</v>
      </c>
      <c r="E2643" t="s">
        <v>4946</v>
      </c>
      <c r="F2643" t="s">
        <v>1583</v>
      </c>
      <c r="I2643" t="s">
        <v>1058</v>
      </c>
      <c r="M2643" t="s">
        <v>190</v>
      </c>
      <c r="N2643" t="s">
        <v>190</v>
      </c>
      <c r="Q2643" s="2" t="str">
        <f>IF($C2643="","",IFERROR(VLOOKUP($C2643,sources!$A$2:$N$200,2,FALSE()),"?"))</f>
        <v>Web compilation</v>
      </c>
      <c r="R2643" s="2" t="str">
        <f t="shared" si="41"/>
        <v>Textual</v>
      </c>
      <c r="S2643" s="2" t="str">
        <f>IF($C2643="","",IFERROR(VLOOKUP($C2643,sources!$A$2:$N$200,9,FALSE()),"?"))</f>
        <v>Caribbean community</v>
      </c>
      <c r="T2643" t="s">
        <v>5692</v>
      </c>
      <c r="U2643">
        <f>IF(OR(B2643="",C2643="",T2643="Retracted",LEFT(D2643,8)="Negative"),0,IF(COUNTIFS($B$2:B2643,B2643,$C$2:C2643,C2643,$D$2:D2643,"&lt;&gt;Negative*",$T$2:T2643,"&lt;&gt;Retracted")=1,1,0))</f>
        <v>0</v>
      </c>
    </row>
    <row r="2644" spans="1:21" ht="26" x14ac:dyDescent="0.2">
      <c r="A2644" t="s">
        <v>4947</v>
      </c>
      <c r="B2644" t="s">
        <v>652</v>
      </c>
      <c r="C2644" t="s">
        <v>1384</v>
      </c>
      <c r="D2644" t="s">
        <v>1613</v>
      </c>
      <c r="E2644" t="s">
        <v>2867</v>
      </c>
      <c r="F2644" t="s">
        <v>1583</v>
      </c>
      <c r="I2644" t="s">
        <v>1058</v>
      </c>
      <c r="N2644" t="s">
        <v>209</v>
      </c>
      <c r="Q2644" s="2" t="str">
        <f>IF($C2644="","",IFERROR(VLOOKUP($C2644,sources!$A$2:$N$200,2,FALSE()),"?"))</f>
        <v>Newspaper</v>
      </c>
      <c r="R2644" s="2" t="str">
        <f t="shared" si="41"/>
        <v>Textual</v>
      </c>
      <c r="S2644" s="2" t="str">
        <f>IF($C2644="","",IFERROR(VLOOKUP($C2644,sources!$A$2:$N$200,9,FALSE()),"?"))</f>
        <v>Caribbean community</v>
      </c>
      <c r="T2644" t="s">
        <v>5692</v>
      </c>
      <c r="U2644">
        <f>IF(OR(B2644="",C2644="",T2644="Retracted",LEFT(D2644,8)="Negative"),0,IF(COUNTIFS($B$2:B2644,B2644,$C$2:C2644,C2644,$D$2:D2644,"&lt;&gt;Negative*",$T$2:T2644,"&lt;&gt;Retracted")=1,1,0))</f>
        <v>0</v>
      </c>
    </row>
    <row r="2645" spans="1:21" ht="26" x14ac:dyDescent="0.2">
      <c r="A2645" t="s">
        <v>4948</v>
      </c>
      <c r="B2645" t="s">
        <v>656</v>
      </c>
      <c r="C2645" t="s">
        <v>1384</v>
      </c>
      <c r="D2645" t="s">
        <v>1613</v>
      </c>
      <c r="E2645" t="s">
        <v>2869</v>
      </c>
      <c r="F2645" t="s">
        <v>1583</v>
      </c>
      <c r="I2645" t="s">
        <v>1058</v>
      </c>
      <c r="N2645" t="s">
        <v>209</v>
      </c>
      <c r="Q2645" s="2" t="str">
        <f>IF($C2645="","",IFERROR(VLOOKUP($C2645,sources!$A$2:$N$200,2,FALSE()),"?"))</f>
        <v>Newspaper</v>
      </c>
      <c r="R2645" s="2" t="str">
        <f t="shared" si="41"/>
        <v>Textual</v>
      </c>
      <c r="S2645" s="2" t="str">
        <f>IF($C2645="","",IFERROR(VLOOKUP($C2645,sources!$A$2:$N$200,9,FALSE()),"?"))</f>
        <v>Caribbean community</v>
      </c>
      <c r="T2645" t="s">
        <v>5692</v>
      </c>
      <c r="U2645">
        <f>IF(OR(B2645="",C2645="",T2645="Retracted",LEFT(D2645,8)="Negative"),0,IF(COUNTIFS($B$2:B2645,B2645,$C$2:C2645,C2645,$D$2:D2645,"&lt;&gt;Negative*",$T$2:T2645,"&lt;&gt;Retracted")=1,1,0))</f>
        <v>0</v>
      </c>
    </row>
    <row r="2646" spans="1:21" ht="26" x14ac:dyDescent="0.2">
      <c r="A2646" t="s">
        <v>4949</v>
      </c>
      <c r="B2646" t="s">
        <v>660</v>
      </c>
      <c r="C2646" t="s">
        <v>1384</v>
      </c>
      <c r="D2646" t="s">
        <v>1613</v>
      </c>
      <c r="E2646" t="s">
        <v>4890</v>
      </c>
      <c r="F2646" t="s">
        <v>1583</v>
      </c>
      <c r="I2646" t="s">
        <v>1058</v>
      </c>
      <c r="N2646" t="s">
        <v>209</v>
      </c>
      <c r="Q2646" s="2" t="str">
        <f>IF($C2646="","",IFERROR(VLOOKUP($C2646,sources!$A$2:$N$200,2,FALSE()),"?"))</f>
        <v>Newspaper</v>
      </c>
      <c r="R2646" s="2" t="str">
        <f t="shared" si="41"/>
        <v>Textual</v>
      </c>
      <c r="S2646" s="2" t="str">
        <f>IF($C2646="","",IFERROR(VLOOKUP($C2646,sources!$A$2:$N$200,9,FALSE()),"?"))</f>
        <v>Caribbean community</v>
      </c>
      <c r="T2646" t="s">
        <v>5692</v>
      </c>
      <c r="U2646">
        <f>IF(OR(B2646="",C2646="",T2646="Retracted",LEFT(D2646,8)="Negative"),0,IF(COUNTIFS($B$2:B2646,B2646,$C$2:C2646,C2646,$D$2:D2646,"&lt;&gt;Negative*",$T$2:T2646,"&lt;&gt;Retracted")=1,1,0))</f>
        <v>0</v>
      </c>
    </row>
    <row r="2647" spans="1:21" ht="26" x14ac:dyDescent="0.2">
      <c r="A2647" t="s">
        <v>4950</v>
      </c>
      <c r="B2647" t="s">
        <v>663</v>
      </c>
      <c r="C2647" t="s">
        <v>1384</v>
      </c>
      <c r="D2647" t="s">
        <v>1613</v>
      </c>
      <c r="E2647" t="s">
        <v>3172</v>
      </c>
      <c r="F2647" t="s">
        <v>1583</v>
      </c>
      <c r="I2647" t="s">
        <v>1058</v>
      </c>
      <c r="N2647" t="s">
        <v>209</v>
      </c>
      <c r="Q2647" s="2" t="str">
        <f>IF($C2647="","",IFERROR(VLOOKUP($C2647,sources!$A$2:$N$200,2,FALSE()),"?"))</f>
        <v>Newspaper</v>
      </c>
      <c r="R2647" s="2" t="str">
        <f t="shared" si="41"/>
        <v>Textual</v>
      </c>
      <c r="S2647" s="2" t="str">
        <f>IF($C2647="","",IFERROR(VLOOKUP($C2647,sources!$A$2:$N$200,9,FALSE()),"?"))</f>
        <v>Caribbean community</v>
      </c>
      <c r="T2647" t="s">
        <v>5692</v>
      </c>
      <c r="U2647">
        <f>IF(OR(B2647="",C2647="",T2647="Retracted",LEFT(D2647,8)="Negative"),0,IF(COUNTIFS($B$2:B2647,B2647,$C$2:C2647,C2647,$D$2:D2647,"&lt;&gt;Negative*",$T$2:T2647,"&lt;&gt;Retracted")=1,1,0))</f>
        <v>0</v>
      </c>
    </row>
    <row r="2648" spans="1:21" ht="26" x14ac:dyDescent="0.2">
      <c r="A2648" t="s">
        <v>4951</v>
      </c>
      <c r="B2648" t="s">
        <v>667</v>
      </c>
      <c r="C2648" t="s">
        <v>1384</v>
      </c>
      <c r="D2648" t="s">
        <v>1613</v>
      </c>
      <c r="E2648" t="s">
        <v>4893</v>
      </c>
      <c r="F2648" t="s">
        <v>1583</v>
      </c>
      <c r="I2648" t="s">
        <v>1058</v>
      </c>
      <c r="N2648" t="s">
        <v>209</v>
      </c>
      <c r="Q2648" s="2" t="str">
        <f>IF($C2648="","",IFERROR(VLOOKUP($C2648,sources!$A$2:$N$200,2,FALSE()),"?"))</f>
        <v>Newspaper</v>
      </c>
      <c r="R2648" s="2" t="str">
        <f t="shared" si="41"/>
        <v>Textual</v>
      </c>
      <c r="S2648" s="2" t="str">
        <f>IF($C2648="","",IFERROR(VLOOKUP($C2648,sources!$A$2:$N$200,9,FALSE()),"?"))</f>
        <v>Caribbean community</v>
      </c>
      <c r="T2648" t="s">
        <v>5692</v>
      </c>
      <c r="U2648">
        <f>IF(OR(B2648="",C2648="",T2648="Retracted",LEFT(D2648,8)="Negative"),0,IF(COUNTIFS($B$2:B2648,B2648,$C$2:C2648,C2648,$D$2:D2648,"&lt;&gt;Negative*",$T$2:T2648,"&lt;&gt;Retracted")=1,1,0))</f>
        <v>0</v>
      </c>
    </row>
    <row r="2649" spans="1:21" ht="26" x14ac:dyDescent="0.2">
      <c r="A2649" t="s">
        <v>4952</v>
      </c>
      <c r="B2649" t="s">
        <v>670</v>
      </c>
      <c r="C2649" t="s">
        <v>1384</v>
      </c>
      <c r="D2649" t="s">
        <v>1613</v>
      </c>
      <c r="E2649" t="s">
        <v>4895</v>
      </c>
      <c r="F2649" t="s">
        <v>1583</v>
      </c>
      <c r="I2649" t="s">
        <v>1058</v>
      </c>
      <c r="N2649" t="s">
        <v>209</v>
      </c>
      <c r="Q2649" s="2" t="str">
        <f>IF($C2649="","",IFERROR(VLOOKUP($C2649,sources!$A$2:$N$200,2,FALSE()),"?"))</f>
        <v>Newspaper</v>
      </c>
      <c r="R2649" s="2" t="str">
        <f t="shared" si="41"/>
        <v>Textual</v>
      </c>
      <c r="S2649" s="2" t="str">
        <f>IF($C2649="","",IFERROR(VLOOKUP($C2649,sources!$A$2:$N$200,9,FALSE()),"?"))</f>
        <v>Caribbean community</v>
      </c>
      <c r="T2649" t="s">
        <v>5692</v>
      </c>
      <c r="U2649">
        <f>IF(OR(B2649="",C2649="",T2649="Retracted",LEFT(D2649,8)="Negative"),0,IF(COUNTIFS($B$2:B2649,B2649,$C$2:C2649,C2649,$D$2:D2649,"&lt;&gt;Negative*",$T$2:T2649,"&lt;&gt;Retracted")=1,1,0))</f>
        <v>0</v>
      </c>
    </row>
    <row r="2650" spans="1:21" ht="26" x14ac:dyDescent="0.2">
      <c r="A2650" t="s">
        <v>4953</v>
      </c>
      <c r="B2650" t="s">
        <v>673</v>
      </c>
      <c r="C2650" t="s">
        <v>1384</v>
      </c>
      <c r="D2650" t="s">
        <v>1613</v>
      </c>
      <c r="E2650" t="s">
        <v>3176</v>
      </c>
      <c r="F2650" t="s">
        <v>1583</v>
      </c>
      <c r="I2650" t="s">
        <v>1058</v>
      </c>
      <c r="N2650" t="s">
        <v>209</v>
      </c>
      <c r="Q2650" s="2" t="str">
        <f>IF($C2650="","",IFERROR(VLOOKUP($C2650,sources!$A$2:$N$200,2,FALSE()),"?"))</f>
        <v>Newspaper</v>
      </c>
      <c r="R2650" s="2" t="str">
        <f t="shared" si="41"/>
        <v>Textual</v>
      </c>
      <c r="S2650" s="2" t="str">
        <f>IF($C2650="","",IFERROR(VLOOKUP($C2650,sources!$A$2:$N$200,9,FALSE()),"?"))</f>
        <v>Caribbean community</v>
      </c>
      <c r="T2650" t="s">
        <v>5692</v>
      </c>
      <c r="U2650">
        <f>IF(OR(B2650="",C2650="",T2650="Retracted",LEFT(D2650,8)="Negative"),0,IF(COUNTIFS($B$2:B2650,B2650,$C$2:C2650,C2650,$D$2:D2650,"&lt;&gt;Negative*",$T$2:T2650,"&lt;&gt;Retracted")=1,1,0))</f>
        <v>0</v>
      </c>
    </row>
    <row r="2651" spans="1:21" ht="26" x14ac:dyDescent="0.2">
      <c r="A2651" t="s">
        <v>4954</v>
      </c>
      <c r="B2651" t="s">
        <v>677</v>
      </c>
      <c r="C2651" t="s">
        <v>1384</v>
      </c>
      <c r="D2651" t="s">
        <v>1613</v>
      </c>
      <c r="E2651" t="s">
        <v>4899</v>
      </c>
      <c r="F2651" t="s">
        <v>1583</v>
      </c>
      <c r="I2651" t="s">
        <v>1058</v>
      </c>
      <c r="N2651" t="s">
        <v>209</v>
      </c>
      <c r="Q2651" s="2" t="str">
        <f>IF($C2651="","",IFERROR(VLOOKUP($C2651,sources!$A$2:$N$200,2,FALSE()),"?"))</f>
        <v>Newspaper</v>
      </c>
      <c r="R2651" s="2" t="str">
        <f t="shared" si="41"/>
        <v>Textual</v>
      </c>
      <c r="S2651" s="2" t="str">
        <f>IF($C2651="","",IFERROR(VLOOKUP($C2651,sources!$A$2:$N$200,9,FALSE()),"?"))</f>
        <v>Caribbean community</v>
      </c>
      <c r="T2651" t="s">
        <v>5692</v>
      </c>
      <c r="U2651">
        <f>IF(OR(B2651="",C2651="",T2651="Retracted",LEFT(D2651,8)="Negative"),0,IF(COUNTIFS($B$2:B2651,B2651,$C$2:C2651,C2651,$D$2:D2651,"&lt;&gt;Negative*",$T$2:T2651,"&lt;&gt;Retracted")=1,1,0))</f>
        <v>0</v>
      </c>
    </row>
    <row r="2652" spans="1:21" ht="26" x14ac:dyDescent="0.2">
      <c r="A2652" t="s">
        <v>4955</v>
      </c>
      <c r="B2652" t="s">
        <v>680</v>
      </c>
      <c r="C2652" t="s">
        <v>1384</v>
      </c>
      <c r="D2652" t="s">
        <v>1613</v>
      </c>
      <c r="E2652" t="s">
        <v>4901</v>
      </c>
      <c r="F2652" t="s">
        <v>1583</v>
      </c>
      <c r="I2652" t="s">
        <v>1058</v>
      </c>
      <c r="N2652" t="s">
        <v>209</v>
      </c>
      <c r="Q2652" s="2" t="str">
        <f>IF($C2652="","",IFERROR(VLOOKUP($C2652,sources!$A$2:$N$200,2,FALSE()),"?"))</f>
        <v>Newspaper</v>
      </c>
      <c r="R2652" s="2" t="str">
        <f t="shared" si="41"/>
        <v>Textual</v>
      </c>
      <c r="S2652" s="2" t="str">
        <f>IF($C2652="","",IFERROR(VLOOKUP($C2652,sources!$A$2:$N$200,9,FALSE()),"?"))</f>
        <v>Caribbean community</v>
      </c>
      <c r="T2652" t="s">
        <v>5692</v>
      </c>
      <c r="U2652">
        <f>IF(OR(B2652="",C2652="",T2652="Retracted",LEFT(D2652,8)="Negative"),0,IF(COUNTIFS($B$2:B2652,B2652,$C$2:C2652,C2652,$D$2:D2652,"&lt;&gt;Negative*",$T$2:T2652,"&lt;&gt;Retracted")=1,1,0))</f>
        <v>0</v>
      </c>
    </row>
    <row r="2653" spans="1:21" ht="26" x14ac:dyDescent="0.2">
      <c r="A2653" t="s">
        <v>4956</v>
      </c>
      <c r="B2653" t="s">
        <v>683</v>
      </c>
      <c r="C2653" t="s">
        <v>1384</v>
      </c>
      <c r="D2653" t="s">
        <v>1613</v>
      </c>
      <c r="E2653" t="s">
        <v>4957</v>
      </c>
      <c r="F2653" t="s">
        <v>1583</v>
      </c>
      <c r="I2653" t="s">
        <v>1058</v>
      </c>
      <c r="N2653" t="s">
        <v>209</v>
      </c>
      <c r="Q2653" s="2" t="str">
        <f>IF($C2653="","",IFERROR(VLOOKUP($C2653,sources!$A$2:$N$200,2,FALSE()),"?"))</f>
        <v>Newspaper</v>
      </c>
      <c r="R2653" s="2" t="str">
        <f t="shared" si="41"/>
        <v>Textual</v>
      </c>
      <c r="S2653" s="2" t="str">
        <f>IF($C2653="","",IFERROR(VLOOKUP($C2653,sources!$A$2:$N$200,9,FALSE()),"?"))</f>
        <v>Caribbean community</v>
      </c>
      <c r="T2653" t="s">
        <v>5692</v>
      </c>
      <c r="U2653">
        <f>IF(OR(B2653="",C2653="",T2653="Retracted",LEFT(D2653,8)="Negative"),0,IF(COUNTIFS($B$2:B2653,B2653,$C$2:C2653,C2653,$D$2:D2653,"&lt;&gt;Negative*",$T$2:T2653,"&lt;&gt;Retracted")=1,1,0))</f>
        <v>0</v>
      </c>
    </row>
    <row r="2654" spans="1:21" ht="26" x14ac:dyDescent="0.2">
      <c r="A2654" t="s">
        <v>4958</v>
      </c>
      <c r="B2654" t="s">
        <v>686</v>
      </c>
      <c r="C2654" t="s">
        <v>1384</v>
      </c>
      <c r="D2654" t="s">
        <v>1613</v>
      </c>
      <c r="E2654" t="s">
        <v>3180</v>
      </c>
      <c r="F2654" t="s">
        <v>1583</v>
      </c>
      <c r="I2654" t="s">
        <v>1058</v>
      </c>
      <c r="N2654" t="s">
        <v>209</v>
      </c>
      <c r="Q2654" s="2" t="str">
        <f>IF($C2654="","",IFERROR(VLOOKUP($C2654,sources!$A$2:$N$200,2,FALSE()),"?"))</f>
        <v>Newspaper</v>
      </c>
      <c r="R2654" s="2" t="str">
        <f t="shared" si="41"/>
        <v>Textual</v>
      </c>
      <c r="S2654" s="2" t="str">
        <f>IF($C2654="","",IFERROR(VLOOKUP($C2654,sources!$A$2:$N$200,9,FALSE()),"?"))</f>
        <v>Caribbean community</v>
      </c>
      <c r="T2654" t="s">
        <v>5692</v>
      </c>
      <c r="U2654">
        <f>IF(OR(B2654="",C2654="",T2654="Retracted",LEFT(D2654,8)="Negative"),0,IF(COUNTIFS($B$2:B2654,B2654,$C$2:C2654,C2654,$D$2:D2654,"&lt;&gt;Negative*",$T$2:T2654,"&lt;&gt;Retracted")=1,1,0))</f>
        <v>0</v>
      </c>
    </row>
    <row r="2655" spans="1:21" ht="26" x14ac:dyDescent="0.2">
      <c r="A2655" t="s">
        <v>4959</v>
      </c>
      <c r="B2655" t="s">
        <v>689</v>
      </c>
      <c r="C2655" t="s">
        <v>1384</v>
      </c>
      <c r="D2655" t="s">
        <v>1613</v>
      </c>
      <c r="E2655" t="s">
        <v>3182</v>
      </c>
      <c r="F2655" t="s">
        <v>1583</v>
      </c>
      <c r="I2655" t="s">
        <v>1058</v>
      </c>
      <c r="N2655" t="s">
        <v>209</v>
      </c>
      <c r="Q2655" s="2" t="str">
        <f>IF($C2655="","",IFERROR(VLOOKUP($C2655,sources!$A$2:$N$200,2,FALSE()),"?"))</f>
        <v>Newspaper</v>
      </c>
      <c r="R2655" s="2" t="str">
        <f t="shared" si="41"/>
        <v>Textual</v>
      </c>
      <c r="S2655" s="2" t="str">
        <f>IF($C2655="","",IFERROR(VLOOKUP($C2655,sources!$A$2:$N$200,9,FALSE()),"?"))</f>
        <v>Caribbean community</v>
      </c>
      <c r="T2655" t="s">
        <v>5692</v>
      </c>
      <c r="U2655">
        <f>IF(OR(B2655="",C2655="",T2655="Retracted",LEFT(D2655,8)="Negative"),0,IF(COUNTIFS($B$2:B2655,B2655,$C$2:C2655,C2655,$D$2:D2655,"&lt;&gt;Negative*",$T$2:T2655,"&lt;&gt;Retracted")=1,1,0))</f>
        <v>0</v>
      </c>
    </row>
    <row r="2656" spans="1:21" ht="26" x14ac:dyDescent="0.2">
      <c r="A2656" t="s">
        <v>4960</v>
      </c>
      <c r="B2656" t="s">
        <v>693</v>
      </c>
      <c r="C2656" t="s">
        <v>1384</v>
      </c>
      <c r="D2656" t="s">
        <v>1613</v>
      </c>
      <c r="E2656" t="s">
        <v>3184</v>
      </c>
      <c r="F2656" t="s">
        <v>1583</v>
      </c>
      <c r="I2656" t="s">
        <v>1058</v>
      </c>
      <c r="N2656" t="s">
        <v>209</v>
      </c>
      <c r="Q2656" s="2" t="str">
        <f>IF($C2656="","",IFERROR(VLOOKUP($C2656,sources!$A$2:$N$200,2,FALSE()),"?"))</f>
        <v>Newspaper</v>
      </c>
      <c r="R2656" s="2" t="str">
        <f t="shared" si="41"/>
        <v>Textual</v>
      </c>
      <c r="S2656" s="2" t="str">
        <f>IF($C2656="","",IFERROR(VLOOKUP($C2656,sources!$A$2:$N$200,9,FALSE()),"?"))</f>
        <v>Caribbean community</v>
      </c>
      <c r="T2656" t="s">
        <v>5692</v>
      </c>
      <c r="U2656">
        <f>IF(OR(B2656="",C2656="",T2656="Retracted",LEFT(D2656,8)="Negative"),0,IF(COUNTIFS($B$2:B2656,B2656,$C$2:C2656,C2656,$D$2:D2656,"&lt;&gt;Negative*",$T$2:T2656,"&lt;&gt;Retracted")=1,1,0))</f>
        <v>0</v>
      </c>
    </row>
    <row r="2657" spans="1:21" ht="26" x14ac:dyDescent="0.2">
      <c r="A2657" t="s">
        <v>4961</v>
      </c>
      <c r="B2657" t="s">
        <v>698</v>
      </c>
      <c r="C2657" t="s">
        <v>1384</v>
      </c>
      <c r="D2657" t="s">
        <v>1613</v>
      </c>
      <c r="E2657" t="s">
        <v>4962</v>
      </c>
      <c r="F2657" t="s">
        <v>1583</v>
      </c>
      <c r="I2657" t="s">
        <v>1058</v>
      </c>
      <c r="N2657" t="s">
        <v>209</v>
      </c>
      <c r="Q2657" s="2" t="str">
        <f>IF($C2657="","",IFERROR(VLOOKUP($C2657,sources!$A$2:$N$200,2,FALSE()),"?"))</f>
        <v>Newspaper</v>
      </c>
      <c r="R2657" s="2" t="str">
        <f t="shared" si="41"/>
        <v>Textual</v>
      </c>
      <c r="S2657" s="2" t="str">
        <f>IF($C2657="","",IFERROR(VLOOKUP($C2657,sources!$A$2:$N$200,9,FALSE()),"?"))</f>
        <v>Caribbean community</v>
      </c>
      <c r="T2657" t="s">
        <v>5692</v>
      </c>
      <c r="U2657">
        <f>IF(OR(B2657="",C2657="",T2657="Retracted",LEFT(D2657,8)="Negative"),0,IF(COUNTIFS($B$2:B2657,B2657,$C$2:C2657,C2657,$D$2:D2657,"&lt;&gt;Negative*",$T$2:T2657,"&lt;&gt;Retracted")=1,1,0))</f>
        <v>0</v>
      </c>
    </row>
    <row r="2658" spans="1:21" ht="26" x14ac:dyDescent="0.2">
      <c r="A2658" t="s">
        <v>4963</v>
      </c>
      <c r="B2658" t="s">
        <v>701</v>
      </c>
      <c r="C2658" t="s">
        <v>1384</v>
      </c>
      <c r="D2658" t="s">
        <v>1613</v>
      </c>
      <c r="E2658" t="s">
        <v>4910</v>
      </c>
      <c r="F2658" t="s">
        <v>1583</v>
      </c>
      <c r="I2658" t="s">
        <v>1058</v>
      </c>
      <c r="N2658" t="s">
        <v>209</v>
      </c>
      <c r="Q2658" s="2" t="str">
        <f>IF($C2658="","",IFERROR(VLOOKUP($C2658,sources!$A$2:$N$200,2,FALSE()),"?"))</f>
        <v>Newspaper</v>
      </c>
      <c r="R2658" s="2" t="str">
        <f t="shared" si="41"/>
        <v>Textual</v>
      </c>
      <c r="S2658" s="2" t="str">
        <f>IF($C2658="","",IFERROR(VLOOKUP($C2658,sources!$A$2:$N$200,9,FALSE()),"?"))</f>
        <v>Caribbean community</v>
      </c>
      <c r="T2658" t="s">
        <v>5692</v>
      </c>
      <c r="U2658">
        <f>IF(OR(B2658="",C2658="",T2658="Retracted",LEFT(D2658,8)="Negative"),0,IF(COUNTIFS($B$2:B2658,B2658,$C$2:C2658,C2658,$D$2:D2658,"&lt;&gt;Negative*",$T$2:T2658,"&lt;&gt;Retracted")=1,1,0))</f>
        <v>0</v>
      </c>
    </row>
    <row r="2659" spans="1:21" ht="26" x14ac:dyDescent="0.2">
      <c r="A2659" t="s">
        <v>4964</v>
      </c>
      <c r="B2659" t="s">
        <v>704</v>
      </c>
      <c r="C2659" t="s">
        <v>1384</v>
      </c>
      <c r="D2659" t="s">
        <v>1613</v>
      </c>
      <c r="E2659" t="s">
        <v>2899</v>
      </c>
      <c r="F2659" t="s">
        <v>1583</v>
      </c>
      <c r="I2659" t="s">
        <v>1058</v>
      </c>
      <c r="N2659" t="s">
        <v>209</v>
      </c>
      <c r="Q2659" s="2" t="str">
        <f>IF($C2659="","",IFERROR(VLOOKUP($C2659,sources!$A$2:$N$200,2,FALSE()),"?"))</f>
        <v>Newspaper</v>
      </c>
      <c r="R2659" s="2" t="str">
        <f t="shared" si="41"/>
        <v>Textual</v>
      </c>
      <c r="S2659" s="2" t="str">
        <f>IF($C2659="","",IFERROR(VLOOKUP($C2659,sources!$A$2:$N$200,9,FALSE()),"?"))</f>
        <v>Caribbean community</v>
      </c>
      <c r="T2659" t="s">
        <v>5692</v>
      </c>
      <c r="U2659">
        <f>IF(OR(B2659="",C2659="",T2659="Retracted",LEFT(D2659,8)="Negative"),0,IF(COUNTIFS($B$2:B2659,B2659,$C$2:C2659,C2659,$D$2:D2659,"&lt;&gt;Negative*",$T$2:T2659,"&lt;&gt;Retracted")=1,1,0))</f>
        <v>0</v>
      </c>
    </row>
    <row r="2660" spans="1:21" ht="26" x14ac:dyDescent="0.2">
      <c r="A2660" t="s">
        <v>4965</v>
      </c>
      <c r="B2660" t="s">
        <v>711</v>
      </c>
      <c r="C2660" t="s">
        <v>1384</v>
      </c>
      <c r="D2660" t="s">
        <v>1613</v>
      </c>
      <c r="E2660" t="s">
        <v>4914</v>
      </c>
      <c r="F2660" t="s">
        <v>1583</v>
      </c>
      <c r="I2660" t="s">
        <v>1058</v>
      </c>
      <c r="N2660" t="s">
        <v>209</v>
      </c>
      <c r="Q2660" s="2" t="str">
        <f>IF($C2660="","",IFERROR(VLOOKUP($C2660,sources!$A$2:$N$200,2,FALSE()),"?"))</f>
        <v>Newspaper</v>
      </c>
      <c r="R2660" s="2" t="str">
        <f t="shared" si="41"/>
        <v>Textual</v>
      </c>
      <c r="S2660" s="2" t="str">
        <f>IF($C2660="","",IFERROR(VLOOKUP($C2660,sources!$A$2:$N$200,9,FALSE()),"?"))</f>
        <v>Caribbean community</v>
      </c>
      <c r="T2660" t="s">
        <v>5692</v>
      </c>
      <c r="U2660">
        <f>IF(OR(B2660="",C2660="",T2660="Retracted",LEFT(D2660,8)="Negative"),0,IF(COUNTIFS($B$2:B2660,B2660,$C$2:C2660,C2660,$D$2:D2660,"&lt;&gt;Negative*",$T$2:T2660,"&lt;&gt;Retracted")=1,1,0))</f>
        <v>0</v>
      </c>
    </row>
    <row r="2661" spans="1:21" ht="26" x14ac:dyDescent="0.2">
      <c r="A2661" t="s">
        <v>4966</v>
      </c>
      <c r="B2661" t="s">
        <v>714</v>
      </c>
      <c r="C2661" t="s">
        <v>1384</v>
      </c>
      <c r="D2661" t="s">
        <v>1613</v>
      </c>
      <c r="E2661" t="s">
        <v>3191</v>
      </c>
      <c r="F2661" t="s">
        <v>1583</v>
      </c>
      <c r="I2661" t="s">
        <v>1058</v>
      </c>
      <c r="N2661" t="s">
        <v>209</v>
      </c>
      <c r="Q2661" s="2" t="str">
        <f>IF($C2661="","",IFERROR(VLOOKUP($C2661,sources!$A$2:$N$200,2,FALSE()),"?"))</f>
        <v>Newspaper</v>
      </c>
      <c r="R2661" s="2" t="str">
        <f t="shared" si="41"/>
        <v>Textual</v>
      </c>
      <c r="S2661" s="2" t="str">
        <f>IF($C2661="","",IFERROR(VLOOKUP($C2661,sources!$A$2:$N$200,9,FALSE()),"?"))</f>
        <v>Caribbean community</v>
      </c>
      <c r="T2661" t="s">
        <v>5692</v>
      </c>
      <c r="U2661">
        <f>IF(OR(B2661="",C2661="",T2661="Retracted",LEFT(D2661,8)="Negative"),0,IF(COUNTIFS($B$2:B2661,B2661,$C$2:C2661,C2661,$D$2:D2661,"&lt;&gt;Negative*",$T$2:T2661,"&lt;&gt;Retracted")=1,1,0))</f>
        <v>0</v>
      </c>
    </row>
    <row r="2662" spans="1:21" ht="26" x14ac:dyDescent="0.2">
      <c r="A2662" t="s">
        <v>4967</v>
      </c>
      <c r="B2662" t="s">
        <v>717</v>
      </c>
      <c r="C2662" t="s">
        <v>1384</v>
      </c>
      <c r="D2662" t="s">
        <v>1613</v>
      </c>
      <c r="E2662" t="s">
        <v>3193</v>
      </c>
      <c r="F2662" t="s">
        <v>1583</v>
      </c>
      <c r="I2662" t="s">
        <v>1058</v>
      </c>
      <c r="N2662" t="s">
        <v>209</v>
      </c>
      <c r="Q2662" s="2" t="str">
        <f>IF($C2662="","",IFERROR(VLOOKUP($C2662,sources!$A$2:$N$200,2,FALSE()),"?"))</f>
        <v>Newspaper</v>
      </c>
      <c r="R2662" s="2" t="str">
        <f t="shared" si="41"/>
        <v>Textual</v>
      </c>
      <c r="S2662" s="2" t="str">
        <f>IF($C2662="","",IFERROR(VLOOKUP($C2662,sources!$A$2:$N$200,9,FALSE()),"?"))</f>
        <v>Caribbean community</v>
      </c>
      <c r="T2662" t="s">
        <v>5692</v>
      </c>
      <c r="U2662">
        <f>IF(OR(B2662="",C2662="",T2662="Retracted",LEFT(D2662,8)="Negative"),0,IF(COUNTIFS($B$2:B2662,B2662,$C$2:C2662,C2662,$D$2:D2662,"&lt;&gt;Negative*",$T$2:T2662,"&lt;&gt;Retracted")=1,1,0))</f>
        <v>0</v>
      </c>
    </row>
    <row r="2663" spans="1:21" ht="26" x14ac:dyDescent="0.2">
      <c r="A2663" t="s">
        <v>4968</v>
      </c>
      <c r="B2663" t="s">
        <v>720</v>
      </c>
      <c r="C2663" t="s">
        <v>1384</v>
      </c>
      <c r="D2663" t="s">
        <v>1613</v>
      </c>
      <c r="E2663" t="s">
        <v>3195</v>
      </c>
      <c r="F2663" t="s">
        <v>1583</v>
      </c>
      <c r="I2663" t="s">
        <v>1058</v>
      </c>
      <c r="N2663" t="s">
        <v>209</v>
      </c>
      <c r="Q2663" s="2" t="str">
        <f>IF($C2663="","",IFERROR(VLOOKUP($C2663,sources!$A$2:$N$200,2,FALSE()),"?"))</f>
        <v>Newspaper</v>
      </c>
      <c r="R2663" s="2" t="str">
        <f t="shared" si="41"/>
        <v>Textual</v>
      </c>
      <c r="S2663" s="2" t="str">
        <f>IF($C2663="","",IFERROR(VLOOKUP($C2663,sources!$A$2:$N$200,9,FALSE()),"?"))</f>
        <v>Caribbean community</v>
      </c>
      <c r="T2663" t="s">
        <v>5692</v>
      </c>
      <c r="U2663">
        <f>IF(OR(B2663="",C2663="",T2663="Retracted",LEFT(D2663,8)="Negative"),0,IF(COUNTIFS($B$2:B2663,B2663,$C$2:C2663,C2663,$D$2:D2663,"&lt;&gt;Negative*",$T$2:T2663,"&lt;&gt;Retracted")=1,1,0))</f>
        <v>0</v>
      </c>
    </row>
    <row r="2664" spans="1:21" ht="26" x14ac:dyDescent="0.2">
      <c r="A2664" t="s">
        <v>4969</v>
      </c>
      <c r="B2664" t="s">
        <v>723</v>
      </c>
      <c r="C2664" t="s">
        <v>1384</v>
      </c>
      <c r="D2664" t="s">
        <v>1613</v>
      </c>
      <c r="E2664" t="s">
        <v>4919</v>
      </c>
      <c r="F2664" t="s">
        <v>1583</v>
      </c>
      <c r="I2664" t="s">
        <v>1058</v>
      </c>
      <c r="N2664" t="s">
        <v>209</v>
      </c>
      <c r="Q2664" s="2" t="str">
        <f>IF($C2664="","",IFERROR(VLOOKUP($C2664,sources!$A$2:$N$200,2,FALSE()),"?"))</f>
        <v>Newspaper</v>
      </c>
      <c r="R2664" s="2" t="str">
        <f t="shared" si="41"/>
        <v>Textual</v>
      </c>
      <c r="S2664" s="2" t="str">
        <f>IF($C2664="","",IFERROR(VLOOKUP($C2664,sources!$A$2:$N$200,9,FALSE()),"?"))</f>
        <v>Caribbean community</v>
      </c>
      <c r="T2664" t="s">
        <v>5692</v>
      </c>
      <c r="U2664">
        <f>IF(OR(B2664="",C2664="",T2664="Retracted",LEFT(D2664,8)="Negative"),0,IF(COUNTIFS($B$2:B2664,B2664,$C$2:C2664,C2664,$D$2:D2664,"&lt;&gt;Negative*",$T$2:T2664,"&lt;&gt;Retracted")=1,1,0))</f>
        <v>0</v>
      </c>
    </row>
    <row r="2665" spans="1:21" ht="26" x14ac:dyDescent="0.2">
      <c r="A2665" t="s">
        <v>4970</v>
      </c>
      <c r="B2665" t="s">
        <v>727</v>
      </c>
      <c r="C2665" t="s">
        <v>1384</v>
      </c>
      <c r="D2665" t="s">
        <v>1613</v>
      </c>
      <c r="E2665" t="s">
        <v>3199</v>
      </c>
      <c r="F2665" t="s">
        <v>1583</v>
      </c>
      <c r="I2665" t="s">
        <v>1058</v>
      </c>
      <c r="N2665" t="s">
        <v>209</v>
      </c>
      <c r="Q2665" s="2" t="str">
        <f>IF($C2665="","",IFERROR(VLOOKUP($C2665,sources!$A$2:$N$200,2,FALSE()),"?"))</f>
        <v>Newspaper</v>
      </c>
      <c r="R2665" s="2" t="str">
        <f t="shared" si="41"/>
        <v>Textual</v>
      </c>
      <c r="S2665" s="2" t="str">
        <f>IF($C2665="","",IFERROR(VLOOKUP($C2665,sources!$A$2:$N$200,9,FALSE()),"?"))</f>
        <v>Caribbean community</v>
      </c>
      <c r="T2665" t="s">
        <v>5692</v>
      </c>
      <c r="U2665">
        <f>IF(OR(B2665="",C2665="",T2665="Retracted",LEFT(D2665,8)="Negative"),0,IF(COUNTIFS($B$2:B2665,B2665,$C$2:C2665,C2665,$D$2:D2665,"&lt;&gt;Negative*",$T$2:T2665,"&lt;&gt;Retracted")=1,1,0))</f>
        <v>0</v>
      </c>
    </row>
    <row r="2666" spans="1:21" ht="26" x14ac:dyDescent="0.2">
      <c r="A2666" t="s">
        <v>4971</v>
      </c>
      <c r="B2666" t="s">
        <v>730</v>
      </c>
      <c r="C2666" t="s">
        <v>1384</v>
      </c>
      <c r="D2666" t="s">
        <v>1613</v>
      </c>
      <c r="E2666" t="s">
        <v>4923</v>
      </c>
      <c r="F2666" t="s">
        <v>1583</v>
      </c>
      <c r="I2666" t="s">
        <v>1058</v>
      </c>
      <c r="N2666" t="s">
        <v>209</v>
      </c>
      <c r="Q2666" s="2" t="str">
        <f>IF($C2666="","",IFERROR(VLOOKUP($C2666,sources!$A$2:$N$200,2,FALSE()),"?"))</f>
        <v>Newspaper</v>
      </c>
      <c r="R2666" s="2" t="str">
        <f t="shared" si="41"/>
        <v>Textual</v>
      </c>
      <c r="S2666" s="2" t="str">
        <f>IF($C2666="","",IFERROR(VLOOKUP($C2666,sources!$A$2:$N$200,9,FALSE()),"?"))</f>
        <v>Caribbean community</v>
      </c>
      <c r="T2666" t="s">
        <v>5692</v>
      </c>
      <c r="U2666">
        <f>IF(OR(B2666="",C2666="",T2666="Retracted",LEFT(D2666,8)="Negative"),0,IF(COUNTIFS($B$2:B2666,B2666,$C$2:C2666,C2666,$D$2:D2666,"&lt;&gt;Negative*",$T$2:T2666,"&lt;&gt;Retracted")=1,1,0))</f>
        <v>0</v>
      </c>
    </row>
    <row r="2667" spans="1:21" ht="26" x14ac:dyDescent="0.2">
      <c r="A2667" t="s">
        <v>4972</v>
      </c>
      <c r="B2667" t="s">
        <v>733</v>
      </c>
      <c r="C2667" t="s">
        <v>1384</v>
      </c>
      <c r="D2667" t="s">
        <v>1613</v>
      </c>
      <c r="E2667" t="s">
        <v>4973</v>
      </c>
      <c r="F2667" t="s">
        <v>1583</v>
      </c>
      <c r="I2667" t="s">
        <v>1058</v>
      </c>
      <c r="N2667" t="s">
        <v>209</v>
      </c>
      <c r="Q2667" s="2" t="str">
        <f>IF($C2667="","",IFERROR(VLOOKUP($C2667,sources!$A$2:$N$200,2,FALSE()),"?"))</f>
        <v>Newspaper</v>
      </c>
      <c r="R2667" s="2" t="str">
        <f t="shared" si="41"/>
        <v>Textual</v>
      </c>
      <c r="S2667" s="2" t="str">
        <f>IF($C2667="","",IFERROR(VLOOKUP($C2667,sources!$A$2:$N$200,9,FALSE()),"?"))</f>
        <v>Caribbean community</v>
      </c>
      <c r="T2667" t="s">
        <v>5692</v>
      </c>
      <c r="U2667">
        <f>IF(OR(B2667="",C2667="",T2667="Retracted",LEFT(D2667,8)="Negative"),0,IF(COUNTIFS($B$2:B2667,B2667,$C$2:C2667,C2667,$D$2:D2667,"&lt;&gt;Negative*",$T$2:T2667,"&lt;&gt;Retracted")=1,1,0))</f>
        <v>0</v>
      </c>
    </row>
    <row r="2668" spans="1:21" ht="26" x14ac:dyDescent="0.2">
      <c r="A2668" t="s">
        <v>4974</v>
      </c>
      <c r="B2668" t="s">
        <v>737</v>
      </c>
      <c r="C2668" t="s">
        <v>1384</v>
      </c>
      <c r="D2668" t="s">
        <v>1613</v>
      </c>
      <c r="E2668" t="s">
        <v>4927</v>
      </c>
      <c r="F2668" t="s">
        <v>1583</v>
      </c>
      <c r="I2668" t="s">
        <v>1058</v>
      </c>
      <c r="N2668" t="s">
        <v>209</v>
      </c>
      <c r="Q2668" s="2" t="str">
        <f>IF($C2668="","",IFERROR(VLOOKUP($C2668,sources!$A$2:$N$200,2,FALSE()),"?"))</f>
        <v>Newspaper</v>
      </c>
      <c r="R2668" s="2" t="str">
        <f t="shared" si="41"/>
        <v>Textual</v>
      </c>
      <c r="S2668" s="2" t="str">
        <f>IF($C2668="","",IFERROR(VLOOKUP($C2668,sources!$A$2:$N$200,9,FALSE()),"?"))</f>
        <v>Caribbean community</v>
      </c>
      <c r="T2668" t="s">
        <v>5692</v>
      </c>
      <c r="U2668">
        <f>IF(OR(B2668="",C2668="",T2668="Retracted",LEFT(D2668,8)="Negative"),0,IF(COUNTIFS($B$2:B2668,B2668,$C$2:C2668,C2668,$D$2:D2668,"&lt;&gt;Negative*",$T$2:T2668,"&lt;&gt;Retracted")=1,1,0))</f>
        <v>0</v>
      </c>
    </row>
    <row r="2669" spans="1:21" ht="26" x14ac:dyDescent="0.2">
      <c r="A2669" t="s">
        <v>4975</v>
      </c>
      <c r="B2669" t="s">
        <v>740</v>
      </c>
      <c r="C2669" t="s">
        <v>1384</v>
      </c>
      <c r="D2669" t="s">
        <v>1613</v>
      </c>
      <c r="E2669" t="s">
        <v>4929</v>
      </c>
      <c r="F2669" t="s">
        <v>1583</v>
      </c>
      <c r="I2669" t="s">
        <v>1058</v>
      </c>
      <c r="N2669" t="s">
        <v>209</v>
      </c>
      <c r="Q2669" s="2" t="str">
        <f>IF($C2669="","",IFERROR(VLOOKUP($C2669,sources!$A$2:$N$200,2,FALSE()),"?"))</f>
        <v>Newspaper</v>
      </c>
      <c r="R2669" s="2" t="str">
        <f t="shared" si="41"/>
        <v>Textual</v>
      </c>
      <c r="S2669" s="2" t="str">
        <f>IF($C2669="","",IFERROR(VLOOKUP($C2669,sources!$A$2:$N$200,9,FALSE()),"?"))</f>
        <v>Caribbean community</v>
      </c>
      <c r="T2669" t="s">
        <v>5692</v>
      </c>
      <c r="U2669">
        <f>IF(OR(B2669="",C2669="",T2669="Retracted",LEFT(D2669,8)="Negative"),0,IF(COUNTIFS($B$2:B2669,B2669,$C$2:C2669,C2669,$D$2:D2669,"&lt;&gt;Negative*",$T$2:T2669,"&lt;&gt;Retracted")=1,1,0))</f>
        <v>0</v>
      </c>
    </row>
    <row r="2670" spans="1:21" ht="26" x14ac:dyDescent="0.2">
      <c r="A2670" t="s">
        <v>4976</v>
      </c>
      <c r="B2670" t="s">
        <v>743</v>
      </c>
      <c r="C2670" t="s">
        <v>1384</v>
      </c>
      <c r="D2670" t="s">
        <v>1613</v>
      </c>
      <c r="E2670" t="s">
        <v>4977</v>
      </c>
      <c r="F2670" t="s">
        <v>1583</v>
      </c>
      <c r="I2670" t="s">
        <v>1058</v>
      </c>
      <c r="N2670" t="s">
        <v>209</v>
      </c>
      <c r="Q2670" s="2" t="str">
        <f>IF($C2670="","",IFERROR(VLOOKUP($C2670,sources!$A$2:$N$200,2,FALSE()),"?"))</f>
        <v>Newspaper</v>
      </c>
      <c r="R2670" s="2" t="str">
        <f t="shared" si="41"/>
        <v>Textual</v>
      </c>
      <c r="S2670" s="2" t="str">
        <f>IF($C2670="","",IFERROR(VLOOKUP($C2670,sources!$A$2:$N$200,9,FALSE()),"?"))</f>
        <v>Caribbean community</v>
      </c>
      <c r="T2670" t="s">
        <v>5692</v>
      </c>
      <c r="U2670">
        <f>IF(OR(B2670="",C2670="",T2670="Retracted",LEFT(D2670,8)="Negative"),0,IF(COUNTIFS($B$2:B2670,B2670,$C$2:C2670,C2670,$D$2:D2670,"&lt;&gt;Negative*",$T$2:T2670,"&lt;&gt;Retracted")=1,1,0))</f>
        <v>0</v>
      </c>
    </row>
    <row r="2671" spans="1:21" ht="26" x14ac:dyDescent="0.2">
      <c r="A2671" t="s">
        <v>4978</v>
      </c>
      <c r="B2671" t="s">
        <v>746</v>
      </c>
      <c r="C2671" t="s">
        <v>1384</v>
      </c>
      <c r="D2671" t="s">
        <v>1575</v>
      </c>
      <c r="E2671" t="s">
        <v>4933</v>
      </c>
      <c r="F2671" t="s">
        <v>1583</v>
      </c>
      <c r="I2671" t="s">
        <v>1058</v>
      </c>
      <c r="N2671" t="s">
        <v>209</v>
      </c>
      <c r="Q2671" s="2" t="str">
        <f>IF($C2671="","",IFERROR(VLOOKUP($C2671,sources!$A$2:$N$200,2,FALSE()),"?"))</f>
        <v>Newspaper</v>
      </c>
      <c r="R2671" s="2" t="str">
        <f t="shared" si="41"/>
        <v>Textual</v>
      </c>
      <c r="S2671" s="2" t="str">
        <f>IF($C2671="","",IFERROR(VLOOKUP($C2671,sources!$A$2:$N$200,9,FALSE()),"?"))</f>
        <v>Caribbean community</v>
      </c>
      <c r="T2671" t="s">
        <v>5692</v>
      </c>
      <c r="U2671">
        <f>IF(OR(B2671="",C2671="",T2671="Retracted",LEFT(D2671,8)="Negative"),0,IF(COUNTIFS($B$2:B2671,B2671,$C$2:C2671,C2671,$D$2:D2671,"&lt;&gt;Negative*",$T$2:T2671,"&lt;&gt;Retracted")=1,1,0))</f>
        <v>1</v>
      </c>
    </row>
    <row r="2672" spans="1:21" ht="26" x14ac:dyDescent="0.2">
      <c r="A2672" t="s">
        <v>4979</v>
      </c>
      <c r="B2672" t="s">
        <v>749</v>
      </c>
      <c r="C2672" t="s">
        <v>1384</v>
      </c>
      <c r="D2672" t="s">
        <v>1613</v>
      </c>
      <c r="E2672" t="s">
        <v>4935</v>
      </c>
      <c r="F2672" t="s">
        <v>1583</v>
      </c>
      <c r="I2672" t="s">
        <v>1058</v>
      </c>
      <c r="N2672" t="s">
        <v>209</v>
      </c>
      <c r="Q2672" s="2" t="str">
        <f>IF($C2672="","",IFERROR(VLOOKUP($C2672,sources!$A$2:$N$200,2,FALSE()),"?"))</f>
        <v>Newspaper</v>
      </c>
      <c r="R2672" s="2" t="str">
        <f t="shared" si="41"/>
        <v>Textual</v>
      </c>
      <c r="S2672" s="2" t="str">
        <f>IF($C2672="","",IFERROR(VLOOKUP($C2672,sources!$A$2:$N$200,9,FALSE()),"?"))</f>
        <v>Caribbean community</v>
      </c>
      <c r="T2672" t="s">
        <v>5692</v>
      </c>
      <c r="U2672">
        <f>IF(OR(B2672="",C2672="",T2672="Retracted",LEFT(D2672,8)="Negative"),0,IF(COUNTIFS($B$2:B2672,B2672,$C$2:C2672,C2672,$D$2:D2672,"&lt;&gt;Negative*",$T$2:T2672,"&lt;&gt;Retracted")=1,1,0))</f>
        <v>0</v>
      </c>
    </row>
    <row r="2673" spans="1:21" ht="26" x14ac:dyDescent="0.2">
      <c r="A2673" t="s">
        <v>4980</v>
      </c>
      <c r="B2673" t="s">
        <v>752</v>
      </c>
      <c r="C2673" t="s">
        <v>1384</v>
      </c>
      <c r="D2673" t="s">
        <v>1613</v>
      </c>
      <c r="E2673" t="s">
        <v>4937</v>
      </c>
      <c r="F2673" t="s">
        <v>1583</v>
      </c>
      <c r="I2673" t="s">
        <v>1058</v>
      </c>
      <c r="N2673" t="s">
        <v>209</v>
      </c>
      <c r="Q2673" s="2" t="str">
        <f>IF($C2673="","",IFERROR(VLOOKUP($C2673,sources!$A$2:$N$200,2,FALSE()),"?"))</f>
        <v>Newspaper</v>
      </c>
      <c r="R2673" s="2" t="str">
        <f t="shared" si="41"/>
        <v>Textual</v>
      </c>
      <c r="S2673" s="2" t="str">
        <f>IF($C2673="","",IFERROR(VLOOKUP($C2673,sources!$A$2:$N$200,9,FALSE()),"?"))</f>
        <v>Caribbean community</v>
      </c>
      <c r="T2673" t="s">
        <v>5692</v>
      </c>
      <c r="U2673">
        <f>IF(OR(B2673="",C2673="",T2673="Retracted",LEFT(D2673,8)="Negative"),0,IF(COUNTIFS($B$2:B2673,B2673,$C$2:C2673,C2673,$D$2:D2673,"&lt;&gt;Negative*",$T$2:T2673,"&lt;&gt;Retracted")=1,1,0))</f>
        <v>0</v>
      </c>
    </row>
    <row r="2674" spans="1:21" ht="26" x14ac:dyDescent="0.2">
      <c r="A2674" t="s">
        <v>4981</v>
      </c>
      <c r="B2674" t="s">
        <v>755</v>
      </c>
      <c r="C2674" t="s">
        <v>1384</v>
      </c>
      <c r="D2674" t="s">
        <v>1613</v>
      </c>
      <c r="E2674" t="s">
        <v>4939</v>
      </c>
      <c r="F2674" t="s">
        <v>1583</v>
      </c>
      <c r="I2674" t="s">
        <v>1058</v>
      </c>
      <c r="N2674" t="s">
        <v>209</v>
      </c>
      <c r="Q2674" s="2" t="str">
        <f>IF($C2674="","",IFERROR(VLOOKUP($C2674,sources!$A$2:$N$200,2,FALSE()),"?"))</f>
        <v>Newspaper</v>
      </c>
      <c r="R2674" s="2" t="str">
        <f t="shared" si="41"/>
        <v>Textual</v>
      </c>
      <c r="S2674" s="2" t="str">
        <f>IF($C2674="","",IFERROR(VLOOKUP($C2674,sources!$A$2:$N$200,9,FALSE()),"?"))</f>
        <v>Caribbean community</v>
      </c>
      <c r="T2674" t="s">
        <v>5692</v>
      </c>
      <c r="U2674">
        <f>IF(OR(B2674="",C2674="",T2674="Retracted",LEFT(D2674,8)="Negative"),0,IF(COUNTIFS($B$2:B2674,B2674,$C$2:C2674,C2674,$D$2:D2674,"&lt;&gt;Negative*",$T$2:T2674,"&lt;&gt;Retracted")=1,1,0))</f>
        <v>0</v>
      </c>
    </row>
    <row r="2675" spans="1:21" ht="26" x14ac:dyDescent="0.2">
      <c r="A2675" t="s">
        <v>4982</v>
      </c>
      <c r="B2675" t="s">
        <v>758</v>
      </c>
      <c r="C2675" t="s">
        <v>1384</v>
      </c>
      <c r="D2675" t="s">
        <v>1613</v>
      </c>
      <c r="E2675" t="s">
        <v>2718</v>
      </c>
      <c r="F2675" t="s">
        <v>1583</v>
      </c>
      <c r="I2675" t="s">
        <v>1058</v>
      </c>
      <c r="N2675" t="s">
        <v>209</v>
      </c>
      <c r="Q2675" s="2" t="str">
        <f>IF($C2675="","",IFERROR(VLOOKUP($C2675,sources!$A$2:$N$200,2,FALSE()),"?"))</f>
        <v>Newspaper</v>
      </c>
      <c r="R2675" s="2" t="str">
        <f t="shared" si="41"/>
        <v>Textual</v>
      </c>
      <c r="S2675" s="2" t="str">
        <f>IF($C2675="","",IFERROR(VLOOKUP($C2675,sources!$A$2:$N$200,9,FALSE()),"?"))</f>
        <v>Caribbean community</v>
      </c>
      <c r="T2675" t="s">
        <v>5692</v>
      </c>
      <c r="U2675">
        <f>IF(OR(B2675="",C2675="",T2675="Retracted",LEFT(D2675,8)="Negative"),0,IF(COUNTIFS($B$2:B2675,B2675,$C$2:C2675,C2675,$D$2:D2675,"&lt;&gt;Negative*",$T$2:T2675,"&lt;&gt;Retracted")=1,1,0))</f>
        <v>0</v>
      </c>
    </row>
    <row r="2676" spans="1:21" ht="26" x14ac:dyDescent="0.2">
      <c r="A2676" t="s">
        <v>4983</v>
      </c>
      <c r="B2676" t="s">
        <v>761</v>
      </c>
      <c r="C2676" t="s">
        <v>1384</v>
      </c>
      <c r="D2676" t="s">
        <v>1613</v>
      </c>
      <c r="E2676" t="s">
        <v>4984</v>
      </c>
      <c r="F2676" t="s">
        <v>1583</v>
      </c>
      <c r="I2676" t="s">
        <v>1058</v>
      </c>
      <c r="N2676" t="s">
        <v>209</v>
      </c>
      <c r="Q2676" s="2" t="str">
        <f>IF($C2676="","",IFERROR(VLOOKUP($C2676,sources!$A$2:$N$200,2,FALSE()),"?"))</f>
        <v>Newspaper</v>
      </c>
      <c r="R2676" s="2" t="str">
        <f t="shared" si="41"/>
        <v>Textual</v>
      </c>
      <c r="S2676" s="2" t="str">
        <f>IF($C2676="","",IFERROR(VLOOKUP($C2676,sources!$A$2:$N$200,9,FALSE()),"?"))</f>
        <v>Caribbean community</v>
      </c>
      <c r="T2676" t="s">
        <v>5692</v>
      </c>
      <c r="U2676">
        <f>IF(OR(B2676="",C2676="",T2676="Retracted",LEFT(D2676,8)="Negative"),0,IF(COUNTIFS($B$2:B2676,B2676,$C$2:C2676,C2676,$D$2:D2676,"&lt;&gt;Negative*",$T$2:T2676,"&lt;&gt;Retracted")=1,1,0))</f>
        <v>0</v>
      </c>
    </row>
    <row r="2677" spans="1:21" ht="26" x14ac:dyDescent="0.2">
      <c r="A2677" t="s">
        <v>4985</v>
      </c>
      <c r="B2677" t="s">
        <v>764</v>
      </c>
      <c r="C2677" t="s">
        <v>1384</v>
      </c>
      <c r="D2677" t="s">
        <v>1613</v>
      </c>
      <c r="E2677" t="s">
        <v>3204</v>
      </c>
      <c r="F2677" t="s">
        <v>1583</v>
      </c>
      <c r="I2677" t="s">
        <v>1058</v>
      </c>
      <c r="N2677" t="s">
        <v>209</v>
      </c>
      <c r="Q2677" s="2" t="str">
        <f>IF($C2677="","",IFERROR(VLOOKUP($C2677,sources!$A$2:$N$200,2,FALSE()),"?"))</f>
        <v>Newspaper</v>
      </c>
      <c r="R2677" s="2" t="str">
        <f t="shared" si="41"/>
        <v>Textual</v>
      </c>
      <c r="S2677" s="2" t="str">
        <f>IF($C2677="","",IFERROR(VLOOKUP($C2677,sources!$A$2:$N$200,9,FALSE()),"?"))</f>
        <v>Caribbean community</v>
      </c>
      <c r="T2677" t="s">
        <v>5692</v>
      </c>
      <c r="U2677">
        <f>IF(OR(B2677="",C2677="",T2677="Retracted",LEFT(D2677,8)="Negative"),0,IF(COUNTIFS($B$2:B2677,B2677,$C$2:C2677,C2677,$D$2:D2677,"&lt;&gt;Negative*",$T$2:T2677,"&lt;&gt;Retracted")=1,1,0))</f>
        <v>0</v>
      </c>
    </row>
    <row r="2678" spans="1:21" ht="26" x14ac:dyDescent="0.2">
      <c r="A2678" t="s">
        <v>4986</v>
      </c>
      <c r="B2678" t="s">
        <v>767</v>
      </c>
      <c r="C2678" t="s">
        <v>1384</v>
      </c>
      <c r="D2678" t="s">
        <v>1613</v>
      </c>
      <c r="E2678" t="s">
        <v>4944</v>
      </c>
      <c r="F2678" t="s">
        <v>1583</v>
      </c>
      <c r="I2678" t="s">
        <v>1058</v>
      </c>
      <c r="N2678" t="s">
        <v>209</v>
      </c>
      <c r="Q2678" s="2" t="str">
        <f>IF($C2678="","",IFERROR(VLOOKUP($C2678,sources!$A$2:$N$200,2,FALSE()),"?"))</f>
        <v>Newspaper</v>
      </c>
      <c r="R2678" s="2" t="str">
        <f t="shared" si="41"/>
        <v>Textual</v>
      </c>
      <c r="S2678" s="2" t="str">
        <f>IF($C2678="","",IFERROR(VLOOKUP($C2678,sources!$A$2:$N$200,9,FALSE()),"?"))</f>
        <v>Caribbean community</v>
      </c>
      <c r="T2678" t="s">
        <v>5692</v>
      </c>
      <c r="U2678">
        <f>IF(OR(B2678="",C2678="",T2678="Retracted",LEFT(D2678,8)="Negative"),0,IF(COUNTIFS($B$2:B2678,B2678,$C$2:C2678,C2678,$D$2:D2678,"&lt;&gt;Negative*",$T$2:T2678,"&lt;&gt;Retracted")=1,1,0))</f>
        <v>0</v>
      </c>
    </row>
    <row r="2679" spans="1:21" ht="26" x14ac:dyDescent="0.2">
      <c r="A2679" t="s">
        <v>4987</v>
      </c>
      <c r="B2679" t="s">
        <v>770</v>
      </c>
      <c r="C2679" t="s">
        <v>1384</v>
      </c>
      <c r="D2679" t="s">
        <v>1613</v>
      </c>
      <c r="E2679" t="s">
        <v>4946</v>
      </c>
      <c r="F2679" t="s">
        <v>1583</v>
      </c>
      <c r="I2679" t="s">
        <v>1058</v>
      </c>
      <c r="N2679" t="s">
        <v>209</v>
      </c>
      <c r="Q2679" s="2" t="str">
        <f>IF($C2679="","",IFERROR(VLOOKUP($C2679,sources!$A$2:$N$200,2,FALSE()),"?"))</f>
        <v>Newspaper</v>
      </c>
      <c r="R2679" s="2" t="str">
        <f t="shared" si="41"/>
        <v>Textual</v>
      </c>
      <c r="S2679" s="2" t="str">
        <f>IF($C2679="","",IFERROR(VLOOKUP($C2679,sources!$A$2:$N$200,9,FALSE()),"?"))</f>
        <v>Caribbean community</v>
      </c>
      <c r="T2679" t="s">
        <v>5692</v>
      </c>
      <c r="U2679">
        <f>IF(OR(B2679="",C2679="",T2679="Retracted",LEFT(D2679,8)="Negative"),0,IF(COUNTIFS($B$2:B2679,B2679,$C$2:C2679,C2679,$D$2:D2679,"&lt;&gt;Negative*",$T$2:T2679,"&lt;&gt;Retracted")=1,1,0))</f>
        <v>0</v>
      </c>
    </row>
    <row r="2680" spans="1:21" x14ac:dyDescent="0.2">
      <c r="A2680" t="s">
        <v>4988</v>
      </c>
      <c r="B2680" t="s">
        <v>656</v>
      </c>
      <c r="C2680" t="s">
        <v>1258</v>
      </c>
      <c r="D2680" t="s">
        <v>1613</v>
      </c>
      <c r="E2680" t="s">
        <v>657</v>
      </c>
      <c r="F2680" t="s">
        <v>1583</v>
      </c>
      <c r="I2680" t="s">
        <v>1058</v>
      </c>
      <c r="N2680" t="s">
        <v>190</v>
      </c>
      <c r="Q2680" s="2" t="str">
        <f>IF($C2680="","",IFERROR(VLOOKUP($C2680,sources!$A$2:$N$200,2,FALSE()),"?"))</f>
        <v>Administrative</v>
      </c>
      <c r="R2680" s="2" t="str">
        <f t="shared" si="41"/>
        <v>Textual</v>
      </c>
      <c r="S2680" s="2" t="str">
        <f>IF($C2680="","",IFERROR(VLOOKUP($C2680,sources!$A$2:$N$200,9,FALSE()),"?"))</f>
        <v>US official</v>
      </c>
      <c r="T2680" t="s">
        <v>5692</v>
      </c>
      <c r="U2680">
        <f>IF(OR(B2680="",C2680="",T2680="Retracted",LEFT(D2680,8)="Negative"),0,IF(COUNTIFS($B$2:B2680,B2680,$C$2:C2680,C2680,$D$2:D2680,"&lt;&gt;Negative*",$T$2:T2680,"&lt;&gt;Retracted")=1,1,0))</f>
        <v>0</v>
      </c>
    </row>
    <row r="2681" spans="1:21" x14ac:dyDescent="0.2">
      <c r="A2681" t="s">
        <v>4989</v>
      </c>
      <c r="B2681" t="s">
        <v>670</v>
      </c>
      <c r="C2681" t="s">
        <v>1258</v>
      </c>
      <c r="D2681" t="s">
        <v>1613</v>
      </c>
      <c r="E2681" t="s">
        <v>671</v>
      </c>
      <c r="F2681" t="s">
        <v>1583</v>
      </c>
      <c r="I2681" t="s">
        <v>1058</v>
      </c>
      <c r="N2681" t="s">
        <v>190</v>
      </c>
      <c r="Q2681" s="2" t="str">
        <f>IF($C2681="","",IFERROR(VLOOKUP($C2681,sources!$A$2:$N$200,2,FALSE()),"?"))</f>
        <v>Administrative</v>
      </c>
      <c r="R2681" s="2" t="str">
        <f t="shared" si="41"/>
        <v>Textual</v>
      </c>
      <c r="S2681" s="2" t="str">
        <f>IF($C2681="","",IFERROR(VLOOKUP($C2681,sources!$A$2:$N$200,9,FALSE()),"?"))</f>
        <v>US official</v>
      </c>
      <c r="T2681" t="s">
        <v>5692</v>
      </c>
      <c r="U2681">
        <f>IF(OR(B2681="",C2681="",T2681="Retracted",LEFT(D2681,8)="Negative"),0,IF(COUNTIFS($B$2:B2681,B2681,$C$2:C2681,C2681,$D$2:D2681,"&lt;&gt;Negative*",$T$2:T2681,"&lt;&gt;Retracted")=1,1,0))</f>
        <v>0</v>
      </c>
    </row>
    <row r="2682" spans="1:21" x14ac:dyDescent="0.2">
      <c r="A2682" t="s">
        <v>4990</v>
      </c>
      <c r="B2682" t="s">
        <v>680</v>
      </c>
      <c r="C2682" t="s">
        <v>1258</v>
      </c>
      <c r="D2682" t="s">
        <v>1613</v>
      </c>
      <c r="E2682" t="s">
        <v>681</v>
      </c>
      <c r="F2682" t="s">
        <v>1583</v>
      </c>
      <c r="I2682" t="s">
        <v>1058</v>
      </c>
      <c r="N2682" t="s">
        <v>190</v>
      </c>
      <c r="Q2682" s="2" t="str">
        <f>IF($C2682="","",IFERROR(VLOOKUP($C2682,sources!$A$2:$N$200,2,FALSE()),"?"))</f>
        <v>Administrative</v>
      </c>
      <c r="R2682" s="2" t="str">
        <f t="shared" si="41"/>
        <v>Textual</v>
      </c>
      <c r="S2682" s="2" t="str">
        <f>IF($C2682="","",IFERROR(VLOOKUP($C2682,sources!$A$2:$N$200,9,FALSE()),"?"))</f>
        <v>US official</v>
      </c>
      <c r="T2682" t="s">
        <v>5692</v>
      </c>
      <c r="U2682">
        <f>IF(OR(B2682="",C2682="",T2682="Retracted",LEFT(D2682,8)="Negative"),0,IF(COUNTIFS($B$2:B2682,B2682,$C$2:C2682,C2682,$D$2:D2682,"&lt;&gt;Negative*",$T$2:T2682,"&lt;&gt;Retracted")=1,1,0))</f>
        <v>0</v>
      </c>
    </row>
    <row r="2683" spans="1:21" x14ac:dyDescent="0.2">
      <c r="A2683" t="s">
        <v>4991</v>
      </c>
      <c r="B2683" t="s">
        <v>683</v>
      </c>
      <c r="C2683" t="s">
        <v>1258</v>
      </c>
      <c r="D2683" t="s">
        <v>1613</v>
      </c>
      <c r="E2683" t="s">
        <v>684</v>
      </c>
      <c r="F2683" t="s">
        <v>1583</v>
      </c>
      <c r="I2683" t="s">
        <v>1058</v>
      </c>
      <c r="N2683" t="s">
        <v>190</v>
      </c>
      <c r="Q2683" s="2" t="str">
        <f>IF($C2683="","",IFERROR(VLOOKUP($C2683,sources!$A$2:$N$200,2,FALSE()),"?"))</f>
        <v>Administrative</v>
      </c>
      <c r="R2683" s="2" t="str">
        <f t="shared" si="41"/>
        <v>Textual</v>
      </c>
      <c r="S2683" s="2" t="str">
        <f>IF($C2683="","",IFERROR(VLOOKUP($C2683,sources!$A$2:$N$200,9,FALSE()),"?"))</f>
        <v>US official</v>
      </c>
      <c r="T2683" t="s">
        <v>5692</v>
      </c>
      <c r="U2683">
        <f>IF(OR(B2683="",C2683="",T2683="Retracted",LEFT(D2683,8)="Negative"),0,IF(COUNTIFS($B$2:B2683,B2683,$C$2:C2683,C2683,$D$2:D2683,"&lt;&gt;Negative*",$T$2:T2683,"&lt;&gt;Retracted")=1,1,0))</f>
        <v>0</v>
      </c>
    </row>
    <row r="2684" spans="1:21" x14ac:dyDescent="0.2">
      <c r="A2684" t="s">
        <v>4992</v>
      </c>
      <c r="B2684" t="s">
        <v>701</v>
      </c>
      <c r="C2684" t="s">
        <v>1258</v>
      </c>
      <c r="D2684" t="s">
        <v>1613</v>
      </c>
      <c r="E2684" t="s">
        <v>702</v>
      </c>
      <c r="F2684" t="s">
        <v>1583</v>
      </c>
      <c r="I2684" t="s">
        <v>1058</v>
      </c>
      <c r="N2684" t="s">
        <v>190</v>
      </c>
      <c r="Q2684" s="2" t="str">
        <f>IF($C2684="","",IFERROR(VLOOKUP($C2684,sources!$A$2:$N$200,2,FALSE()),"?"))</f>
        <v>Administrative</v>
      </c>
      <c r="R2684" s="2" t="str">
        <f t="shared" si="41"/>
        <v>Textual</v>
      </c>
      <c r="S2684" s="2" t="str">
        <f>IF($C2684="","",IFERROR(VLOOKUP($C2684,sources!$A$2:$N$200,9,FALSE()),"?"))</f>
        <v>US official</v>
      </c>
      <c r="T2684" t="s">
        <v>5692</v>
      </c>
      <c r="U2684">
        <f>IF(OR(B2684="",C2684="",T2684="Retracted",LEFT(D2684,8)="Negative"),0,IF(COUNTIFS($B$2:B2684,B2684,$C$2:C2684,C2684,$D$2:D2684,"&lt;&gt;Negative*",$T$2:T2684,"&lt;&gt;Retracted")=1,1,0))</f>
        <v>0</v>
      </c>
    </row>
    <row r="2685" spans="1:21" x14ac:dyDescent="0.2">
      <c r="A2685" t="s">
        <v>4993</v>
      </c>
      <c r="B2685" t="s">
        <v>730</v>
      </c>
      <c r="C2685" t="s">
        <v>1258</v>
      </c>
      <c r="D2685" t="s">
        <v>1613</v>
      </c>
      <c r="E2685" t="s">
        <v>731</v>
      </c>
      <c r="F2685" t="s">
        <v>1583</v>
      </c>
      <c r="I2685" t="s">
        <v>1058</v>
      </c>
      <c r="N2685" t="s">
        <v>190</v>
      </c>
      <c r="Q2685" s="2" t="str">
        <f>IF($C2685="","",IFERROR(VLOOKUP($C2685,sources!$A$2:$N$200,2,FALSE()),"?"))</f>
        <v>Administrative</v>
      </c>
      <c r="R2685" s="2" t="str">
        <f t="shared" si="41"/>
        <v>Textual</v>
      </c>
      <c r="S2685" s="2" t="str">
        <f>IF($C2685="","",IFERROR(VLOOKUP($C2685,sources!$A$2:$N$200,9,FALSE()),"?"))</f>
        <v>US official</v>
      </c>
      <c r="T2685" t="s">
        <v>5692</v>
      </c>
      <c r="U2685">
        <f>IF(OR(B2685="",C2685="",T2685="Retracted",LEFT(D2685,8)="Negative"),0,IF(COUNTIFS($B$2:B2685,B2685,$C$2:C2685,C2685,$D$2:D2685,"&lt;&gt;Negative*",$T$2:T2685,"&lt;&gt;Retracted")=1,1,0))</f>
        <v>0</v>
      </c>
    </row>
    <row r="2686" spans="1:21" x14ac:dyDescent="0.2">
      <c r="A2686" t="s">
        <v>4994</v>
      </c>
      <c r="B2686" t="s">
        <v>733</v>
      </c>
      <c r="C2686" t="s">
        <v>1258</v>
      </c>
      <c r="D2686" t="s">
        <v>1613</v>
      </c>
      <c r="E2686" t="s">
        <v>734</v>
      </c>
      <c r="F2686" t="s">
        <v>1583</v>
      </c>
      <c r="I2686" t="s">
        <v>1058</v>
      </c>
      <c r="N2686" t="s">
        <v>190</v>
      </c>
      <c r="Q2686" s="2" t="str">
        <f>IF($C2686="","",IFERROR(VLOOKUP($C2686,sources!$A$2:$N$200,2,FALSE()),"?"))</f>
        <v>Administrative</v>
      </c>
      <c r="R2686" s="2" t="str">
        <f t="shared" si="41"/>
        <v>Textual</v>
      </c>
      <c r="S2686" s="2" t="str">
        <f>IF($C2686="","",IFERROR(VLOOKUP($C2686,sources!$A$2:$N$200,9,FALSE()),"?"))</f>
        <v>US official</v>
      </c>
      <c r="T2686" t="s">
        <v>5692</v>
      </c>
      <c r="U2686">
        <f>IF(OR(B2686="",C2686="",T2686="Retracted",LEFT(D2686,8)="Negative"),0,IF(COUNTIFS($B$2:B2686,B2686,$C$2:C2686,C2686,$D$2:D2686,"&lt;&gt;Negative*",$T$2:T2686,"&lt;&gt;Retracted")=1,1,0))</f>
        <v>0</v>
      </c>
    </row>
    <row r="2687" spans="1:21" x14ac:dyDescent="0.2">
      <c r="A2687" t="s">
        <v>4995</v>
      </c>
      <c r="B2687" t="s">
        <v>737</v>
      </c>
      <c r="C2687" t="s">
        <v>1258</v>
      </c>
      <c r="D2687" t="s">
        <v>1613</v>
      </c>
      <c r="E2687" t="s">
        <v>738</v>
      </c>
      <c r="F2687" t="s">
        <v>1583</v>
      </c>
      <c r="I2687" t="s">
        <v>1058</v>
      </c>
      <c r="N2687" t="s">
        <v>190</v>
      </c>
      <c r="Q2687" s="2" t="str">
        <f>IF($C2687="","",IFERROR(VLOOKUP($C2687,sources!$A$2:$N$200,2,FALSE()),"?"))</f>
        <v>Administrative</v>
      </c>
      <c r="R2687" s="2" t="str">
        <f t="shared" si="41"/>
        <v>Textual</v>
      </c>
      <c r="S2687" s="2" t="str">
        <f>IF($C2687="","",IFERROR(VLOOKUP($C2687,sources!$A$2:$N$200,9,FALSE()),"?"))</f>
        <v>US official</v>
      </c>
      <c r="T2687" t="s">
        <v>5692</v>
      </c>
      <c r="U2687">
        <f>IF(OR(B2687="",C2687="",T2687="Retracted",LEFT(D2687,8)="Negative"),0,IF(COUNTIFS($B$2:B2687,B2687,$C$2:C2687,C2687,$D$2:D2687,"&lt;&gt;Negative*",$T$2:T2687,"&lt;&gt;Retracted")=1,1,0))</f>
        <v>0</v>
      </c>
    </row>
    <row r="2688" spans="1:21" x14ac:dyDescent="0.2">
      <c r="A2688" t="s">
        <v>4996</v>
      </c>
      <c r="B2688" t="s">
        <v>740</v>
      </c>
      <c r="C2688" t="s">
        <v>1258</v>
      </c>
      <c r="D2688" t="s">
        <v>1613</v>
      </c>
      <c r="E2688" t="s">
        <v>741</v>
      </c>
      <c r="F2688" t="s">
        <v>1583</v>
      </c>
      <c r="I2688" t="s">
        <v>1058</v>
      </c>
      <c r="N2688" t="s">
        <v>190</v>
      </c>
      <c r="Q2688" s="2" t="str">
        <f>IF($C2688="","",IFERROR(VLOOKUP($C2688,sources!$A$2:$N$200,2,FALSE()),"?"))</f>
        <v>Administrative</v>
      </c>
      <c r="R2688" s="2" t="str">
        <f t="shared" si="41"/>
        <v>Textual</v>
      </c>
      <c r="S2688" s="2" t="str">
        <f>IF($C2688="","",IFERROR(VLOOKUP($C2688,sources!$A$2:$N$200,9,FALSE()),"?"))</f>
        <v>US official</v>
      </c>
      <c r="T2688" t="s">
        <v>5692</v>
      </c>
      <c r="U2688">
        <f>IF(OR(B2688="",C2688="",T2688="Retracted",LEFT(D2688,8)="Negative"),0,IF(COUNTIFS($B$2:B2688,B2688,$C$2:C2688,C2688,$D$2:D2688,"&lt;&gt;Negative*",$T$2:T2688,"&lt;&gt;Retracted")=1,1,0))</f>
        <v>0</v>
      </c>
    </row>
    <row r="2689" spans="1:21" x14ac:dyDescent="0.2">
      <c r="A2689" t="s">
        <v>4997</v>
      </c>
      <c r="B2689" t="s">
        <v>743</v>
      </c>
      <c r="C2689" t="s">
        <v>1258</v>
      </c>
      <c r="D2689" t="s">
        <v>1613</v>
      </c>
      <c r="E2689" t="s">
        <v>744</v>
      </c>
      <c r="F2689" t="s">
        <v>1583</v>
      </c>
      <c r="I2689" t="s">
        <v>1058</v>
      </c>
      <c r="N2689" t="s">
        <v>190</v>
      </c>
      <c r="Q2689" s="2" t="str">
        <f>IF($C2689="","",IFERROR(VLOOKUP($C2689,sources!$A$2:$N$200,2,FALSE()),"?"))</f>
        <v>Administrative</v>
      </c>
      <c r="R2689" s="2" t="str">
        <f t="shared" si="41"/>
        <v>Textual</v>
      </c>
      <c r="S2689" s="2" t="str">
        <f>IF($C2689="","",IFERROR(VLOOKUP($C2689,sources!$A$2:$N$200,9,FALSE()),"?"))</f>
        <v>US official</v>
      </c>
      <c r="T2689" t="s">
        <v>5692</v>
      </c>
      <c r="U2689">
        <f>IF(OR(B2689="",C2689="",T2689="Retracted",LEFT(D2689,8)="Negative"),0,IF(COUNTIFS($B$2:B2689,B2689,$C$2:C2689,C2689,$D$2:D2689,"&lt;&gt;Negative*",$T$2:T2689,"&lt;&gt;Retracted")=1,1,0))</f>
        <v>0</v>
      </c>
    </row>
    <row r="2690" spans="1:21" x14ac:dyDescent="0.2">
      <c r="A2690" t="s">
        <v>4998</v>
      </c>
      <c r="B2690" t="s">
        <v>749</v>
      </c>
      <c r="C2690" t="s">
        <v>1258</v>
      </c>
      <c r="D2690" t="s">
        <v>1613</v>
      </c>
      <c r="E2690" t="s">
        <v>750</v>
      </c>
      <c r="F2690" t="s">
        <v>1583</v>
      </c>
      <c r="I2690" t="s">
        <v>1058</v>
      </c>
      <c r="N2690" t="s">
        <v>190</v>
      </c>
      <c r="Q2690" s="2" t="str">
        <f>IF($C2690="","",IFERROR(VLOOKUP($C2690,sources!$A$2:$N$200,2,FALSE()),"?"))</f>
        <v>Administrative</v>
      </c>
      <c r="R2690" s="2" t="str">
        <f t="shared" ref="R2690:R2753" si="42">IF($Q2690="","",IF($Q2690="Map","Map",IF(OR($Q2690="Photograph",$Q2690="Postcard"),"Image",IF(OR($Q2690="Census or roll",$Q2690="Report",$Q2690="Newspaper",$Q2690="Letter",$Q2690="Memoir",$Q2690="Administrative",$Q2690="Web compilation"),"Textual",IF($Q2690="Legal claim","Legal/admin",IF($Q2690="Secondary","Secondary","Other"))))))</f>
        <v>Textual</v>
      </c>
      <c r="S2690" s="2" t="str">
        <f>IF($C2690="","",IFERROR(VLOOKUP($C2690,sources!$A$2:$N$200,9,FALSE()),"?"))</f>
        <v>US official</v>
      </c>
      <c r="T2690" t="s">
        <v>5692</v>
      </c>
      <c r="U2690">
        <f>IF(OR(B2690="",C2690="",T2690="Retracted",LEFT(D2690,8)="Negative"),0,IF(COUNTIFS($B$2:B2690,B2690,$C$2:C2690,C2690,$D$2:D2690,"&lt;&gt;Negative*",$T$2:T2690,"&lt;&gt;Retracted")=1,1,0))</f>
        <v>0</v>
      </c>
    </row>
    <row r="2691" spans="1:21" x14ac:dyDescent="0.2">
      <c r="A2691" t="s">
        <v>4999</v>
      </c>
      <c r="B2691" t="s">
        <v>752</v>
      </c>
      <c r="C2691" t="s">
        <v>1258</v>
      </c>
      <c r="D2691" t="s">
        <v>1613</v>
      </c>
      <c r="E2691" t="s">
        <v>753</v>
      </c>
      <c r="F2691" t="s">
        <v>1583</v>
      </c>
      <c r="I2691" t="s">
        <v>1058</v>
      </c>
      <c r="N2691" t="s">
        <v>190</v>
      </c>
      <c r="Q2691" s="2" t="str">
        <f>IF($C2691="","",IFERROR(VLOOKUP($C2691,sources!$A$2:$N$200,2,FALSE()),"?"))</f>
        <v>Administrative</v>
      </c>
      <c r="R2691" s="2" t="str">
        <f t="shared" si="42"/>
        <v>Textual</v>
      </c>
      <c r="S2691" s="2" t="str">
        <f>IF($C2691="","",IFERROR(VLOOKUP($C2691,sources!$A$2:$N$200,9,FALSE()),"?"))</f>
        <v>US official</v>
      </c>
      <c r="T2691" t="s">
        <v>5692</v>
      </c>
      <c r="U2691">
        <f>IF(OR(B2691="",C2691="",T2691="Retracted",LEFT(D2691,8)="Negative"),0,IF(COUNTIFS($B$2:B2691,B2691,$C$2:C2691,C2691,$D$2:D2691,"&lt;&gt;Negative*",$T$2:T2691,"&lt;&gt;Retracted")=1,1,0))</f>
        <v>0</v>
      </c>
    </row>
    <row r="2692" spans="1:21" x14ac:dyDescent="0.2">
      <c r="A2692" t="s">
        <v>5000</v>
      </c>
      <c r="B2692" t="s">
        <v>755</v>
      </c>
      <c r="C2692" t="s">
        <v>1258</v>
      </c>
      <c r="D2692" t="s">
        <v>1613</v>
      </c>
      <c r="E2692" t="s">
        <v>756</v>
      </c>
      <c r="F2692" t="s">
        <v>1583</v>
      </c>
      <c r="I2692" t="s">
        <v>1058</v>
      </c>
      <c r="N2692" t="s">
        <v>190</v>
      </c>
      <c r="Q2692" s="2" t="str">
        <f>IF($C2692="","",IFERROR(VLOOKUP($C2692,sources!$A$2:$N$200,2,FALSE()),"?"))</f>
        <v>Administrative</v>
      </c>
      <c r="R2692" s="2" t="str">
        <f t="shared" si="42"/>
        <v>Textual</v>
      </c>
      <c r="S2692" s="2" t="str">
        <f>IF($C2692="","",IFERROR(VLOOKUP($C2692,sources!$A$2:$N$200,9,FALSE()),"?"))</f>
        <v>US official</v>
      </c>
      <c r="T2692" t="s">
        <v>5692</v>
      </c>
      <c r="U2692">
        <f>IF(OR(B2692="",C2692="",T2692="Retracted",LEFT(D2692,8)="Negative"),0,IF(COUNTIFS($B$2:B2692,B2692,$C$2:C2692,C2692,$D$2:D2692,"&lt;&gt;Negative*",$T$2:T2692,"&lt;&gt;Retracted")=1,1,0))</f>
        <v>0</v>
      </c>
    </row>
    <row r="2693" spans="1:21" x14ac:dyDescent="0.2">
      <c r="A2693" t="s">
        <v>5001</v>
      </c>
      <c r="B2693" t="s">
        <v>761</v>
      </c>
      <c r="C2693" t="s">
        <v>1258</v>
      </c>
      <c r="D2693" t="s">
        <v>1613</v>
      </c>
      <c r="E2693" t="s">
        <v>762</v>
      </c>
      <c r="F2693" t="s">
        <v>1583</v>
      </c>
      <c r="I2693" t="s">
        <v>1058</v>
      </c>
      <c r="N2693" t="s">
        <v>190</v>
      </c>
      <c r="Q2693" s="2" t="str">
        <f>IF($C2693="","",IFERROR(VLOOKUP($C2693,sources!$A$2:$N$200,2,FALSE()),"?"))</f>
        <v>Administrative</v>
      </c>
      <c r="R2693" s="2" t="str">
        <f t="shared" si="42"/>
        <v>Textual</v>
      </c>
      <c r="S2693" s="2" t="str">
        <f>IF($C2693="","",IFERROR(VLOOKUP($C2693,sources!$A$2:$N$200,9,FALSE()),"?"))</f>
        <v>US official</v>
      </c>
      <c r="T2693" t="s">
        <v>5692</v>
      </c>
      <c r="U2693">
        <f>IF(OR(B2693="",C2693="",T2693="Retracted",LEFT(D2693,8)="Negative"),0,IF(COUNTIFS($B$2:B2693,B2693,$C$2:C2693,C2693,$D$2:D2693,"&lt;&gt;Negative*",$T$2:T2693,"&lt;&gt;Retracted")=1,1,0))</f>
        <v>0</v>
      </c>
    </row>
    <row r="2694" spans="1:21" x14ac:dyDescent="0.2">
      <c r="A2694" t="s">
        <v>5002</v>
      </c>
      <c r="B2694" t="s">
        <v>770</v>
      </c>
      <c r="C2694" t="s">
        <v>1258</v>
      </c>
      <c r="D2694" t="s">
        <v>1613</v>
      </c>
      <c r="E2694" t="s">
        <v>771</v>
      </c>
      <c r="F2694" t="s">
        <v>1583</v>
      </c>
      <c r="I2694" t="s">
        <v>1058</v>
      </c>
      <c r="N2694" t="s">
        <v>190</v>
      </c>
      <c r="Q2694" s="2" t="str">
        <f>IF($C2694="","",IFERROR(VLOOKUP($C2694,sources!$A$2:$N$200,2,FALSE()),"?"))</f>
        <v>Administrative</v>
      </c>
      <c r="R2694" s="2" t="str">
        <f t="shared" si="42"/>
        <v>Textual</v>
      </c>
      <c r="S2694" s="2" t="str">
        <f>IF($C2694="","",IFERROR(VLOOKUP($C2694,sources!$A$2:$N$200,9,FALSE()),"?"))</f>
        <v>US official</v>
      </c>
      <c r="T2694" t="s">
        <v>5692</v>
      </c>
      <c r="U2694">
        <f>IF(OR(B2694="",C2694="",T2694="Retracted",LEFT(D2694,8)="Negative"),0,IF(COUNTIFS($B$2:B2694,B2694,$C$2:C2694,C2694,$D$2:D2694,"&lt;&gt;Negative*",$T$2:T2694,"&lt;&gt;Retracted")=1,1,0))</f>
        <v>0</v>
      </c>
    </row>
    <row r="2695" spans="1:21" ht="26" x14ac:dyDescent="0.2">
      <c r="A2695" t="s">
        <v>5003</v>
      </c>
      <c r="B2695" t="s">
        <v>764</v>
      </c>
      <c r="C2695" t="s">
        <v>1393</v>
      </c>
      <c r="D2695" t="s">
        <v>1575</v>
      </c>
      <c r="E2695" t="s">
        <v>5004</v>
      </c>
      <c r="F2695" t="s">
        <v>1583</v>
      </c>
      <c r="I2695" t="s">
        <v>1058</v>
      </c>
      <c r="K2695">
        <v>1910</v>
      </c>
      <c r="L2695">
        <v>1910</v>
      </c>
      <c r="M2695" t="s">
        <v>203</v>
      </c>
      <c r="N2695" t="s">
        <v>203</v>
      </c>
      <c r="Q2695" s="2" t="str">
        <f>IF($C2695="","",IFERROR(VLOOKUP($C2695,sources!$A$2:$N$200,2,FALSE()),"?"))</f>
        <v>Web compilation</v>
      </c>
      <c r="R2695" s="2" t="str">
        <f t="shared" si="42"/>
        <v>Textual</v>
      </c>
      <c r="S2695" s="2" t="str">
        <f>IF($C2695="","",IFERROR(VLOOKUP($C2695,sources!$A$2:$N$200,9,FALSE()),"?"))</f>
        <v>Caribbean community</v>
      </c>
      <c r="T2695" t="s">
        <v>5692</v>
      </c>
      <c r="U2695">
        <f>IF(OR(B2695="",C2695="",T2695="Retracted",LEFT(D2695,8)="Negative"),0,IF(COUNTIFS($B$2:B2695,B2695,$C$2:C2695,C2695,$D$2:D2695,"&lt;&gt;Negative*",$T$2:T2695,"&lt;&gt;Retracted")=1,1,0))</f>
        <v>1</v>
      </c>
    </row>
    <row r="2696" spans="1:21" x14ac:dyDescent="0.2">
      <c r="A2696" t="s">
        <v>5005</v>
      </c>
      <c r="B2696" t="s">
        <v>819</v>
      </c>
      <c r="C2696" t="s">
        <v>1168</v>
      </c>
      <c r="D2696" t="s">
        <v>1613</v>
      </c>
      <c r="E2696" t="s">
        <v>820</v>
      </c>
      <c r="F2696" t="s">
        <v>1583</v>
      </c>
      <c r="I2696" t="s">
        <v>1058</v>
      </c>
      <c r="K2696">
        <v>1911</v>
      </c>
      <c r="L2696">
        <v>1911</v>
      </c>
      <c r="M2696" t="s">
        <v>209</v>
      </c>
      <c r="N2696" t="s">
        <v>209</v>
      </c>
      <c r="Q2696" s="2" t="str">
        <f>IF($C2696="","",IFERROR(VLOOKUP($C2696,sources!$A$2:$N$200,2,FALSE()),"?"))</f>
        <v>Map</v>
      </c>
      <c r="R2696" s="2" t="str">
        <f t="shared" si="42"/>
        <v>Map</v>
      </c>
      <c r="S2696" s="2" t="str">
        <f>IF($C2696="","",IFERROR(VLOOKUP($C2696,sources!$A$2:$N$200,9,FALSE()),"?"))</f>
        <v>US official</v>
      </c>
      <c r="T2696" t="s">
        <v>5692</v>
      </c>
      <c r="U2696">
        <f>IF(OR(B2696="",C2696="",T2696="Retracted",LEFT(D2696,8)="Negative"),0,IF(COUNTIFS($B$2:B2696,B2696,$C$2:C2696,C2696,$D$2:D2696,"&lt;&gt;Negative*",$T$2:T2696,"&lt;&gt;Retracted")=1,1,0))</f>
        <v>0</v>
      </c>
    </row>
    <row r="2697" spans="1:21" x14ac:dyDescent="0.2">
      <c r="A2697" t="s">
        <v>5006</v>
      </c>
      <c r="B2697" t="s">
        <v>819</v>
      </c>
      <c r="C2697" t="s">
        <v>1179</v>
      </c>
      <c r="D2697" t="s">
        <v>1564</v>
      </c>
      <c r="E2697" t="s">
        <v>5007</v>
      </c>
      <c r="F2697" t="s">
        <v>1583</v>
      </c>
      <c r="I2697" t="s">
        <v>1058</v>
      </c>
      <c r="K2697">
        <v>1909</v>
      </c>
      <c r="L2697">
        <v>1909</v>
      </c>
      <c r="M2697" t="s">
        <v>209</v>
      </c>
      <c r="N2697" t="s">
        <v>209</v>
      </c>
      <c r="Q2697" s="2" t="str">
        <f>IF($C2697="","",IFERROR(VLOOKUP($C2697,sources!$A$2:$N$200,2,FALSE()),"?"))</f>
        <v>Map</v>
      </c>
      <c r="R2697" s="2" t="str">
        <f t="shared" si="42"/>
        <v>Map</v>
      </c>
      <c r="S2697" s="2" t="str">
        <f>IF($C2697="","",IFERROR(VLOOKUP($C2697,sources!$A$2:$N$200,9,FALSE()),"?"))</f>
        <v>US official</v>
      </c>
      <c r="T2697" t="s">
        <v>5692</v>
      </c>
      <c r="U2697">
        <f>IF(OR(B2697="",C2697="",T2697="Retracted",LEFT(D2697,8)="Negative"),0,IF(COUNTIFS($B$2:B2697,B2697,$C$2:C2697,C2697,$D$2:D2697,"&lt;&gt;Negative*",$T$2:T2697,"&lt;&gt;Retracted")=1,1,0))</f>
        <v>1</v>
      </c>
    </row>
    <row r="2698" spans="1:21" x14ac:dyDescent="0.2">
      <c r="A2698" t="s">
        <v>5008</v>
      </c>
      <c r="B2698" t="s">
        <v>819</v>
      </c>
      <c r="C2698" t="s">
        <v>1335</v>
      </c>
      <c r="D2698" t="s">
        <v>1613</v>
      </c>
      <c r="E2698" t="s">
        <v>820</v>
      </c>
      <c r="F2698" t="s">
        <v>1583</v>
      </c>
      <c r="I2698" t="s">
        <v>1058</v>
      </c>
      <c r="K2698">
        <v>1905</v>
      </c>
      <c r="L2698">
        <v>1906</v>
      </c>
      <c r="M2698" t="s">
        <v>209</v>
      </c>
      <c r="N2698" t="s">
        <v>209</v>
      </c>
      <c r="Q2698" s="2" t="str">
        <f>IF($C2698="","",IFERROR(VLOOKUP($C2698,sources!$A$2:$N$200,2,FALSE()),"?"))</f>
        <v>Map</v>
      </c>
      <c r="R2698" s="2" t="str">
        <f t="shared" si="42"/>
        <v>Map</v>
      </c>
      <c r="S2698" s="2" t="str">
        <f>IF($C2698="","",IFERROR(VLOOKUP($C2698,sources!$A$2:$N$200,9,FALSE()),"?"))</f>
        <v>US official</v>
      </c>
      <c r="T2698" t="s">
        <v>5692</v>
      </c>
      <c r="U2698">
        <f>IF(OR(B2698="",C2698="",T2698="Retracted",LEFT(D2698,8)="Negative"),0,IF(COUNTIFS($B$2:B2698,B2698,$C$2:C2698,C2698,$D$2:D2698,"&lt;&gt;Negative*",$T$2:T2698,"&lt;&gt;Retracted")=1,1,0))</f>
        <v>0</v>
      </c>
    </row>
    <row r="2699" spans="1:21" x14ac:dyDescent="0.2">
      <c r="A2699" t="s">
        <v>5009</v>
      </c>
      <c r="B2699" t="s">
        <v>819</v>
      </c>
      <c r="C2699" t="s">
        <v>1509</v>
      </c>
      <c r="D2699" t="s">
        <v>1613</v>
      </c>
      <c r="E2699" t="s">
        <v>820</v>
      </c>
      <c r="F2699" t="s">
        <v>1583</v>
      </c>
      <c r="I2699" t="s">
        <v>1058</v>
      </c>
      <c r="K2699">
        <v>1904</v>
      </c>
      <c r="L2699">
        <v>1904</v>
      </c>
      <c r="M2699" t="s">
        <v>209</v>
      </c>
      <c r="N2699" t="s">
        <v>209</v>
      </c>
      <c r="Q2699" s="2" t="str">
        <f>IF($C2699="","",IFERROR(VLOOKUP($C2699,sources!$A$2:$N$200,2,FALSE()),"?"))</f>
        <v>Map</v>
      </c>
      <c r="R2699" s="2" t="str">
        <f t="shared" si="42"/>
        <v>Map</v>
      </c>
      <c r="S2699" s="2" t="str">
        <f>IF($C2699="","",IFERROR(VLOOKUP($C2699,sources!$A$2:$N$200,9,FALSE()),"?"))</f>
        <v>US official</v>
      </c>
      <c r="T2699" t="s">
        <v>5692</v>
      </c>
      <c r="U2699">
        <f>IF(OR(B2699="",C2699="",T2699="Retracted",LEFT(D2699,8)="Negative"),0,IF(COUNTIFS($B$2:B2699,B2699,$C$2:C2699,C2699,$D$2:D2699,"&lt;&gt;Negative*",$T$2:T2699,"&lt;&gt;Retracted")=1,1,0))</f>
        <v>0</v>
      </c>
    </row>
    <row r="2700" spans="1:21" x14ac:dyDescent="0.2">
      <c r="A2700" t="s">
        <v>5010</v>
      </c>
      <c r="B2700" t="s">
        <v>844</v>
      </c>
      <c r="C2700" t="s">
        <v>1179</v>
      </c>
      <c r="D2700" t="s">
        <v>1613</v>
      </c>
      <c r="E2700" t="s">
        <v>845</v>
      </c>
      <c r="F2700" t="s">
        <v>1583</v>
      </c>
      <c r="I2700" t="s">
        <v>1058</v>
      </c>
      <c r="K2700">
        <v>1909</v>
      </c>
      <c r="L2700">
        <v>1909</v>
      </c>
      <c r="M2700" t="s">
        <v>209</v>
      </c>
      <c r="N2700" t="s">
        <v>209</v>
      </c>
      <c r="Q2700" s="2" t="str">
        <f>IF($C2700="","",IFERROR(VLOOKUP($C2700,sources!$A$2:$N$200,2,FALSE()),"?"))</f>
        <v>Map</v>
      </c>
      <c r="R2700" s="2" t="str">
        <f t="shared" si="42"/>
        <v>Map</v>
      </c>
      <c r="S2700" s="2" t="str">
        <f>IF($C2700="","",IFERROR(VLOOKUP($C2700,sources!$A$2:$N$200,9,FALSE()),"?"))</f>
        <v>US official</v>
      </c>
      <c r="T2700" t="s">
        <v>5692</v>
      </c>
      <c r="U2700">
        <f>IF(OR(B2700="",C2700="",T2700="Retracted",LEFT(D2700,8)="Negative"),0,IF(COUNTIFS($B$2:B2700,B2700,$C$2:C2700,C2700,$D$2:D2700,"&lt;&gt;Negative*",$T$2:T2700,"&lt;&gt;Retracted")=1,1,0))</f>
        <v>0</v>
      </c>
    </row>
    <row r="2701" spans="1:21" x14ac:dyDescent="0.2">
      <c r="A2701" t="s">
        <v>5011</v>
      </c>
      <c r="B2701" t="s">
        <v>844</v>
      </c>
      <c r="C2701" t="s">
        <v>1356</v>
      </c>
      <c r="D2701" t="s">
        <v>1575</v>
      </c>
      <c r="E2701" t="s">
        <v>345</v>
      </c>
      <c r="F2701" t="s">
        <v>1583</v>
      </c>
      <c r="I2701" t="s">
        <v>1058</v>
      </c>
      <c r="K2701">
        <v>1947</v>
      </c>
      <c r="L2701">
        <v>1947</v>
      </c>
      <c r="M2701" t="s">
        <v>209</v>
      </c>
      <c r="N2701" t="s">
        <v>209</v>
      </c>
      <c r="Q2701" s="2" t="str">
        <f>IF($C2701="","",IFERROR(VLOOKUP($C2701,sources!$A$2:$N$200,2,FALSE()),"?"))</f>
        <v>Map</v>
      </c>
      <c r="R2701" s="2" t="str">
        <f t="shared" si="42"/>
        <v>Map</v>
      </c>
      <c r="S2701" s="2" t="str">
        <f>IF($C2701="","",IFERROR(VLOOKUP($C2701,sources!$A$2:$N$200,9,FALSE()),"?"))</f>
        <v>US official</v>
      </c>
      <c r="T2701" t="s">
        <v>5692</v>
      </c>
      <c r="U2701">
        <f>IF(OR(B2701="",C2701="",T2701="Retracted",LEFT(D2701,8)="Negative"),0,IF(COUNTIFS($B$2:B2701,B2701,$C$2:C2701,C2701,$D$2:D2701,"&lt;&gt;Negative*",$T$2:T2701,"&lt;&gt;Retracted")=1,1,0))</f>
        <v>1</v>
      </c>
    </row>
    <row r="2702" spans="1:21" x14ac:dyDescent="0.2">
      <c r="A2702" t="s">
        <v>5012</v>
      </c>
      <c r="B2702" t="s">
        <v>852</v>
      </c>
      <c r="C2702" t="s">
        <v>1168</v>
      </c>
      <c r="D2702" t="s">
        <v>1613</v>
      </c>
      <c r="E2702" t="s">
        <v>853</v>
      </c>
      <c r="F2702" t="s">
        <v>1583</v>
      </c>
      <c r="I2702" t="s">
        <v>1058</v>
      </c>
      <c r="K2702">
        <v>1911</v>
      </c>
      <c r="L2702">
        <v>1911</v>
      </c>
      <c r="M2702" t="s">
        <v>209</v>
      </c>
      <c r="N2702" t="s">
        <v>209</v>
      </c>
      <c r="Q2702" s="2" t="str">
        <f>IF($C2702="","",IFERROR(VLOOKUP($C2702,sources!$A$2:$N$200,2,FALSE()),"?"))</f>
        <v>Map</v>
      </c>
      <c r="R2702" s="2" t="str">
        <f t="shared" si="42"/>
        <v>Map</v>
      </c>
      <c r="S2702" s="2" t="str">
        <f>IF($C2702="","",IFERROR(VLOOKUP($C2702,sources!$A$2:$N$200,9,FALSE()),"?"))</f>
        <v>US official</v>
      </c>
      <c r="T2702" t="s">
        <v>5692</v>
      </c>
      <c r="U2702">
        <f>IF(OR(B2702="",C2702="",T2702="Retracted",LEFT(D2702,8)="Negative"),0,IF(COUNTIFS($B$2:B2702,B2702,$C$2:C2702,C2702,$D$2:D2702,"&lt;&gt;Negative*",$T$2:T2702,"&lt;&gt;Retracted")=1,1,0))</f>
        <v>0</v>
      </c>
    </row>
    <row r="2703" spans="1:21" x14ac:dyDescent="0.2">
      <c r="A2703" t="s">
        <v>5013</v>
      </c>
      <c r="B2703" t="s">
        <v>852</v>
      </c>
      <c r="C2703" t="s">
        <v>1179</v>
      </c>
      <c r="D2703" t="s">
        <v>1613</v>
      </c>
      <c r="E2703" t="s">
        <v>853</v>
      </c>
      <c r="F2703" t="s">
        <v>1583</v>
      </c>
      <c r="I2703" t="s">
        <v>1058</v>
      </c>
      <c r="K2703">
        <v>1909</v>
      </c>
      <c r="L2703">
        <v>1909</v>
      </c>
      <c r="M2703" t="s">
        <v>209</v>
      </c>
      <c r="N2703" t="s">
        <v>209</v>
      </c>
      <c r="Q2703" s="2" t="str">
        <f>IF($C2703="","",IFERROR(VLOOKUP($C2703,sources!$A$2:$N$200,2,FALSE()),"?"))</f>
        <v>Map</v>
      </c>
      <c r="R2703" s="2" t="str">
        <f t="shared" si="42"/>
        <v>Map</v>
      </c>
      <c r="S2703" s="2" t="str">
        <f>IF($C2703="","",IFERROR(VLOOKUP($C2703,sources!$A$2:$N$200,9,FALSE()),"?"))</f>
        <v>US official</v>
      </c>
      <c r="T2703" t="s">
        <v>5692</v>
      </c>
      <c r="U2703">
        <f>IF(OR(B2703="",C2703="",T2703="Retracted",LEFT(D2703,8)="Negative"),0,IF(COUNTIFS($B$2:B2703,B2703,$C$2:C2703,C2703,$D$2:D2703,"&lt;&gt;Negative*",$T$2:T2703,"&lt;&gt;Retracted")=1,1,0))</f>
        <v>0</v>
      </c>
    </row>
    <row r="2704" spans="1:21" x14ac:dyDescent="0.2">
      <c r="A2704" t="s">
        <v>5014</v>
      </c>
      <c r="B2704" t="s">
        <v>983</v>
      </c>
      <c r="C2704" t="s">
        <v>1179</v>
      </c>
      <c r="D2704" t="s">
        <v>1613</v>
      </c>
      <c r="E2704" t="s">
        <v>984</v>
      </c>
      <c r="F2704" t="s">
        <v>1583</v>
      </c>
      <c r="I2704" t="s">
        <v>1058</v>
      </c>
      <c r="K2704">
        <v>1909</v>
      </c>
      <c r="L2704">
        <v>1909</v>
      </c>
      <c r="M2704" t="s">
        <v>209</v>
      </c>
      <c r="N2704" t="s">
        <v>209</v>
      </c>
      <c r="Q2704" s="2" t="str">
        <f>IF($C2704="","",IFERROR(VLOOKUP($C2704,sources!$A$2:$N$200,2,FALSE()),"?"))</f>
        <v>Map</v>
      </c>
      <c r="R2704" s="2" t="str">
        <f t="shared" si="42"/>
        <v>Map</v>
      </c>
      <c r="S2704" s="2" t="str">
        <f>IF($C2704="","",IFERROR(VLOOKUP($C2704,sources!$A$2:$N$200,9,FALSE()),"?"))</f>
        <v>US official</v>
      </c>
      <c r="T2704" t="s">
        <v>5692</v>
      </c>
      <c r="U2704">
        <f>IF(OR(B2704="",C2704="",T2704="Retracted",LEFT(D2704,8)="Negative"),0,IF(COUNTIFS($B$2:B2704,B2704,$C$2:C2704,C2704,$D$2:D2704,"&lt;&gt;Negative*",$T$2:T2704,"&lt;&gt;Retracted")=1,1,0))</f>
        <v>0</v>
      </c>
    </row>
    <row r="2705" spans="1:21" x14ac:dyDescent="0.2">
      <c r="A2705" t="s">
        <v>5015</v>
      </c>
      <c r="B2705" t="s">
        <v>994</v>
      </c>
      <c r="C2705" t="s">
        <v>1168</v>
      </c>
      <c r="D2705" t="s">
        <v>1613</v>
      </c>
      <c r="E2705" t="s">
        <v>995</v>
      </c>
      <c r="F2705" t="s">
        <v>1583</v>
      </c>
      <c r="I2705" t="s">
        <v>1058</v>
      </c>
      <c r="K2705">
        <v>1911</v>
      </c>
      <c r="L2705">
        <v>1911</v>
      </c>
      <c r="M2705" t="s">
        <v>209</v>
      </c>
      <c r="N2705" t="s">
        <v>209</v>
      </c>
      <c r="Q2705" s="2" t="str">
        <f>IF($C2705="","",IFERROR(VLOOKUP($C2705,sources!$A$2:$N$200,2,FALSE()),"?"))</f>
        <v>Map</v>
      </c>
      <c r="R2705" s="2" t="str">
        <f t="shared" si="42"/>
        <v>Map</v>
      </c>
      <c r="S2705" s="2" t="str">
        <f>IF($C2705="","",IFERROR(VLOOKUP($C2705,sources!$A$2:$N$200,9,FALSE()),"?"))</f>
        <v>US official</v>
      </c>
      <c r="T2705" t="s">
        <v>5692</v>
      </c>
      <c r="U2705">
        <f>IF(OR(B2705="",C2705="",T2705="Retracted",LEFT(D2705,8)="Negative"),0,IF(COUNTIFS($B$2:B2705,B2705,$C$2:C2705,C2705,$D$2:D2705,"&lt;&gt;Negative*",$T$2:T2705,"&lt;&gt;Retracted")=1,1,0))</f>
        <v>0</v>
      </c>
    </row>
    <row r="2706" spans="1:21" x14ac:dyDescent="0.2">
      <c r="A2706" t="s">
        <v>5016</v>
      </c>
      <c r="B2706" t="s">
        <v>994</v>
      </c>
      <c r="C2706" t="s">
        <v>1179</v>
      </c>
      <c r="D2706" t="s">
        <v>1613</v>
      </c>
      <c r="E2706" t="s">
        <v>995</v>
      </c>
      <c r="F2706" t="s">
        <v>1583</v>
      </c>
      <c r="I2706" t="s">
        <v>1058</v>
      </c>
      <c r="K2706">
        <v>1909</v>
      </c>
      <c r="L2706">
        <v>1909</v>
      </c>
      <c r="M2706" t="s">
        <v>209</v>
      </c>
      <c r="N2706" t="s">
        <v>209</v>
      </c>
      <c r="Q2706" s="2" t="str">
        <f>IF($C2706="","",IFERROR(VLOOKUP($C2706,sources!$A$2:$N$200,2,FALSE()),"?"))</f>
        <v>Map</v>
      </c>
      <c r="R2706" s="2" t="str">
        <f t="shared" si="42"/>
        <v>Map</v>
      </c>
      <c r="S2706" s="2" t="str">
        <f>IF($C2706="","",IFERROR(VLOOKUP($C2706,sources!$A$2:$N$200,9,FALSE()),"?"))</f>
        <v>US official</v>
      </c>
      <c r="T2706" t="s">
        <v>5692</v>
      </c>
      <c r="U2706">
        <f>IF(OR(B2706="",C2706="",T2706="Retracted",LEFT(D2706,8)="Negative"),0,IF(COUNTIFS($B$2:B2706,B2706,$C$2:C2706,C2706,$D$2:D2706,"&lt;&gt;Negative*",$T$2:T2706,"&lt;&gt;Retracted")=1,1,0))</f>
        <v>0</v>
      </c>
    </row>
    <row r="2707" spans="1:21" x14ac:dyDescent="0.2">
      <c r="A2707" t="s">
        <v>5017</v>
      </c>
      <c r="B2707" t="s">
        <v>1012</v>
      </c>
      <c r="C2707" t="s">
        <v>1168</v>
      </c>
      <c r="D2707" t="s">
        <v>1613</v>
      </c>
      <c r="E2707" t="s">
        <v>1013</v>
      </c>
      <c r="F2707" t="s">
        <v>1583</v>
      </c>
      <c r="I2707" t="s">
        <v>1058</v>
      </c>
      <c r="K2707">
        <v>1911</v>
      </c>
      <c r="L2707">
        <v>1911</v>
      </c>
      <c r="M2707" t="s">
        <v>209</v>
      </c>
      <c r="N2707" t="s">
        <v>209</v>
      </c>
      <c r="Q2707" s="2" t="str">
        <f>IF($C2707="","",IFERROR(VLOOKUP($C2707,sources!$A$2:$N$200,2,FALSE()),"?"))</f>
        <v>Map</v>
      </c>
      <c r="R2707" s="2" t="str">
        <f t="shared" si="42"/>
        <v>Map</v>
      </c>
      <c r="S2707" s="2" t="str">
        <f>IF($C2707="","",IFERROR(VLOOKUP($C2707,sources!$A$2:$N$200,9,FALSE()),"?"))</f>
        <v>US official</v>
      </c>
      <c r="T2707" t="s">
        <v>5692</v>
      </c>
      <c r="U2707">
        <f>IF(OR(B2707="",C2707="",T2707="Retracted",LEFT(D2707,8)="Negative"),0,IF(COUNTIFS($B$2:B2707,B2707,$C$2:C2707,C2707,$D$2:D2707,"&lt;&gt;Negative*",$T$2:T2707,"&lt;&gt;Retracted")=1,1,0))</f>
        <v>0</v>
      </c>
    </row>
    <row r="2708" spans="1:21" x14ac:dyDescent="0.2">
      <c r="A2708" t="s">
        <v>5018</v>
      </c>
      <c r="B2708" t="s">
        <v>1012</v>
      </c>
      <c r="C2708" t="s">
        <v>1179</v>
      </c>
      <c r="D2708" t="s">
        <v>1613</v>
      </c>
      <c r="E2708" t="s">
        <v>1013</v>
      </c>
      <c r="F2708" t="s">
        <v>1583</v>
      </c>
      <c r="I2708" t="s">
        <v>1058</v>
      </c>
      <c r="K2708">
        <v>1909</v>
      </c>
      <c r="L2708">
        <v>1909</v>
      </c>
      <c r="M2708" t="s">
        <v>209</v>
      </c>
      <c r="N2708" t="s">
        <v>209</v>
      </c>
      <c r="Q2708" s="2" t="str">
        <f>IF($C2708="","",IFERROR(VLOOKUP($C2708,sources!$A$2:$N$200,2,FALSE()),"?"))</f>
        <v>Map</v>
      </c>
      <c r="R2708" s="2" t="str">
        <f t="shared" si="42"/>
        <v>Map</v>
      </c>
      <c r="S2708" s="2" t="str">
        <f>IF($C2708="","",IFERROR(VLOOKUP($C2708,sources!$A$2:$N$200,9,FALSE()),"?"))</f>
        <v>US official</v>
      </c>
      <c r="T2708" t="s">
        <v>5692</v>
      </c>
      <c r="U2708">
        <f>IF(OR(B2708="",C2708="",T2708="Retracted",LEFT(D2708,8)="Negative"),0,IF(COUNTIFS($B$2:B2708,B2708,$C$2:C2708,C2708,$D$2:D2708,"&lt;&gt;Negative*",$T$2:T2708,"&lt;&gt;Retracted")=1,1,0))</f>
        <v>0</v>
      </c>
    </row>
    <row r="2709" spans="1:21" x14ac:dyDescent="0.2">
      <c r="A2709" t="s">
        <v>5019</v>
      </c>
      <c r="B2709" t="s">
        <v>1012</v>
      </c>
      <c r="C2709" t="s">
        <v>1335</v>
      </c>
      <c r="D2709" t="s">
        <v>1613</v>
      </c>
      <c r="E2709" t="s">
        <v>1013</v>
      </c>
      <c r="F2709" t="s">
        <v>1583</v>
      </c>
      <c r="I2709" t="s">
        <v>1058</v>
      </c>
      <c r="K2709">
        <v>1905</v>
      </c>
      <c r="L2709">
        <v>1906</v>
      </c>
      <c r="M2709" t="s">
        <v>209</v>
      </c>
      <c r="N2709" t="s">
        <v>209</v>
      </c>
      <c r="Q2709" s="2" t="str">
        <f>IF($C2709="","",IFERROR(VLOOKUP($C2709,sources!$A$2:$N$200,2,FALSE()),"?"))</f>
        <v>Map</v>
      </c>
      <c r="R2709" s="2" t="str">
        <f t="shared" si="42"/>
        <v>Map</v>
      </c>
      <c r="S2709" s="2" t="str">
        <f>IF($C2709="","",IFERROR(VLOOKUP($C2709,sources!$A$2:$N$200,9,FALSE()),"?"))</f>
        <v>US official</v>
      </c>
      <c r="T2709" t="s">
        <v>5692</v>
      </c>
      <c r="U2709">
        <f>IF(OR(B2709="",C2709="",T2709="Retracted",LEFT(D2709,8)="Negative"),0,IF(COUNTIFS($B$2:B2709,B2709,$C$2:C2709,C2709,$D$2:D2709,"&lt;&gt;Negative*",$T$2:T2709,"&lt;&gt;Retracted")=1,1,0))</f>
        <v>0</v>
      </c>
    </row>
    <row r="2710" spans="1:21" x14ac:dyDescent="0.2">
      <c r="A2710" t="s">
        <v>5020</v>
      </c>
      <c r="B2710" t="s">
        <v>1017</v>
      </c>
      <c r="C2710" t="s">
        <v>1168</v>
      </c>
      <c r="D2710" t="s">
        <v>1564</v>
      </c>
      <c r="E2710" t="s">
        <v>5021</v>
      </c>
      <c r="F2710" t="s">
        <v>1583</v>
      </c>
      <c r="I2710" t="s">
        <v>1058</v>
      </c>
      <c r="K2710">
        <v>1911</v>
      </c>
      <c r="L2710">
        <v>1911</v>
      </c>
      <c r="M2710" t="s">
        <v>209</v>
      </c>
      <c r="N2710" t="s">
        <v>209</v>
      </c>
      <c r="Q2710" s="2" t="str">
        <f>IF($C2710="","",IFERROR(VLOOKUP($C2710,sources!$A$2:$N$200,2,FALSE()),"?"))</f>
        <v>Map</v>
      </c>
      <c r="R2710" s="2" t="str">
        <f t="shared" si="42"/>
        <v>Map</v>
      </c>
      <c r="S2710" s="2" t="str">
        <f>IF($C2710="","",IFERROR(VLOOKUP($C2710,sources!$A$2:$N$200,9,FALSE()),"?"))</f>
        <v>US official</v>
      </c>
      <c r="T2710" t="s">
        <v>5692</v>
      </c>
      <c r="U2710">
        <f>IF(OR(B2710="",C2710="",T2710="Retracted",LEFT(D2710,8)="Negative"),0,IF(COUNTIFS($B$2:B2710,B2710,$C$2:C2710,C2710,$D$2:D2710,"&lt;&gt;Negative*",$T$2:T2710,"&lt;&gt;Retracted")=1,1,0))</f>
        <v>1</v>
      </c>
    </row>
    <row r="2711" spans="1:21" x14ac:dyDescent="0.2">
      <c r="A2711" t="s">
        <v>5022</v>
      </c>
      <c r="B2711" t="s">
        <v>1017</v>
      </c>
      <c r="C2711" t="s">
        <v>1179</v>
      </c>
      <c r="D2711" t="s">
        <v>1613</v>
      </c>
      <c r="E2711" t="s">
        <v>1018</v>
      </c>
      <c r="F2711" t="s">
        <v>1583</v>
      </c>
      <c r="I2711" t="s">
        <v>1058</v>
      </c>
      <c r="K2711">
        <v>1909</v>
      </c>
      <c r="L2711">
        <v>1909</v>
      </c>
      <c r="M2711" t="s">
        <v>209</v>
      </c>
      <c r="N2711" t="s">
        <v>209</v>
      </c>
      <c r="Q2711" s="2" t="str">
        <f>IF($C2711="","",IFERROR(VLOOKUP($C2711,sources!$A$2:$N$200,2,FALSE()),"?"))</f>
        <v>Map</v>
      </c>
      <c r="R2711" s="2" t="str">
        <f t="shared" si="42"/>
        <v>Map</v>
      </c>
      <c r="S2711" s="2" t="str">
        <f>IF($C2711="","",IFERROR(VLOOKUP($C2711,sources!$A$2:$N$200,9,FALSE()),"?"))</f>
        <v>US official</v>
      </c>
      <c r="T2711" t="s">
        <v>5692</v>
      </c>
      <c r="U2711">
        <f>IF(OR(B2711="",C2711="",T2711="Retracted",LEFT(D2711,8)="Negative"),0,IF(COUNTIFS($B$2:B2711,B2711,$C$2:C2711,C2711,$D$2:D2711,"&lt;&gt;Negative*",$T$2:T2711,"&lt;&gt;Retracted")=1,1,0))</f>
        <v>0</v>
      </c>
    </row>
    <row r="2712" spans="1:21" x14ac:dyDescent="0.2">
      <c r="A2712" t="s">
        <v>5023</v>
      </c>
      <c r="B2712" t="s">
        <v>1017</v>
      </c>
      <c r="C2712" t="s">
        <v>1335</v>
      </c>
      <c r="D2712" t="s">
        <v>1613</v>
      </c>
      <c r="E2712" t="s">
        <v>1018</v>
      </c>
      <c r="F2712" t="s">
        <v>1583</v>
      </c>
      <c r="I2712" t="s">
        <v>1058</v>
      </c>
      <c r="K2712">
        <v>1905</v>
      </c>
      <c r="L2712">
        <v>1906</v>
      </c>
      <c r="M2712" t="s">
        <v>209</v>
      </c>
      <c r="N2712" t="s">
        <v>209</v>
      </c>
      <c r="Q2712" s="2" t="str">
        <f>IF($C2712="","",IFERROR(VLOOKUP($C2712,sources!$A$2:$N$200,2,FALSE()),"?"))</f>
        <v>Map</v>
      </c>
      <c r="R2712" s="2" t="str">
        <f t="shared" si="42"/>
        <v>Map</v>
      </c>
      <c r="S2712" s="2" t="str">
        <f>IF($C2712="","",IFERROR(VLOOKUP($C2712,sources!$A$2:$N$200,9,FALSE()),"?"))</f>
        <v>US official</v>
      </c>
      <c r="T2712" t="s">
        <v>5692</v>
      </c>
      <c r="U2712">
        <f>IF(OR(B2712="",C2712="",T2712="Retracted",LEFT(D2712,8)="Negative"),0,IF(COUNTIFS($B$2:B2712,B2712,$C$2:C2712,C2712,$D$2:D2712,"&lt;&gt;Negative*",$T$2:T2712,"&lt;&gt;Retracted")=1,1,0))</f>
        <v>0</v>
      </c>
    </row>
    <row r="2713" spans="1:21" x14ac:dyDescent="0.2">
      <c r="A2713" t="s">
        <v>5024</v>
      </c>
      <c r="B2713" t="s">
        <v>1021</v>
      </c>
      <c r="C2713" t="s">
        <v>1168</v>
      </c>
      <c r="D2713" t="s">
        <v>1613</v>
      </c>
      <c r="E2713" t="s">
        <v>1022</v>
      </c>
      <c r="F2713" t="s">
        <v>1583</v>
      </c>
      <c r="I2713" t="s">
        <v>1058</v>
      </c>
      <c r="K2713">
        <v>1911</v>
      </c>
      <c r="L2713">
        <v>1911</v>
      </c>
      <c r="M2713" t="s">
        <v>209</v>
      </c>
      <c r="N2713" t="s">
        <v>209</v>
      </c>
      <c r="Q2713" s="2" t="str">
        <f>IF($C2713="","",IFERROR(VLOOKUP($C2713,sources!$A$2:$N$200,2,FALSE()),"?"))</f>
        <v>Map</v>
      </c>
      <c r="R2713" s="2" t="str">
        <f t="shared" si="42"/>
        <v>Map</v>
      </c>
      <c r="S2713" s="2" t="str">
        <f>IF($C2713="","",IFERROR(VLOOKUP($C2713,sources!$A$2:$N$200,9,FALSE()),"?"))</f>
        <v>US official</v>
      </c>
      <c r="T2713" t="s">
        <v>5692</v>
      </c>
      <c r="U2713">
        <f>IF(OR(B2713="",C2713="",T2713="Retracted",LEFT(D2713,8)="Negative"),0,IF(COUNTIFS($B$2:B2713,B2713,$C$2:C2713,C2713,$D$2:D2713,"&lt;&gt;Negative*",$T$2:T2713,"&lt;&gt;Retracted")=1,1,0))</f>
        <v>0</v>
      </c>
    </row>
    <row r="2714" spans="1:21" x14ac:dyDescent="0.2">
      <c r="A2714" t="s">
        <v>5025</v>
      </c>
      <c r="B2714" t="s">
        <v>1021</v>
      </c>
      <c r="C2714" t="s">
        <v>1179</v>
      </c>
      <c r="D2714" t="s">
        <v>1613</v>
      </c>
      <c r="E2714" t="s">
        <v>1022</v>
      </c>
      <c r="F2714" t="s">
        <v>1583</v>
      </c>
      <c r="I2714" t="s">
        <v>1058</v>
      </c>
      <c r="K2714">
        <v>1909</v>
      </c>
      <c r="L2714">
        <v>1909</v>
      </c>
      <c r="M2714" t="s">
        <v>209</v>
      </c>
      <c r="N2714" t="s">
        <v>209</v>
      </c>
      <c r="Q2714" s="2" t="str">
        <f>IF($C2714="","",IFERROR(VLOOKUP($C2714,sources!$A$2:$N$200,2,FALSE()),"?"))</f>
        <v>Map</v>
      </c>
      <c r="R2714" s="2" t="str">
        <f t="shared" si="42"/>
        <v>Map</v>
      </c>
      <c r="S2714" s="2" t="str">
        <f>IF($C2714="","",IFERROR(VLOOKUP($C2714,sources!$A$2:$N$200,9,FALSE()),"?"))</f>
        <v>US official</v>
      </c>
      <c r="T2714" t="s">
        <v>5692</v>
      </c>
      <c r="U2714">
        <f>IF(OR(B2714="",C2714="",T2714="Retracted",LEFT(D2714,8)="Negative"),0,IF(COUNTIFS($B$2:B2714,B2714,$C$2:C2714,C2714,$D$2:D2714,"&lt;&gt;Negative*",$T$2:T2714,"&lt;&gt;Retracted")=1,1,0))</f>
        <v>0</v>
      </c>
    </row>
    <row r="2715" spans="1:21" x14ac:dyDescent="0.2">
      <c r="A2715" t="s">
        <v>5026</v>
      </c>
      <c r="B2715" t="s">
        <v>1021</v>
      </c>
      <c r="C2715" t="s">
        <v>1335</v>
      </c>
      <c r="D2715" t="s">
        <v>1613</v>
      </c>
      <c r="E2715" t="s">
        <v>1022</v>
      </c>
      <c r="F2715" t="s">
        <v>1583</v>
      </c>
      <c r="I2715" t="s">
        <v>1058</v>
      </c>
      <c r="K2715">
        <v>1905</v>
      </c>
      <c r="L2715">
        <v>1906</v>
      </c>
      <c r="M2715" t="s">
        <v>209</v>
      </c>
      <c r="N2715" t="s">
        <v>209</v>
      </c>
      <c r="Q2715" s="2" t="str">
        <f>IF($C2715="","",IFERROR(VLOOKUP($C2715,sources!$A$2:$N$200,2,FALSE()),"?"))</f>
        <v>Map</v>
      </c>
      <c r="R2715" s="2" t="str">
        <f t="shared" si="42"/>
        <v>Map</v>
      </c>
      <c r="S2715" s="2" t="str">
        <f>IF($C2715="","",IFERROR(VLOOKUP($C2715,sources!$A$2:$N$200,9,FALSE()),"?"))</f>
        <v>US official</v>
      </c>
      <c r="T2715" t="s">
        <v>5692</v>
      </c>
      <c r="U2715">
        <f>IF(OR(B2715="",C2715="",T2715="Retracted",LEFT(D2715,8)="Negative"),0,IF(COUNTIFS($B$2:B2715,B2715,$C$2:C2715,C2715,$D$2:D2715,"&lt;&gt;Negative*",$T$2:T2715,"&lt;&gt;Retracted")=1,1,0))</f>
        <v>0</v>
      </c>
    </row>
    <row r="2716" spans="1:21" x14ac:dyDescent="0.2">
      <c r="A2716" t="s">
        <v>5027</v>
      </c>
      <c r="B2716" t="s">
        <v>456</v>
      </c>
      <c r="C2716" t="s">
        <v>1370</v>
      </c>
      <c r="D2716" t="s">
        <v>1572</v>
      </c>
      <c r="E2716" t="s">
        <v>5028</v>
      </c>
      <c r="F2716" t="s">
        <v>1583</v>
      </c>
      <c r="G2716">
        <v>9.0638319999999997</v>
      </c>
      <c r="H2716">
        <v>-79.649878999999999</v>
      </c>
      <c r="I2716" t="s">
        <v>3312</v>
      </c>
      <c r="J2716">
        <v>100</v>
      </c>
      <c r="K2716">
        <v>1940</v>
      </c>
      <c r="L2716">
        <v>1940</v>
      </c>
      <c r="M2716" t="s">
        <v>203</v>
      </c>
      <c r="N2716" t="s">
        <v>203</v>
      </c>
      <c r="Q2716" s="2" t="str">
        <f>IF($C2716="","",IFERROR(VLOOKUP($C2716,sources!$A$2:$N$200,2,FALSE()),"?"))</f>
        <v>Map</v>
      </c>
      <c r="R2716" s="2" t="str">
        <f t="shared" si="42"/>
        <v>Map</v>
      </c>
      <c r="S2716" s="2" t="str">
        <f>IF($C2716="","",IFERROR(VLOOKUP($C2716,sources!$A$2:$N$200,9,FALSE()),"?"))</f>
        <v>US official</v>
      </c>
      <c r="T2716" t="s">
        <v>5692</v>
      </c>
      <c r="U2716">
        <f>IF(OR(B2716="",C2716="",T2716="Retracted",LEFT(D2716,8)="Negative"),0,IF(COUNTIFS($B$2:B2716,B2716,$C$2:C2716,C2716,$D$2:D2716,"&lt;&gt;Negative*",$T$2:T2716,"&lt;&gt;Retracted")=1,1,0))</f>
        <v>0</v>
      </c>
    </row>
    <row r="2717" spans="1:21" x14ac:dyDescent="0.2">
      <c r="A2717" t="s">
        <v>5029</v>
      </c>
      <c r="B2717" t="s">
        <v>974</v>
      </c>
      <c r="C2717" t="s">
        <v>1241</v>
      </c>
      <c r="D2717" t="s">
        <v>1575</v>
      </c>
      <c r="E2717" t="s">
        <v>5030</v>
      </c>
      <c r="F2717" t="s">
        <v>1583</v>
      </c>
      <c r="I2717" t="s">
        <v>1058</v>
      </c>
      <c r="K2717">
        <v>1936</v>
      </c>
      <c r="L2717">
        <v>1938</v>
      </c>
      <c r="M2717" t="s">
        <v>209</v>
      </c>
      <c r="N2717" t="s">
        <v>203</v>
      </c>
      <c r="Q2717" s="2" t="str">
        <f>IF($C2717="","",IFERROR(VLOOKUP($C2717,sources!$A$2:$N$200,2,FALSE()),"?"))</f>
        <v>Photograph</v>
      </c>
      <c r="R2717" s="2" t="str">
        <f t="shared" si="42"/>
        <v>Image</v>
      </c>
      <c r="S2717" s="2" t="str">
        <f>IF($C2717="","",IFERROR(VLOOKUP($C2717,sources!$A$2:$N$200,9,FALSE()),"?"))</f>
        <v>US official</v>
      </c>
      <c r="T2717" t="s">
        <v>5692</v>
      </c>
      <c r="U2717">
        <f>IF(OR(B2717="",C2717="",T2717="Retracted",LEFT(D2717,8)="Negative"),0,IF(COUNTIFS($B$2:B2717,B2717,$C$2:C2717,C2717,$D$2:D2717,"&lt;&gt;Negative*",$T$2:T2717,"&lt;&gt;Retracted")=1,1,0))</f>
        <v>1</v>
      </c>
    </row>
    <row r="2718" spans="1:21" x14ac:dyDescent="0.2">
      <c r="A2718" t="s">
        <v>5031</v>
      </c>
      <c r="B2718" t="s">
        <v>656</v>
      </c>
      <c r="C2718" t="s">
        <v>1241</v>
      </c>
      <c r="D2718" t="s">
        <v>1613</v>
      </c>
      <c r="E2718" t="s">
        <v>2869</v>
      </c>
      <c r="F2718" t="s">
        <v>1583</v>
      </c>
      <c r="I2718" t="s">
        <v>1058</v>
      </c>
      <c r="N2718" t="s">
        <v>209</v>
      </c>
      <c r="Q2718" s="2" t="str">
        <f>IF($C2718="","",IFERROR(VLOOKUP($C2718,sources!$A$2:$N$200,2,FALSE()),"?"))</f>
        <v>Photograph</v>
      </c>
      <c r="R2718" s="2" t="str">
        <f t="shared" si="42"/>
        <v>Image</v>
      </c>
      <c r="S2718" s="2" t="str">
        <f>IF($C2718="","",IFERROR(VLOOKUP($C2718,sources!$A$2:$N$200,9,FALSE()),"?"))</f>
        <v>US official</v>
      </c>
      <c r="T2718" t="s">
        <v>5692</v>
      </c>
      <c r="U2718">
        <f>IF(OR(B2718="",C2718="",T2718="Retracted",LEFT(D2718,8)="Negative"),0,IF(COUNTIFS($B$2:B2718,B2718,$C$2:C2718,C2718,$D$2:D2718,"&lt;&gt;Negative*",$T$2:T2718,"&lt;&gt;Retracted")=1,1,0))</f>
        <v>0</v>
      </c>
    </row>
    <row r="2719" spans="1:21" x14ac:dyDescent="0.2">
      <c r="A2719" t="s">
        <v>5032</v>
      </c>
      <c r="B2719" t="s">
        <v>670</v>
      </c>
      <c r="C2719" t="s">
        <v>1241</v>
      </c>
      <c r="D2719" t="s">
        <v>1613</v>
      </c>
      <c r="E2719" t="s">
        <v>4895</v>
      </c>
      <c r="F2719" t="s">
        <v>1583</v>
      </c>
      <c r="I2719" t="s">
        <v>1058</v>
      </c>
      <c r="N2719" t="s">
        <v>209</v>
      </c>
      <c r="Q2719" s="2" t="str">
        <f>IF($C2719="","",IFERROR(VLOOKUP($C2719,sources!$A$2:$N$200,2,FALSE()),"?"))</f>
        <v>Photograph</v>
      </c>
      <c r="R2719" s="2" t="str">
        <f t="shared" si="42"/>
        <v>Image</v>
      </c>
      <c r="S2719" s="2" t="str">
        <f>IF($C2719="","",IFERROR(VLOOKUP($C2719,sources!$A$2:$N$200,9,FALSE()),"?"))</f>
        <v>US official</v>
      </c>
      <c r="T2719" t="s">
        <v>5692</v>
      </c>
      <c r="U2719">
        <f>IF(OR(B2719="",C2719="",T2719="Retracted",LEFT(D2719,8)="Negative"),0,IF(COUNTIFS($B$2:B2719,B2719,$C$2:C2719,C2719,$D$2:D2719,"&lt;&gt;Negative*",$T$2:T2719,"&lt;&gt;Retracted")=1,1,0))</f>
        <v>0</v>
      </c>
    </row>
    <row r="2720" spans="1:21" x14ac:dyDescent="0.2">
      <c r="A2720" t="s">
        <v>5033</v>
      </c>
      <c r="B2720" t="s">
        <v>680</v>
      </c>
      <c r="C2720" t="s">
        <v>1241</v>
      </c>
      <c r="D2720" t="s">
        <v>1613</v>
      </c>
      <c r="E2720" t="s">
        <v>4901</v>
      </c>
      <c r="F2720" t="s">
        <v>1583</v>
      </c>
      <c r="I2720" t="s">
        <v>1058</v>
      </c>
      <c r="N2720" t="s">
        <v>209</v>
      </c>
      <c r="Q2720" s="2" t="str">
        <f>IF($C2720="","",IFERROR(VLOOKUP($C2720,sources!$A$2:$N$200,2,FALSE()),"?"))</f>
        <v>Photograph</v>
      </c>
      <c r="R2720" s="2" t="str">
        <f t="shared" si="42"/>
        <v>Image</v>
      </c>
      <c r="S2720" s="2" t="str">
        <f>IF($C2720="","",IFERROR(VLOOKUP($C2720,sources!$A$2:$N$200,9,FALSE()),"?"))</f>
        <v>US official</v>
      </c>
      <c r="T2720" t="s">
        <v>5692</v>
      </c>
      <c r="U2720">
        <f>IF(OR(B2720="",C2720="",T2720="Retracted",LEFT(D2720,8)="Negative"),0,IF(COUNTIFS($B$2:B2720,B2720,$C$2:C2720,C2720,$D$2:D2720,"&lt;&gt;Negative*",$T$2:T2720,"&lt;&gt;Retracted")=1,1,0))</f>
        <v>0</v>
      </c>
    </row>
    <row r="2721" spans="1:21" x14ac:dyDescent="0.2">
      <c r="A2721" t="s">
        <v>5034</v>
      </c>
      <c r="B2721" t="s">
        <v>683</v>
      </c>
      <c r="C2721" t="s">
        <v>1241</v>
      </c>
      <c r="D2721" t="s">
        <v>1613</v>
      </c>
      <c r="E2721" t="s">
        <v>4957</v>
      </c>
      <c r="F2721" t="s">
        <v>1583</v>
      </c>
      <c r="I2721" t="s">
        <v>1058</v>
      </c>
      <c r="N2721" t="s">
        <v>209</v>
      </c>
      <c r="Q2721" s="2" t="str">
        <f>IF($C2721="","",IFERROR(VLOOKUP($C2721,sources!$A$2:$N$200,2,FALSE()),"?"))</f>
        <v>Photograph</v>
      </c>
      <c r="R2721" s="2" t="str">
        <f t="shared" si="42"/>
        <v>Image</v>
      </c>
      <c r="S2721" s="2" t="str">
        <f>IF($C2721="","",IFERROR(VLOOKUP($C2721,sources!$A$2:$N$200,9,FALSE()),"?"))</f>
        <v>US official</v>
      </c>
      <c r="T2721" t="s">
        <v>5692</v>
      </c>
      <c r="U2721">
        <f>IF(OR(B2721="",C2721="",T2721="Retracted",LEFT(D2721,8)="Negative"),0,IF(COUNTIFS($B$2:B2721,B2721,$C$2:C2721,C2721,$D$2:D2721,"&lt;&gt;Negative*",$T$2:T2721,"&lt;&gt;Retracted")=1,1,0))</f>
        <v>0</v>
      </c>
    </row>
    <row r="2722" spans="1:21" x14ac:dyDescent="0.2">
      <c r="A2722" t="s">
        <v>5035</v>
      </c>
      <c r="B2722" t="s">
        <v>701</v>
      </c>
      <c r="C2722" t="s">
        <v>1241</v>
      </c>
      <c r="D2722" t="s">
        <v>1613</v>
      </c>
      <c r="E2722" t="s">
        <v>4910</v>
      </c>
      <c r="F2722" t="s">
        <v>1583</v>
      </c>
      <c r="I2722" t="s">
        <v>1058</v>
      </c>
      <c r="N2722" t="s">
        <v>209</v>
      </c>
      <c r="Q2722" s="2" t="str">
        <f>IF($C2722="","",IFERROR(VLOOKUP($C2722,sources!$A$2:$N$200,2,FALSE()),"?"))</f>
        <v>Photograph</v>
      </c>
      <c r="R2722" s="2" t="str">
        <f t="shared" si="42"/>
        <v>Image</v>
      </c>
      <c r="S2722" s="2" t="str">
        <f>IF($C2722="","",IFERROR(VLOOKUP($C2722,sources!$A$2:$N$200,9,FALSE()),"?"))</f>
        <v>US official</v>
      </c>
      <c r="T2722" t="s">
        <v>5692</v>
      </c>
      <c r="U2722">
        <f>IF(OR(B2722="",C2722="",T2722="Retracted",LEFT(D2722,8)="Negative"),0,IF(COUNTIFS($B$2:B2722,B2722,$C$2:C2722,C2722,$D$2:D2722,"&lt;&gt;Negative*",$T$2:T2722,"&lt;&gt;Retracted")=1,1,0))</f>
        <v>0</v>
      </c>
    </row>
    <row r="2723" spans="1:21" x14ac:dyDescent="0.2">
      <c r="A2723" t="s">
        <v>5036</v>
      </c>
      <c r="B2723" t="s">
        <v>730</v>
      </c>
      <c r="C2723" t="s">
        <v>1241</v>
      </c>
      <c r="D2723" t="s">
        <v>1613</v>
      </c>
      <c r="E2723" t="s">
        <v>4923</v>
      </c>
      <c r="F2723" t="s">
        <v>1583</v>
      </c>
      <c r="I2723" t="s">
        <v>1058</v>
      </c>
      <c r="N2723" t="s">
        <v>190</v>
      </c>
      <c r="Q2723" s="2" t="str">
        <f>IF($C2723="","",IFERROR(VLOOKUP($C2723,sources!$A$2:$N$200,2,FALSE()),"?"))</f>
        <v>Photograph</v>
      </c>
      <c r="R2723" s="2" t="str">
        <f t="shared" si="42"/>
        <v>Image</v>
      </c>
      <c r="S2723" s="2" t="str">
        <f>IF($C2723="","",IFERROR(VLOOKUP($C2723,sources!$A$2:$N$200,9,FALSE()),"?"))</f>
        <v>US official</v>
      </c>
      <c r="T2723" t="s">
        <v>5692</v>
      </c>
      <c r="U2723">
        <f>IF(OR(B2723="",C2723="",T2723="Retracted",LEFT(D2723,8)="Negative"),0,IF(COUNTIFS($B$2:B2723,B2723,$C$2:C2723,C2723,$D$2:D2723,"&lt;&gt;Negative*",$T$2:T2723,"&lt;&gt;Retracted")=1,1,0))</f>
        <v>0</v>
      </c>
    </row>
    <row r="2724" spans="1:21" x14ac:dyDescent="0.2">
      <c r="A2724" t="s">
        <v>5037</v>
      </c>
      <c r="B2724" t="s">
        <v>733</v>
      </c>
      <c r="C2724" t="s">
        <v>1241</v>
      </c>
      <c r="D2724" t="s">
        <v>1613</v>
      </c>
      <c r="E2724" t="s">
        <v>4973</v>
      </c>
      <c r="F2724" t="s">
        <v>1583</v>
      </c>
      <c r="I2724" t="s">
        <v>1058</v>
      </c>
      <c r="N2724" t="s">
        <v>190</v>
      </c>
      <c r="Q2724" s="2" t="str">
        <f>IF($C2724="","",IFERROR(VLOOKUP($C2724,sources!$A$2:$N$200,2,FALSE()),"?"))</f>
        <v>Photograph</v>
      </c>
      <c r="R2724" s="2" t="str">
        <f t="shared" si="42"/>
        <v>Image</v>
      </c>
      <c r="S2724" s="2" t="str">
        <f>IF($C2724="","",IFERROR(VLOOKUP($C2724,sources!$A$2:$N$200,9,FALSE()),"?"))</f>
        <v>US official</v>
      </c>
      <c r="T2724" t="s">
        <v>5692</v>
      </c>
      <c r="U2724">
        <f>IF(OR(B2724="",C2724="",T2724="Retracted",LEFT(D2724,8)="Negative"),0,IF(COUNTIFS($B$2:B2724,B2724,$C$2:C2724,C2724,$D$2:D2724,"&lt;&gt;Negative*",$T$2:T2724,"&lt;&gt;Retracted")=1,1,0))</f>
        <v>0</v>
      </c>
    </row>
    <row r="2725" spans="1:21" x14ac:dyDescent="0.2">
      <c r="A2725" t="s">
        <v>5038</v>
      </c>
      <c r="B2725" t="s">
        <v>737</v>
      </c>
      <c r="C2725" t="s">
        <v>1241</v>
      </c>
      <c r="D2725" t="s">
        <v>1613</v>
      </c>
      <c r="E2725" t="s">
        <v>4927</v>
      </c>
      <c r="F2725" t="s">
        <v>1583</v>
      </c>
      <c r="I2725" t="s">
        <v>1058</v>
      </c>
      <c r="N2725" t="s">
        <v>209</v>
      </c>
      <c r="Q2725" s="2" t="str">
        <f>IF($C2725="","",IFERROR(VLOOKUP($C2725,sources!$A$2:$N$200,2,FALSE()),"?"))</f>
        <v>Photograph</v>
      </c>
      <c r="R2725" s="2" t="str">
        <f t="shared" si="42"/>
        <v>Image</v>
      </c>
      <c r="S2725" s="2" t="str">
        <f>IF($C2725="","",IFERROR(VLOOKUP($C2725,sources!$A$2:$N$200,9,FALSE()),"?"))</f>
        <v>US official</v>
      </c>
      <c r="T2725" t="s">
        <v>5692</v>
      </c>
      <c r="U2725">
        <f>IF(OR(B2725="",C2725="",T2725="Retracted",LEFT(D2725,8)="Negative"),0,IF(COUNTIFS($B$2:B2725,B2725,$C$2:C2725,C2725,$D$2:D2725,"&lt;&gt;Negative*",$T$2:T2725,"&lt;&gt;Retracted")=1,1,0))</f>
        <v>0</v>
      </c>
    </row>
    <row r="2726" spans="1:21" x14ac:dyDescent="0.2">
      <c r="A2726" t="s">
        <v>5039</v>
      </c>
      <c r="B2726" t="s">
        <v>740</v>
      </c>
      <c r="C2726" t="s">
        <v>1241</v>
      </c>
      <c r="D2726" t="s">
        <v>1613</v>
      </c>
      <c r="E2726" t="s">
        <v>4929</v>
      </c>
      <c r="F2726" t="s">
        <v>1583</v>
      </c>
      <c r="I2726" t="s">
        <v>1058</v>
      </c>
      <c r="N2726" t="s">
        <v>190</v>
      </c>
      <c r="Q2726" s="2" t="str">
        <f>IF($C2726="","",IFERROR(VLOOKUP($C2726,sources!$A$2:$N$200,2,FALSE()),"?"))</f>
        <v>Photograph</v>
      </c>
      <c r="R2726" s="2" t="str">
        <f t="shared" si="42"/>
        <v>Image</v>
      </c>
      <c r="S2726" s="2" t="str">
        <f>IF($C2726="","",IFERROR(VLOOKUP($C2726,sources!$A$2:$N$200,9,FALSE()),"?"))</f>
        <v>US official</v>
      </c>
      <c r="T2726" t="s">
        <v>5692</v>
      </c>
      <c r="U2726">
        <f>IF(OR(B2726="",C2726="",T2726="Retracted",LEFT(D2726,8)="Negative"),0,IF(COUNTIFS($B$2:B2726,B2726,$C$2:C2726,C2726,$D$2:D2726,"&lt;&gt;Negative*",$T$2:T2726,"&lt;&gt;Retracted")=1,1,0))</f>
        <v>0</v>
      </c>
    </row>
    <row r="2727" spans="1:21" x14ac:dyDescent="0.2">
      <c r="A2727" t="s">
        <v>5040</v>
      </c>
      <c r="B2727" t="s">
        <v>743</v>
      </c>
      <c r="C2727" t="s">
        <v>1241</v>
      </c>
      <c r="D2727" t="s">
        <v>1613</v>
      </c>
      <c r="E2727" t="s">
        <v>4977</v>
      </c>
      <c r="F2727" t="s">
        <v>1583</v>
      </c>
      <c r="I2727" t="s">
        <v>1058</v>
      </c>
      <c r="N2727" t="s">
        <v>190</v>
      </c>
      <c r="Q2727" s="2" t="str">
        <f>IF($C2727="","",IFERROR(VLOOKUP($C2727,sources!$A$2:$N$200,2,FALSE()),"?"))</f>
        <v>Photograph</v>
      </c>
      <c r="R2727" s="2" t="str">
        <f t="shared" si="42"/>
        <v>Image</v>
      </c>
      <c r="S2727" s="2" t="str">
        <f>IF($C2727="","",IFERROR(VLOOKUP($C2727,sources!$A$2:$N$200,9,FALSE()),"?"))</f>
        <v>US official</v>
      </c>
      <c r="T2727" t="s">
        <v>5692</v>
      </c>
      <c r="U2727">
        <f>IF(OR(B2727="",C2727="",T2727="Retracted",LEFT(D2727,8)="Negative"),0,IF(COUNTIFS($B$2:B2727,B2727,$C$2:C2727,C2727,$D$2:D2727,"&lt;&gt;Negative*",$T$2:T2727,"&lt;&gt;Retracted")=1,1,0))</f>
        <v>0</v>
      </c>
    </row>
    <row r="2728" spans="1:21" x14ac:dyDescent="0.2">
      <c r="A2728" t="s">
        <v>5041</v>
      </c>
      <c r="B2728" t="s">
        <v>749</v>
      </c>
      <c r="C2728" t="s">
        <v>1241</v>
      </c>
      <c r="D2728" t="s">
        <v>1613</v>
      </c>
      <c r="E2728" t="s">
        <v>4935</v>
      </c>
      <c r="F2728" t="s">
        <v>1583</v>
      </c>
      <c r="I2728" t="s">
        <v>1058</v>
      </c>
      <c r="N2728" t="s">
        <v>209</v>
      </c>
      <c r="Q2728" s="2" t="str">
        <f>IF($C2728="","",IFERROR(VLOOKUP($C2728,sources!$A$2:$N$200,2,FALSE()),"?"))</f>
        <v>Photograph</v>
      </c>
      <c r="R2728" s="2" t="str">
        <f t="shared" si="42"/>
        <v>Image</v>
      </c>
      <c r="S2728" s="2" t="str">
        <f>IF($C2728="","",IFERROR(VLOOKUP($C2728,sources!$A$2:$N$200,9,FALSE()),"?"))</f>
        <v>US official</v>
      </c>
      <c r="T2728" t="s">
        <v>5692</v>
      </c>
      <c r="U2728">
        <f>IF(OR(B2728="",C2728="",T2728="Retracted",LEFT(D2728,8)="Negative"),0,IF(COUNTIFS($B$2:B2728,B2728,$C$2:C2728,C2728,$D$2:D2728,"&lt;&gt;Negative*",$T$2:T2728,"&lt;&gt;Retracted")=1,1,0))</f>
        <v>0</v>
      </c>
    </row>
    <row r="2729" spans="1:21" x14ac:dyDescent="0.2">
      <c r="A2729" t="s">
        <v>5042</v>
      </c>
      <c r="B2729" t="s">
        <v>752</v>
      </c>
      <c r="C2729" t="s">
        <v>1241</v>
      </c>
      <c r="D2729" t="s">
        <v>1613</v>
      </c>
      <c r="E2729" t="s">
        <v>4937</v>
      </c>
      <c r="F2729" t="s">
        <v>1583</v>
      </c>
      <c r="I2729" t="s">
        <v>1058</v>
      </c>
      <c r="N2729" t="s">
        <v>190</v>
      </c>
      <c r="Q2729" s="2" t="str">
        <f>IF($C2729="","",IFERROR(VLOOKUP($C2729,sources!$A$2:$N$200,2,FALSE()),"?"))</f>
        <v>Photograph</v>
      </c>
      <c r="R2729" s="2" t="str">
        <f t="shared" si="42"/>
        <v>Image</v>
      </c>
      <c r="S2729" s="2" t="str">
        <f>IF($C2729="","",IFERROR(VLOOKUP($C2729,sources!$A$2:$N$200,9,FALSE()),"?"))</f>
        <v>US official</v>
      </c>
      <c r="T2729" t="s">
        <v>5692</v>
      </c>
      <c r="U2729">
        <f>IF(OR(B2729="",C2729="",T2729="Retracted",LEFT(D2729,8)="Negative"),0,IF(COUNTIFS($B$2:B2729,B2729,$C$2:C2729,C2729,$D$2:D2729,"&lt;&gt;Negative*",$T$2:T2729,"&lt;&gt;Retracted")=1,1,0))</f>
        <v>0</v>
      </c>
    </row>
    <row r="2730" spans="1:21" x14ac:dyDescent="0.2">
      <c r="A2730" t="s">
        <v>5043</v>
      </c>
      <c r="B2730" t="s">
        <v>755</v>
      </c>
      <c r="C2730" t="s">
        <v>1241</v>
      </c>
      <c r="D2730" t="s">
        <v>1613</v>
      </c>
      <c r="E2730" t="s">
        <v>4939</v>
      </c>
      <c r="F2730" t="s">
        <v>1583</v>
      </c>
      <c r="I2730" t="s">
        <v>1058</v>
      </c>
      <c r="N2730" t="s">
        <v>190</v>
      </c>
      <c r="Q2730" s="2" t="str">
        <f>IF($C2730="","",IFERROR(VLOOKUP($C2730,sources!$A$2:$N$200,2,FALSE()),"?"))</f>
        <v>Photograph</v>
      </c>
      <c r="R2730" s="2" t="str">
        <f t="shared" si="42"/>
        <v>Image</v>
      </c>
      <c r="S2730" s="2" t="str">
        <f>IF($C2730="","",IFERROR(VLOOKUP($C2730,sources!$A$2:$N$200,9,FALSE()),"?"))</f>
        <v>US official</v>
      </c>
      <c r="T2730" t="s">
        <v>5692</v>
      </c>
      <c r="U2730">
        <f>IF(OR(B2730="",C2730="",T2730="Retracted",LEFT(D2730,8)="Negative"),0,IF(COUNTIFS($B$2:B2730,B2730,$C$2:C2730,C2730,$D$2:D2730,"&lt;&gt;Negative*",$T$2:T2730,"&lt;&gt;Retracted")=1,1,0))</f>
        <v>0</v>
      </c>
    </row>
    <row r="2731" spans="1:21" x14ac:dyDescent="0.2">
      <c r="A2731" t="s">
        <v>5044</v>
      </c>
      <c r="B2731" t="s">
        <v>761</v>
      </c>
      <c r="C2731" t="s">
        <v>1241</v>
      </c>
      <c r="D2731" t="s">
        <v>1613</v>
      </c>
      <c r="E2731" t="s">
        <v>4984</v>
      </c>
      <c r="F2731" t="s">
        <v>1583</v>
      </c>
      <c r="I2731" t="s">
        <v>1058</v>
      </c>
      <c r="N2731" t="s">
        <v>190</v>
      </c>
      <c r="Q2731" s="2" t="str">
        <f>IF($C2731="","",IFERROR(VLOOKUP($C2731,sources!$A$2:$N$200,2,FALSE()),"?"))</f>
        <v>Photograph</v>
      </c>
      <c r="R2731" s="2" t="str">
        <f t="shared" si="42"/>
        <v>Image</v>
      </c>
      <c r="S2731" s="2" t="str">
        <f>IF($C2731="","",IFERROR(VLOOKUP($C2731,sources!$A$2:$N$200,9,FALSE()),"?"))</f>
        <v>US official</v>
      </c>
      <c r="T2731" t="s">
        <v>5692</v>
      </c>
      <c r="U2731">
        <f>IF(OR(B2731="",C2731="",T2731="Retracted",LEFT(D2731,8)="Negative"),0,IF(COUNTIFS($B$2:B2731,B2731,$C$2:C2731,C2731,$D$2:D2731,"&lt;&gt;Negative*",$T$2:T2731,"&lt;&gt;Retracted")=1,1,0))</f>
        <v>0</v>
      </c>
    </row>
    <row r="2732" spans="1:21" x14ac:dyDescent="0.2">
      <c r="A2732" t="s">
        <v>5045</v>
      </c>
      <c r="B2732" t="s">
        <v>770</v>
      </c>
      <c r="C2732" t="s">
        <v>1241</v>
      </c>
      <c r="D2732" t="s">
        <v>1613</v>
      </c>
      <c r="E2732" t="s">
        <v>4946</v>
      </c>
      <c r="F2732" t="s">
        <v>1583</v>
      </c>
      <c r="I2732" t="s">
        <v>1058</v>
      </c>
      <c r="N2732" t="s">
        <v>209</v>
      </c>
      <c r="Q2732" s="2" t="str">
        <f>IF($C2732="","",IFERROR(VLOOKUP($C2732,sources!$A$2:$N$200,2,FALSE()),"?"))</f>
        <v>Photograph</v>
      </c>
      <c r="R2732" s="2" t="str">
        <f t="shared" si="42"/>
        <v>Image</v>
      </c>
      <c r="S2732" s="2" t="str">
        <f>IF($C2732="","",IFERROR(VLOOKUP($C2732,sources!$A$2:$N$200,9,FALSE()),"?"))</f>
        <v>US official</v>
      </c>
      <c r="T2732" t="s">
        <v>5692</v>
      </c>
      <c r="U2732">
        <f>IF(OR(B2732="",C2732="",T2732="Retracted",LEFT(D2732,8)="Negative"),0,IF(COUNTIFS($B$2:B2732,B2732,$C$2:C2732,C2732,$D$2:D2732,"&lt;&gt;Negative*",$T$2:T2732,"&lt;&gt;Retracted")=1,1,0))</f>
        <v>0</v>
      </c>
    </row>
    <row r="2733" spans="1:21" x14ac:dyDescent="0.2">
      <c r="A2733" t="s">
        <v>5046</v>
      </c>
      <c r="B2733" t="s">
        <v>796</v>
      </c>
      <c r="C2733" t="s">
        <v>1241</v>
      </c>
      <c r="D2733" t="s">
        <v>1564</v>
      </c>
      <c r="E2733" t="s">
        <v>5047</v>
      </c>
      <c r="F2733" t="s">
        <v>1583</v>
      </c>
      <c r="I2733" t="s">
        <v>1058</v>
      </c>
      <c r="K2733">
        <v>1936</v>
      </c>
      <c r="L2733">
        <v>1938</v>
      </c>
      <c r="M2733" t="s">
        <v>203</v>
      </c>
      <c r="N2733" t="s">
        <v>203</v>
      </c>
      <c r="Q2733" s="2" t="str">
        <f>IF($C2733="","",IFERROR(VLOOKUP($C2733,sources!$A$2:$N$200,2,FALSE()),"?"))</f>
        <v>Photograph</v>
      </c>
      <c r="R2733" s="2" t="str">
        <f t="shared" si="42"/>
        <v>Image</v>
      </c>
      <c r="S2733" s="2" t="str">
        <f>IF($C2733="","",IFERROR(VLOOKUP($C2733,sources!$A$2:$N$200,9,FALSE()),"?"))</f>
        <v>US official</v>
      </c>
      <c r="T2733" t="s">
        <v>5692</v>
      </c>
      <c r="U2733">
        <f>IF(OR(B2733="",C2733="",T2733="Retracted",LEFT(D2733,8)="Negative"),0,IF(COUNTIFS($B$2:B2733,B2733,$C$2:C2733,C2733,$D$2:D2733,"&lt;&gt;Negative*",$T$2:T2733,"&lt;&gt;Retracted")=1,1,0))</f>
        <v>1</v>
      </c>
    </row>
    <row r="2734" spans="1:21" x14ac:dyDescent="0.2">
      <c r="A2734" t="s">
        <v>5048</v>
      </c>
      <c r="B2734" t="s">
        <v>816</v>
      </c>
      <c r="C2734" t="s">
        <v>1241</v>
      </c>
      <c r="D2734" t="s">
        <v>1613</v>
      </c>
      <c r="E2734" t="s">
        <v>817</v>
      </c>
      <c r="F2734" t="s">
        <v>1583</v>
      </c>
      <c r="I2734" t="s">
        <v>1058</v>
      </c>
      <c r="N2734" t="s">
        <v>190</v>
      </c>
      <c r="Q2734" s="2" t="str">
        <f>IF($C2734="","",IFERROR(VLOOKUP($C2734,sources!$A$2:$N$200,2,FALSE()),"?"))</f>
        <v>Photograph</v>
      </c>
      <c r="R2734" s="2" t="str">
        <f t="shared" si="42"/>
        <v>Image</v>
      </c>
      <c r="S2734" s="2" t="str">
        <f>IF($C2734="","",IFERROR(VLOOKUP($C2734,sources!$A$2:$N$200,9,FALSE()),"?"))</f>
        <v>US official</v>
      </c>
      <c r="T2734" t="s">
        <v>5692</v>
      </c>
      <c r="U2734">
        <f>IF(OR(B2734="",C2734="",T2734="Retracted",LEFT(D2734,8)="Negative"),0,IF(COUNTIFS($B$2:B2734,B2734,$C$2:C2734,C2734,$D$2:D2734,"&lt;&gt;Negative*",$T$2:T2734,"&lt;&gt;Retracted")=1,1,0))</f>
        <v>0</v>
      </c>
    </row>
    <row r="2735" spans="1:21" x14ac:dyDescent="0.2">
      <c r="A2735" t="s">
        <v>5049</v>
      </c>
      <c r="B2735" t="s">
        <v>835</v>
      </c>
      <c r="C2735" t="s">
        <v>1241</v>
      </c>
      <c r="D2735" t="s">
        <v>1613</v>
      </c>
      <c r="E2735" t="s">
        <v>504</v>
      </c>
      <c r="F2735" t="s">
        <v>1583</v>
      </c>
      <c r="I2735" t="s">
        <v>1058</v>
      </c>
      <c r="N2735" t="s">
        <v>190</v>
      </c>
      <c r="Q2735" s="2" t="str">
        <f>IF($C2735="","",IFERROR(VLOOKUP($C2735,sources!$A$2:$N$200,2,FALSE()),"?"))</f>
        <v>Photograph</v>
      </c>
      <c r="R2735" s="2" t="str">
        <f t="shared" si="42"/>
        <v>Image</v>
      </c>
      <c r="S2735" s="2" t="str">
        <f>IF($C2735="","",IFERROR(VLOOKUP($C2735,sources!$A$2:$N$200,9,FALSE()),"?"))</f>
        <v>US official</v>
      </c>
      <c r="T2735" t="s">
        <v>5692</v>
      </c>
      <c r="U2735">
        <f>IF(OR(B2735="",C2735="",T2735="Retracted",LEFT(D2735,8)="Negative"),0,IF(COUNTIFS($B$2:B2735,B2735,$C$2:C2735,C2735,$D$2:D2735,"&lt;&gt;Negative*",$T$2:T2735,"&lt;&gt;Retracted")=1,1,0))</f>
        <v>0</v>
      </c>
    </row>
    <row r="2736" spans="1:21" x14ac:dyDescent="0.2">
      <c r="A2736" t="s">
        <v>5050</v>
      </c>
      <c r="B2736" t="s">
        <v>852</v>
      </c>
      <c r="C2736" t="s">
        <v>1241</v>
      </c>
      <c r="D2736" t="s">
        <v>1613</v>
      </c>
      <c r="E2736" t="s">
        <v>853</v>
      </c>
      <c r="F2736" t="s">
        <v>1583</v>
      </c>
      <c r="I2736" t="s">
        <v>1058</v>
      </c>
      <c r="N2736" t="s">
        <v>190</v>
      </c>
      <c r="Q2736" s="2" t="str">
        <f>IF($C2736="","",IFERROR(VLOOKUP($C2736,sources!$A$2:$N$200,2,FALSE()),"?"))</f>
        <v>Photograph</v>
      </c>
      <c r="R2736" s="2" t="str">
        <f t="shared" si="42"/>
        <v>Image</v>
      </c>
      <c r="S2736" s="2" t="str">
        <f>IF($C2736="","",IFERROR(VLOOKUP($C2736,sources!$A$2:$N$200,9,FALSE()),"?"))</f>
        <v>US official</v>
      </c>
      <c r="T2736" t="s">
        <v>5692</v>
      </c>
      <c r="U2736">
        <f>IF(OR(B2736="",C2736="",T2736="Retracted",LEFT(D2736,8)="Negative"),0,IF(COUNTIFS($B$2:B2736,B2736,$C$2:C2736,C2736,$D$2:D2736,"&lt;&gt;Negative*",$T$2:T2736,"&lt;&gt;Retracted")=1,1,0))</f>
        <v>0</v>
      </c>
    </row>
    <row r="2737" spans="1:21" x14ac:dyDescent="0.2">
      <c r="A2737" t="s">
        <v>5051</v>
      </c>
      <c r="B2737" t="s">
        <v>1008</v>
      </c>
      <c r="C2737" t="s">
        <v>1241</v>
      </c>
      <c r="D2737" t="s">
        <v>1613</v>
      </c>
      <c r="E2737" t="s">
        <v>4259</v>
      </c>
      <c r="F2737" t="s">
        <v>1583</v>
      </c>
      <c r="I2737" t="s">
        <v>1058</v>
      </c>
      <c r="N2737" t="s">
        <v>190</v>
      </c>
      <c r="Q2737" s="2" t="str">
        <f>IF($C2737="","",IFERROR(VLOOKUP($C2737,sources!$A$2:$N$200,2,FALSE()),"?"))</f>
        <v>Photograph</v>
      </c>
      <c r="R2737" s="2" t="str">
        <f t="shared" si="42"/>
        <v>Image</v>
      </c>
      <c r="S2737" s="2" t="str">
        <f>IF($C2737="","",IFERROR(VLOOKUP($C2737,sources!$A$2:$N$200,9,FALSE()),"?"))</f>
        <v>US official</v>
      </c>
      <c r="T2737" t="s">
        <v>5692</v>
      </c>
      <c r="U2737">
        <f>IF(OR(B2737="",C2737="",T2737="Retracted",LEFT(D2737,8)="Negative"),0,IF(COUNTIFS($B$2:B2737,B2737,$C$2:C2737,C2737,$D$2:D2737,"&lt;&gt;Negative*",$T$2:T2737,"&lt;&gt;Retracted")=1,1,0))</f>
        <v>0</v>
      </c>
    </row>
    <row r="2738" spans="1:21" x14ac:dyDescent="0.2">
      <c r="A2738" t="s">
        <v>5052</v>
      </c>
      <c r="B2738" t="s">
        <v>1026</v>
      </c>
      <c r="C2738" t="s">
        <v>1241</v>
      </c>
      <c r="D2738" t="s">
        <v>1613</v>
      </c>
      <c r="E2738" t="s">
        <v>1027</v>
      </c>
      <c r="F2738" t="s">
        <v>1583</v>
      </c>
      <c r="I2738" t="s">
        <v>1058</v>
      </c>
      <c r="N2738" t="s">
        <v>190</v>
      </c>
      <c r="Q2738" s="2" t="str">
        <f>IF($C2738="","",IFERROR(VLOOKUP($C2738,sources!$A$2:$N$200,2,FALSE()),"?"))</f>
        <v>Photograph</v>
      </c>
      <c r="R2738" s="2" t="str">
        <f t="shared" si="42"/>
        <v>Image</v>
      </c>
      <c r="S2738" s="2" t="str">
        <f>IF($C2738="","",IFERROR(VLOOKUP($C2738,sources!$A$2:$N$200,9,FALSE()),"?"))</f>
        <v>US official</v>
      </c>
      <c r="T2738" t="s">
        <v>5692</v>
      </c>
      <c r="U2738">
        <f>IF(OR(B2738="",C2738="",T2738="Retracted",LEFT(D2738,8)="Negative"),0,IF(COUNTIFS($B$2:B2738,B2738,$C$2:C2738,C2738,$D$2:D2738,"&lt;&gt;Negative*",$T$2:T2738,"&lt;&gt;Retracted")=1,1,0))</f>
        <v>0</v>
      </c>
    </row>
    <row r="2739" spans="1:21" x14ac:dyDescent="0.2">
      <c r="A2739" t="s">
        <v>5053</v>
      </c>
      <c r="B2739" t="s">
        <v>910</v>
      </c>
      <c r="C2739" t="s">
        <v>1241</v>
      </c>
      <c r="D2739" t="s">
        <v>1613</v>
      </c>
      <c r="E2739" t="s">
        <v>4768</v>
      </c>
      <c r="F2739" t="s">
        <v>1583</v>
      </c>
      <c r="I2739" t="s">
        <v>1058</v>
      </c>
      <c r="N2739" t="s">
        <v>190</v>
      </c>
      <c r="Q2739" s="2" t="str">
        <f>IF($C2739="","",IFERROR(VLOOKUP($C2739,sources!$A$2:$N$200,2,FALSE()),"?"))</f>
        <v>Photograph</v>
      </c>
      <c r="R2739" s="2" t="str">
        <f t="shared" si="42"/>
        <v>Image</v>
      </c>
      <c r="S2739" s="2" t="str">
        <f>IF($C2739="","",IFERROR(VLOOKUP($C2739,sources!$A$2:$N$200,9,FALSE()),"?"))</f>
        <v>US official</v>
      </c>
      <c r="T2739" t="s">
        <v>5692</v>
      </c>
      <c r="U2739">
        <f>IF(OR(B2739="",C2739="",T2739="Retracted",LEFT(D2739,8)="Negative"),0,IF(COUNTIFS($B$2:B2739,B2739,$C$2:C2739,C2739,$D$2:D2739,"&lt;&gt;Negative*",$T$2:T2739,"&lt;&gt;Retracted")=1,1,0))</f>
        <v>0</v>
      </c>
    </row>
    <row r="2740" spans="1:21" x14ac:dyDescent="0.2">
      <c r="A2740" t="s">
        <v>5054</v>
      </c>
      <c r="B2740" t="s">
        <v>917</v>
      </c>
      <c r="C2740" t="s">
        <v>1241</v>
      </c>
      <c r="D2740" t="s">
        <v>1613</v>
      </c>
      <c r="E2740" t="s">
        <v>918</v>
      </c>
      <c r="F2740" t="s">
        <v>1583</v>
      </c>
      <c r="I2740" t="s">
        <v>1058</v>
      </c>
      <c r="N2740" t="s">
        <v>203</v>
      </c>
      <c r="Q2740" s="2" t="str">
        <f>IF($C2740="","",IFERROR(VLOOKUP($C2740,sources!$A$2:$N$200,2,FALSE()),"?"))</f>
        <v>Photograph</v>
      </c>
      <c r="R2740" s="2" t="str">
        <f t="shared" si="42"/>
        <v>Image</v>
      </c>
      <c r="S2740" s="2" t="str">
        <f>IF($C2740="","",IFERROR(VLOOKUP($C2740,sources!$A$2:$N$200,9,FALSE()),"?"))</f>
        <v>US official</v>
      </c>
      <c r="T2740" t="s">
        <v>5692</v>
      </c>
      <c r="U2740">
        <f>IF(OR(B2740="",C2740="",T2740="Retracted",LEFT(D2740,8)="Negative"),0,IF(COUNTIFS($B$2:B2740,B2740,$C$2:C2740,C2740,$D$2:D2740,"&lt;&gt;Negative*",$T$2:T2740,"&lt;&gt;Retracted")=1,1,0))</f>
        <v>0</v>
      </c>
    </row>
    <row r="2741" spans="1:21" x14ac:dyDescent="0.2">
      <c r="A2741" t="s">
        <v>5055</v>
      </c>
      <c r="B2741" t="s">
        <v>920</v>
      </c>
      <c r="C2741" t="s">
        <v>1241</v>
      </c>
      <c r="D2741" t="s">
        <v>1613</v>
      </c>
      <c r="E2741" t="s">
        <v>921</v>
      </c>
      <c r="F2741" t="s">
        <v>1583</v>
      </c>
      <c r="I2741" t="s">
        <v>1058</v>
      </c>
      <c r="N2741" t="s">
        <v>209</v>
      </c>
      <c r="Q2741" s="2" t="str">
        <f>IF($C2741="","",IFERROR(VLOOKUP($C2741,sources!$A$2:$N$200,2,FALSE()),"?"))</f>
        <v>Photograph</v>
      </c>
      <c r="R2741" s="2" t="str">
        <f t="shared" si="42"/>
        <v>Image</v>
      </c>
      <c r="S2741" s="2" t="str">
        <f>IF($C2741="","",IFERROR(VLOOKUP($C2741,sources!$A$2:$N$200,9,FALSE()),"?"))</f>
        <v>US official</v>
      </c>
      <c r="T2741" t="s">
        <v>5692</v>
      </c>
      <c r="U2741">
        <f>IF(OR(B2741="",C2741="",T2741="Retracted",LEFT(D2741,8)="Negative"),0,IF(COUNTIFS($B$2:B2741,B2741,$C$2:C2741,C2741,$D$2:D2741,"&lt;&gt;Negative*",$T$2:T2741,"&lt;&gt;Retracted")=1,1,0))</f>
        <v>0</v>
      </c>
    </row>
    <row r="2742" spans="1:21" x14ac:dyDescent="0.2">
      <c r="A2742" t="s">
        <v>5056</v>
      </c>
      <c r="B2742" t="s">
        <v>979</v>
      </c>
      <c r="C2742" t="s">
        <v>1241</v>
      </c>
      <c r="D2742" t="s">
        <v>1613</v>
      </c>
      <c r="E2742" t="s">
        <v>981</v>
      </c>
      <c r="F2742" t="s">
        <v>1583</v>
      </c>
      <c r="I2742" t="s">
        <v>1058</v>
      </c>
      <c r="N2742" t="s">
        <v>209</v>
      </c>
      <c r="Q2742" s="2" t="str">
        <f>IF($C2742="","",IFERROR(VLOOKUP($C2742,sources!$A$2:$N$200,2,FALSE()),"?"))</f>
        <v>Photograph</v>
      </c>
      <c r="R2742" s="2" t="str">
        <f t="shared" si="42"/>
        <v>Image</v>
      </c>
      <c r="S2742" s="2" t="str">
        <f>IF($C2742="","",IFERROR(VLOOKUP($C2742,sources!$A$2:$N$200,9,FALSE()),"?"))</f>
        <v>US official</v>
      </c>
      <c r="T2742" t="s">
        <v>5692</v>
      </c>
      <c r="U2742">
        <f>IF(OR(B2742="",C2742="",T2742="Retracted",LEFT(D2742,8)="Negative"),0,IF(COUNTIFS($B$2:B2742,B2742,$C$2:C2742,C2742,$D$2:D2742,"&lt;&gt;Negative*",$T$2:T2742,"&lt;&gt;Retracted")=1,1,0))</f>
        <v>0</v>
      </c>
    </row>
    <row r="2743" spans="1:21" x14ac:dyDescent="0.2">
      <c r="A2743" t="s">
        <v>5057</v>
      </c>
      <c r="B2743" t="s">
        <v>983</v>
      </c>
      <c r="C2743" t="s">
        <v>1241</v>
      </c>
      <c r="D2743" t="s">
        <v>1564</v>
      </c>
      <c r="E2743" t="s">
        <v>5058</v>
      </c>
      <c r="F2743" t="s">
        <v>1583</v>
      </c>
      <c r="I2743" t="s">
        <v>1058</v>
      </c>
      <c r="K2743">
        <v>1936</v>
      </c>
      <c r="L2743">
        <v>1938</v>
      </c>
      <c r="M2743" t="s">
        <v>203</v>
      </c>
      <c r="N2743" t="s">
        <v>203</v>
      </c>
      <c r="Q2743" s="2" t="str">
        <f>IF($C2743="","",IFERROR(VLOOKUP($C2743,sources!$A$2:$N$200,2,FALSE()),"?"))</f>
        <v>Photograph</v>
      </c>
      <c r="R2743" s="2" t="str">
        <f t="shared" si="42"/>
        <v>Image</v>
      </c>
      <c r="S2743" s="2" t="str">
        <f>IF($C2743="","",IFERROR(VLOOKUP($C2743,sources!$A$2:$N$200,9,FALSE()),"?"))</f>
        <v>US official</v>
      </c>
      <c r="T2743" t="s">
        <v>5692</v>
      </c>
      <c r="U2743">
        <f>IF(OR(B2743="",C2743="",T2743="Retracted",LEFT(D2743,8)="Negative"),0,IF(COUNTIFS($B$2:B2743,B2743,$C$2:C2743,C2743,$D$2:D2743,"&lt;&gt;Negative*",$T$2:T2743,"&lt;&gt;Retracted")=1,1,0))</f>
        <v>1</v>
      </c>
    </row>
    <row r="2744" spans="1:21" x14ac:dyDescent="0.2">
      <c r="A2744" t="s">
        <v>5059</v>
      </c>
      <c r="B2744" t="s">
        <v>1017</v>
      </c>
      <c r="C2744" t="s">
        <v>1241</v>
      </c>
      <c r="D2744" t="s">
        <v>1613</v>
      </c>
      <c r="E2744" t="s">
        <v>5021</v>
      </c>
      <c r="F2744" t="s">
        <v>1583</v>
      </c>
      <c r="I2744" t="s">
        <v>1058</v>
      </c>
      <c r="N2744" t="s">
        <v>209</v>
      </c>
      <c r="Q2744" s="2" t="str">
        <f>IF($C2744="","",IFERROR(VLOOKUP($C2744,sources!$A$2:$N$200,2,FALSE()),"?"))</f>
        <v>Photograph</v>
      </c>
      <c r="R2744" s="2" t="str">
        <f t="shared" si="42"/>
        <v>Image</v>
      </c>
      <c r="S2744" s="2" t="str">
        <f>IF($C2744="","",IFERROR(VLOOKUP($C2744,sources!$A$2:$N$200,9,FALSE()),"?"))</f>
        <v>US official</v>
      </c>
      <c r="T2744" t="s">
        <v>5692</v>
      </c>
      <c r="U2744">
        <f>IF(OR(B2744="",C2744="",T2744="Retracted",LEFT(D2744,8)="Negative"),0,IF(COUNTIFS($B$2:B2744,B2744,$C$2:C2744,C2744,$D$2:D2744,"&lt;&gt;Negative*",$T$2:T2744,"&lt;&gt;Retracted")=1,1,0))</f>
        <v>0</v>
      </c>
    </row>
    <row r="2745" spans="1:21" x14ac:dyDescent="0.2">
      <c r="A2745" t="s">
        <v>5060</v>
      </c>
      <c r="B2745" t="s">
        <v>1002</v>
      </c>
      <c r="C2745" t="s">
        <v>1370</v>
      </c>
      <c r="D2745" t="s">
        <v>1572</v>
      </c>
      <c r="E2745" t="s">
        <v>5061</v>
      </c>
      <c r="F2745" t="s">
        <v>1583</v>
      </c>
      <c r="G2745">
        <v>9.3649539999999991</v>
      </c>
      <c r="H2745">
        <v>-79.910309999999996</v>
      </c>
      <c r="I2745" t="s">
        <v>3312</v>
      </c>
      <c r="J2745">
        <v>60</v>
      </c>
      <c r="K2745">
        <v>1940</v>
      </c>
      <c r="L2745">
        <v>1940</v>
      </c>
      <c r="M2745" t="s">
        <v>203</v>
      </c>
      <c r="N2745" t="s">
        <v>203</v>
      </c>
      <c r="Q2745" s="2" t="str">
        <f>IF($C2745="","",IFERROR(VLOOKUP($C2745,sources!$A$2:$N$200,2,FALSE()),"?"))</f>
        <v>Map</v>
      </c>
      <c r="R2745" s="2" t="str">
        <f t="shared" si="42"/>
        <v>Map</v>
      </c>
      <c r="S2745" s="2" t="str">
        <f>IF($C2745="","",IFERROR(VLOOKUP($C2745,sources!$A$2:$N$200,9,FALSE()),"?"))</f>
        <v>US official</v>
      </c>
      <c r="T2745" t="s">
        <v>5692</v>
      </c>
      <c r="U2745">
        <f>IF(OR(B2745="",C2745="",T2745="Retracted",LEFT(D2745,8)="Negative"),0,IF(COUNTIFS($B$2:B2745,B2745,$C$2:C2745,C2745,$D$2:D2745,"&lt;&gt;Negative*",$T$2:T2745,"&lt;&gt;Retracted")=1,1,0))</f>
        <v>0</v>
      </c>
    </row>
    <row r="2746" spans="1:21" x14ac:dyDescent="0.2">
      <c r="A2746" t="s">
        <v>5062</v>
      </c>
      <c r="B2746" t="s">
        <v>786</v>
      </c>
      <c r="C2746" t="s">
        <v>1379</v>
      </c>
      <c r="D2746" t="s">
        <v>1575</v>
      </c>
      <c r="E2746" t="s">
        <v>5063</v>
      </c>
      <c r="F2746" t="s">
        <v>1583</v>
      </c>
      <c r="I2746" t="s">
        <v>1058</v>
      </c>
      <c r="K2746">
        <v>1950</v>
      </c>
      <c r="L2746">
        <v>1950</v>
      </c>
      <c r="M2746" t="s">
        <v>209</v>
      </c>
      <c r="N2746" t="s">
        <v>209</v>
      </c>
      <c r="Q2746" s="2" t="str">
        <f>IF($C2746="","",IFERROR(VLOOKUP($C2746,sources!$A$2:$N$200,2,FALSE()),"?"))</f>
        <v>Map</v>
      </c>
      <c r="R2746" s="2" t="str">
        <f t="shared" si="42"/>
        <v>Map</v>
      </c>
      <c r="S2746" s="2" t="str">
        <f>IF($C2746="","",IFERROR(VLOOKUP($C2746,sources!$A$2:$N$200,9,FALSE()),"?"))</f>
        <v>US official</v>
      </c>
      <c r="T2746" t="s">
        <v>5693</v>
      </c>
      <c r="U2746">
        <f>IF(OR(B2746="",C2746="",T2746="Retracted",LEFT(D2746,8)="Negative"),0,IF(COUNTIFS($B$2:B2746,B2746,$C$2:C2746,C2746,$D$2:D2746,"&lt;&gt;Negative*",$T$2:T2746,"&lt;&gt;Retracted")=1,1,0))</f>
        <v>0</v>
      </c>
    </row>
    <row r="2747" spans="1:21" x14ac:dyDescent="0.2">
      <c r="A2747" t="s">
        <v>5064</v>
      </c>
      <c r="B2747" t="s">
        <v>824</v>
      </c>
      <c r="C2747" t="s">
        <v>1379</v>
      </c>
      <c r="D2747" t="s">
        <v>1575</v>
      </c>
      <c r="E2747" t="s">
        <v>5065</v>
      </c>
      <c r="F2747" t="s">
        <v>1583</v>
      </c>
      <c r="I2747" t="s">
        <v>1058</v>
      </c>
      <c r="K2747">
        <v>1950</v>
      </c>
      <c r="L2747">
        <v>1950</v>
      </c>
      <c r="M2747" t="s">
        <v>209</v>
      </c>
      <c r="N2747" t="s">
        <v>209</v>
      </c>
      <c r="Q2747" s="2" t="str">
        <f>IF($C2747="","",IFERROR(VLOOKUP($C2747,sources!$A$2:$N$200,2,FALSE()),"?"))</f>
        <v>Map</v>
      </c>
      <c r="R2747" s="2" t="str">
        <f t="shared" si="42"/>
        <v>Map</v>
      </c>
      <c r="S2747" s="2" t="str">
        <f>IF($C2747="","",IFERROR(VLOOKUP($C2747,sources!$A$2:$N$200,9,FALSE()),"?"))</f>
        <v>US official</v>
      </c>
      <c r="T2747" t="s">
        <v>5692</v>
      </c>
      <c r="U2747">
        <f>IF(OR(B2747="",C2747="",T2747="Retracted",LEFT(D2747,8)="Negative"),0,IF(COUNTIFS($B$2:B2747,B2747,$C$2:C2747,C2747,$D$2:D2747,"&lt;&gt;Negative*",$T$2:T2747,"&lt;&gt;Retracted")=1,1,0))</f>
        <v>1</v>
      </c>
    </row>
    <row r="2748" spans="1:21" x14ac:dyDescent="0.2">
      <c r="A2748" t="s">
        <v>5066</v>
      </c>
      <c r="B2748" t="s">
        <v>839</v>
      </c>
      <c r="C2748" t="s">
        <v>1379</v>
      </c>
      <c r="D2748" t="s">
        <v>1575</v>
      </c>
      <c r="E2748" t="s">
        <v>5067</v>
      </c>
      <c r="F2748" t="s">
        <v>1583</v>
      </c>
      <c r="I2748" t="s">
        <v>1058</v>
      </c>
      <c r="K2748">
        <v>1950</v>
      </c>
      <c r="L2748">
        <v>1950</v>
      </c>
      <c r="M2748" t="s">
        <v>209</v>
      </c>
      <c r="N2748" t="s">
        <v>209</v>
      </c>
      <c r="Q2748" s="2" t="str">
        <f>IF($C2748="","",IFERROR(VLOOKUP($C2748,sources!$A$2:$N$200,2,FALSE()),"?"))</f>
        <v>Map</v>
      </c>
      <c r="R2748" s="2" t="str">
        <f t="shared" si="42"/>
        <v>Map</v>
      </c>
      <c r="S2748" s="2" t="str">
        <f>IF($C2748="","",IFERROR(VLOOKUP($C2748,sources!$A$2:$N$200,9,FALSE()),"?"))</f>
        <v>US official</v>
      </c>
      <c r="T2748" t="s">
        <v>5692</v>
      </c>
      <c r="U2748">
        <f>IF(OR(B2748="",C2748="",T2748="Retracted",LEFT(D2748,8)="Negative"),0,IF(COUNTIFS($B$2:B2748,B2748,$C$2:C2748,C2748,$D$2:D2748,"&lt;&gt;Negative*",$T$2:T2748,"&lt;&gt;Retracted")=1,1,0))</f>
        <v>1</v>
      </c>
    </row>
    <row r="2749" spans="1:21" x14ac:dyDescent="0.2">
      <c r="A2749" t="s">
        <v>5068</v>
      </c>
      <c r="B2749" t="s">
        <v>844</v>
      </c>
      <c r="C2749" t="s">
        <v>1379</v>
      </c>
      <c r="D2749" t="s">
        <v>1575</v>
      </c>
      <c r="E2749" t="s">
        <v>5069</v>
      </c>
      <c r="F2749" t="s">
        <v>1583</v>
      </c>
      <c r="I2749" t="s">
        <v>1058</v>
      </c>
      <c r="K2749">
        <v>1950</v>
      </c>
      <c r="L2749">
        <v>1950</v>
      </c>
      <c r="M2749" t="s">
        <v>209</v>
      </c>
      <c r="N2749" t="s">
        <v>209</v>
      </c>
      <c r="Q2749" s="2" t="str">
        <f>IF($C2749="","",IFERROR(VLOOKUP($C2749,sources!$A$2:$N$200,2,FALSE()),"?"))</f>
        <v>Map</v>
      </c>
      <c r="R2749" s="2" t="str">
        <f t="shared" si="42"/>
        <v>Map</v>
      </c>
      <c r="S2749" s="2" t="str">
        <f>IF($C2749="","",IFERROR(VLOOKUP($C2749,sources!$A$2:$N$200,9,FALSE()),"?"))</f>
        <v>US official</v>
      </c>
      <c r="T2749" t="s">
        <v>5693</v>
      </c>
      <c r="U2749">
        <f>IF(OR(B2749="",C2749="",T2749="Retracted",LEFT(D2749,8)="Negative"),0,IF(COUNTIFS($B$2:B2749,B2749,$C$2:C2749,C2749,$D$2:D2749,"&lt;&gt;Negative*",$T$2:T2749,"&lt;&gt;Retracted")=1,1,0))</f>
        <v>0</v>
      </c>
    </row>
    <row r="2750" spans="1:21" x14ac:dyDescent="0.2">
      <c r="A2750" t="s">
        <v>5070</v>
      </c>
      <c r="B2750" t="s">
        <v>847</v>
      </c>
      <c r="C2750" t="s">
        <v>1379</v>
      </c>
      <c r="D2750" t="s">
        <v>1575</v>
      </c>
      <c r="E2750" t="s">
        <v>5071</v>
      </c>
      <c r="F2750" t="s">
        <v>1583</v>
      </c>
      <c r="I2750" t="s">
        <v>1058</v>
      </c>
      <c r="K2750">
        <v>1950</v>
      </c>
      <c r="L2750">
        <v>1950</v>
      </c>
      <c r="M2750" t="s">
        <v>209</v>
      </c>
      <c r="N2750" t="s">
        <v>209</v>
      </c>
      <c r="Q2750" s="2" t="str">
        <f>IF($C2750="","",IFERROR(VLOOKUP($C2750,sources!$A$2:$N$200,2,FALSE()),"?"))</f>
        <v>Map</v>
      </c>
      <c r="R2750" s="2" t="str">
        <f t="shared" si="42"/>
        <v>Map</v>
      </c>
      <c r="S2750" s="2" t="str">
        <f>IF($C2750="","",IFERROR(VLOOKUP($C2750,sources!$A$2:$N$200,9,FALSE()),"?"))</f>
        <v>US official</v>
      </c>
      <c r="T2750" t="s">
        <v>5693</v>
      </c>
      <c r="U2750">
        <f>IF(OR(B2750="",C2750="",T2750="Retracted",LEFT(D2750,8)="Negative"),0,IF(COUNTIFS($B$2:B2750,B2750,$C$2:C2750,C2750,$D$2:D2750,"&lt;&gt;Negative*",$T$2:T2750,"&lt;&gt;Retracted")=1,1,0))</f>
        <v>0</v>
      </c>
    </row>
    <row r="2751" spans="1:21" x14ac:dyDescent="0.2">
      <c r="A2751" t="s">
        <v>5072</v>
      </c>
      <c r="B2751" t="s">
        <v>883</v>
      </c>
      <c r="C2751" t="s">
        <v>1379</v>
      </c>
      <c r="D2751" t="s">
        <v>1575</v>
      </c>
      <c r="E2751" t="s">
        <v>5073</v>
      </c>
      <c r="F2751" t="s">
        <v>1583</v>
      </c>
      <c r="I2751" t="s">
        <v>1058</v>
      </c>
      <c r="K2751">
        <v>1950</v>
      </c>
      <c r="L2751">
        <v>1950</v>
      </c>
      <c r="M2751" t="s">
        <v>209</v>
      </c>
      <c r="N2751" t="s">
        <v>209</v>
      </c>
      <c r="Q2751" s="2" t="str">
        <f>IF($C2751="","",IFERROR(VLOOKUP($C2751,sources!$A$2:$N$200,2,FALSE()),"?"))</f>
        <v>Map</v>
      </c>
      <c r="R2751" s="2" t="str">
        <f t="shared" si="42"/>
        <v>Map</v>
      </c>
      <c r="S2751" s="2" t="str">
        <f>IF($C2751="","",IFERROR(VLOOKUP($C2751,sources!$A$2:$N$200,9,FALSE()),"?"))</f>
        <v>US official</v>
      </c>
      <c r="T2751" t="s">
        <v>5692</v>
      </c>
      <c r="U2751">
        <f>IF(OR(B2751="",C2751="",T2751="Retracted",LEFT(D2751,8)="Negative"),0,IF(COUNTIFS($B$2:B2751,B2751,$C$2:C2751,C2751,$D$2:D2751,"&lt;&gt;Negative*",$T$2:T2751,"&lt;&gt;Retracted")=1,1,0))</f>
        <v>1</v>
      </c>
    </row>
    <row r="2752" spans="1:21" x14ac:dyDescent="0.2">
      <c r="A2752" t="s">
        <v>5074</v>
      </c>
      <c r="B2752" t="s">
        <v>994</v>
      </c>
      <c r="C2752" t="s">
        <v>1379</v>
      </c>
      <c r="D2752" t="s">
        <v>1575</v>
      </c>
      <c r="E2752" t="s">
        <v>5075</v>
      </c>
      <c r="F2752" t="s">
        <v>1583</v>
      </c>
      <c r="I2752" t="s">
        <v>1058</v>
      </c>
      <c r="K2752">
        <v>1950</v>
      </c>
      <c r="L2752">
        <v>1950</v>
      </c>
      <c r="M2752" t="s">
        <v>209</v>
      </c>
      <c r="N2752" t="s">
        <v>209</v>
      </c>
      <c r="Q2752" s="2" t="str">
        <f>IF($C2752="","",IFERROR(VLOOKUP($C2752,sources!$A$2:$N$200,2,FALSE()),"?"))</f>
        <v>Map</v>
      </c>
      <c r="R2752" s="2" t="str">
        <f t="shared" si="42"/>
        <v>Map</v>
      </c>
      <c r="S2752" s="2" t="str">
        <f>IF($C2752="","",IFERROR(VLOOKUP($C2752,sources!$A$2:$N$200,9,FALSE()),"?"))</f>
        <v>US official</v>
      </c>
      <c r="T2752" t="s">
        <v>5693</v>
      </c>
      <c r="U2752">
        <f>IF(OR(B2752="",C2752="",T2752="Retracted",LEFT(D2752,8)="Negative"),0,IF(COUNTIFS($B$2:B2752,B2752,$C$2:C2752,C2752,$D$2:D2752,"&lt;&gt;Negative*",$T$2:T2752,"&lt;&gt;Retracted")=1,1,0))</f>
        <v>0</v>
      </c>
    </row>
    <row r="2753" spans="1:21" x14ac:dyDescent="0.2">
      <c r="A2753" t="s">
        <v>5076</v>
      </c>
      <c r="B2753" t="s">
        <v>819</v>
      </c>
      <c r="C2753" t="s">
        <v>1379</v>
      </c>
      <c r="D2753" t="s">
        <v>1613</v>
      </c>
      <c r="E2753" t="s">
        <v>820</v>
      </c>
      <c r="F2753" t="s">
        <v>1583</v>
      </c>
      <c r="I2753" t="s">
        <v>1058</v>
      </c>
      <c r="K2753">
        <v>1950</v>
      </c>
      <c r="L2753">
        <v>1950</v>
      </c>
      <c r="M2753" t="s">
        <v>209</v>
      </c>
      <c r="N2753" t="s">
        <v>209</v>
      </c>
      <c r="Q2753" s="2" t="str">
        <f>IF($C2753="","",IFERROR(VLOOKUP($C2753,sources!$A$2:$N$200,2,FALSE()),"?"))</f>
        <v>Map</v>
      </c>
      <c r="R2753" s="2" t="str">
        <f t="shared" si="42"/>
        <v>Map</v>
      </c>
      <c r="S2753" s="2" t="str">
        <f>IF($C2753="","",IFERROR(VLOOKUP($C2753,sources!$A$2:$N$200,9,FALSE()),"?"))</f>
        <v>US official</v>
      </c>
      <c r="T2753" t="s">
        <v>5692</v>
      </c>
      <c r="U2753">
        <f>IF(OR(B2753="",C2753="",T2753="Retracted",LEFT(D2753,8)="Negative"),0,IF(COUNTIFS($B$2:B2753,B2753,$C$2:C2753,C2753,$D$2:D2753,"&lt;&gt;Negative*",$T$2:T2753,"&lt;&gt;Retracted")=1,1,0))</f>
        <v>0</v>
      </c>
    </row>
    <row r="2754" spans="1:21" x14ac:dyDescent="0.2">
      <c r="A2754" t="s">
        <v>5077</v>
      </c>
      <c r="B2754" t="s">
        <v>828</v>
      </c>
      <c r="C2754" t="s">
        <v>1379</v>
      </c>
      <c r="D2754" t="s">
        <v>1613</v>
      </c>
      <c r="E2754" t="s">
        <v>829</v>
      </c>
      <c r="F2754" t="s">
        <v>1583</v>
      </c>
      <c r="I2754" t="s">
        <v>1058</v>
      </c>
      <c r="K2754">
        <v>1950</v>
      </c>
      <c r="L2754">
        <v>1950</v>
      </c>
      <c r="M2754" t="s">
        <v>209</v>
      </c>
      <c r="N2754" t="s">
        <v>209</v>
      </c>
      <c r="Q2754" s="2" t="str">
        <f>IF($C2754="","",IFERROR(VLOOKUP($C2754,sources!$A$2:$N$200,2,FALSE()),"?"))</f>
        <v>Map</v>
      </c>
      <c r="R2754" s="2" t="str">
        <f t="shared" ref="R2754:R2817" si="43">IF($Q2754="","",IF($Q2754="Map","Map",IF(OR($Q2754="Photograph",$Q2754="Postcard"),"Image",IF(OR($Q2754="Census or roll",$Q2754="Report",$Q2754="Newspaper",$Q2754="Letter",$Q2754="Memoir",$Q2754="Administrative",$Q2754="Web compilation"),"Textual",IF($Q2754="Legal claim","Legal/admin",IF($Q2754="Secondary","Secondary","Other"))))))</f>
        <v>Map</v>
      </c>
      <c r="S2754" s="2" t="str">
        <f>IF($C2754="","",IFERROR(VLOOKUP($C2754,sources!$A$2:$N$200,9,FALSE()),"?"))</f>
        <v>US official</v>
      </c>
      <c r="T2754" t="s">
        <v>5692</v>
      </c>
      <c r="U2754">
        <f>IF(OR(B2754="",C2754="",T2754="Retracted",LEFT(D2754,8)="Negative"),0,IF(COUNTIFS($B$2:B2754,B2754,$C$2:C2754,C2754,$D$2:D2754,"&lt;&gt;Negative*",$T$2:T2754,"&lt;&gt;Retracted")=1,1,0))</f>
        <v>0</v>
      </c>
    </row>
    <row r="2755" spans="1:21" x14ac:dyDescent="0.2">
      <c r="A2755" t="s">
        <v>5078</v>
      </c>
      <c r="B2755" t="s">
        <v>832</v>
      </c>
      <c r="C2755" t="s">
        <v>1379</v>
      </c>
      <c r="D2755" t="s">
        <v>1613</v>
      </c>
      <c r="E2755" t="s">
        <v>833</v>
      </c>
      <c r="F2755" t="s">
        <v>1583</v>
      </c>
      <c r="I2755" t="s">
        <v>1058</v>
      </c>
      <c r="K2755">
        <v>1950</v>
      </c>
      <c r="L2755">
        <v>1950</v>
      </c>
      <c r="M2755" t="s">
        <v>209</v>
      </c>
      <c r="N2755" t="s">
        <v>209</v>
      </c>
      <c r="Q2755" s="2" t="str">
        <f>IF($C2755="","",IFERROR(VLOOKUP($C2755,sources!$A$2:$N$200,2,FALSE()),"?"))</f>
        <v>Map</v>
      </c>
      <c r="R2755" s="2" t="str">
        <f t="shared" si="43"/>
        <v>Map</v>
      </c>
      <c r="S2755" s="2" t="str">
        <f>IF($C2755="","",IFERROR(VLOOKUP($C2755,sources!$A$2:$N$200,9,FALSE()),"?"))</f>
        <v>US official</v>
      </c>
      <c r="T2755" t="s">
        <v>5692</v>
      </c>
      <c r="U2755">
        <f>IF(OR(B2755="",C2755="",T2755="Retracted",LEFT(D2755,8)="Negative"),0,IF(COUNTIFS($B$2:B2755,B2755,$C$2:C2755,C2755,$D$2:D2755,"&lt;&gt;Negative*",$T$2:T2755,"&lt;&gt;Retracted")=1,1,0))</f>
        <v>0</v>
      </c>
    </row>
    <row r="2756" spans="1:21" x14ac:dyDescent="0.2">
      <c r="A2756" t="s">
        <v>5079</v>
      </c>
      <c r="B2756" t="s">
        <v>835</v>
      </c>
      <c r="C2756" t="s">
        <v>1379</v>
      </c>
      <c r="D2756" t="s">
        <v>1613</v>
      </c>
      <c r="E2756" t="s">
        <v>504</v>
      </c>
      <c r="F2756" t="s">
        <v>1583</v>
      </c>
      <c r="I2756" t="s">
        <v>1058</v>
      </c>
      <c r="K2756">
        <v>1950</v>
      </c>
      <c r="L2756">
        <v>1950</v>
      </c>
      <c r="M2756" t="s">
        <v>209</v>
      </c>
      <c r="N2756" t="s">
        <v>209</v>
      </c>
      <c r="Q2756" s="2" t="str">
        <f>IF($C2756="","",IFERROR(VLOOKUP($C2756,sources!$A$2:$N$200,2,FALSE()),"?"))</f>
        <v>Map</v>
      </c>
      <c r="R2756" s="2" t="str">
        <f t="shared" si="43"/>
        <v>Map</v>
      </c>
      <c r="S2756" s="2" t="str">
        <f>IF($C2756="","",IFERROR(VLOOKUP($C2756,sources!$A$2:$N$200,9,FALSE()),"?"))</f>
        <v>US official</v>
      </c>
      <c r="T2756" t="s">
        <v>5692</v>
      </c>
      <c r="U2756">
        <f>IF(OR(B2756="",C2756="",T2756="Retracted",LEFT(D2756,8)="Negative"),0,IF(COUNTIFS($B$2:B2756,B2756,$C$2:C2756,C2756,$D$2:D2756,"&lt;&gt;Negative*",$T$2:T2756,"&lt;&gt;Retracted")=1,1,0))</f>
        <v>0</v>
      </c>
    </row>
    <row r="2757" spans="1:21" x14ac:dyDescent="0.2">
      <c r="A2757" t="s">
        <v>5080</v>
      </c>
      <c r="B2757" t="s">
        <v>892</v>
      </c>
      <c r="C2757" t="s">
        <v>1379</v>
      </c>
      <c r="D2757" t="s">
        <v>1613</v>
      </c>
      <c r="E2757" t="s">
        <v>893</v>
      </c>
      <c r="F2757" t="s">
        <v>1583</v>
      </c>
      <c r="I2757" t="s">
        <v>1058</v>
      </c>
      <c r="K2757">
        <v>1950</v>
      </c>
      <c r="L2757">
        <v>1950</v>
      </c>
      <c r="M2757" t="s">
        <v>209</v>
      </c>
      <c r="N2757" t="s">
        <v>209</v>
      </c>
      <c r="Q2757" s="2" t="str">
        <f>IF($C2757="","",IFERROR(VLOOKUP($C2757,sources!$A$2:$N$200,2,FALSE()),"?"))</f>
        <v>Map</v>
      </c>
      <c r="R2757" s="2" t="str">
        <f t="shared" si="43"/>
        <v>Map</v>
      </c>
      <c r="S2757" s="2" t="str">
        <f>IF($C2757="","",IFERROR(VLOOKUP($C2757,sources!$A$2:$N$200,9,FALSE()),"?"))</f>
        <v>US official</v>
      </c>
      <c r="T2757" t="s">
        <v>5692</v>
      </c>
      <c r="U2757">
        <f>IF(OR(B2757="",C2757="",T2757="Retracted",LEFT(D2757,8)="Negative"),0,IF(COUNTIFS($B$2:B2757,B2757,$C$2:C2757,C2757,$D$2:D2757,"&lt;&gt;Negative*",$T$2:T2757,"&lt;&gt;Retracted")=1,1,0))</f>
        <v>0</v>
      </c>
    </row>
    <row r="2758" spans="1:21" x14ac:dyDescent="0.2">
      <c r="A2758" t="s">
        <v>5081</v>
      </c>
      <c r="B2758" t="s">
        <v>896</v>
      </c>
      <c r="C2758" t="s">
        <v>1379</v>
      </c>
      <c r="D2758" t="s">
        <v>1613</v>
      </c>
      <c r="E2758" t="s">
        <v>897</v>
      </c>
      <c r="F2758" t="s">
        <v>1583</v>
      </c>
      <c r="I2758" t="s">
        <v>1058</v>
      </c>
      <c r="K2758">
        <v>1950</v>
      </c>
      <c r="L2758">
        <v>1950</v>
      </c>
      <c r="M2758" t="s">
        <v>209</v>
      </c>
      <c r="N2758" t="s">
        <v>209</v>
      </c>
      <c r="Q2758" s="2" t="str">
        <f>IF($C2758="","",IFERROR(VLOOKUP($C2758,sources!$A$2:$N$200,2,FALSE()),"?"))</f>
        <v>Map</v>
      </c>
      <c r="R2758" s="2" t="str">
        <f t="shared" si="43"/>
        <v>Map</v>
      </c>
      <c r="S2758" s="2" t="str">
        <f>IF($C2758="","",IFERROR(VLOOKUP($C2758,sources!$A$2:$N$200,9,FALSE()),"?"))</f>
        <v>US official</v>
      </c>
      <c r="T2758" t="s">
        <v>5692</v>
      </c>
      <c r="U2758">
        <f>IF(OR(B2758="",C2758="",T2758="Retracted",LEFT(D2758,8)="Negative"),0,IF(COUNTIFS($B$2:B2758,B2758,$C$2:C2758,C2758,$D$2:D2758,"&lt;&gt;Negative*",$T$2:T2758,"&lt;&gt;Retracted")=1,1,0))</f>
        <v>0</v>
      </c>
    </row>
    <row r="2759" spans="1:21" x14ac:dyDescent="0.2">
      <c r="A2759" t="s">
        <v>5082</v>
      </c>
      <c r="B2759" t="s">
        <v>899</v>
      </c>
      <c r="C2759" t="s">
        <v>1379</v>
      </c>
      <c r="D2759" t="s">
        <v>1613</v>
      </c>
      <c r="E2759" t="s">
        <v>900</v>
      </c>
      <c r="F2759" t="s">
        <v>1583</v>
      </c>
      <c r="I2759" t="s">
        <v>1058</v>
      </c>
      <c r="K2759">
        <v>1950</v>
      </c>
      <c r="L2759">
        <v>1950</v>
      </c>
      <c r="M2759" t="s">
        <v>209</v>
      </c>
      <c r="N2759" t="s">
        <v>209</v>
      </c>
      <c r="Q2759" s="2" t="str">
        <f>IF($C2759="","",IFERROR(VLOOKUP($C2759,sources!$A$2:$N$200,2,FALSE()),"?"))</f>
        <v>Map</v>
      </c>
      <c r="R2759" s="2" t="str">
        <f t="shared" si="43"/>
        <v>Map</v>
      </c>
      <c r="S2759" s="2" t="str">
        <f>IF($C2759="","",IFERROR(VLOOKUP($C2759,sources!$A$2:$N$200,9,FALSE()),"?"))</f>
        <v>US official</v>
      </c>
      <c r="T2759" t="s">
        <v>5692</v>
      </c>
      <c r="U2759">
        <f>IF(OR(B2759="",C2759="",T2759="Retracted",LEFT(D2759,8)="Negative"),0,IF(COUNTIFS($B$2:B2759,B2759,$C$2:C2759,C2759,$D$2:D2759,"&lt;&gt;Negative*",$T$2:T2759,"&lt;&gt;Retracted")=1,1,0))</f>
        <v>0</v>
      </c>
    </row>
    <row r="2760" spans="1:21" x14ac:dyDescent="0.2">
      <c r="A2760" t="s">
        <v>5083</v>
      </c>
      <c r="B2760" t="s">
        <v>910</v>
      </c>
      <c r="C2760" t="s">
        <v>1379</v>
      </c>
      <c r="D2760" t="s">
        <v>1613</v>
      </c>
      <c r="E2760" t="s">
        <v>911</v>
      </c>
      <c r="F2760" t="s">
        <v>1583</v>
      </c>
      <c r="I2760" t="s">
        <v>1058</v>
      </c>
      <c r="K2760">
        <v>1950</v>
      </c>
      <c r="L2760">
        <v>1950</v>
      </c>
      <c r="M2760" t="s">
        <v>209</v>
      </c>
      <c r="N2760" t="s">
        <v>209</v>
      </c>
      <c r="Q2760" s="2" t="str">
        <f>IF($C2760="","",IFERROR(VLOOKUP($C2760,sources!$A$2:$N$200,2,FALSE()),"?"))</f>
        <v>Map</v>
      </c>
      <c r="R2760" s="2" t="str">
        <f t="shared" si="43"/>
        <v>Map</v>
      </c>
      <c r="S2760" s="2" t="str">
        <f>IF($C2760="","",IFERROR(VLOOKUP($C2760,sources!$A$2:$N$200,9,FALSE()),"?"))</f>
        <v>US official</v>
      </c>
      <c r="T2760" t="s">
        <v>5692</v>
      </c>
      <c r="U2760">
        <f>IF(OR(B2760="",C2760="",T2760="Retracted",LEFT(D2760,8)="Negative"),0,IF(COUNTIFS($B$2:B2760,B2760,$C$2:C2760,C2760,$D$2:D2760,"&lt;&gt;Negative*",$T$2:T2760,"&lt;&gt;Retracted")=1,1,0))</f>
        <v>0</v>
      </c>
    </row>
    <row r="2761" spans="1:21" x14ac:dyDescent="0.2">
      <c r="A2761" t="s">
        <v>5084</v>
      </c>
      <c r="B2761" t="s">
        <v>914</v>
      </c>
      <c r="C2761" t="s">
        <v>1379</v>
      </c>
      <c r="D2761" t="s">
        <v>1613</v>
      </c>
      <c r="E2761" t="s">
        <v>915</v>
      </c>
      <c r="F2761" t="s">
        <v>1583</v>
      </c>
      <c r="I2761" t="s">
        <v>1058</v>
      </c>
      <c r="K2761">
        <v>1950</v>
      </c>
      <c r="L2761">
        <v>1950</v>
      </c>
      <c r="M2761" t="s">
        <v>209</v>
      </c>
      <c r="N2761" t="s">
        <v>209</v>
      </c>
      <c r="Q2761" s="2" t="str">
        <f>IF($C2761="","",IFERROR(VLOOKUP($C2761,sources!$A$2:$N$200,2,FALSE()),"?"))</f>
        <v>Map</v>
      </c>
      <c r="R2761" s="2" t="str">
        <f t="shared" si="43"/>
        <v>Map</v>
      </c>
      <c r="S2761" s="2" t="str">
        <f>IF($C2761="","",IFERROR(VLOOKUP($C2761,sources!$A$2:$N$200,9,FALSE()),"?"))</f>
        <v>US official</v>
      </c>
      <c r="T2761" t="s">
        <v>5692</v>
      </c>
      <c r="U2761">
        <f>IF(OR(B2761="",C2761="",T2761="Retracted",LEFT(D2761,8)="Negative"),0,IF(COUNTIFS($B$2:B2761,B2761,$C$2:C2761,C2761,$D$2:D2761,"&lt;&gt;Negative*",$T$2:T2761,"&lt;&gt;Retracted")=1,1,0))</f>
        <v>0</v>
      </c>
    </row>
    <row r="2762" spans="1:21" x14ac:dyDescent="0.2">
      <c r="A2762" t="s">
        <v>5085</v>
      </c>
      <c r="B2762" t="s">
        <v>917</v>
      </c>
      <c r="C2762" t="s">
        <v>1379</v>
      </c>
      <c r="D2762" t="s">
        <v>1613</v>
      </c>
      <c r="E2762" t="s">
        <v>918</v>
      </c>
      <c r="F2762" t="s">
        <v>1583</v>
      </c>
      <c r="I2762" t="s">
        <v>1058</v>
      </c>
      <c r="K2762">
        <v>1950</v>
      </c>
      <c r="L2762">
        <v>1950</v>
      </c>
      <c r="M2762" t="s">
        <v>209</v>
      </c>
      <c r="N2762" t="s">
        <v>209</v>
      </c>
      <c r="Q2762" s="2" t="str">
        <f>IF($C2762="","",IFERROR(VLOOKUP($C2762,sources!$A$2:$N$200,2,FALSE()),"?"))</f>
        <v>Map</v>
      </c>
      <c r="R2762" s="2" t="str">
        <f t="shared" si="43"/>
        <v>Map</v>
      </c>
      <c r="S2762" s="2" t="str">
        <f>IF($C2762="","",IFERROR(VLOOKUP($C2762,sources!$A$2:$N$200,9,FALSE()),"?"))</f>
        <v>US official</v>
      </c>
      <c r="T2762" t="s">
        <v>5692</v>
      </c>
      <c r="U2762">
        <f>IF(OR(B2762="",C2762="",T2762="Retracted",LEFT(D2762,8)="Negative"),0,IF(COUNTIFS($B$2:B2762,B2762,$C$2:C2762,C2762,$D$2:D2762,"&lt;&gt;Negative*",$T$2:T2762,"&lt;&gt;Retracted")=1,1,0))</f>
        <v>0</v>
      </c>
    </row>
    <row r="2763" spans="1:21" x14ac:dyDescent="0.2">
      <c r="A2763" t="s">
        <v>5086</v>
      </c>
      <c r="B2763" t="s">
        <v>920</v>
      </c>
      <c r="C2763" t="s">
        <v>1379</v>
      </c>
      <c r="D2763" t="s">
        <v>1613</v>
      </c>
      <c r="E2763" t="s">
        <v>921</v>
      </c>
      <c r="F2763" t="s">
        <v>1583</v>
      </c>
      <c r="I2763" t="s">
        <v>1058</v>
      </c>
      <c r="K2763">
        <v>1950</v>
      </c>
      <c r="L2763">
        <v>1950</v>
      </c>
      <c r="M2763" t="s">
        <v>209</v>
      </c>
      <c r="N2763" t="s">
        <v>209</v>
      </c>
      <c r="Q2763" s="2" t="str">
        <f>IF($C2763="","",IFERROR(VLOOKUP($C2763,sources!$A$2:$N$200,2,FALSE()),"?"))</f>
        <v>Map</v>
      </c>
      <c r="R2763" s="2" t="str">
        <f t="shared" si="43"/>
        <v>Map</v>
      </c>
      <c r="S2763" s="2" t="str">
        <f>IF($C2763="","",IFERROR(VLOOKUP($C2763,sources!$A$2:$N$200,9,FALSE()),"?"))</f>
        <v>US official</v>
      </c>
      <c r="T2763" t="s">
        <v>5692</v>
      </c>
      <c r="U2763">
        <f>IF(OR(B2763="",C2763="",T2763="Retracted",LEFT(D2763,8)="Negative"),0,IF(COUNTIFS($B$2:B2763,B2763,$C$2:C2763,C2763,$D$2:D2763,"&lt;&gt;Negative*",$T$2:T2763,"&lt;&gt;Retracted")=1,1,0))</f>
        <v>0</v>
      </c>
    </row>
    <row r="2764" spans="1:21" x14ac:dyDescent="0.2">
      <c r="A2764" t="s">
        <v>5087</v>
      </c>
      <c r="B2764" t="s">
        <v>924</v>
      </c>
      <c r="C2764" t="s">
        <v>1379</v>
      </c>
      <c r="D2764" t="s">
        <v>1613</v>
      </c>
      <c r="E2764" t="s">
        <v>925</v>
      </c>
      <c r="F2764" t="s">
        <v>1583</v>
      </c>
      <c r="I2764" t="s">
        <v>1058</v>
      </c>
      <c r="K2764">
        <v>1950</v>
      </c>
      <c r="L2764">
        <v>1950</v>
      </c>
      <c r="M2764" t="s">
        <v>209</v>
      </c>
      <c r="N2764" t="s">
        <v>209</v>
      </c>
      <c r="Q2764" s="2" t="str">
        <f>IF($C2764="","",IFERROR(VLOOKUP($C2764,sources!$A$2:$N$200,2,FALSE()),"?"))</f>
        <v>Map</v>
      </c>
      <c r="R2764" s="2" t="str">
        <f t="shared" si="43"/>
        <v>Map</v>
      </c>
      <c r="S2764" s="2" t="str">
        <f>IF($C2764="","",IFERROR(VLOOKUP($C2764,sources!$A$2:$N$200,9,FALSE()),"?"))</f>
        <v>US official</v>
      </c>
      <c r="T2764" t="s">
        <v>5692</v>
      </c>
      <c r="U2764">
        <f>IF(OR(B2764="",C2764="",T2764="Retracted",LEFT(D2764,8)="Negative"),0,IF(COUNTIFS($B$2:B2764,B2764,$C$2:C2764,C2764,$D$2:D2764,"&lt;&gt;Negative*",$T$2:T2764,"&lt;&gt;Retracted")=1,1,0))</f>
        <v>0</v>
      </c>
    </row>
    <row r="2765" spans="1:21" x14ac:dyDescent="0.2">
      <c r="A2765" t="s">
        <v>5088</v>
      </c>
      <c r="B2765" t="s">
        <v>928</v>
      </c>
      <c r="C2765" t="s">
        <v>1379</v>
      </c>
      <c r="D2765" t="s">
        <v>1613</v>
      </c>
      <c r="E2765" t="s">
        <v>929</v>
      </c>
      <c r="F2765" t="s">
        <v>1583</v>
      </c>
      <c r="I2765" t="s">
        <v>1058</v>
      </c>
      <c r="K2765">
        <v>1950</v>
      </c>
      <c r="L2765">
        <v>1950</v>
      </c>
      <c r="M2765" t="s">
        <v>209</v>
      </c>
      <c r="N2765" t="s">
        <v>209</v>
      </c>
      <c r="Q2765" s="2" t="str">
        <f>IF($C2765="","",IFERROR(VLOOKUP($C2765,sources!$A$2:$N$200,2,FALSE()),"?"))</f>
        <v>Map</v>
      </c>
      <c r="R2765" s="2" t="str">
        <f t="shared" si="43"/>
        <v>Map</v>
      </c>
      <c r="S2765" s="2" t="str">
        <f>IF($C2765="","",IFERROR(VLOOKUP($C2765,sources!$A$2:$N$200,9,FALSE()),"?"))</f>
        <v>US official</v>
      </c>
      <c r="T2765" t="s">
        <v>5692</v>
      </c>
      <c r="U2765">
        <f>IF(OR(B2765="",C2765="",T2765="Retracted",LEFT(D2765,8)="Negative"),0,IF(COUNTIFS($B$2:B2765,B2765,$C$2:C2765,C2765,$D$2:D2765,"&lt;&gt;Negative*",$T$2:T2765,"&lt;&gt;Retracted")=1,1,0))</f>
        <v>0</v>
      </c>
    </row>
    <row r="2766" spans="1:21" x14ac:dyDescent="0.2">
      <c r="A2766" t="s">
        <v>5089</v>
      </c>
      <c r="B2766" t="s">
        <v>1026</v>
      </c>
      <c r="C2766" t="s">
        <v>1379</v>
      </c>
      <c r="D2766" t="s">
        <v>1613</v>
      </c>
      <c r="E2766" t="s">
        <v>1027</v>
      </c>
      <c r="F2766" t="s">
        <v>1583</v>
      </c>
      <c r="I2766" t="s">
        <v>1058</v>
      </c>
      <c r="K2766">
        <v>1950</v>
      </c>
      <c r="L2766">
        <v>1950</v>
      </c>
      <c r="M2766" t="s">
        <v>209</v>
      </c>
      <c r="N2766" t="s">
        <v>209</v>
      </c>
      <c r="Q2766" s="2" t="str">
        <f>IF($C2766="","",IFERROR(VLOOKUP($C2766,sources!$A$2:$N$200,2,FALSE()),"?"))</f>
        <v>Map</v>
      </c>
      <c r="R2766" s="2" t="str">
        <f t="shared" si="43"/>
        <v>Map</v>
      </c>
      <c r="S2766" s="2" t="str">
        <f>IF($C2766="","",IFERROR(VLOOKUP($C2766,sources!$A$2:$N$200,9,FALSE()),"?"))</f>
        <v>US official</v>
      </c>
      <c r="T2766" t="s">
        <v>5692</v>
      </c>
      <c r="U2766">
        <f>IF(OR(B2766="",C2766="",T2766="Retracted",LEFT(D2766,8)="Negative"),0,IF(COUNTIFS($B$2:B2766,B2766,$C$2:C2766,C2766,$D$2:D2766,"&lt;&gt;Negative*",$T$2:T2766,"&lt;&gt;Retracted")=1,1,0))</f>
        <v>0</v>
      </c>
    </row>
    <row r="2767" spans="1:21" x14ac:dyDescent="0.2">
      <c r="A2767" t="s">
        <v>5090</v>
      </c>
      <c r="B2767" t="s">
        <v>801</v>
      </c>
      <c r="C2767" t="s">
        <v>1379</v>
      </c>
      <c r="D2767" t="s">
        <v>1613</v>
      </c>
      <c r="E2767" t="s">
        <v>802</v>
      </c>
      <c r="F2767" t="s">
        <v>1583</v>
      </c>
      <c r="I2767" t="s">
        <v>1058</v>
      </c>
      <c r="K2767">
        <v>1950</v>
      </c>
      <c r="L2767">
        <v>1950</v>
      </c>
      <c r="M2767" t="s">
        <v>209</v>
      </c>
      <c r="N2767" t="s">
        <v>209</v>
      </c>
      <c r="Q2767" s="2" t="str">
        <f>IF($C2767="","",IFERROR(VLOOKUP($C2767,sources!$A$2:$N$200,2,FALSE()),"?"))</f>
        <v>Map</v>
      </c>
      <c r="R2767" s="2" t="str">
        <f t="shared" si="43"/>
        <v>Map</v>
      </c>
      <c r="S2767" s="2" t="str">
        <f>IF($C2767="","",IFERROR(VLOOKUP($C2767,sources!$A$2:$N$200,9,FALSE()),"?"))</f>
        <v>US official</v>
      </c>
      <c r="T2767" t="s">
        <v>5692</v>
      </c>
      <c r="U2767">
        <f>IF(OR(B2767="",C2767="",T2767="Retracted",LEFT(D2767,8)="Negative"),0,IF(COUNTIFS($B$2:B2767,B2767,$C$2:C2767,C2767,$D$2:D2767,"&lt;&gt;Negative*",$T$2:T2767,"&lt;&gt;Retracted")=1,1,0))</f>
        <v>0</v>
      </c>
    </row>
    <row r="2768" spans="1:21" x14ac:dyDescent="0.2">
      <c r="A2768" t="s">
        <v>5091</v>
      </c>
      <c r="B2768" t="s">
        <v>415</v>
      </c>
      <c r="C2768" t="s">
        <v>1370</v>
      </c>
      <c r="D2768" t="s">
        <v>1572</v>
      </c>
      <c r="E2768" t="s">
        <v>5092</v>
      </c>
      <c r="F2768" t="s">
        <v>1583</v>
      </c>
      <c r="G2768">
        <v>9.3437140000000003</v>
      </c>
      <c r="H2768">
        <v>-79.902846999999994</v>
      </c>
      <c r="I2768" t="s">
        <v>3312</v>
      </c>
      <c r="J2768">
        <v>200</v>
      </c>
      <c r="K2768">
        <v>1940</v>
      </c>
      <c r="L2768">
        <v>1940</v>
      </c>
      <c r="M2768" t="s">
        <v>203</v>
      </c>
      <c r="N2768" t="s">
        <v>209</v>
      </c>
      <c r="Q2768" s="2" t="str">
        <f>IF($C2768="","",IFERROR(VLOOKUP($C2768,sources!$A$2:$N$200,2,FALSE()),"?"))</f>
        <v>Map</v>
      </c>
      <c r="R2768" s="2" t="str">
        <f t="shared" si="43"/>
        <v>Map</v>
      </c>
      <c r="S2768" s="2" t="str">
        <f>IF($C2768="","",IFERROR(VLOOKUP($C2768,sources!$A$2:$N$200,9,FALSE()),"?"))</f>
        <v>US official</v>
      </c>
      <c r="T2768" t="s">
        <v>5692</v>
      </c>
      <c r="U2768">
        <f>IF(OR(B2768="",C2768="",T2768="Retracted",LEFT(D2768,8)="Negative"),0,IF(COUNTIFS($B$2:B2768,B2768,$C$2:C2768,C2768,$D$2:D2768,"&lt;&gt;Negative*",$T$2:T2768,"&lt;&gt;Retracted")=1,1,0))</f>
        <v>0</v>
      </c>
    </row>
    <row r="2769" spans="1:21" x14ac:dyDescent="0.2">
      <c r="A2769" t="s">
        <v>5093</v>
      </c>
      <c r="B2769" t="s">
        <v>652</v>
      </c>
      <c r="C2769" t="s">
        <v>1296</v>
      </c>
      <c r="D2769" t="s">
        <v>1575</v>
      </c>
      <c r="E2769" t="s">
        <v>5094</v>
      </c>
      <c r="F2769" t="s">
        <v>1583</v>
      </c>
      <c r="I2769" t="s">
        <v>1058</v>
      </c>
      <c r="K2769">
        <v>1907</v>
      </c>
      <c r="L2769">
        <v>1907</v>
      </c>
      <c r="M2769" t="s">
        <v>203</v>
      </c>
      <c r="N2769" t="s">
        <v>203</v>
      </c>
      <c r="Q2769" s="2" t="str">
        <f>IF($C2769="","",IFERROR(VLOOKUP($C2769,sources!$A$2:$N$200,2,FALSE()),"?"))</f>
        <v>Web compilation</v>
      </c>
      <c r="R2769" s="2" t="str">
        <f t="shared" si="43"/>
        <v>Textual</v>
      </c>
      <c r="S2769" s="2" t="str">
        <f>IF($C2769="","",IFERROR(VLOOKUP($C2769,sources!$A$2:$N$200,9,FALSE()),"?"))</f>
        <v>Mixed</v>
      </c>
      <c r="T2769" t="s">
        <v>5692</v>
      </c>
      <c r="U2769">
        <f>IF(OR(B2769="",C2769="",T2769="Retracted",LEFT(D2769,8)="Negative"),0,IF(COUNTIFS($B$2:B2769,B2769,$C$2:C2769,C2769,$D$2:D2769,"&lt;&gt;Negative*",$T$2:T2769,"&lt;&gt;Retracted")=1,1,0))</f>
        <v>1</v>
      </c>
    </row>
    <row r="2770" spans="1:21" x14ac:dyDescent="0.2">
      <c r="A2770" t="s">
        <v>5095</v>
      </c>
      <c r="B2770" t="s">
        <v>656</v>
      </c>
      <c r="C2770" t="s">
        <v>1296</v>
      </c>
      <c r="D2770" t="s">
        <v>1575</v>
      </c>
      <c r="E2770" t="s">
        <v>5096</v>
      </c>
      <c r="F2770" t="s">
        <v>1583</v>
      </c>
      <c r="I2770" t="s">
        <v>1058</v>
      </c>
      <c r="K2770">
        <v>1907</v>
      </c>
      <c r="L2770">
        <v>1907</v>
      </c>
      <c r="M2770" t="s">
        <v>203</v>
      </c>
      <c r="N2770" t="s">
        <v>203</v>
      </c>
      <c r="Q2770" s="2" t="str">
        <f>IF($C2770="","",IFERROR(VLOOKUP($C2770,sources!$A$2:$N$200,2,FALSE()),"?"))</f>
        <v>Web compilation</v>
      </c>
      <c r="R2770" s="2" t="str">
        <f t="shared" si="43"/>
        <v>Textual</v>
      </c>
      <c r="S2770" s="2" t="str">
        <f>IF($C2770="","",IFERROR(VLOOKUP($C2770,sources!$A$2:$N$200,9,FALSE()),"?"))</f>
        <v>Mixed</v>
      </c>
      <c r="T2770" t="s">
        <v>5692</v>
      </c>
      <c r="U2770">
        <f>IF(OR(B2770="",C2770="",T2770="Retracted",LEFT(D2770,8)="Negative"),0,IF(COUNTIFS($B$2:B2770,B2770,$C$2:C2770,C2770,$D$2:D2770,"&lt;&gt;Negative*",$T$2:T2770,"&lt;&gt;Retracted")=1,1,0))</f>
        <v>1</v>
      </c>
    </row>
    <row r="2771" spans="1:21" x14ac:dyDescent="0.2">
      <c r="A2771" t="s">
        <v>5097</v>
      </c>
      <c r="B2771" t="s">
        <v>660</v>
      </c>
      <c r="C2771" t="s">
        <v>1296</v>
      </c>
      <c r="D2771" t="s">
        <v>1575</v>
      </c>
      <c r="E2771" t="s">
        <v>4890</v>
      </c>
      <c r="F2771" t="s">
        <v>1583</v>
      </c>
      <c r="I2771" t="s">
        <v>1058</v>
      </c>
      <c r="K2771">
        <v>1909</v>
      </c>
      <c r="L2771">
        <v>1909</v>
      </c>
      <c r="M2771" t="s">
        <v>203</v>
      </c>
      <c r="N2771" t="s">
        <v>203</v>
      </c>
      <c r="Q2771" s="2" t="str">
        <f>IF($C2771="","",IFERROR(VLOOKUP($C2771,sources!$A$2:$N$200,2,FALSE()),"?"))</f>
        <v>Web compilation</v>
      </c>
      <c r="R2771" s="2" t="str">
        <f t="shared" si="43"/>
        <v>Textual</v>
      </c>
      <c r="S2771" s="2" t="str">
        <f>IF($C2771="","",IFERROR(VLOOKUP($C2771,sources!$A$2:$N$200,9,FALSE()),"?"))</f>
        <v>Mixed</v>
      </c>
      <c r="T2771" t="s">
        <v>5692</v>
      </c>
      <c r="U2771">
        <f>IF(OR(B2771="",C2771="",T2771="Retracted",LEFT(D2771,8)="Negative"),0,IF(COUNTIFS($B$2:B2771,B2771,$C$2:C2771,C2771,$D$2:D2771,"&lt;&gt;Negative*",$T$2:T2771,"&lt;&gt;Retracted")=1,1,0))</f>
        <v>1</v>
      </c>
    </row>
    <row r="2772" spans="1:21" x14ac:dyDescent="0.2">
      <c r="A2772" t="s">
        <v>5098</v>
      </c>
      <c r="B2772" t="s">
        <v>663</v>
      </c>
      <c r="C2772" t="s">
        <v>1296</v>
      </c>
      <c r="D2772" t="s">
        <v>1575</v>
      </c>
      <c r="E2772" t="s">
        <v>5099</v>
      </c>
      <c r="F2772" t="s">
        <v>1583</v>
      </c>
      <c r="I2772" t="s">
        <v>1058</v>
      </c>
      <c r="N2772" t="s">
        <v>209</v>
      </c>
      <c r="Q2772" s="2" t="str">
        <f>IF($C2772="","",IFERROR(VLOOKUP($C2772,sources!$A$2:$N$200,2,FALSE()),"?"))</f>
        <v>Web compilation</v>
      </c>
      <c r="R2772" s="2" t="str">
        <f t="shared" si="43"/>
        <v>Textual</v>
      </c>
      <c r="S2772" s="2" t="str">
        <f>IF($C2772="","",IFERROR(VLOOKUP($C2772,sources!$A$2:$N$200,9,FALSE()),"?"))</f>
        <v>Mixed</v>
      </c>
      <c r="T2772" t="s">
        <v>5692</v>
      </c>
      <c r="U2772">
        <f>IF(OR(B2772="",C2772="",T2772="Retracted",LEFT(D2772,8)="Negative"),0,IF(COUNTIFS($B$2:B2772,B2772,$C$2:C2772,C2772,$D$2:D2772,"&lt;&gt;Negative*",$T$2:T2772,"&lt;&gt;Retracted")=1,1,0))</f>
        <v>1</v>
      </c>
    </row>
    <row r="2773" spans="1:21" x14ac:dyDescent="0.2">
      <c r="A2773" t="s">
        <v>5100</v>
      </c>
      <c r="B2773" t="s">
        <v>667</v>
      </c>
      <c r="C2773" t="s">
        <v>1296</v>
      </c>
      <c r="D2773" t="s">
        <v>1575</v>
      </c>
      <c r="E2773" t="s">
        <v>4893</v>
      </c>
      <c r="F2773" t="s">
        <v>1583</v>
      </c>
      <c r="I2773" t="s">
        <v>1058</v>
      </c>
      <c r="K2773">
        <v>1907</v>
      </c>
      <c r="L2773">
        <v>1910</v>
      </c>
      <c r="M2773" t="s">
        <v>203</v>
      </c>
      <c r="N2773" t="s">
        <v>203</v>
      </c>
      <c r="Q2773" s="2" t="str">
        <f>IF($C2773="","",IFERROR(VLOOKUP($C2773,sources!$A$2:$N$200,2,FALSE()),"?"))</f>
        <v>Web compilation</v>
      </c>
      <c r="R2773" s="2" t="str">
        <f t="shared" si="43"/>
        <v>Textual</v>
      </c>
      <c r="S2773" s="2" t="str">
        <f>IF($C2773="","",IFERROR(VLOOKUP($C2773,sources!$A$2:$N$200,9,FALSE()),"?"))</f>
        <v>Mixed</v>
      </c>
      <c r="T2773" t="s">
        <v>5692</v>
      </c>
      <c r="U2773">
        <f>IF(OR(B2773="",C2773="",T2773="Retracted",LEFT(D2773,8)="Negative"),0,IF(COUNTIFS($B$2:B2773,B2773,$C$2:C2773,C2773,$D$2:D2773,"&lt;&gt;Negative*",$T$2:T2773,"&lt;&gt;Retracted")=1,1,0))</f>
        <v>1</v>
      </c>
    </row>
    <row r="2774" spans="1:21" x14ac:dyDescent="0.2">
      <c r="A2774" t="s">
        <v>5101</v>
      </c>
      <c r="B2774" t="s">
        <v>670</v>
      </c>
      <c r="C2774" t="s">
        <v>1296</v>
      </c>
      <c r="D2774" t="s">
        <v>1575</v>
      </c>
      <c r="E2774" t="s">
        <v>5102</v>
      </c>
      <c r="F2774" t="s">
        <v>1583</v>
      </c>
      <c r="I2774" t="s">
        <v>1058</v>
      </c>
      <c r="K2774">
        <v>1907</v>
      </c>
      <c r="L2774">
        <v>1907</v>
      </c>
      <c r="M2774" t="s">
        <v>203</v>
      </c>
      <c r="N2774" t="s">
        <v>203</v>
      </c>
      <c r="Q2774" s="2" t="str">
        <f>IF($C2774="","",IFERROR(VLOOKUP($C2774,sources!$A$2:$N$200,2,FALSE()),"?"))</f>
        <v>Web compilation</v>
      </c>
      <c r="R2774" s="2" t="str">
        <f t="shared" si="43"/>
        <v>Textual</v>
      </c>
      <c r="S2774" s="2" t="str">
        <f>IF($C2774="","",IFERROR(VLOOKUP($C2774,sources!$A$2:$N$200,9,FALSE()),"?"))</f>
        <v>Mixed</v>
      </c>
      <c r="T2774" t="s">
        <v>5692</v>
      </c>
      <c r="U2774">
        <f>IF(OR(B2774="",C2774="",T2774="Retracted",LEFT(D2774,8)="Negative"),0,IF(COUNTIFS($B$2:B2774,B2774,$C$2:C2774,C2774,$D$2:D2774,"&lt;&gt;Negative*",$T$2:T2774,"&lt;&gt;Retracted")=1,1,0))</f>
        <v>1</v>
      </c>
    </row>
    <row r="2775" spans="1:21" x14ac:dyDescent="0.2">
      <c r="A2775" t="s">
        <v>5103</v>
      </c>
      <c r="B2775" t="s">
        <v>673</v>
      </c>
      <c r="C2775" t="s">
        <v>1296</v>
      </c>
      <c r="D2775" t="s">
        <v>1575</v>
      </c>
      <c r="E2775" t="s">
        <v>3176</v>
      </c>
      <c r="F2775" t="s">
        <v>1583</v>
      </c>
      <c r="I2775" t="s">
        <v>1058</v>
      </c>
      <c r="K2775">
        <v>1905</v>
      </c>
      <c r="L2775">
        <v>1905</v>
      </c>
      <c r="M2775" t="s">
        <v>203</v>
      </c>
      <c r="N2775" t="s">
        <v>203</v>
      </c>
      <c r="Q2775" s="2" t="str">
        <f>IF($C2775="","",IFERROR(VLOOKUP($C2775,sources!$A$2:$N$200,2,FALSE()),"?"))</f>
        <v>Web compilation</v>
      </c>
      <c r="R2775" s="2" t="str">
        <f t="shared" si="43"/>
        <v>Textual</v>
      </c>
      <c r="S2775" s="2" t="str">
        <f>IF($C2775="","",IFERROR(VLOOKUP($C2775,sources!$A$2:$N$200,9,FALSE()),"?"))</f>
        <v>Mixed</v>
      </c>
      <c r="T2775" t="s">
        <v>5692</v>
      </c>
      <c r="U2775">
        <f>IF(OR(B2775="",C2775="",T2775="Retracted",LEFT(D2775,8)="Negative"),0,IF(COUNTIFS($B$2:B2775,B2775,$C$2:C2775,C2775,$D$2:D2775,"&lt;&gt;Negative*",$T$2:T2775,"&lt;&gt;Retracted")=1,1,0))</f>
        <v>1</v>
      </c>
    </row>
    <row r="2776" spans="1:21" x14ac:dyDescent="0.2">
      <c r="A2776" t="s">
        <v>5104</v>
      </c>
      <c r="B2776" t="s">
        <v>677</v>
      </c>
      <c r="C2776" t="s">
        <v>1296</v>
      </c>
      <c r="D2776" t="s">
        <v>1575</v>
      </c>
      <c r="E2776" t="s">
        <v>5105</v>
      </c>
      <c r="F2776" t="s">
        <v>1583</v>
      </c>
      <c r="I2776" t="s">
        <v>1058</v>
      </c>
      <c r="K2776">
        <v>1907</v>
      </c>
      <c r="L2776">
        <v>1907</v>
      </c>
      <c r="M2776" t="s">
        <v>203</v>
      </c>
      <c r="N2776" t="s">
        <v>203</v>
      </c>
      <c r="Q2776" s="2" t="str">
        <f>IF($C2776="","",IFERROR(VLOOKUP($C2776,sources!$A$2:$N$200,2,FALSE()),"?"))</f>
        <v>Web compilation</v>
      </c>
      <c r="R2776" s="2" t="str">
        <f t="shared" si="43"/>
        <v>Textual</v>
      </c>
      <c r="S2776" s="2" t="str">
        <f>IF($C2776="","",IFERROR(VLOOKUP($C2776,sources!$A$2:$N$200,9,FALSE()),"?"))</f>
        <v>Mixed</v>
      </c>
      <c r="T2776" t="s">
        <v>5692</v>
      </c>
      <c r="U2776">
        <f>IF(OR(B2776="",C2776="",T2776="Retracted",LEFT(D2776,8)="Negative"),0,IF(COUNTIFS($B$2:B2776,B2776,$C$2:C2776,C2776,$D$2:D2776,"&lt;&gt;Negative*",$T$2:T2776,"&lt;&gt;Retracted")=1,1,0))</f>
        <v>1</v>
      </c>
    </row>
    <row r="2777" spans="1:21" x14ac:dyDescent="0.2">
      <c r="A2777" t="s">
        <v>5106</v>
      </c>
      <c r="B2777" t="s">
        <v>680</v>
      </c>
      <c r="C2777" t="s">
        <v>1296</v>
      </c>
      <c r="D2777" t="s">
        <v>1575</v>
      </c>
      <c r="E2777" t="s">
        <v>4901</v>
      </c>
      <c r="F2777" t="s">
        <v>1583</v>
      </c>
      <c r="I2777" t="s">
        <v>1058</v>
      </c>
      <c r="K2777">
        <v>1907</v>
      </c>
      <c r="L2777">
        <v>1907</v>
      </c>
      <c r="M2777" t="s">
        <v>203</v>
      </c>
      <c r="N2777" t="s">
        <v>203</v>
      </c>
      <c r="Q2777" s="2" t="str">
        <f>IF($C2777="","",IFERROR(VLOOKUP($C2777,sources!$A$2:$N$200,2,FALSE()),"?"))</f>
        <v>Web compilation</v>
      </c>
      <c r="R2777" s="2" t="str">
        <f t="shared" si="43"/>
        <v>Textual</v>
      </c>
      <c r="S2777" s="2" t="str">
        <f>IF($C2777="","",IFERROR(VLOOKUP($C2777,sources!$A$2:$N$200,9,FALSE()),"?"))</f>
        <v>Mixed</v>
      </c>
      <c r="T2777" t="s">
        <v>5692</v>
      </c>
      <c r="U2777">
        <f>IF(OR(B2777="",C2777="",T2777="Retracted",LEFT(D2777,8)="Negative"),0,IF(COUNTIFS($B$2:B2777,B2777,$C$2:C2777,C2777,$D$2:D2777,"&lt;&gt;Negative*",$T$2:T2777,"&lt;&gt;Retracted")=1,1,0))</f>
        <v>1</v>
      </c>
    </row>
    <row r="2778" spans="1:21" x14ac:dyDescent="0.2">
      <c r="A2778" t="s">
        <v>5107</v>
      </c>
      <c r="B2778" t="s">
        <v>683</v>
      </c>
      <c r="C2778" t="s">
        <v>1296</v>
      </c>
      <c r="D2778" t="s">
        <v>1575</v>
      </c>
      <c r="E2778" t="s">
        <v>2885</v>
      </c>
      <c r="F2778" t="s">
        <v>1583</v>
      </c>
      <c r="I2778" t="s">
        <v>1058</v>
      </c>
      <c r="N2778" t="s">
        <v>209</v>
      </c>
      <c r="Q2778" s="2" t="str">
        <f>IF($C2778="","",IFERROR(VLOOKUP($C2778,sources!$A$2:$N$200,2,FALSE()),"?"))</f>
        <v>Web compilation</v>
      </c>
      <c r="R2778" s="2" t="str">
        <f t="shared" si="43"/>
        <v>Textual</v>
      </c>
      <c r="S2778" s="2" t="str">
        <f>IF($C2778="","",IFERROR(VLOOKUP($C2778,sources!$A$2:$N$200,9,FALSE()),"?"))</f>
        <v>Mixed</v>
      </c>
      <c r="T2778" t="s">
        <v>5692</v>
      </c>
      <c r="U2778">
        <f>IF(OR(B2778="",C2778="",T2778="Retracted",LEFT(D2778,8)="Negative"),0,IF(COUNTIFS($B$2:B2778,B2778,$C$2:C2778,C2778,$D$2:D2778,"&lt;&gt;Negative*",$T$2:T2778,"&lt;&gt;Retracted")=1,1,0))</f>
        <v>1</v>
      </c>
    </row>
    <row r="2779" spans="1:21" x14ac:dyDescent="0.2">
      <c r="A2779" t="s">
        <v>5108</v>
      </c>
      <c r="B2779" t="s">
        <v>686</v>
      </c>
      <c r="C2779" t="s">
        <v>1296</v>
      </c>
      <c r="D2779" t="s">
        <v>1575</v>
      </c>
      <c r="E2779" t="s">
        <v>3180</v>
      </c>
      <c r="F2779" t="s">
        <v>1583</v>
      </c>
      <c r="I2779" t="s">
        <v>1058</v>
      </c>
      <c r="K2779">
        <v>1907</v>
      </c>
      <c r="L2779">
        <v>1911</v>
      </c>
      <c r="M2779" t="s">
        <v>203</v>
      </c>
      <c r="N2779" t="s">
        <v>203</v>
      </c>
      <c r="Q2779" s="2" t="str">
        <f>IF($C2779="","",IFERROR(VLOOKUP($C2779,sources!$A$2:$N$200,2,FALSE()),"?"))</f>
        <v>Web compilation</v>
      </c>
      <c r="R2779" s="2" t="str">
        <f t="shared" si="43"/>
        <v>Textual</v>
      </c>
      <c r="S2779" s="2" t="str">
        <f>IF($C2779="","",IFERROR(VLOOKUP($C2779,sources!$A$2:$N$200,9,FALSE()),"?"))</f>
        <v>Mixed</v>
      </c>
      <c r="T2779" t="s">
        <v>5692</v>
      </c>
      <c r="U2779">
        <f>IF(OR(B2779="",C2779="",T2779="Retracted",LEFT(D2779,8)="Negative"),0,IF(COUNTIFS($B$2:B2779,B2779,$C$2:C2779,C2779,$D$2:D2779,"&lt;&gt;Negative*",$T$2:T2779,"&lt;&gt;Retracted")=1,1,0))</f>
        <v>1</v>
      </c>
    </row>
    <row r="2780" spans="1:21" x14ac:dyDescent="0.2">
      <c r="A2780" t="s">
        <v>5109</v>
      </c>
      <c r="B2780" t="s">
        <v>689</v>
      </c>
      <c r="C2780" t="s">
        <v>1296</v>
      </c>
      <c r="D2780" t="s">
        <v>1575</v>
      </c>
      <c r="E2780" t="s">
        <v>5110</v>
      </c>
      <c r="F2780" t="s">
        <v>1583</v>
      </c>
      <c r="I2780" t="s">
        <v>1058</v>
      </c>
      <c r="K2780">
        <v>1905</v>
      </c>
      <c r="L2780">
        <v>1905</v>
      </c>
      <c r="M2780" t="s">
        <v>203</v>
      </c>
      <c r="N2780" t="s">
        <v>203</v>
      </c>
      <c r="Q2780" s="2" t="str">
        <f>IF($C2780="","",IFERROR(VLOOKUP($C2780,sources!$A$2:$N$200,2,FALSE()),"?"))</f>
        <v>Web compilation</v>
      </c>
      <c r="R2780" s="2" t="str">
        <f t="shared" si="43"/>
        <v>Textual</v>
      </c>
      <c r="S2780" s="2" t="str">
        <f>IF($C2780="","",IFERROR(VLOOKUP($C2780,sources!$A$2:$N$200,9,FALSE()),"?"))</f>
        <v>Mixed</v>
      </c>
      <c r="T2780" t="s">
        <v>5692</v>
      </c>
      <c r="U2780">
        <f>IF(OR(B2780="",C2780="",T2780="Retracted",LEFT(D2780,8)="Negative"),0,IF(COUNTIFS($B$2:B2780,B2780,$C$2:C2780,C2780,$D$2:D2780,"&lt;&gt;Negative*",$T$2:T2780,"&lt;&gt;Retracted")=1,1,0))</f>
        <v>1</v>
      </c>
    </row>
    <row r="2781" spans="1:21" x14ac:dyDescent="0.2">
      <c r="A2781" t="s">
        <v>5111</v>
      </c>
      <c r="B2781" t="s">
        <v>693</v>
      </c>
      <c r="C2781" t="s">
        <v>1296</v>
      </c>
      <c r="D2781" t="s">
        <v>1575</v>
      </c>
      <c r="E2781" t="s">
        <v>5112</v>
      </c>
      <c r="F2781" t="s">
        <v>1583</v>
      </c>
      <c r="I2781" t="s">
        <v>1058</v>
      </c>
      <c r="K2781">
        <v>1907</v>
      </c>
      <c r="L2781">
        <v>1907</v>
      </c>
      <c r="M2781" t="s">
        <v>203</v>
      </c>
      <c r="N2781" t="s">
        <v>203</v>
      </c>
      <c r="Q2781" s="2" t="str">
        <f>IF($C2781="","",IFERROR(VLOOKUP($C2781,sources!$A$2:$N$200,2,FALSE()),"?"))</f>
        <v>Web compilation</v>
      </c>
      <c r="R2781" s="2" t="str">
        <f t="shared" si="43"/>
        <v>Textual</v>
      </c>
      <c r="S2781" s="2" t="str">
        <f>IF($C2781="","",IFERROR(VLOOKUP($C2781,sources!$A$2:$N$200,9,FALSE()),"?"))</f>
        <v>Mixed</v>
      </c>
      <c r="T2781" t="s">
        <v>5692</v>
      </c>
      <c r="U2781">
        <f>IF(OR(B2781="",C2781="",T2781="Retracted",LEFT(D2781,8)="Negative"),0,IF(COUNTIFS($B$2:B2781,B2781,$C$2:C2781,C2781,$D$2:D2781,"&lt;&gt;Negative*",$T$2:T2781,"&lt;&gt;Retracted")=1,1,0))</f>
        <v>1</v>
      </c>
    </row>
    <row r="2782" spans="1:21" x14ac:dyDescent="0.2">
      <c r="A2782" t="s">
        <v>5113</v>
      </c>
      <c r="B2782" t="s">
        <v>698</v>
      </c>
      <c r="C2782" t="s">
        <v>1296</v>
      </c>
      <c r="D2782" t="s">
        <v>1575</v>
      </c>
      <c r="E2782" t="s">
        <v>5114</v>
      </c>
      <c r="F2782" t="s">
        <v>1583</v>
      </c>
      <c r="I2782" t="s">
        <v>1058</v>
      </c>
      <c r="K2782">
        <v>1907</v>
      </c>
      <c r="L2782">
        <v>1907</v>
      </c>
      <c r="M2782" t="s">
        <v>203</v>
      </c>
      <c r="N2782" t="s">
        <v>203</v>
      </c>
      <c r="Q2782" s="2" t="str">
        <f>IF($C2782="","",IFERROR(VLOOKUP($C2782,sources!$A$2:$N$200,2,FALSE()),"?"))</f>
        <v>Web compilation</v>
      </c>
      <c r="R2782" s="2" t="str">
        <f t="shared" si="43"/>
        <v>Textual</v>
      </c>
      <c r="S2782" s="2" t="str">
        <f>IF($C2782="","",IFERROR(VLOOKUP($C2782,sources!$A$2:$N$200,9,FALSE()),"?"))</f>
        <v>Mixed</v>
      </c>
      <c r="T2782" t="s">
        <v>5692</v>
      </c>
      <c r="U2782">
        <f>IF(OR(B2782="",C2782="",T2782="Retracted",LEFT(D2782,8)="Negative"),0,IF(COUNTIFS($B$2:B2782,B2782,$C$2:C2782,C2782,$D$2:D2782,"&lt;&gt;Negative*",$T$2:T2782,"&lt;&gt;Retracted")=1,1,0))</f>
        <v>1</v>
      </c>
    </row>
    <row r="2783" spans="1:21" x14ac:dyDescent="0.2">
      <c r="A2783" t="s">
        <v>5115</v>
      </c>
      <c r="B2783" t="s">
        <v>701</v>
      </c>
      <c r="C2783" t="s">
        <v>1296</v>
      </c>
      <c r="D2783" t="s">
        <v>1575</v>
      </c>
      <c r="E2783" t="s">
        <v>2895</v>
      </c>
      <c r="F2783" t="s">
        <v>1583</v>
      </c>
      <c r="I2783" t="s">
        <v>1058</v>
      </c>
      <c r="K2783">
        <v>1907</v>
      </c>
      <c r="L2783">
        <v>1909</v>
      </c>
      <c r="M2783" t="s">
        <v>203</v>
      </c>
      <c r="N2783" t="s">
        <v>203</v>
      </c>
      <c r="Q2783" s="2" t="str">
        <f>IF($C2783="","",IFERROR(VLOOKUP($C2783,sources!$A$2:$N$200,2,FALSE()),"?"))</f>
        <v>Web compilation</v>
      </c>
      <c r="R2783" s="2" t="str">
        <f t="shared" si="43"/>
        <v>Textual</v>
      </c>
      <c r="S2783" s="2" t="str">
        <f>IF($C2783="","",IFERROR(VLOOKUP($C2783,sources!$A$2:$N$200,9,FALSE()),"?"))</f>
        <v>Mixed</v>
      </c>
      <c r="T2783" t="s">
        <v>5692</v>
      </c>
      <c r="U2783">
        <f>IF(OR(B2783="",C2783="",T2783="Retracted",LEFT(D2783,8)="Negative"),0,IF(COUNTIFS($B$2:B2783,B2783,$C$2:C2783,C2783,$D$2:D2783,"&lt;&gt;Negative*",$T$2:T2783,"&lt;&gt;Retracted")=1,1,0))</f>
        <v>1</v>
      </c>
    </row>
    <row r="2784" spans="1:21" x14ac:dyDescent="0.2">
      <c r="A2784" t="s">
        <v>5116</v>
      </c>
      <c r="B2784" t="s">
        <v>704</v>
      </c>
      <c r="C2784" t="s">
        <v>1296</v>
      </c>
      <c r="D2784" t="s">
        <v>1575</v>
      </c>
      <c r="E2784" t="s">
        <v>2897</v>
      </c>
      <c r="F2784" t="s">
        <v>1583</v>
      </c>
      <c r="I2784" t="s">
        <v>1058</v>
      </c>
      <c r="K2784">
        <v>1906</v>
      </c>
      <c r="L2784">
        <v>1906</v>
      </c>
      <c r="M2784" t="s">
        <v>203</v>
      </c>
      <c r="N2784" t="s">
        <v>203</v>
      </c>
      <c r="Q2784" s="2" t="str">
        <f>IF($C2784="","",IFERROR(VLOOKUP($C2784,sources!$A$2:$N$200,2,FALSE()),"?"))</f>
        <v>Web compilation</v>
      </c>
      <c r="R2784" s="2" t="str">
        <f t="shared" si="43"/>
        <v>Textual</v>
      </c>
      <c r="S2784" s="2" t="str">
        <f>IF($C2784="","",IFERROR(VLOOKUP($C2784,sources!$A$2:$N$200,9,FALSE()),"?"))</f>
        <v>Mixed</v>
      </c>
      <c r="T2784" t="s">
        <v>5692</v>
      </c>
      <c r="U2784">
        <f>IF(OR(B2784="",C2784="",T2784="Retracted",LEFT(D2784,8)="Negative"),0,IF(COUNTIFS($B$2:B2784,B2784,$C$2:C2784,C2784,$D$2:D2784,"&lt;&gt;Negative*",$T$2:T2784,"&lt;&gt;Retracted")=1,1,0))</f>
        <v>1</v>
      </c>
    </row>
    <row r="2785" spans="1:21" x14ac:dyDescent="0.2">
      <c r="A2785" t="s">
        <v>5117</v>
      </c>
      <c r="B2785" t="s">
        <v>711</v>
      </c>
      <c r="C2785" t="s">
        <v>1296</v>
      </c>
      <c r="D2785" t="s">
        <v>1575</v>
      </c>
      <c r="E2785" t="s">
        <v>5118</v>
      </c>
      <c r="F2785" t="s">
        <v>1583</v>
      </c>
      <c r="I2785" t="s">
        <v>1058</v>
      </c>
      <c r="K2785">
        <v>1907</v>
      </c>
      <c r="L2785">
        <v>1907</v>
      </c>
      <c r="M2785" t="s">
        <v>203</v>
      </c>
      <c r="N2785" t="s">
        <v>203</v>
      </c>
      <c r="Q2785" s="2" t="str">
        <f>IF($C2785="","",IFERROR(VLOOKUP($C2785,sources!$A$2:$N$200,2,FALSE()),"?"))</f>
        <v>Web compilation</v>
      </c>
      <c r="R2785" s="2" t="str">
        <f t="shared" si="43"/>
        <v>Textual</v>
      </c>
      <c r="S2785" s="2" t="str">
        <f>IF($C2785="","",IFERROR(VLOOKUP($C2785,sources!$A$2:$N$200,9,FALSE()),"?"))</f>
        <v>Mixed</v>
      </c>
      <c r="T2785" t="s">
        <v>5692</v>
      </c>
      <c r="U2785">
        <f>IF(OR(B2785="",C2785="",T2785="Retracted",LEFT(D2785,8)="Negative"),0,IF(COUNTIFS($B$2:B2785,B2785,$C$2:C2785,C2785,$D$2:D2785,"&lt;&gt;Negative*",$T$2:T2785,"&lt;&gt;Retracted")=1,1,0))</f>
        <v>1</v>
      </c>
    </row>
    <row r="2786" spans="1:21" x14ac:dyDescent="0.2">
      <c r="A2786" t="s">
        <v>5119</v>
      </c>
      <c r="B2786" t="s">
        <v>714</v>
      </c>
      <c r="C2786" t="s">
        <v>1296</v>
      </c>
      <c r="D2786" t="s">
        <v>1575</v>
      </c>
      <c r="E2786" t="s">
        <v>3191</v>
      </c>
      <c r="F2786" t="s">
        <v>1583</v>
      </c>
      <c r="I2786" t="s">
        <v>1058</v>
      </c>
      <c r="K2786">
        <v>1905</v>
      </c>
      <c r="L2786">
        <v>1905</v>
      </c>
      <c r="M2786" t="s">
        <v>203</v>
      </c>
      <c r="N2786" t="s">
        <v>203</v>
      </c>
      <c r="Q2786" s="2" t="str">
        <f>IF($C2786="","",IFERROR(VLOOKUP($C2786,sources!$A$2:$N$200,2,FALSE()),"?"))</f>
        <v>Web compilation</v>
      </c>
      <c r="R2786" s="2" t="str">
        <f t="shared" si="43"/>
        <v>Textual</v>
      </c>
      <c r="S2786" s="2" t="str">
        <f>IF($C2786="","",IFERROR(VLOOKUP($C2786,sources!$A$2:$N$200,9,FALSE()),"?"))</f>
        <v>Mixed</v>
      </c>
      <c r="T2786" t="s">
        <v>5692</v>
      </c>
      <c r="U2786">
        <f>IF(OR(B2786="",C2786="",T2786="Retracted",LEFT(D2786,8)="Negative"),0,IF(COUNTIFS($B$2:B2786,B2786,$C$2:C2786,C2786,$D$2:D2786,"&lt;&gt;Negative*",$T$2:T2786,"&lt;&gt;Retracted")=1,1,0))</f>
        <v>1</v>
      </c>
    </row>
    <row r="2787" spans="1:21" x14ac:dyDescent="0.2">
      <c r="A2787" t="s">
        <v>5120</v>
      </c>
      <c r="B2787" t="s">
        <v>717</v>
      </c>
      <c r="C2787" t="s">
        <v>1296</v>
      </c>
      <c r="D2787" t="s">
        <v>1575</v>
      </c>
      <c r="E2787" t="s">
        <v>3193</v>
      </c>
      <c r="F2787" t="s">
        <v>1583</v>
      </c>
      <c r="I2787" t="s">
        <v>1058</v>
      </c>
      <c r="K2787">
        <v>1907</v>
      </c>
      <c r="L2787">
        <v>1911</v>
      </c>
      <c r="M2787" t="s">
        <v>203</v>
      </c>
      <c r="N2787" t="s">
        <v>203</v>
      </c>
      <c r="Q2787" s="2" t="str">
        <f>IF($C2787="","",IFERROR(VLOOKUP($C2787,sources!$A$2:$N$200,2,FALSE()),"?"))</f>
        <v>Web compilation</v>
      </c>
      <c r="R2787" s="2" t="str">
        <f t="shared" si="43"/>
        <v>Textual</v>
      </c>
      <c r="S2787" s="2" t="str">
        <f>IF($C2787="","",IFERROR(VLOOKUP($C2787,sources!$A$2:$N$200,9,FALSE()),"?"))</f>
        <v>Mixed</v>
      </c>
      <c r="T2787" t="s">
        <v>5692</v>
      </c>
      <c r="U2787">
        <f>IF(OR(B2787="",C2787="",T2787="Retracted",LEFT(D2787,8)="Negative"),0,IF(COUNTIFS($B$2:B2787,B2787,$C$2:C2787,C2787,$D$2:D2787,"&lt;&gt;Negative*",$T$2:T2787,"&lt;&gt;Retracted")=1,1,0))</f>
        <v>1</v>
      </c>
    </row>
    <row r="2788" spans="1:21" x14ac:dyDescent="0.2">
      <c r="A2788" t="s">
        <v>5121</v>
      </c>
      <c r="B2788" t="s">
        <v>720</v>
      </c>
      <c r="C2788" t="s">
        <v>1296</v>
      </c>
      <c r="D2788" t="s">
        <v>1575</v>
      </c>
      <c r="E2788" t="s">
        <v>5122</v>
      </c>
      <c r="F2788" t="s">
        <v>1583</v>
      </c>
      <c r="I2788" t="s">
        <v>1058</v>
      </c>
      <c r="K2788">
        <v>1905</v>
      </c>
      <c r="L2788">
        <v>1905</v>
      </c>
      <c r="M2788" t="s">
        <v>203</v>
      </c>
      <c r="N2788" t="s">
        <v>203</v>
      </c>
      <c r="Q2788" s="2" t="str">
        <f>IF($C2788="","",IFERROR(VLOOKUP($C2788,sources!$A$2:$N$200,2,FALSE()),"?"))</f>
        <v>Web compilation</v>
      </c>
      <c r="R2788" s="2" t="str">
        <f t="shared" si="43"/>
        <v>Textual</v>
      </c>
      <c r="S2788" s="2" t="str">
        <f>IF($C2788="","",IFERROR(VLOOKUP($C2788,sources!$A$2:$N$200,9,FALSE()),"?"))</f>
        <v>Mixed</v>
      </c>
      <c r="T2788" t="s">
        <v>5692</v>
      </c>
      <c r="U2788">
        <f>IF(OR(B2788="",C2788="",T2788="Retracted",LEFT(D2788,8)="Negative"),0,IF(COUNTIFS($B$2:B2788,B2788,$C$2:C2788,C2788,$D$2:D2788,"&lt;&gt;Negative*",$T$2:T2788,"&lt;&gt;Retracted")=1,1,0))</f>
        <v>1</v>
      </c>
    </row>
    <row r="2789" spans="1:21" x14ac:dyDescent="0.2">
      <c r="A2789" t="s">
        <v>5123</v>
      </c>
      <c r="B2789" t="s">
        <v>723</v>
      </c>
      <c r="C2789" t="s">
        <v>1296</v>
      </c>
      <c r="D2789" t="s">
        <v>1575</v>
      </c>
      <c r="E2789" t="s">
        <v>4919</v>
      </c>
      <c r="F2789" t="s">
        <v>1583</v>
      </c>
      <c r="I2789" t="s">
        <v>1058</v>
      </c>
      <c r="K2789">
        <v>1907</v>
      </c>
      <c r="L2789">
        <v>1914</v>
      </c>
      <c r="M2789" t="s">
        <v>203</v>
      </c>
      <c r="N2789" t="s">
        <v>203</v>
      </c>
      <c r="Q2789" s="2" t="str">
        <f>IF($C2789="","",IFERROR(VLOOKUP($C2789,sources!$A$2:$N$200,2,FALSE()),"?"))</f>
        <v>Web compilation</v>
      </c>
      <c r="R2789" s="2" t="str">
        <f t="shared" si="43"/>
        <v>Textual</v>
      </c>
      <c r="S2789" s="2" t="str">
        <f>IF($C2789="","",IFERROR(VLOOKUP($C2789,sources!$A$2:$N$200,9,FALSE()),"?"))</f>
        <v>Mixed</v>
      </c>
      <c r="T2789" t="s">
        <v>5692</v>
      </c>
      <c r="U2789">
        <f>IF(OR(B2789="",C2789="",T2789="Retracted",LEFT(D2789,8)="Negative"),0,IF(COUNTIFS($B$2:B2789,B2789,$C$2:C2789,C2789,$D$2:D2789,"&lt;&gt;Negative*",$T$2:T2789,"&lt;&gt;Retracted")=1,1,0))</f>
        <v>1</v>
      </c>
    </row>
    <row r="2790" spans="1:21" x14ac:dyDescent="0.2">
      <c r="A2790" t="s">
        <v>5124</v>
      </c>
      <c r="B2790" t="s">
        <v>727</v>
      </c>
      <c r="C2790" t="s">
        <v>1296</v>
      </c>
      <c r="D2790" t="s">
        <v>1575</v>
      </c>
      <c r="E2790" t="s">
        <v>3199</v>
      </c>
      <c r="F2790" t="s">
        <v>1583</v>
      </c>
      <c r="I2790" t="s">
        <v>1058</v>
      </c>
      <c r="K2790">
        <v>1911</v>
      </c>
      <c r="L2790">
        <v>1911</v>
      </c>
      <c r="M2790" t="s">
        <v>203</v>
      </c>
      <c r="N2790" t="s">
        <v>203</v>
      </c>
      <c r="Q2790" s="2" t="str">
        <f>IF($C2790="","",IFERROR(VLOOKUP($C2790,sources!$A$2:$N$200,2,FALSE()),"?"))</f>
        <v>Web compilation</v>
      </c>
      <c r="R2790" s="2" t="str">
        <f t="shared" si="43"/>
        <v>Textual</v>
      </c>
      <c r="S2790" s="2" t="str">
        <f>IF($C2790="","",IFERROR(VLOOKUP($C2790,sources!$A$2:$N$200,9,FALSE()),"?"))</f>
        <v>Mixed</v>
      </c>
      <c r="T2790" t="s">
        <v>5692</v>
      </c>
      <c r="U2790">
        <f>IF(OR(B2790="",C2790="",T2790="Retracted",LEFT(D2790,8)="Negative"),0,IF(COUNTIFS($B$2:B2790,B2790,$C$2:C2790,C2790,$D$2:D2790,"&lt;&gt;Negative*",$T$2:T2790,"&lt;&gt;Retracted")=1,1,0))</f>
        <v>1</v>
      </c>
    </row>
    <row r="2791" spans="1:21" x14ac:dyDescent="0.2">
      <c r="A2791" t="s">
        <v>5125</v>
      </c>
      <c r="B2791" t="s">
        <v>730</v>
      </c>
      <c r="C2791" t="s">
        <v>1296</v>
      </c>
      <c r="D2791" t="s">
        <v>1575</v>
      </c>
      <c r="E2791" t="s">
        <v>4923</v>
      </c>
      <c r="F2791" t="s">
        <v>1583</v>
      </c>
      <c r="I2791" t="s">
        <v>1058</v>
      </c>
      <c r="K2791">
        <v>1907</v>
      </c>
      <c r="L2791">
        <v>1907</v>
      </c>
      <c r="M2791" t="s">
        <v>203</v>
      </c>
      <c r="N2791" t="s">
        <v>203</v>
      </c>
      <c r="Q2791" s="2" t="str">
        <f>IF($C2791="","",IFERROR(VLOOKUP($C2791,sources!$A$2:$N$200,2,FALSE()),"?"))</f>
        <v>Web compilation</v>
      </c>
      <c r="R2791" s="2" t="str">
        <f t="shared" si="43"/>
        <v>Textual</v>
      </c>
      <c r="S2791" s="2" t="str">
        <f>IF($C2791="","",IFERROR(VLOOKUP($C2791,sources!$A$2:$N$200,9,FALSE()),"?"))</f>
        <v>Mixed</v>
      </c>
      <c r="T2791" t="s">
        <v>5692</v>
      </c>
      <c r="U2791">
        <f>IF(OR(B2791="",C2791="",T2791="Retracted",LEFT(D2791,8)="Negative"),0,IF(COUNTIFS($B$2:B2791,B2791,$C$2:C2791,C2791,$D$2:D2791,"&lt;&gt;Negative*",$T$2:T2791,"&lt;&gt;Retracted")=1,1,0))</f>
        <v>1</v>
      </c>
    </row>
    <row r="2792" spans="1:21" x14ac:dyDescent="0.2">
      <c r="A2792" t="s">
        <v>5126</v>
      </c>
      <c r="B2792" t="s">
        <v>733</v>
      </c>
      <c r="C2792" t="s">
        <v>1296</v>
      </c>
      <c r="D2792" t="s">
        <v>1575</v>
      </c>
      <c r="E2792" t="s">
        <v>5127</v>
      </c>
      <c r="F2792" t="s">
        <v>1583</v>
      </c>
      <c r="I2792" t="s">
        <v>1058</v>
      </c>
      <c r="K2792">
        <v>1904</v>
      </c>
      <c r="L2792">
        <v>1905</v>
      </c>
      <c r="M2792" t="s">
        <v>203</v>
      </c>
      <c r="N2792" t="s">
        <v>203</v>
      </c>
      <c r="Q2792" s="2" t="str">
        <f>IF($C2792="","",IFERROR(VLOOKUP($C2792,sources!$A$2:$N$200,2,FALSE()),"?"))</f>
        <v>Web compilation</v>
      </c>
      <c r="R2792" s="2" t="str">
        <f t="shared" si="43"/>
        <v>Textual</v>
      </c>
      <c r="S2792" s="2" t="str">
        <f>IF($C2792="","",IFERROR(VLOOKUP($C2792,sources!$A$2:$N$200,9,FALSE()),"?"))</f>
        <v>Mixed</v>
      </c>
      <c r="T2792" t="s">
        <v>5692</v>
      </c>
      <c r="U2792">
        <f>IF(OR(B2792="",C2792="",T2792="Retracted",LEFT(D2792,8)="Negative"),0,IF(COUNTIFS($B$2:B2792,B2792,$C$2:C2792,C2792,$D$2:D2792,"&lt;&gt;Negative*",$T$2:T2792,"&lt;&gt;Retracted")=1,1,0))</f>
        <v>1</v>
      </c>
    </row>
    <row r="2793" spans="1:21" x14ac:dyDescent="0.2">
      <c r="A2793" t="s">
        <v>5128</v>
      </c>
      <c r="B2793" t="s">
        <v>737</v>
      </c>
      <c r="C2793" t="s">
        <v>1296</v>
      </c>
      <c r="D2793" t="s">
        <v>1575</v>
      </c>
      <c r="E2793" t="s">
        <v>5129</v>
      </c>
      <c r="F2793" t="s">
        <v>1583</v>
      </c>
      <c r="I2793" t="s">
        <v>1058</v>
      </c>
      <c r="K2793">
        <v>1909</v>
      </c>
      <c r="L2793">
        <v>1909</v>
      </c>
      <c r="M2793" t="s">
        <v>203</v>
      </c>
      <c r="N2793" t="s">
        <v>203</v>
      </c>
      <c r="Q2793" s="2" t="str">
        <f>IF($C2793="","",IFERROR(VLOOKUP($C2793,sources!$A$2:$N$200,2,FALSE()),"?"))</f>
        <v>Web compilation</v>
      </c>
      <c r="R2793" s="2" t="str">
        <f t="shared" si="43"/>
        <v>Textual</v>
      </c>
      <c r="S2793" s="2" t="str">
        <f>IF($C2793="","",IFERROR(VLOOKUP($C2793,sources!$A$2:$N$200,9,FALSE()),"?"))</f>
        <v>Mixed</v>
      </c>
      <c r="T2793" t="s">
        <v>5692</v>
      </c>
      <c r="U2793">
        <f>IF(OR(B2793="",C2793="",T2793="Retracted",LEFT(D2793,8)="Negative"),0,IF(COUNTIFS($B$2:B2793,B2793,$C$2:C2793,C2793,$D$2:D2793,"&lt;&gt;Negative*",$T$2:T2793,"&lt;&gt;Retracted")=1,1,0))</f>
        <v>1</v>
      </c>
    </row>
    <row r="2794" spans="1:21" x14ac:dyDescent="0.2">
      <c r="A2794" t="s">
        <v>5130</v>
      </c>
      <c r="B2794" t="s">
        <v>740</v>
      </c>
      <c r="C2794" t="s">
        <v>1296</v>
      </c>
      <c r="D2794" t="s">
        <v>1575</v>
      </c>
      <c r="E2794" t="s">
        <v>4929</v>
      </c>
      <c r="F2794" t="s">
        <v>1583</v>
      </c>
      <c r="I2794" t="s">
        <v>1058</v>
      </c>
      <c r="K2794">
        <v>1905</v>
      </c>
      <c r="L2794">
        <v>1907</v>
      </c>
      <c r="M2794" t="s">
        <v>203</v>
      </c>
      <c r="N2794" t="s">
        <v>203</v>
      </c>
      <c r="Q2794" s="2" t="str">
        <f>IF($C2794="","",IFERROR(VLOOKUP($C2794,sources!$A$2:$N$200,2,FALSE()),"?"))</f>
        <v>Web compilation</v>
      </c>
      <c r="R2794" s="2" t="str">
        <f t="shared" si="43"/>
        <v>Textual</v>
      </c>
      <c r="S2794" s="2" t="str">
        <f>IF($C2794="","",IFERROR(VLOOKUP($C2794,sources!$A$2:$N$200,9,FALSE()),"?"))</f>
        <v>Mixed</v>
      </c>
      <c r="T2794" t="s">
        <v>5692</v>
      </c>
      <c r="U2794">
        <f>IF(OR(B2794="",C2794="",T2794="Retracted",LEFT(D2794,8)="Negative"),0,IF(COUNTIFS($B$2:B2794,B2794,$C$2:C2794,C2794,$D$2:D2794,"&lt;&gt;Negative*",$T$2:T2794,"&lt;&gt;Retracted")=1,1,0))</f>
        <v>1</v>
      </c>
    </row>
    <row r="2795" spans="1:21" x14ac:dyDescent="0.2">
      <c r="A2795" t="s">
        <v>5131</v>
      </c>
      <c r="B2795" t="s">
        <v>743</v>
      </c>
      <c r="C2795" t="s">
        <v>1296</v>
      </c>
      <c r="D2795" t="s">
        <v>1575</v>
      </c>
      <c r="E2795" t="s">
        <v>5132</v>
      </c>
      <c r="F2795" t="s">
        <v>1583</v>
      </c>
      <c r="I2795" t="s">
        <v>1058</v>
      </c>
      <c r="K2795">
        <v>1907</v>
      </c>
      <c r="L2795">
        <v>1907</v>
      </c>
      <c r="M2795" t="s">
        <v>203</v>
      </c>
      <c r="N2795" t="s">
        <v>203</v>
      </c>
      <c r="Q2795" s="2" t="str">
        <f>IF($C2795="","",IFERROR(VLOOKUP($C2795,sources!$A$2:$N$200,2,FALSE()),"?"))</f>
        <v>Web compilation</v>
      </c>
      <c r="R2795" s="2" t="str">
        <f t="shared" si="43"/>
        <v>Textual</v>
      </c>
      <c r="S2795" s="2" t="str">
        <f>IF($C2795="","",IFERROR(VLOOKUP($C2795,sources!$A$2:$N$200,9,FALSE()),"?"))</f>
        <v>Mixed</v>
      </c>
      <c r="T2795" t="s">
        <v>5692</v>
      </c>
      <c r="U2795">
        <f>IF(OR(B2795="",C2795="",T2795="Retracted",LEFT(D2795,8)="Negative"),0,IF(COUNTIFS($B$2:B2795,B2795,$C$2:C2795,C2795,$D$2:D2795,"&lt;&gt;Negative*",$T$2:T2795,"&lt;&gt;Retracted")=1,1,0))</f>
        <v>1</v>
      </c>
    </row>
    <row r="2796" spans="1:21" x14ac:dyDescent="0.2">
      <c r="A2796" t="s">
        <v>5133</v>
      </c>
      <c r="B2796" t="s">
        <v>746</v>
      </c>
      <c r="C2796" t="s">
        <v>1296</v>
      </c>
      <c r="D2796" t="s">
        <v>1575</v>
      </c>
      <c r="E2796" t="s">
        <v>5134</v>
      </c>
      <c r="F2796" t="s">
        <v>1583</v>
      </c>
      <c r="I2796" t="s">
        <v>1058</v>
      </c>
      <c r="N2796" t="s">
        <v>203</v>
      </c>
      <c r="Q2796" s="2" t="str">
        <f>IF($C2796="","",IFERROR(VLOOKUP($C2796,sources!$A$2:$N$200,2,FALSE()),"?"))</f>
        <v>Web compilation</v>
      </c>
      <c r="R2796" s="2" t="str">
        <f t="shared" si="43"/>
        <v>Textual</v>
      </c>
      <c r="S2796" s="2" t="str">
        <f>IF($C2796="","",IFERROR(VLOOKUP($C2796,sources!$A$2:$N$200,9,FALSE()),"?"))</f>
        <v>Mixed</v>
      </c>
      <c r="T2796" t="s">
        <v>5692</v>
      </c>
      <c r="U2796">
        <f>IF(OR(B2796="",C2796="",T2796="Retracted",LEFT(D2796,8)="Negative"),0,IF(COUNTIFS($B$2:B2796,B2796,$C$2:C2796,C2796,$D$2:D2796,"&lt;&gt;Negative*",$T$2:T2796,"&lt;&gt;Retracted")=1,1,0))</f>
        <v>1</v>
      </c>
    </row>
    <row r="2797" spans="1:21" x14ac:dyDescent="0.2">
      <c r="A2797" t="s">
        <v>5135</v>
      </c>
      <c r="B2797" t="s">
        <v>749</v>
      </c>
      <c r="C2797" t="s">
        <v>1296</v>
      </c>
      <c r="D2797" t="s">
        <v>1575</v>
      </c>
      <c r="E2797" t="s">
        <v>5136</v>
      </c>
      <c r="F2797" t="s">
        <v>1583</v>
      </c>
      <c r="I2797" t="s">
        <v>1058</v>
      </c>
      <c r="K2797">
        <v>1906</v>
      </c>
      <c r="L2797">
        <v>1906</v>
      </c>
      <c r="M2797" t="s">
        <v>203</v>
      </c>
      <c r="N2797" t="s">
        <v>203</v>
      </c>
      <c r="Q2797" s="2" t="str">
        <f>IF($C2797="","",IFERROR(VLOOKUP($C2797,sources!$A$2:$N$200,2,FALSE()),"?"))</f>
        <v>Web compilation</v>
      </c>
      <c r="R2797" s="2" t="str">
        <f t="shared" si="43"/>
        <v>Textual</v>
      </c>
      <c r="S2797" s="2" t="str">
        <f>IF($C2797="","",IFERROR(VLOOKUP($C2797,sources!$A$2:$N$200,9,FALSE()),"?"))</f>
        <v>Mixed</v>
      </c>
      <c r="T2797" t="s">
        <v>5692</v>
      </c>
      <c r="U2797">
        <f>IF(OR(B2797="",C2797="",T2797="Retracted",LEFT(D2797,8)="Negative"),0,IF(COUNTIFS($B$2:B2797,B2797,$C$2:C2797,C2797,$D$2:D2797,"&lt;&gt;Negative*",$T$2:T2797,"&lt;&gt;Retracted")=1,1,0))</f>
        <v>1</v>
      </c>
    </row>
    <row r="2798" spans="1:21" x14ac:dyDescent="0.2">
      <c r="A2798" t="s">
        <v>5137</v>
      </c>
      <c r="B2798" t="s">
        <v>752</v>
      </c>
      <c r="C2798" t="s">
        <v>1296</v>
      </c>
      <c r="D2798" t="s">
        <v>1575</v>
      </c>
      <c r="E2798" t="s">
        <v>4937</v>
      </c>
      <c r="F2798" t="s">
        <v>1583</v>
      </c>
      <c r="I2798" t="s">
        <v>1058</v>
      </c>
      <c r="K2798">
        <v>1907</v>
      </c>
      <c r="L2798">
        <v>1907</v>
      </c>
      <c r="M2798" t="s">
        <v>203</v>
      </c>
      <c r="N2798" t="s">
        <v>203</v>
      </c>
      <c r="Q2798" s="2" t="str">
        <f>IF($C2798="","",IFERROR(VLOOKUP($C2798,sources!$A$2:$N$200,2,FALSE()),"?"))</f>
        <v>Web compilation</v>
      </c>
      <c r="R2798" s="2" t="str">
        <f t="shared" si="43"/>
        <v>Textual</v>
      </c>
      <c r="S2798" s="2" t="str">
        <f>IF($C2798="","",IFERROR(VLOOKUP($C2798,sources!$A$2:$N$200,9,FALSE()),"?"))</f>
        <v>Mixed</v>
      </c>
      <c r="T2798" t="s">
        <v>5692</v>
      </c>
      <c r="U2798">
        <f>IF(OR(B2798="",C2798="",T2798="Retracted",LEFT(D2798,8)="Negative"),0,IF(COUNTIFS($B$2:B2798,B2798,$C$2:C2798,C2798,$D$2:D2798,"&lt;&gt;Negative*",$T$2:T2798,"&lt;&gt;Retracted")=1,1,0))</f>
        <v>1</v>
      </c>
    </row>
    <row r="2799" spans="1:21" x14ac:dyDescent="0.2">
      <c r="A2799" t="s">
        <v>5138</v>
      </c>
      <c r="B2799" t="s">
        <v>755</v>
      </c>
      <c r="C2799" t="s">
        <v>1296</v>
      </c>
      <c r="D2799" t="s">
        <v>1575</v>
      </c>
      <c r="E2799" t="s">
        <v>4939</v>
      </c>
      <c r="F2799" t="s">
        <v>1583</v>
      </c>
      <c r="I2799" t="s">
        <v>1058</v>
      </c>
      <c r="K2799">
        <v>1907</v>
      </c>
      <c r="L2799">
        <v>1911</v>
      </c>
      <c r="M2799" t="s">
        <v>203</v>
      </c>
      <c r="N2799" t="s">
        <v>203</v>
      </c>
      <c r="Q2799" s="2" t="str">
        <f>IF($C2799="","",IFERROR(VLOOKUP($C2799,sources!$A$2:$N$200,2,FALSE()),"?"))</f>
        <v>Web compilation</v>
      </c>
      <c r="R2799" s="2" t="str">
        <f t="shared" si="43"/>
        <v>Textual</v>
      </c>
      <c r="S2799" s="2" t="str">
        <f>IF($C2799="","",IFERROR(VLOOKUP($C2799,sources!$A$2:$N$200,9,FALSE()),"?"))</f>
        <v>Mixed</v>
      </c>
      <c r="T2799" t="s">
        <v>5692</v>
      </c>
      <c r="U2799">
        <f>IF(OR(B2799="",C2799="",T2799="Retracted",LEFT(D2799,8)="Negative"),0,IF(COUNTIFS($B$2:B2799,B2799,$C$2:C2799,C2799,$D$2:D2799,"&lt;&gt;Negative*",$T$2:T2799,"&lt;&gt;Retracted")=1,1,0))</f>
        <v>1</v>
      </c>
    </row>
    <row r="2800" spans="1:21" x14ac:dyDescent="0.2">
      <c r="A2800" t="s">
        <v>5139</v>
      </c>
      <c r="B2800" t="s">
        <v>758</v>
      </c>
      <c r="C2800" t="s">
        <v>1296</v>
      </c>
      <c r="D2800" t="s">
        <v>1575</v>
      </c>
      <c r="E2800" t="s">
        <v>5140</v>
      </c>
      <c r="F2800" t="s">
        <v>1583</v>
      </c>
      <c r="I2800" t="s">
        <v>1058</v>
      </c>
      <c r="K2800">
        <v>1905</v>
      </c>
      <c r="L2800">
        <v>1905</v>
      </c>
      <c r="M2800" t="s">
        <v>203</v>
      </c>
      <c r="N2800" t="s">
        <v>203</v>
      </c>
      <c r="Q2800" s="2" t="str">
        <f>IF($C2800="","",IFERROR(VLOOKUP($C2800,sources!$A$2:$N$200,2,FALSE()),"?"))</f>
        <v>Web compilation</v>
      </c>
      <c r="R2800" s="2" t="str">
        <f t="shared" si="43"/>
        <v>Textual</v>
      </c>
      <c r="S2800" s="2" t="str">
        <f>IF($C2800="","",IFERROR(VLOOKUP($C2800,sources!$A$2:$N$200,9,FALSE()),"?"))</f>
        <v>Mixed</v>
      </c>
      <c r="T2800" t="s">
        <v>5692</v>
      </c>
      <c r="U2800">
        <f>IF(OR(B2800="",C2800="",T2800="Retracted",LEFT(D2800,8)="Negative"),0,IF(COUNTIFS($B$2:B2800,B2800,$C$2:C2800,C2800,$D$2:D2800,"&lt;&gt;Negative*",$T$2:T2800,"&lt;&gt;Retracted")=1,1,0))</f>
        <v>1</v>
      </c>
    </row>
    <row r="2801" spans="1:21" x14ac:dyDescent="0.2">
      <c r="A2801" t="s">
        <v>5141</v>
      </c>
      <c r="B2801" t="s">
        <v>776</v>
      </c>
      <c r="C2801" t="s">
        <v>1296</v>
      </c>
      <c r="D2801" t="s">
        <v>1575</v>
      </c>
      <c r="E2801" t="s">
        <v>777</v>
      </c>
      <c r="F2801" t="s">
        <v>1583</v>
      </c>
      <c r="I2801" t="s">
        <v>1058</v>
      </c>
      <c r="K2801">
        <v>1907</v>
      </c>
      <c r="L2801">
        <v>1908</v>
      </c>
      <c r="M2801" t="s">
        <v>203</v>
      </c>
      <c r="N2801" t="s">
        <v>203</v>
      </c>
      <c r="Q2801" s="2" t="str">
        <f>IF($C2801="","",IFERROR(VLOOKUP($C2801,sources!$A$2:$N$200,2,FALSE()),"?"))</f>
        <v>Web compilation</v>
      </c>
      <c r="R2801" s="2" t="str">
        <f t="shared" si="43"/>
        <v>Textual</v>
      </c>
      <c r="S2801" s="2" t="str">
        <f>IF($C2801="","",IFERROR(VLOOKUP($C2801,sources!$A$2:$N$200,9,FALSE()),"?"))</f>
        <v>Mixed</v>
      </c>
      <c r="T2801" t="s">
        <v>5692</v>
      </c>
      <c r="U2801">
        <f>IF(OR(B2801="",C2801="",T2801="Retracted",LEFT(D2801,8)="Negative"),0,IF(COUNTIFS($B$2:B2801,B2801,$C$2:C2801,C2801,$D$2:D2801,"&lt;&gt;Negative*",$T$2:T2801,"&lt;&gt;Retracted")=1,1,0))</f>
        <v>1</v>
      </c>
    </row>
    <row r="2802" spans="1:21" x14ac:dyDescent="0.2">
      <c r="A2802" t="s">
        <v>5142</v>
      </c>
      <c r="B2802" t="s">
        <v>783</v>
      </c>
      <c r="C2802" t="s">
        <v>1296</v>
      </c>
      <c r="D2802" t="s">
        <v>1564</v>
      </c>
      <c r="E2802" t="s">
        <v>784</v>
      </c>
      <c r="F2802" t="s">
        <v>1583</v>
      </c>
      <c r="I2802" t="s">
        <v>1058</v>
      </c>
      <c r="K2802">
        <v>1919</v>
      </c>
      <c r="L2802">
        <v>1919</v>
      </c>
      <c r="M2802" t="s">
        <v>203</v>
      </c>
      <c r="N2802" t="s">
        <v>209</v>
      </c>
      <c r="Q2802" s="2" t="str">
        <f>IF($C2802="","",IFERROR(VLOOKUP($C2802,sources!$A$2:$N$200,2,FALSE()),"?"))</f>
        <v>Web compilation</v>
      </c>
      <c r="R2802" s="2" t="str">
        <f t="shared" si="43"/>
        <v>Textual</v>
      </c>
      <c r="S2802" s="2" t="str">
        <f>IF($C2802="","",IFERROR(VLOOKUP($C2802,sources!$A$2:$N$200,9,FALSE()),"?"))</f>
        <v>Mixed</v>
      </c>
      <c r="T2802" t="s">
        <v>5692</v>
      </c>
      <c r="U2802">
        <f>IF(OR(B2802="",C2802="",T2802="Retracted",LEFT(D2802,8)="Negative"),0,IF(COUNTIFS($B$2:B2802,B2802,$C$2:C2802,C2802,$D$2:D2802,"&lt;&gt;Negative*",$T$2:T2802,"&lt;&gt;Retracted")=1,1,0))</f>
        <v>1</v>
      </c>
    </row>
    <row r="2803" spans="1:21" x14ac:dyDescent="0.2">
      <c r="A2803" t="s">
        <v>5143</v>
      </c>
      <c r="B2803" t="s">
        <v>786</v>
      </c>
      <c r="C2803" t="s">
        <v>1296</v>
      </c>
      <c r="D2803" t="s">
        <v>1575</v>
      </c>
      <c r="E2803" t="s">
        <v>787</v>
      </c>
      <c r="F2803" t="s">
        <v>1583</v>
      </c>
      <c r="I2803" t="s">
        <v>1058</v>
      </c>
      <c r="K2803">
        <v>1927</v>
      </c>
      <c r="L2803">
        <v>1929</v>
      </c>
      <c r="M2803" t="s">
        <v>203</v>
      </c>
      <c r="N2803" t="s">
        <v>203</v>
      </c>
      <c r="Q2803" s="2" t="str">
        <f>IF($C2803="","",IFERROR(VLOOKUP($C2803,sources!$A$2:$N$200,2,FALSE()),"?"))</f>
        <v>Web compilation</v>
      </c>
      <c r="R2803" s="2" t="str">
        <f t="shared" si="43"/>
        <v>Textual</v>
      </c>
      <c r="S2803" s="2" t="str">
        <f>IF($C2803="","",IFERROR(VLOOKUP($C2803,sources!$A$2:$N$200,9,FALSE()),"?"))</f>
        <v>Mixed</v>
      </c>
      <c r="T2803" t="s">
        <v>5692</v>
      </c>
      <c r="U2803">
        <f>IF(OR(B2803="",C2803="",T2803="Retracted",LEFT(D2803,8)="Negative"),0,IF(COUNTIFS($B$2:B2803,B2803,$C$2:C2803,C2803,$D$2:D2803,"&lt;&gt;Negative*",$T$2:T2803,"&lt;&gt;Retracted")=1,1,0))</f>
        <v>1</v>
      </c>
    </row>
    <row r="2804" spans="1:21" x14ac:dyDescent="0.2">
      <c r="A2804" t="s">
        <v>5144</v>
      </c>
      <c r="B2804" t="s">
        <v>791</v>
      </c>
      <c r="C2804" t="s">
        <v>1296</v>
      </c>
      <c r="D2804" t="s">
        <v>1575</v>
      </c>
      <c r="E2804" t="s">
        <v>5145</v>
      </c>
      <c r="F2804" t="s">
        <v>1583</v>
      </c>
      <c r="I2804" t="s">
        <v>1058</v>
      </c>
      <c r="K2804">
        <v>1907</v>
      </c>
      <c r="L2804">
        <v>1907</v>
      </c>
      <c r="M2804" t="s">
        <v>203</v>
      </c>
      <c r="N2804" t="s">
        <v>203</v>
      </c>
      <c r="Q2804" s="2" t="str">
        <f>IF($C2804="","",IFERROR(VLOOKUP($C2804,sources!$A$2:$N$200,2,FALSE()),"?"))</f>
        <v>Web compilation</v>
      </c>
      <c r="R2804" s="2" t="str">
        <f t="shared" si="43"/>
        <v>Textual</v>
      </c>
      <c r="S2804" s="2" t="str">
        <f>IF($C2804="","",IFERROR(VLOOKUP($C2804,sources!$A$2:$N$200,9,FALSE()),"?"))</f>
        <v>Mixed</v>
      </c>
      <c r="T2804" t="s">
        <v>5692</v>
      </c>
      <c r="U2804">
        <f>IF(OR(B2804="",C2804="",T2804="Retracted",LEFT(D2804,8)="Negative"),0,IF(COUNTIFS($B$2:B2804,B2804,$C$2:C2804,C2804,$D$2:D2804,"&lt;&gt;Negative*",$T$2:T2804,"&lt;&gt;Retracted")=1,1,0))</f>
        <v>1</v>
      </c>
    </row>
    <row r="2805" spans="1:21" x14ac:dyDescent="0.2">
      <c r="A2805" t="s">
        <v>5146</v>
      </c>
      <c r="B2805" t="s">
        <v>796</v>
      </c>
      <c r="C2805" t="s">
        <v>1296</v>
      </c>
      <c r="D2805" t="s">
        <v>1575</v>
      </c>
      <c r="E2805" t="s">
        <v>4319</v>
      </c>
      <c r="F2805" t="s">
        <v>1583</v>
      </c>
      <c r="I2805" t="s">
        <v>1058</v>
      </c>
      <c r="K2805">
        <v>1907</v>
      </c>
      <c r="L2805">
        <v>1909</v>
      </c>
      <c r="M2805" t="s">
        <v>203</v>
      </c>
      <c r="N2805" t="s">
        <v>203</v>
      </c>
      <c r="Q2805" s="2" t="str">
        <f>IF($C2805="","",IFERROR(VLOOKUP($C2805,sources!$A$2:$N$200,2,FALSE()),"?"))</f>
        <v>Web compilation</v>
      </c>
      <c r="R2805" s="2" t="str">
        <f t="shared" si="43"/>
        <v>Textual</v>
      </c>
      <c r="S2805" s="2" t="str">
        <f>IF($C2805="","",IFERROR(VLOOKUP($C2805,sources!$A$2:$N$200,9,FALSE()),"?"))</f>
        <v>Mixed</v>
      </c>
      <c r="T2805" t="s">
        <v>5692</v>
      </c>
      <c r="U2805">
        <f>IF(OR(B2805="",C2805="",T2805="Retracted",LEFT(D2805,8)="Negative"),0,IF(COUNTIFS($B$2:B2805,B2805,$C$2:C2805,C2805,$D$2:D2805,"&lt;&gt;Negative*",$T$2:T2805,"&lt;&gt;Retracted")=1,1,0))</f>
        <v>1</v>
      </c>
    </row>
    <row r="2806" spans="1:21" x14ac:dyDescent="0.2">
      <c r="A2806" t="s">
        <v>5147</v>
      </c>
      <c r="B2806" t="s">
        <v>801</v>
      </c>
      <c r="C2806" t="s">
        <v>1296</v>
      </c>
      <c r="D2806" t="s">
        <v>1575</v>
      </c>
      <c r="E2806" t="s">
        <v>802</v>
      </c>
      <c r="F2806" t="s">
        <v>1583</v>
      </c>
      <c r="I2806" t="s">
        <v>1058</v>
      </c>
      <c r="K2806">
        <v>1905</v>
      </c>
      <c r="L2806">
        <v>1905</v>
      </c>
      <c r="M2806" t="s">
        <v>203</v>
      </c>
      <c r="N2806" t="s">
        <v>203</v>
      </c>
      <c r="Q2806" s="2" t="str">
        <f>IF($C2806="","",IFERROR(VLOOKUP($C2806,sources!$A$2:$N$200,2,FALSE()),"?"))</f>
        <v>Web compilation</v>
      </c>
      <c r="R2806" s="2" t="str">
        <f t="shared" si="43"/>
        <v>Textual</v>
      </c>
      <c r="S2806" s="2" t="str">
        <f>IF($C2806="","",IFERROR(VLOOKUP($C2806,sources!$A$2:$N$200,9,FALSE()),"?"))</f>
        <v>Mixed</v>
      </c>
      <c r="T2806" t="s">
        <v>5692</v>
      </c>
      <c r="U2806">
        <f>IF(OR(B2806="",C2806="",T2806="Retracted",LEFT(D2806,8)="Negative"),0,IF(COUNTIFS($B$2:B2806,B2806,$C$2:C2806,C2806,$D$2:D2806,"&lt;&gt;Negative*",$T$2:T2806,"&lt;&gt;Retracted")=1,1,0))</f>
        <v>1</v>
      </c>
    </row>
    <row r="2807" spans="1:21" x14ac:dyDescent="0.2">
      <c r="A2807" t="s">
        <v>5148</v>
      </c>
      <c r="B2807" t="s">
        <v>805</v>
      </c>
      <c r="C2807" t="s">
        <v>1296</v>
      </c>
      <c r="D2807" t="s">
        <v>1575</v>
      </c>
      <c r="E2807" t="s">
        <v>4247</v>
      </c>
      <c r="F2807" t="s">
        <v>1583</v>
      </c>
      <c r="I2807" t="s">
        <v>1058</v>
      </c>
      <c r="K2807">
        <v>1907</v>
      </c>
      <c r="L2807">
        <v>1909</v>
      </c>
      <c r="M2807" t="s">
        <v>203</v>
      </c>
      <c r="N2807" t="s">
        <v>203</v>
      </c>
      <c r="Q2807" s="2" t="str">
        <f>IF($C2807="","",IFERROR(VLOOKUP($C2807,sources!$A$2:$N$200,2,FALSE()),"?"))</f>
        <v>Web compilation</v>
      </c>
      <c r="R2807" s="2" t="str">
        <f t="shared" si="43"/>
        <v>Textual</v>
      </c>
      <c r="S2807" s="2" t="str">
        <f>IF($C2807="","",IFERROR(VLOOKUP($C2807,sources!$A$2:$N$200,9,FALSE()),"?"))</f>
        <v>Mixed</v>
      </c>
      <c r="T2807" t="s">
        <v>5692</v>
      </c>
      <c r="U2807">
        <f>IF(OR(B2807="",C2807="",T2807="Retracted",LEFT(D2807,8)="Negative"),0,IF(COUNTIFS($B$2:B2807,B2807,$C$2:C2807,C2807,$D$2:D2807,"&lt;&gt;Negative*",$T$2:T2807,"&lt;&gt;Retracted")=1,1,0))</f>
        <v>1</v>
      </c>
    </row>
    <row r="2808" spans="1:21" x14ac:dyDescent="0.2">
      <c r="A2808" t="s">
        <v>5149</v>
      </c>
      <c r="B2808" t="s">
        <v>808</v>
      </c>
      <c r="C2808" t="s">
        <v>1296</v>
      </c>
      <c r="D2808" t="s">
        <v>1575</v>
      </c>
      <c r="E2808" t="s">
        <v>5150</v>
      </c>
      <c r="F2808" t="s">
        <v>1583</v>
      </c>
      <c r="I2808" t="s">
        <v>1058</v>
      </c>
      <c r="N2808" t="s">
        <v>203</v>
      </c>
      <c r="Q2808" s="2" t="str">
        <f>IF($C2808="","",IFERROR(VLOOKUP($C2808,sources!$A$2:$N$200,2,FALSE()),"?"))</f>
        <v>Web compilation</v>
      </c>
      <c r="R2808" s="2" t="str">
        <f t="shared" si="43"/>
        <v>Textual</v>
      </c>
      <c r="S2808" s="2" t="str">
        <f>IF($C2808="","",IFERROR(VLOOKUP($C2808,sources!$A$2:$N$200,9,FALSE()),"?"))</f>
        <v>Mixed</v>
      </c>
      <c r="T2808" t="s">
        <v>5692</v>
      </c>
      <c r="U2808">
        <f>IF(OR(B2808="",C2808="",T2808="Retracted",LEFT(D2808,8)="Negative"),0,IF(COUNTIFS($B$2:B2808,B2808,$C$2:C2808,C2808,$D$2:D2808,"&lt;&gt;Negative*",$T$2:T2808,"&lt;&gt;Retracted")=1,1,0))</f>
        <v>1</v>
      </c>
    </row>
    <row r="2809" spans="1:21" x14ac:dyDescent="0.2">
      <c r="A2809" t="s">
        <v>5151</v>
      </c>
      <c r="B2809" t="s">
        <v>811</v>
      </c>
      <c r="C2809" t="s">
        <v>1296</v>
      </c>
      <c r="D2809" t="s">
        <v>1575</v>
      </c>
      <c r="E2809" t="s">
        <v>5152</v>
      </c>
      <c r="F2809" t="s">
        <v>1583</v>
      </c>
      <c r="I2809" t="s">
        <v>1058</v>
      </c>
      <c r="K2809">
        <v>1911</v>
      </c>
      <c r="L2809">
        <v>1911</v>
      </c>
      <c r="M2809" t="s">
        <v>203</v>
      </c>
      <c r="N2809" t="s">
        <v>203</v>
      </c>
      <c r="Q2809" s="2" t="str">
        <f>IF($C2809="","",IFERROR(VLOOKUP($C2809,sources!$A$2:$N$200,2,FALSE()),"?"))</f>
        <v>Web compilation</v>
      </c>
      <c r="R2809" s="2" t="str">
        <f t="shared" si="43"/>
        <v>Textual</v>
      </c>
      <c r="S2809" s="2" t="str">
        <f>IF($C2809="","",IFERROR(VLOOKUP($C2809,sources!$A$2:$N$200,9,FALSE()),"?"))</f>
        <v>Mixed</v>
      </c>
      <c r="T2809" t="s">
        <v>5692</v>
      </c>
      <c r="U2809">
        <f>IF(OR(B2809="",C2809="",T2809="Retracted",LEFT(D2809,8)="Negative"),0,IF(COUNTIFS($B$2:B2809,B2809,$C$2:C2809,C2809,$D$2:D2809,"&lt;&gt;Negative*",$T$2:T2809,"&lt;&gt;Retracted")=1,1,0))</f>
        <v>1</v>
      </c>
    </row>
    <row r="2810" spans="1:21" x14ac:dyDescent="0.2">
      <c r="A2810" t="s">
        <v>5153</v>
      </c>
      <c r="B2810" t="s">
        <v>816</v>
      </c>
      <c r="C2810" t="s">
        <v>1296</v>
      </c>
      <c r="D2810" t="s">
        <v>1575</v>
      </c>
      <c r="E2810" t="s">
        <v>4251</v>
      </c>
      <c r="F2810" t="s">
        <v>1583</v>
      </c>
      <c r="I2810" t="s">
        <v>1058</v>
      </c>
      <c r="K2810">
        <v>1913</v>
      </c>
      <c r="L2810">
        <v>1913</v>
      </c>
      <c r="M2810" t="s">
        <v>203</v>
      </c>
      <c r="N2810" t="s">
        <v>203</v>
      </c>
      <c r="Q2810" s="2" t="str">
        <f>IF($C2810="","",IFERROR(VLOOKUP($C2810,sources!$A$2:$N$200,2,FALSE()),"?"))</f>
        <v>Web compilation</v>
      </c>
      <c r="R2810" s="2" t="str">
        <f t="shared" si="43"/>
        <v>Textual</v>
      </c>
      <c r="S2810" s="2" t="str">
        <f>IF($C2810="","",IFERROR(VLOOKUP($C2810,sources!$A$2:$N$200,9,FALSE()),"?"))</f>
        <v>Mixed</v>
      </c>
      <c r="T2810" t="s">
        <v>5692</v>
      </c>
      <c r="U2810">
        <f>IF(OR(B2810="",C2810="",T2810="Retracted",LEFT(D2810,8)="Negative"),0,IF(COUNTIFS($B$2:B2810,B2810,$C$2:C2810,C2810,$D$2:D2810,"&lt;&gt;Negative*",$T$2:T2810,"&lt;&gt;Retracted")=1,1,0))</f>
        <v>1</v>
      </c>
    </row>
    <row r="2811" spans="1:21" x14ac:dyDescent="0.2">
      <c r="A2811" t="s">
        <v>5154</v>
      </c>
      <c r="B2811" t="s">
        <v>819</v>
      </c>
      <c r="C2811" t="s">
        <v>1296</v>
      </c>
      <c r="D2811" t="s">
        <v>1564</v>
      </c>
      <c r="E2811" t="s">
        <v>4253</v>
      </c>
      <c r="F2811" t="s">
        <v>1583</v>
      </c>
      <c r="I2811" t="s">
        <v>1058</v>
      </c>
      <c r="K2811">
        <v>1911</v>
      </c>
      <c r="L2811">
        <v>1913</v>
      </c>
      <c r="M2811" t="s">
        <v>203</v>
      </c>
      <c r="N2811" t="s">
        <v>203</v>
      </c>
      <c r="Q2811" s="2" t="str">
        <f>IF($C2811="","",IFERROR(VLOOKUP($C2811,sources!$A$2:$N$200,2,FALSE()),"?"))</f>
        <v>Web compilation</v>
      </c>
      <c r="R2811" s="2" t="str">
        <f t="shared" si="43"/>
        <v>Textual</v>
      </c>
      <c r="S2811" s="2" t="str">
        <f>IF($C2811="","",IFERROR(VLOOKUP($C2811,sources!$A$2:$N$200,9,FALSE()),"?"))</f>
        <v>Mixed</v>
      </c>
      <c r="T2811" t="s">
        <v>5692</v>
      </c>
      <c r="U2811">
        <f>IF(OR(B2811="",C2811="",T2811="Retracted",LEFT(D2811,8)="Negative"),0,IF(COUNTIFS($B$2:B2811,B2811,$C$2:C2811,C2811,$D$2:D2811,"&lt;&gt;Negative*",$T$2:T2811,"&lt;&gt;Retracted")=1,1,0))</f>
        <v>1</v>
      </c>
    </row>
    <row r="2812" spans="1:21" x14ac:dyDescent="0.2">
      <c r="A2812" t="s">
        <v>5155</v>
      </c>
      <c r="B2812" t="s">
        <v>824</v>
      </c>
      <c r="C2812" t="s">
        <v>1296</v>
      </c>
      <c r="D2812" t="s">
        <v>1575</v>
      </c>
      <c r="E2812" t="s">
        <v>825</v>
      </c>
      <c r="F2812" t="s">
        <v>1583</v>
      </c>
      <c r="I2812" t="s">
        <v>1058</v>
      </c>
      <c r="K2812">
        <v>1950</v>
      </c>
      <c r="L2812">
        <v>1950</v>
      </c>
      <c r="M2812" t="s">
        <v>203</v>
      </c>
      <c r="N2812" t="s">
        <v>203</v>
      </c>
      <c r="Q2812" s="2" t="str">
        <f>IF($C2812="","",IFERROR(VLOOKUP($C2812,sources!$A$2:$N$200,2,FALSE()),"?"))</f>
        <v>Web compilation</v>
      </c>
      <c r="R2812" s="2" t="str">
        <f t="shared" si="43"/>
        <v>Textual</v>
      </c>
      <c r="S2812" s="2" t="str">
        <f>IF($C2812="","",IFERROR(VLOOKUP($C2812,sources!$A$2:$N$200,9,FALSE()),"?"))</f>
        <v>Mixed</v>
      </c>
      <c r="T2812" t="s">
        <v>5692</v>
      </c>
      <c r="U2812">
        <f>IF(OR(B2812="",C2812="",T2812="Retracted",LEFT(D2812,8)="Negative"),0,IF(COUNTIFS($B$2:B2812,B2812,$C$2:C2812,C2812,$D$2:D2812,"&lt;&gt;Negative*",$T$2:T2812,"&lt;&gt;Retracted")=1,1,0))</f>
        <v>1</v>
      </c>
    </row>
    <row r="2813" spans="1:21" x14ac:dyDescent="0.2">
      <c r="A2813" t="s">
        <v>5156</v>
      </c>
      <c r="B2813" t="s">
        <v>828</v>
      </c>
      <c r="C2813" t="s">
        <v>1296</v>
      </c>
      <c r="D2813" t="s">
        <v>1575</v>
      </c>
      <c r="E2813" t="s">
        <v>829</v>
      </c>
      <c r="F2813" t="s">
        <v>1583</v>
      </c>
      <c r="I2813" t="s">
        <v>1058</v>
      </c>
      <c r="K2813">
        <v>1922</v>
      </c>
      <c r="L2813">
        <v>1934</v>
      </c>
      <c r="M2813" t="s">
        <v>203</v>
      </c>
      <c r="N2813" t="s">
        <v>203</v>
      </c>
      <c r="Q2813" s="2" t="str">
        <f>IF($C2813="","",IFERROR(VLOOKUP($C2813,sources!$A$2:$N$200,2,FALSE()),"?"))</f>
        <v>Web compilation</v>
      </c>
      <c r="R2813" s="2" t="str">
        <f t="shared" si="43"/>
        <v>Textual</v>
      </c>
      <c r="S2813" s="2" t="str">
        <f>IF($C2813="","",IFERROR(VLOOKUP($C2813,sources!$A$2:$N$200,9,FALSE()),"?"))</f>
        <v>Mixed</v>
      </c>
      <c r="T2813" t="s">
        <v>5692</v>
      </c>
      <c r="U2813">
        <f>IF(OR(B2813="",C2813="",T2813="Retracted",LEFT(D2813,8)="Negative"),0,IF(COUNTIFS($B$2:B2813,B2813,$C$2:C2813,C2813,$D$2:D2813,"&lt;&gt;Negative*",$T$2:T2813,"&lt;&gt;Retracted")=1,1,0))</f>
        <v>1</v>
      </c>
    </row>
    <row r="2814" spans="1:21" x14ac:dyDescent="0.2">
      <c r="A2814" t="s">
        <v>5157</v>
      </c>
      <c r="B2814" t="s">
        <v>832</v>
      </c>
      <c r="C2814" t="s">
        <v>1296</v>
      </c>
      <c r="D2814" t="s">
        <v>1575</v>
      </c>
      <c r="E2814" t="s">
        <v>833</v>
      </c>
      <c r="F2814" t="s">
        <v>1583</v>
      </c>
      <c r="I2814" t="s">
        <v>1058</v>
      </c>
      <c r="K2814">
        <v>1964</v>
      </c>
      <c r="L2814">
        <v>1964</v>
      </c>
      <c r="M2814" t="s">
        <v>203</v>
      </c>
      <c r="N2814" t="s">
        <v>209</v>
      </c>
      <c r="Q2814" s="2" t="str">
        <f>IF($C2814="","",IFERROR(VLOOKUP($C2814,sources!$A$2:$N$200,2,FALSE()),"?"))</f>
        <v>Web compilation</v>
      </c>
      <c r="R2814" s="2" t="str">
        <f t="shared" si="43"/>
        <v>Textual</v>
      </c>
      <c r="S2814" s="2" t="str">
        <f>IF($C2814="","",IFERROR(VLOOKUP($C2814,sources!$A$2:$N$200,9,FALSE()),"?"))</f>
        <v>Mixed</v>
      </c>
      <c r="T2814" t="s">
        <v>5692</v>
      </c>
      <c r="U2814">
        <f>IF(OR(B2814="",C2814="",T2814="Retracted",LEFT(D2814,8)="Negative"),0,IF(COUNTIFS($B$2:B2814,B2814,$C$2:C2814,C2814,$D$2:D2814,"&lt;&gt;Negative*",$T$2:T2814,"&lt;&gt;Retracted")=1,1,0))</f>
        <v>1</v>
      </c>
    </row>
    <row r="2815" spans="1:21" x14ac:dyDescent="0.2">
      <c r="A2815" t="s">
        <v>5158</v>
      </c>
      <c r="B2815" t="s">
        <v>852</v>
      </c>
      <c r="C2815" t="s">
        <v>1296</v>
      </c>
      <c r="D2815" t="s">
        <v>1575</v>
      </c>
      <c r="E2815" t="s">
        <v>854</v>
      </c>
      <c r="F2815" t="s">
        <v>1583</v>
      </c>
      <c r="I2815" t="s">
        <v>1058</v>
      </c>
      <c r="K2815">
        <v>1905</v>
      </c>
      <c r="L2815">
        <v>1906</v>
      </c>
      <c r="M2815" t="s">
        <v>203</v>
      </c>
      <c r="N2815" t="s">
        <v>203</v>
      </c>
      <c r="Q2815" s="2" t="str">
        <f>IF($C2815="","",IFERROR(VLOOKUP($C2815,sources!$A$2:$N$200,2,FALSE()),"?"))</f>
        <v>Web compilation</v>
      </c>
      <c r="R2815" s="2" t="str">
        <f t="shared" si="43"/>
        <v>Textual</v>
      </c>
      <c r="S2815" s="2" t="str">
        <f>IF($C2815="","",IFERROR(VLOOKUP($C2815,sources!$A$2:$N$200,9,FALSE()),"?"))</f>
        <v>Mixed</v>
      </c>
      <c r="T2815" t="s">
        <v>5692</v>
      </c>
      <c r="U2815">
        <f>IF(OR(B2815="",C2815="",T2815="Retracted",LEFT(D2815,8)="Negative"),0,IF(COUNTIFS($B$2:B2815,B2815,$C$2:C2815,C2815,$D$2:D2815,"&lt;&gt;Negative*",$T$2:T2815,"&lt;&gt;Retracted")=1,1,0))</f>
        <v>1</v>
      </c>
    </row>
    <row r="2816" spans="1:21" x14ac:dyDescent="0.2">
      <c r="A2816" t="s">
        <v>5159</v>
      </c>
      <c r="B2816" t="s">
        <v>860</v>
      </c>
      <c r="C2816" t="s">
        <v>1296</v>
      </c>
      <c r="D2816" t="s">
        <v>1575</v>
      </c>
      <c r="E2816" t="s">
        <v>3322</v>
      </c>
      <c r="F2816" t="s">
        <v>1583</v>
      </c>
      <c r="I2816" t="s">
        <v>1058</v>
      </c>
      <c r="K2816">
        <v>1909</v>
      </c>
      <c r="L2816">
        <v>1911</v>
      </c>
      <c r="M2816" t="s">
        <v>203</v>
      </c>
      <c r="N2816" t="s">
        <v>203</v>
      </c>
      <c r="Q2816" s="2" t="str">
        <f>IF($C2816="","",IFERROR(VLOOKUP($C2816,sources!$A$2:$N$200,2,FALSE()),"?"))</f>
        <v>Web compilation</v>
      </c>
      <c r="R2816" s="2" t="str">
        <f t="shared" si="43"/>
        <v>Textual</v>
      </c>
      <c r="S2816" s="2" t="str">
        <f>IF($C2816="","",IFERROR(VLOOKUP($C2816,sources!$A$2:$N$200,9,FALSE()),"?"))</f>
        <v>Mixed</v>
      </c>
      <c r="T2816" t="s">
        <v>5692</v>
      </c>
      <c r="U2816">
        <f>IF(OR(B2816="",C2816="",T2816="Retracted",LEFT(D2816,8)="Negative"),0,IF(COUNTIFS($B$2:B2816,B2816,$C$2:C2816,C2816,$D$2:D2816,"&lt;&gt;Negative*",$T$2:T2816,"&lt;&gt;Retracted")=1,1,0))</f>
        <v>1</v>
      </c>
    </row>
    <row r="2817" spans="1:21" x14ac:dyDescent="0.2">
      <c r="A2817" t="s">
        <v>5160</v>
      </c>
      <c r="B2817" t="s">
        <v>869</v>
      </c>
      <c r="C2817" t="s">
        <v>1296</v>
      </c>
      <c r="D2817" t="s">
        <v>1575</v>
      </c>
      <c r="E2817" t="s">
        <v>4338</v>
      </c>
      <c r="F2817" t="s">
        <v>1583</v>
      </c>
      <c r="I2817" t="s">
        <v>1058</v>
      </c>
      <c r="K2817">
        <v>1907</v>
      </c>
      <c r="L2817">
        <v>1909</v>
      </c>
      <c r="M2817" t="s">
        <v>203</v>
      </c>
      <c r="N2817" t="s">
        <v>203</v>
      </c>
      <c r="Q2817" s="2" t="str">
        <f>IF($C2817="","",IFERROR(VLOOKUP($C2817,sources!$A$2:$N$200,2,FALSE()),"?"))</f>
        <v>Web compilation</v>
      </c>
      <c r="R2817" s="2" t="str">
        <f t="shared" si="43"/>
        <v>Textual</v>
      </c>
      <c r="S2817" s="2" t="str">
        <f>IF($C2817="","",IFERROR(VLOOKUP($C2817,sources!$A$2:$N$200,9,FALSE()),"?"))</f>
        <v>Mixed</v>
      </c>
      <c r="T2817" t="s">
        <v>5692</v>
      </c>
      <c r="U2817">
        <f>IF(OR(B2817="",C2817="",T2817="Retracted",LEFT(D2817,8)="Negative"),0,IF(COUNTIFS($B$2:B2817,B2817,$C$2:C2817,C2817,$D$2:D2817,"&lt;&gt;Negative*",$T$2:T2817,"&lt;&gt;Retracted")=1,1,0))</f>
        <v>1</v>
      </c>
    </row>
    <row r="2818" spans="1:21" x14ac:dyDescent="0.2">
      <c r="A2818" t="s">
        <v>5161</v>
      </c>
      <c r="B2818" t="s">
        <v>873</v>
      </c>
      <c r="C2818" t="s">
        <v>1296</v>
      </c>
      <c r="D2818" t="s">
        <v>1575</v>
      </c>
      <c r="E2818" t="s">
        <v>4311</v>
      </c>
      <c r="F2818" t="s">
        <v>1583</v>
      </c>
      <c r="I2818" t="s">
        <v>1058</v>
      </c>
      <c r="N2818" t="s">
        <v>203</v>
      </c>
      <c r="Q2818" s="2" t="str">
        <f>IF($C2818="","",IFERROR(VLOOKUP($C2818,sources!$A$2:$N$200,2,FALSE()),"?"))</f>
        <v>Web compilation</v>
      </c>
      <c r="R2818" s="2" t="str">
        <f t="shared" ref="R2818:R2881" si="44">IF($Q2818="","",IF($Q2818="Map","Map",IF(OR($Q2818="Photograph",$Q2818="Postcard"),"Image",IF(OR($Q2818="Census or roll",$Q2818="Report",$Q2818="Newspaper",$Q2818="Letter",$Q2818="Memoir",$Q2818="Administrative",$Q2818="Web compilation"),"Textual",IF($Q2818="Legal claim","Legal/admin",IF($Q2818="Secondary","Secondary","Other"))))))</f>
        <v>Textual</v>
      </c>
      <c r="S2818" s="2" t="str">
        <f>IF($C2818="","",IFERROR(VLOOKUP($C2818,sources!$A$2:$N$200,9,FALSE()),"?"))</f>
        <v>Mixed</v>
      </c>
      <c r="T2818" t="s">
        <v>5692</v>
      </c>
      <c r="U2818">
        <f>IF(OR(B2818="",C2818="",T2818="Retracted",LEFT(D2818,8)="Negative"),0,IF(COUNTIFS($B$2:B2818,B2818,$C$2:C2818,C2818,$D$2:D2818,"&lt;&gt;Negative*",$T$2:T2818,"&lt;&gt;Retracted")=1,1,0))</f>
        <v>1</v>
      </c>
    </row>
    <row r="2819" spans="1:21" x14ac:dyDescent="0.2">
      <c r="A2819" t="s">
        <v>5162</v>
      </c>
      <c r="B2819" t="s">
        <v>876</v>
      </c>
      <c r="C2819" t="s">
        <v>1296</v>
      </c>
      <c r="D2819" t="s">
        <v>1575</v>
      </c>
      <c r="E2819" t="s">
        <v>4263</v>
      </c>
      <c r="F2819" t="s">
        <v>1583</v>
      </c>
      <c r="I2819" t="s">
        <v>1058</v>
      </c>
      <c r="K2819">
        <v>1907</v>
      </c>
      <c r="L2819">
        <v>1909</v>
      </c>
      <c r="M2819" t="s">
        <v>203</v>
      </c>
      <c r="N2819" t="s">
        <v>203</v>
      </c>
      <c r="Q2819" s="2" t="str">
        <f>IF($C2819="","",IFERROR(VLOOKUP($C2819,sources!$A$2:$N$200,2,FALSE()),"?"))</f>
        <v>Web compilation</v>
      </c>
      <c r="R2819" s="2" t="str">
        <f t="shared" si="44"/>
        <v>Textual</v>
      </c>
      <c r="S2819" s="2" t="str">
        <f>IF($C2819="","",IFERROR(VLOOKUP($C2819,sources!$A$2:$N$200,9,FALSE()),"?"))</f>
        <v>Mixed</v>
      </c>
      <c r="T2819" t="s">
        <v>5692</v>
      </c>
      <c r="U2819">
        <f>IF(OR(B2819="",C2819="",T2819="Retracted",LEFT(D2819,8)="Negative"),0,IF(COUNTIFS($B$2:B2819,B2819,$C$2:C2819,C2819,$D$2:D2819,"&lt;&gt;Negative*",$T$2:T2819,"&lt;&gt;Retracted")=1,1,0))</f>
        <v>1</v>
      </c>
    </row>
    <row r="2820" spans="1:21" x14ac:dyDescent="0.2">
      <c r="A2820" t="s">
        <v>5163</v>
      </c>
      <c r="B2820" t="s">
        <v>883</v>
      </c>
      <c r="C2820" t="s">
        <v>1296</v>
      </c>
      <c r="D2820" t="s">
        <v>1575</v>
      </c>
      <c r="E2820" t="s">
        <v>884</v>
      </c>
      <c r="F2820" t="s">
        <v>1583</v>
      </c>
      <c r="I2820" t="s">
        <v>1058</v>
      </c>
      <c r="K2820">
        <v>1940</v>
      </c>
      <c r="L2820">
        <v>1941</v>
      </c>
      <c r="M2820" t="s">
        <v>203</v>
      </c>
      <c r="N2820" t="s">
        <v>203</v>
      </c>
      <c r="Q2820" s="2" t="str">
        <f>IF($C2820="","",IFERROR(VLOOKUP($C2820,sources!$A$2:$N$200,2,FALSE()),"?"))</f>
        <v>Web compilation</v>
      </c>
      <c r="R2820" s="2" t="str">
        <f t="shared" si="44"/>
        <v>Textual</v>
      </c>
      <c r="S2820" s="2" t="str">
        <f>IF($C2820="","",IFERROR(VLOOKUP($C2820,sources!$A$2:$N$200,9,FALSE()),"?"))</f>
        <v>Mixed</v>
      </c>
      <c r="T2820" t="s">
        <v>5692</v>
      </c>
      <c r="U2820">
        <f>IF(OR(B2820="",C2820="",T2820="Retracted",LEFT(D2820,8)="Negative"),0,IF(COUNTIFS($B$2:B2820,B2820,$C$2:C2820,C2820,$D$2:D2820,"&lt;&gt;Negative*",$T$2:T2820,"&lt;&gt;Retracted")=1,1,0))</f>
        <v>1</v>
      </c>
    </row>
    <row r="2821" spans="1:21" x14ac:dyDescent="0.2">
      <c r="A2821" t="s">
        <v>5164</v>
      </c>
      <c r="B2821" t="s">
        <v>888</v>
      </c>
      <c r="C2821" t="s">
        <v>1296</v>
      </c>
      <c r="D2821" t="s">
        <v>1575</v>
      </c>
      <c r="E2821" t="s">
        <v>4265</v>
      </c>
      <c r="F2821" t="s">
        <v>1583</v>
      </c>
      <c r="I2821" t="s">
        <v>1058</v>
      </c>
      <c r="K2821">
        <v>1913</v>
      </c>
      <c r="L2821">
        <v>1913</v>
      </c>
      <c r="M2821" t="s">
        <v>203</v>
      </c>
      <c r="N2821" t="s">
        <v>203</v>
      </c>
      <c r="Q2821" s="2" t="str">
        <f>IF($C2821="","",IFERROR(VLOOKUP($C2821,sources!$A$2:$N$200,2,FALSE()),"?"))</f>
        <v>Web compilation</v>
      </c>
      <c r="R2821" s="2" t="str">
        <f t="shared" si="44"/>
        <v>Textual</v>
      </c>
      <c r="S2821" s="2" t="str">
        <f>IF($C2821="","",IFERROR(VLOOKUP($C2821,sources!$A$2:$N$200,9,FALSE()),"?"))</f>
        <v>Mixed</v>
      </c>
      <c r="T2821" t="s">
        <v>5692</v>
      </c>
      <c r="U2821">
        <f>IF(OR(B2821="",C2821="",T2821="Retracted",LEFT(D2821,8)="Negative"),0,IF(COUNTIFS($B$2:B2821,B2821,$C$2:C2821,C2821,$D$2:D2821,"&lt;&gt;Negative*",$T$2:T2821,"&lt;&gt;Retracted")=1,1,0))</f>
        <v>1</v>
      </c>
    </row>
    <row r="2822" spans="1:21" x14ac:dyDescent="0.2">
      <c r="A2822" t="s">
        <v>5165</v>
      </c>
      <c r="B2822" t="s">
        <v>896</v>
      </c>
      <c r="C2822" t="s">
        <v>1296</v>
      </c>
      <c r="D2822" t="s">
        <v>1575</v>
      </c>
      <c r="E2822" t="s">
        <v>609</v>
      </c>
      <c r="F2822" t="s">
        <v>1583</v>
      </c>
      <c r="I2822" t="s">
        <v>1058</v>
      </c>
      <c r="N2822" t="s">
        <v>203</v>
      </c>
      <c r="Q2822" s="2" t="str">
        <f>IF($C2822="","",IFERROR(VLOOKUP($C2822,sources!$A$2:$N$200,2,FALSE()),"?"))</f>
        <v>Web compilation</v>
      </c>
      <c r="R2822" s="2" t="str">
        <f t="shared" si="44"/>
        <v>Textual</v>
      </c>
      <c r="S2822" s="2" t="str">
        <f>IF($C2822="","",IFERROR(VLOOKUP($C2822,sources!$A$2:$N$200,9,FALSE()),"?"))</f>
        <v>Mixed</v>
      </c>
      <c r="T2822" t="s">
        <v>5692</v>
      </c>
      <c r="U2822">
        <f>IF(OR(B2822="",C2822="",T2822="Retracted",LEFT(D2822,8)="Negative"),0,IF(COUNTIFS($B$2:B2822,B2822,$C$2:C2822,C2822,$D$2:D2822,"&lt;&gt;Negative*",$T$2:T2822,"&lt;&gt;Retracted")=1,1,0))</f>
        <v>1</v>
      </c>
    </row>
    <row r="2823" spans="1:21" x14ac:dyDescent="0.2">
      <c r="A2823" t="s">
        <v>5166</v>
      </c>
      <c r="B2823" t="s">
        <v>899</v>
      </c>
      <c r="C2823" t="s">
        <v>1296</v>
      </c>
      <c r="D2823" t="s">
        <v>1575</v>
      </c>
      <c r="E2823" t="s">
        <v>4269</v>
      </c>
      <c r="F2823" t="s">
        <v>1583</v>
      </c>
      <c r="I2823" t="s">
        <v>1058</v>
      </c>
      <c r="K2823">
        <v>1912</v>
      </c>
      <c r="L2823">
        <v>1913</v>
      </c>
      <c r="M2823" t="s">
        <v>203</v>
      </c>
      <c r="N2823" t="s">
        <v>203</v>
      </c>
      <c r="Q2823" s="2" t="str">
        <f>IF($C2823="","",IFERROR(VLOOKUP($C2823,sources!$A$2:$N$200,2,FALSE()),"?"))</f>
        <v>Web compilation</v>
      </c>
      <c r="R2823" s="2" t="str">
        <f t="shared" si="44"/>
        <v>Textual</v>
      </c>
      <c r="S2823" s="2" t="str">
        <f>IF($C2823="","",IFERROR(VLOOKUP($C2823,sources!$A$2:$N$200,9,FALSE()),"?"))</f>
        <v>Mixed</v>
      </c>
      <c r="T2823" t="s">
        <v>5692</v>
      </c>
      <c r="U2823">
        <f>IF(OR(B2823="",C2823="",T2823="Retracted",LEFT(D2823,8)="Negative"),0,IF(COUNTIFS($B$2:B2823,B2823,$C$2:C2823,C2823,$D$2:D2823,"&lt;&gt;Negative*",$T$2:T2823,"&lt;&gt;Retracted")=1,1,0))</f>
        <v>1</v>
      </c>
    </row>
    <row r="2824" spans="1:21" x14ac:dyDescent="0.2">
      <c r="A2824" t="s">
        <v>5167</v>
      </c>
      <c r="B2824" t="s">
        <v>902</v>
      </c>
      <c r="C2824" t="s">
        <v>1296</v>
      </c>
      <c r="D2824" t="s">
        <v>1575</v>
      </c>
      <c r="E2824" t="s">
        <v>903</v>
      </c>
      <c r="F2824" t="s">
        <v>1583</v>
      </c>
      <c r="I2824" t="s">
        <v>1058</v>
      </c>
      <c r="N2824" t="s">
        <v>203</v>
      </c>
      <c r="Q2824" s="2" t="str">
        <f>IF($C2824="","",IFERROR(VLOOKUP($C2824,sources!$A$2:$N$200,2,FALSE()),"?"))</f>
        <v>Web compilation</v>
      </c>
      <c r="R2824" s="2" t="str">
        <f t="shared" si="44"/>
        <v>Textual</v>
      </c>
      <c r="S2824" s="2" t="str">
        <f>IF($C2824="","",IFERROR(VLOOKUP($C2824,sources!$A$2:$N$200,9,FALSE()),"?"))</f>
        <v>Mixed</v>
      </c>
      <c r="T2824" t="s">
        <v>5692</v>
      </c>
      <c r="U2824">
        <f>IF(OR(B2824="",C2824="",T2824="Retracted",LEFT(D2824,8)="Negative"),0,IF(COUNTIFS($B$2:B2824,B2824,$C$2:C2824,C2824,$D$2:D2824,"&lt;&gt;Negative*",$T$2:T2824,"&lt;&gt;Retracted")=1,1,0))</f>
        <v>1</v>
      </c>
    </row>
    <row r="2825" spans="1:21" x14ac:dyDescent="0.2">
      <c r="A2825" t="s">
        <v>5168</v>
      </c>
      <c r="B2825" t="s">
        <v>932</v>
      </c>
      <c r="C2825" t="s">
        <v>1296</v>
      </c>
      <c r="D2825" t="s">
        <v>1575</v>
      </c>
      <c r="E2825" t="s">
        <v>934</v>
      </c>
      <c r="F2825" t="s">
        <v>1583</v>
      </c>
      <c r="I2825" t="s">
        <v>1058</v>
      </c>
      <c r="K2825">
        <v>1908</v>
      </c>
      <c r="L2825">
        <v>1908</v>
      </c>
      <c r="M2825" t="s">
        <v>203</v>
      </c>
      <c r="N2825" t="s">
        <v>209</v>
      </c>
      <c r="Q2825" s="2" t="str">
        <f>IF($C2825="","",IFERROR(VLOOKUP($C2825,sources!$A$2:$N$200,2,FALSE()),"?"))</f>
        <v>Web compilation</v>
      </c>
      <c r="R2825" s="2" t="str">
        <f t="shared" si="44"/>
        <v>Textual</v>
      </c>
      <c r="S2825" s="2" t="str">
        <f>IF($C2825="","",IFERROR(VLOOKUP($C2825,sources!$A$2:$N$200,9,FALSE()),"?"))</f>
        <v>Mixed</v>
      </c>
      <c r="T2825" t="s">
        <v>5692</v>
      </c>
      <c r="U2825">
        <f>IF(OR(B2825="",C2825="",T2825="Retracted",LEFT(D2825,8)="Negative"),0,IF(COUNTIFS($B$2:B2825,B2825,$C$2:C2825,C2825,$D$2:D2825,"&lt;&gt;Negative*",$T$2:T2825,"&lt;&gt;Retracted")=1,1,0))</f>
        <v>1</v>
      </c>
    </row>
    <row r="2826" spans="1:21" x14ac:dyDescent="0.2">
      <c r="A2826" t="s">
        <v>5169</v>
      </c>
      <c r="B2826" t="s">
        <v>938</v>
      </c>
      <c r="C2826" t="s">
        <v>1296</v>
      </c>
      <c r="D2826" t="s">
        <v>1575</v>
      </c>
      <c r="E2826" t="s">
        <v>939</v>
      </c>
      <c r="F2826" t="s">
        <v>1583</v>
      </c>
      <c r="I2826" t="s">
        <v>1058</v>
      </c>
      <c r="K2826">
        <v>1907</v>
      </c>
      <c r="L2826">
        <v>1907</v>
      </c>
      <c r="M2826" t="s">
        <v>203</v>
      </c>
      <c r="N2826" t="s">
        <v>203</v>
      </c>
      <c r="Q2826" s="2" t="str">
        <f>IF($C2826="","",IFERROR(VLOOKUP($C2826,sources!$A$2:$N$200,2,FALSE()),"?"))</f>
        <v>Web compilation</v>
      </c>
      <c r="R2826" s="2" t="str">
        <f t="shared" si="44"/>
        <v>Textual</v>
      </c>
      <c r="S2826" s="2" t="str">
        <f>IF($C2826="","",IFERROR(VLOOKUP($C2826,sources!$A$2:$N$200,9,FALSE()),"?"))</f>
        <v>Mixed</v>
      </c>
      <c r="T2826" t="s">
        <v>5692</v>
      </c>
      <c r="U2826">
        <f>IF(OR(B2826="",C2826="",T2826="Retracted",LEFT(D2826,8)="Negative"),0,IF(COUNTIFS($B$2:B2826,B2826,$C$2:C2826,C2826,$D$2:D2826,"&lt;&gt;Negative*",$T$2:T2826,"&lt;&gt;Retracted")=1,1,0))</f>
        <v>1</v>
      </c>
    </row>
    <row r="2827" spans="1:21" x14ac:dyDescent="0.2">
      <c r="A2827" t="s">
        <v>5170</v>
      </c>
      <c r="B2827" t="s">
        <v>943</v>
      </c>
      <c r="C2827" t="s">
        <v>1296</v>
      </c>
      <c r="D2827" t="s">
        <v>1575</v>
      </c>
      <c r="E2827" t="s">
        <v>4033</v>
      </c>
      <c r="F2827" t="s">
        <v>1583</v>
      </c>
      <c r="I2827" t="s">
        <v>1058</v>
      </c>
      <c r="K2827">
        <v>1913</v>
      </c>
      <c r="L2827">
        <v>1914</v>
      </c>
      <c r="M2827" t="s">
        <v>203</v>
      </c>
      <c r="N2827" t="s">
        <v>203</v>
      </c>
      <c r="Q2827" s="2" t="str">
        <f>IF($C2827="","",IFERROR(VLOOKUP($C2827,sources!$A$2:$N$200,2,FALSE()),"?"))</f>
        <v>Web compilation</v>
      </c>
      <c r="R2827" s="2" t="str">
        <f t="shared" si="44"/>
        <v>Textual</v>
      </c>
      <c r="S2827" s="2" t="str">
        <f>IF($C2827="","",IFERROR(VLOOKUP($C2827,sources!$A$2:$N$200,9,FALSE()),"?"))</f>
        <v>Mixed</v>
      </c>
      <c r="T2827" t="s">
        <v>5692</v>
      </c>
      <c r="U2827">
        <f>IF(OR(B2827="",C2827="",T2827="Retracted",LEFT(D2827,8)="Negative"),0,IF(COUNTIFS($B$2:B2827,B2827,$C$2:C2827,C2827,$D$2:D2827,"&lt;&gt;Negative*",$T$2:T2827,"&lt;&gt;Retracted")=1,1,0))</f>
        <v>1</v>
      </c>
    </row>
    <row r="2828" spans="1:21" x14ac:dyDescent="0.2">
      <c r="A2828" t="s">
        <v>5171</v>
      </c>
      <c r="B2828" t="s">
        <v>947</v>
      </c>
      <c r="C2828" t="s">
        <v>1296</v>
      </c>
      <c r="D2828" t="s">
        <v>1575</v>
      </c>
      <c r="E2828" t="s">
        <v>5172</v>
      </c>
      <c r="F2828" t="s">
        <v>1583</v>
      </c>
      <c r="I2828" t="s">
        <v>1058</v>
      </c>
      <c r="N2828" t="s">
        <v>203</v>
      </c>
      <c r="Q2828" s="2" t="str">
        <f>IF($C2828="","",IFERROR(VLOOKUP($C2828,sources!$A$2:$N$200,2,FALSE()),"?"))</f>
        <v>Web compilation</v>
      </c>
      <c r="R2828" s="2" t="str">
        <f t="shared" si="44"/>
        <v>Textual</v>
      </c>
      <c r="S2828" s="2" t="str">
        <f>IF($C2828="","",IFERROR(VLOOKUP($C2828,sources!$A$2:$N$200,9,FALSE()),"?"))</f>
        <v>Mixed</v>
      </c>
      <c r="T2828" t="s">
        <v>5692</v>
      </c>
      <c r="U2828">
        <f>IF(OR(B2828="",C2828="",T2828="Retracted",LEFT(D2828,8)="Negative"),0,IF(COUNTIFS($B$2:B2828,B2828,$C$2:C2828,C2828,$D$2:D2828,"&lt;&gt;Negative*",$T$2:T2828,"&lt;&gt;Retracted")=1,1,0))</f>
        <v>1</v>
      </c>
    </row>
    <row r="2829" spans="1:21" x14ac:dyDescent="0.2">
      <c r="A2829" t="s">
        <v>5173</v>
      </c>
      <c r="B2829" t="s">
        <v>936</v>
      </c>
      <c r="C2829" t="s">
        <v>1296</v>
      </c>
      <c r="D2829" t="s">
        <v>1575</v>
      </c>
      <c r="E2829" t="s">
        <v>4362</v>
      </c>
      <c r="F2829" t="s">
        <v>1583</v>
      </c>
      <c r="I2829" t="s">
        <v>1058</v>
      </c>
      <c r="K2829">
        <v>1911</v>
      </c>
      <c r="L2829">
        <v>1913</v>
      </c>
      <c r="M2829" t="s">
        <v>203</v>
      </c>
      <c r="N2829" t="s">
        <v>203</v>
      </c>
      <c r="Q2829" s="2" t="str">
        <f>IF($C2829="","",IFERROR(VLOOKUP($C2829,sources!$A$2:$N$200,2,FALSE()),"?"))</f>
        <v>Web compilation</v>
      </c>
      <c r="R2829" s="2" t="str">
        <f t="shared" si="44"/>
        <v>Textual</v>
      </c>
      <c r="S2829" s="2" t="str">
        <f>IF($C2829="","",IFERROR(VLOOKUP($C2829,sources!$A$2:$N$200,9,FALSE()),"?"))</f>
        <v>Mixed</v>
      </c>
      <c r="T2829" t="s">
        <v>5692</v>
      </c>
      <c r="U2829">
        <f>IF(OR(B2829="",C2829="",T2829="Retracted",LEFT(D2829,8)="Negative"),0,IF(COUNTIFS($B$2:B2829,B2829,$C$2:C2829,C2829,$D$2:D2829,"&lt;&gt;Negative*",$T$2:T2829,"&lt;&gt;Retracted")=1,1,0))</f>
        <v>1</v>
      </c>
    </row>
    <row r="2830" spans="1:21" x14ac:dyDescent="0.2">
      <c r="A2830" t="s">
        <v>5174</v>
      </c>
      <c r="B2830" t="s">
        <v>959</v>
      </c>
      <c r="C2830" t="s">
        <v>1296</v>
      </c>
      <c r="D2830" t="s">
        <v>1575</v>
      </c>
      <c r="E2830" t="s">
        <v>5175</v>
      </c>
      <c r="F2830" t="s">
        <v>1583</v>
      </c>
      <c r="I2830" t="s">
        <v>1058</v>
      </c>
      <c r="K2830">
        <v>1906</v>
      </c>
      <c r="L2830">
        <v>1906</v>
      </c>
      <c r="M2830" t="s">
        <v>203</v>
      </c>
      <c r="N2830" t="s">
        <v>203</v>
      </c>
      <c r="Q2830" s="2" t="str">
        <f>IF($C2830="","",IFERROR(VLOOKUP($C2830,sources!$A$2:$N$200,2,FALSE()),"?"))</f>
        <v>Web compilation</v>
      </c>
      <c r="R2830" s="2" t="str">
        <f t="shared" si="44"/>
        <v>Textual</v>
      </c>
      <c r="S2830" s="2" t="str">
        <f>IF($C2830="","",IFERROR(VLOOKUP($C2830,sources!$A$2:$N$200,9,FALSE()),"?"))</f>
        <v>Mixed</v>
      </c>
      <c r="T2830" t="s">
        <v>5692</v>
      </c>
      <c r="U2830">
        <f>IF(OR(B2830="",C2830="",T2830="Retracted",LEFT(D2830,8)="Negative"),0,IF(COUNTIFS($B$2:B2830,B2830,$C$2:C2830,C2830,$D$2:D2830,"&lt;&gt;Negative*",$T$2:T2830,"&lt;&gt;Retracted")=1,1,0))</f>
        <v>1</v>
      </c>
    </row>
    <row r="2831" spans="1:21" x14ac:dyDescent="0.2">
      <c r="A2831" t="s">
        <v>5176</v>
      </c>
      <c r="B2831" t="s">
        <v>971</v>
      </c>
      <c r="C2831" t="s">
        <v>1296</v>
      </c>
      <c r="D2831" t="s">
        <v>1575</v>
      </c>
      <c r="E2831" t="s">
        <v>5177</v>
      </c>
      <c r="F2831" t="s">
        <v>1583</v>
      </c>
      <c r="I2831" t="s">
        <v>1058</v>
      </c>
      <c r="K2831">
        <v>1905</v>
      </c>
      <c r="L2831">
        <v>1905</v>
      </c>
      <c r="M2831" t="s">
        <v>203</v>
      </c>
      <c r="N2831" t="s">
        <v>203</v>
      </c>
      <c r="Q2831" s="2" t="str">
        <f>IF($C2831="","",IFERROR(VLOOKUP($C2831,sources!$A$2:$N$200,2,FALSE()),"?"))</f>
        <v>Web compilation</v>
      </c>
      <c r="R2831" s="2" t="str">
        <f t="shared" si="44"/>
        <v>Textual</v>
      </c>
      <c r="S2831" s="2" t="str">
        <f>IF($C2831="","",IFERROR(VLOOKUP($C2831,sources!$A$2:$N$200,9,FALSE()),"?"))</f>
        <v>Mixed</v>
      </c>
      <c r="T2831" t="s">
        <v>5692</v>
      </c>
      <c r="U2831">
        <f>IF(OR(B2831="",C2831="",T2831="Retracted",LEFT(D2831,8)="Negative"),0,IF(COUNTIFS($B$2:B2831,B2831,$C$2:C2831,C2831,$D$2:D2831,"&lt;&gt;Negative*",$T$2:T2831,"&lt;&gt;Retracted")=1,1,0))</f>
        <v>1</v>
      </c>
    </row>
    <row r="2832" spans="1:21" x14ac:dyDescent="0.2">
      <c r="A2832" t="s">
        <v>5178</v>
      </c>
      <c r="B2832" t="s">
        <v>974</v>
      </c>
      <c r="C2832" t="s">
        <v>1296</v>
      </c>
      <c r="D2832" t="s">
        <v>1575</v>
      </c>
      <c r="E2832" t="s">
        <v>4298</v>
      </c>
      <c r="F2832" t="s">
        <v>1583</v>
      </c>
      <c r="I2832" t="s">
        <v>1058</v>
      </c>
      <c r="K2832">
        <v>1907</v>
      </c>
      <c r="L2832">
        <v>1911</v>
      </c>
      <c r="M2832" t="s">
        <v>203</v>
      </c>
      <c r="N2832" t="s">
        <v>203</v>
      </c>
      <c r="Q2832" s="2" t="str">
        <f>IF($C2832="","",IFERROR(VLOOKUP($C2832,sources!$A$2:$N$200,2,FALSE()),"?"))</f>
        <v>Web compilation</v>
      </c>
      <c r="R2832" s="2" t="str">
        <f t="shared" si="44"/>
        <v>Textual</v>
      </c>
      <c r="S2832" s="2" t="str">
        <f>IF($C2832="","",IFERROR(VLOOKUP($C2832,sources!$A$2:$N$200,9,FALSE()),"?"))</f>
        <v>Mixed</v>
      </c>
      <c r="T2832" t="s">
        <v>5692</v>
      </c>
      <c r="U2832">
        <f>IF(OR(B2832="",C2832="",T2832="Retracted",LEFT(D2832,8)="Negative"),0,IF(COUNTIFS($B$2:B2832,B2832,$C$2:C2832,C2832,$D$2:D2832,"&lt;&gt;Negative*",$T$2:T2832,"&lt;&gt;Retracted")=1,1,0))</f>
        <v>1</v>
      </c>
    </row>
    <row r="2833" spans="1:21" x14ac:dyDescent="0.2">
      <c r="A2833" t="s">
        <v>5179</v>
      </c>
      <c r="B2833" t="s">
        <v>983</v>
      </c>
      <c r="C2833" t="s">
        <v>1296</v>
      </c>
      <c r="D2833" t="s">
        <v>1575</v>
      </c>
      <c r="E2833" t="s">
        <v>985</v>
      </c>
      <c r="F2833" t="s">
        <v>1583</v>
      </c>
      <c r="I2833" t="s">
        <v>1058</v>
      </c>
      <c r="K2833">
        <v>1909</v>
      </c>
      <c r="L2833">
        <v>1911</v>
      </c>
      <c r="M2833" t="s">
        <v>203</v>
      </c>
      <c r="N2833" t="s">
        <v>203</v>
      </c>
      <c r="Q2833" s="2" t="str">
        <f>IF($C2833="","",IFERROR(VLOOKUP($C2833,sources!$A$2:$N$200,2,FALSE()),"?"))</f>
        <v>Web compilation</v>
      </c>
      <c r="R2833" s="2" t="str">
        <f t="shared" si="44"/>
        <v>Textual</v>
      </c>
      <c r="S2833" s="2" t="str">
        <f>IF($C2833="","",IFERROR(VLOOKUP($C2833,sources!$A$2:$N$200,9,FALSE()),"?"))</f>
        <v>Mixed</v>
      </c>
      <c r="T2833" t="s">
        <v>5692</v>
      </c>
      <c r="U2833">
        <f>IF(OR(B2833="",C2833="",T2833="Retracted",LEFT(D2833,8)="Negative"),0,IF(COUNTIFS($B$2:B2833,B2833,$C$2:C2833,C2833,$D$2:D2833,"&lt;&gt;Negative*",$T$2:T2833,"&lt;&gt;Retracted")=1,1,0))</f>
        <v>1</v>
      </c>
    </row>
    <row r="2834" spans="1:21" x14ac:dyDescent="0.2">
      <c r="A2834" t="s">
        <v>5180</v>
      </c>
      <c r="B2834" t="s">
        <v>994</v>
      </c>
      <c r="C2834" t="s">
        <v>1296</v>
      </c>
      <c r="D2834" t="s">
        <v>1575</v>
      </c>
      <c r="E2834" t="s">
        <v>995</v>
      </c>
      <c r="F2834" t="s">
        <v>1583</v>
      </c>
      <c r="I2834" t="s">
        <v>1058</v>
      </c>
      <c r="K2834">
        <v>1907</v>
      </c>
      <c r="L2834">
        <v>1907</v>
      </c>
      <c r="M2834" t="s">
        <v>203</v>
      </c>
      <c r="N2834" t="s">
        <v>203</v>
      </c>
      <c r="Q2834" s="2" t="str">
        <f>IF($C2834="","",IFERROR(VLOOKUP($C2834,sources!$A$2:$N$200,2,FALSE()),"?"))</f>
        <v>Web compilation</v>
      </c>
      <c r="R2834" s="2" t="str">
        <f t="shared" si="44"/>
        <v>Textual</v>
      </c>
      <c r="S2834" s="2" t="str">
        <f>IF($C2834="","",IFERROR(VLOOKUP($C2834,sources!$A$2:$N$200,9,FALSE()),"?"))</f>
        <v>Mixed</v>
      </c>
      <c r="T2834" t="s">
        <v>5692</v>
      </c>
      <c r="U2834">
        <f>IF(OR(B2834="",C2834="",T2834="Retracted",LEFT(D2834,8)="Negative"),0,IF(COUNTIFS($B$2:B2834,B2834,$C$2:C2834,C2834,$D$2:D2834,"&lt;&gt;Negative*",$T$2:T2834,"&lt;&gt;Retracted")=1,1,0))</f>
        <v>1</v>
      </c>
    </row>
    <row r="2835" spans="1:21" x14ac:dyDescent="0.2">
      <c r="A2835" t="s">
        <v>5181</v>
      </c>
      <c r="B2835" t="s">
        <v>997</v>
      </c>
      <c r="C2835" t="s">
        <v>1296</v>
      </c>
      <c r="D2835" t="s">
        <v>1575</v>
      </c>
      <c r="E2835" t="s">
        <v>5182</v>
      </c>
      <c r="F2835" t="s">
        <v>1583</v>
      </c>
      <c r="I2835" t="s">
        <v>1058</v>
      </c>
      <c r="K2835">
        <v>1905</v>
      </c>
      <c r="L2835">
        <v>1905</v>
      </c>
      <c r="M2835" t="s">
        <v>203</v>
      </c>
      <c r="N2835" t="s">
        <v>203</v>
      </c>
      <c r="Q2835" s="2" t="str">
        <f>IF($C2835="","",IFERROR(VLOOKUP($C2835,sources!$A$2:$N$200,2,FALSE()),"?"))</f>
        <v>Web compilation</v>
      </c>
      <c r="R2835" s="2" t="str">
        <f t="shared" si="44"/>
        <v>Textual</v>
      </c>
      <c r="S2835" s="2" t="str">
        <f>IF($C2835="","",IFERROR(VLOOKUP($C2835,sources!$A$2:$N$200,9,FALSE()),"?"))</f>
        <v>Mixed</v>
      </c>
      <c r="T2835" t="s">
        <v>5692</v>
      </c>
      <c r="U2835">
        <f>IF(OR(B2835="",C2835="",T2835="Retracted",LEFT(D2835,8)="Negative"),0,IF(COUNTIFS($B$2:B2835,B2835,$C$2:C2835,C2835,$D$2:D2835,"&lt;&gt;Negative*",$T$2:T2835,"&lt;&gt;Retracted")=1,1,0))</f>
        <v>1</v>
      </c>
    </row>
    <row r="2836" spans="1:21" x14ac:dyDescent="0.2">
      <c r="A2836" t="s">
        <v>5183</v>
      </c>
      <c r="B2836" t="s">
        <v>1002</v>
      </c>
      <c r="C2836" t="s">
        <v>1296</v>
      </c>
      <c r="D2836" t="s">
        <v>1575</v>
      </c>
      <c r="E2836" t="s">
        <v>1003</v>
      </c>
      <c r="F2836" t="s">
        <v>1583</v>
      </c>
      <c r="I2836" t="s">
        <v>1058</v>
      </c>
      <c r="K2836">
        <v>1911</v>
      </c>
      <c r="L2836">
        <v>1911</v>
      </c>
      <c r="M2836" t="s">
        <v>203</v>
      </c>
      <c r="N2836" t="s">
        <v>203</v>
      </c>
      <c r="Q2836" s="2" t="str">
        <f>IF($C2836="","",IFERROR(VLOOKUP($C2836,sources!$A$2:$N$200,2,FALSE()),"?"))</f>
        <v>Web compilation</v>
      </c>
      <c r="R2836" s="2" t="str">
        <f t="shared" si="44"/>
        <v>Textual</v>
      </c>
      <c r="S2836" s="2" t="str">
        <f>IF($C2836="","",IFERROR(VLOOKUP($C2836,sources!$A$2:$N$200,9,FALSE()),"?"))</f>
        <v>Mixed</v>
      </c>
      <c r="T2836" t="s">
        <v>5692</v>
      </c>
      <c r="U2836">
        <f>IF(OR(B2836="",C2836="",T2836="Retracted",LEFT(D2836,8)="Negative"),0,IF(COUNTIFS($B$2:B2836,B2836,$C$2:C2836,C2836,$D$2:D2836,"&lt;&gt;Negative*",$T$2:T2836,"&lt;&gt;Retracted")=1,1,0))</f>
        <v>1</v>
      </c>
    </row>
    <row r="2837" spans="1:21" x14ac:dyDescent="0.2">
      <c r="A2837" t="s">
        <v>5184</v>
      </c>
      <c r="B2837" t="s">
        <v>761</v>
      </c>
      <c r="C2837" t="s">
        <v>1296</v>
      </c>
      <c r="D2837" t="s">
        <v>1575</v>
      </c>
      <c r="E2837" t="s">
        <v>2933</v>
      </c>
      <c r="F2837" t="s">
        <v>1583</v>
      </c>
      <c r="I2837" t="s">
        <v>1058</v>
      </c>
      <c r="K2837">
        <v>1906</v>
      </c>
      <c r="L2837">
        <v>1906</v>
      </c>
      <c r="M2837" t="s">
        <v>203</v>
      </c>
      <c r="N2837" t="s">
        <v>203</v>
      </c>
      <c r="Q2837" s="2" t="str">
        <f>IF($C2837="","",IFERROR(VLOOKUP($C2837,sources!$A$2:$N$200,2,FALSE()),"?"))</f>
        <v>Web compilation</v>
      </c>
      <c r="R2837" s="2" t="str">
        <f t="shared" si="44"/>
        <v>Textual</v>
      </c>
      <c r="S2837" s="2" t="str">
        <f>IF($C2837="","",IFERROR(VLOOKUP($C2837,sources!$A$2:$N$200,9,FALSE()),"?"))</f>
        <v>Mixed</v>
      </c>
      <c r="T2837" t="s">
        <v>5692</v>
      </c>
      <c r="U2837">
        <f>IF(OR(B2837="",C2837="",T2837="Retracted",LEFT(D2837,8)="Negative"),0,IF(COUNTIFS($B$2:B2837,B2837,$C$2:C2837,C2837,$D$2:D2837,"&lt;&gt;Negative*",$T$2:T2837,"&lt;&gt;Retracted")=1,1,0))</f>
        <v>1</v>
      </c>
    </row>
    <row r="2838" spans="1:21" x14ac:dyDescent="0.2">
      <c r="A2838" t="s">
        <v>5185</v>
      </c>
      <c r="B2838" t="s">
        <v>764</v>
      </c>
      <c r="C2838" t="s">
        <v>1296</v>
      </c>
      <c r="D2838" t="s">
        <v>1575</v>
      </c>
      <c r="E2838" t="s">
        <v>5186</v>
      </c>
      <c r="F2838" t="s">
        <v>1583</v>
      </c>
      <c r="I2838" t="s">
        <v>1058</v>
      </c>
      <c r="K2838">
        <v>1913</v>
      </c>
      <c r="L2838">
        <v>1913</v>
      </c>
      <c r="M2838" t="s">
        <v>203</v>
      </c>
      <c r="N2838" t="s">
        <v>190</v>
      </c>
      <c r="Q2838" s="2" t="str">
        <f>IF($C2838="","",IFERROR(VLOOKUP($C2838,sources!$A$2:$N$200,2,FALSE()),"?"))</f>
        <v>Web compilation</v>
      </c>
      <c r="R2838" s="2" t="str">
        <f t="shared" si="44"/>
        <v>Textual</v>
      </c>
      <c r="S2838" s="2" t="str">
        <f>IF($C2838="","",IFERROR(VLOOKUP($C2838,sources!$A$2:$N$200,9,FALSE()),"?"))</f>
        <v>Mixed</v>
      </c>
      <c r="T2838" t="s">
        <v>5692</v>
      </c>
      <c r="U2838">
        <f>IF(OR(B2838="",C2838="",T2838="Retracted",LEFT(D2838,8)="Negative"),0,IF(COUNTIFS($B$2:B2838,B2838,$C$2:C2838,C2838,$D$2:D2838,"&lt;&gt;Negative*",$T$2:T2838,"&lt;&gt;Retracted")=1,1,0))</f>
        <v>1</v>
      </c>
    </row>
    <row r="2839" spans="1:21" x14ac:dyDescent="0.2">
      <c r="A2839" t="s">
        <v>5187</v>
      </c>
      <c r="B2839" t="s">
        <v>767</v>
      </c>
      <c r="C2839" t="s">
        <v>1296</v>
      </c>
      <c r="D2839" t="s">
        <v>1575</v>
      </c>
      <c r="E2839" t="s">
        <v>5188</v>
      </c>
      <c r="F2839" t="s">
        <v>1583</v>
      </c>
      <c r="I2839" t="s">
        <v>1058</v>
      </c>
      <c r="K2839">
        <v>1905</v>
      </c>
      <c r="L2839">
        <v>1905</v>
      </c>
      <c r="M2839" t="s">
        <v>209</v>
      </c>
      <c r="N2839" t="s">
        <v>209</v>
      </c>
      <c r="Q2839" s="2" t="str">
        <f>IF($C2839="","",IFERROR(VLOOKUP($C2839,sources!$A$2:$N$200,2,FALSE()),"?"))</f>
        <v>Web compilation</v>
      </c>
      <c r="R2839" s="2" t="str">
        <f t="shared" si="44"/>
        <v>Textual</v>
      </c>
      <c r="S2839" s="2" t="str">
        <f>IF($C2839="","",IFERROR(VLOOKUP($C2839,sources!$A$2:$N$200,9,FALSE()),"?"))</f>
        <v>Mixed</v>
      </c>
      <c r="T2839" t="s">
        <v>5692</v>
      </c>
      <c r="U2839">
        <f>IF(OR(B2839="",C2839="",T2839="Retracted",LEFT(D2839,8)="Negative"),0,IF(COUNTIFS($B$2:B2839,B2839,$C$2:C2839,C2839,$D$2:D2839,"&lt;&gt;Negative*",$T$2:T2839,"&lt;&gt;Retracted")=1,1,0))</f>
        <v>1</v>
      </c>
    </row>
    <row r="2840" spans="1:21" x14ac:dyDescent="0.2">
      <c r="A2840" t="s">
        <v>5189</v>
      </c>
      <c r="B2840" t="s">
        <v>924</v>
      </c>
      <c r="C2840" t="s">
        <v>1296</v>
      </c>
      <c r="D2840" t="s">
        <v>1575</v>
      </c>
      <c r="E2840" t="s">
        <v>4355</v>
      </c>
      <c r="F2840" t="s">
        <v>1583</v>
      </c>
      <c r="I2840" t="s">
        <v>1058</v>
      </c>
      <c r="N2840" t="s">
        <v>190</v>
      </c>
      <c r="Q2840" s="2" t="str">
        <f>IF($C2840="","",IFERROR(VLOOKUP($C2840,sources!$A$2:$N$200,2,FALSE()),"?"))</f>
        <v>Web compilation</v>
      </c>
      <c r="R2840" s="2" t="str">
        <f t="shared" si="44"/>
        <v>Textual</v>
      </c>
      <c r="S2840" s="2" t="str">
        <f>IF($C2840="","",IFERROR(VLOOKUP($C2840,sources!$A$2:$N$200,9,FALSE()),"?"))</f>
        <v>Mixed</v>
      </c>
      <c r="T2840" t="s">
        <v>5692</v>
      </c>
      <c r="U2840">
        <f>IF(OR(B2840="",C2840="",T2840="Retracted",LEFT(D2840,8)="Negative"),0,IF(COUNTIFS($B$2:B2840,B2840,$C$2:C2840,C2840,$D$2:D2840,"&lt;&gt;Negative*",$T$2:T2840,"&lt;&gt;Retracted")=1,1,0))</f>
        <v>1</v>
      </c>
    </row>
    <row r="2841" spans="1:21" x14ac:dyDescent="0.2">
      <c r="A2841" t="s">
        <v>5190</v>
      </c>
      <c r="B2841" t="s">
        <v>770</v>
      </c>
      <c r="C2841" t="s">
        <v>1296</v>
      </c>
      <c r="D2841" t="s">
        <v>1613</v>
      </c>
      <c r="E2841" t="s">
        <v>4946</v>
      </c>
      <c r="F2841" t="s">
        <v>1583</v>
      </c>
      <c r="I2841" t="s">
        <v>1058</v>
      </c>
      <c r="N2841" t="s">
        <v>209</v>
      </c>
      <c r="Q2841" s="2" t="str">
        <f>IF($C2841="","",IFERROR(VLOOKUP($C2841,sources!$A$2:$N$200,2,FALSE()),"?"))</f>
        <v>Web compilation</v>
      </c>
      <c r="R2841" s="2" t="str">
        <f t="shared" si="44"/>
        <v>Textual</v>
      </c>
      <c r="S2841" s="2" t="str">
        <f>IF($C2841="","",IFERROR(VLOOKUP($C2841,sources!$A$2:$N$200,9,FALSE()),"?"))</f>
        <v>Mixed</v>
      </c>
      <c r="T2841" t="s">
        <v>5692</v>
      </c>
      <c r="U2841">
        <f>IF(OR(B2841="",C2841="",T2841="Retracted",LEFT(D2841,8)="Negative"),0,IF(COUNTIFS($B$2:B2841,B2841,$C$2:C2841,C2841,$D$2:D2841,"&lt;&gt;Negative*",$T$2:T2841,"&lt;&gt;Retracted")=1,1,0))</f>
        <v>0</v>
      </c>
    </row>
    <row r="2842" spans="1:21" x14ac:dyDescent="0.2">
      <c r="A2842" t="s">
        <v>5191</v>
      </c>
      <c r="B2842" t="s">
        <v>773</v>
      </c>
      <c r="C2842" t="s">
        <v>1296</v>
      </c>
      <c r="D2842" t="s">
        <v>1613</v>
      </c>
      <c r="E2842" t="s">
        <v>774</v>
      </c>
      <c r="F2842" t="s">
        <v>1583</v>
      </c>
      <c r="I2842" t="s">
        <v>1058</v>
      </c>
      <c r="N2842" t="s">
        <v>209</v>
      </c>
      <c r="Q2842" s="2" t="str">
        <f>IF($C2842="","",IFERROR(VLOOKUP($C2842,sources!$A$2:$N$200,2,FALSE()),"?"))</f>
        <v>Web compilation</v>
      </c>
      <c r="R2842" s="2" t="str">
        <f t="shared" si="44"/>
        <v>Textual</v>
      </c>
      <c r="S2842" s="2" t="str">
        <f>IF($C2842="","",IFERROR(VLOOKUP($C2842,sources!$A$2:$N$200,9,FALSE()),"?"))</f>
        <v>Mixed</v>
      </c>
      <c r="T2842" t="s">
        <v>5692</v>
      </c>
      <c r="U2842">
        <f>IF(OR(B2842="",C2842="",T2842="Retracted",LEFT(D2842,8)="Negative"),0,IF(COUNTIFS($B$2:B2842,B2842,$C$2:C2842,C2842,$D$2:D2842,"&lt;&gt;Negative*",$T$2:T2842,"&lt;&gt;Retracted")=1,1,0))</f>
        <v>0</v>
      </c>
    </row>
    <row r="2843" spans="1:21" x14ac:dyDescent="0.2">
      <c r="A2843" t="s">
        <v>5192</v>
      </c>
      <c r="B2843" t="s">
        <v>856</v>
      </c>
      <c r="C2843" t="s">
        <v>1296</v>
      </c>
      <c r="D2843" t="s">
        <v>1613</v>
      </c>
      <c r="E2843" t="s">
        <v>3320</v>
      </c>
      <c r="F2843" t="s">
        <v>1583</v>
      </c>
      <c r="I2843" t="s">
        <v>1058</v>
      </c>
      <c r="N2843" t="s">
        <v>209</v>
      </c>
      <c r="Q2843" s="2" t="str">
        <f>IF($C2843="","",IFERROR(VLOOKUP($C2843,sources!$A$2:$N$200,2,FALSE()),"?"))</f>
        <v>Web compilation</v>
      </c>
      <c r="R2843" s="2" t="str">
        <f t="shared" si="44"/>
        <v>Textual</v>
      </c>
      <c r="S2843" s="2" t="str">
        <f>IF($C2843="","",IFERROR(VLOOKUP($C2843,sources!$A$2:$N$200,9,FALSE()),"?"))</f>
        <v>Mixed</v>
      </c>
      <c r="T2843" t="s">
        <v>5692</v>
      </c>
      <c r="U2843">
        <f>IF(OR(B2843="",C2843="",T2843="Retracted",LEFT(D2843,8)="Negative"),0,IF(COUNTIFS($B$2:B2843,B2843,$C$2:C2843,C2843,$D$2:D2843,"&lt;&gt;Negative*",$T$2:T2843,"&lt;&gt;Retracted")=1,1,0))</f>
        <v>0</v>
      </c>
    </row>
    <row r="2844" spans="1:21" x14ac:dyDescent="0.2">
      <c r="A2844" t="s">
        <v>5193</v>
      </c>
      <c r="B2844" t="s">
        <v>865</v>
      </c>
      <c r="C2844" t="s">
        <v>1296</v>
      </c>
      <c r="D2844" t="s">
        <v>1613</v>
      </c>
      <c r="E2844" t="s">
        <v>3324</v>
      </c>
      <c r="F2844" t="s">
        <v>1583</v>
      </c>
      <c r="I2844" t="s">
        <v>1058</v>
      </c>
      <c r="N2844" t="s">
        <v>209</v>
      </c>
      <c r="Q2844" s="2" t="str">
        <f>IF($C2844="","",IFERROR(VLOOKUP($C2844,sources!$A$2:$N$200,2,FALSE()),"?"))</f>
        <v>Web compilation</v>
      </c>
      <c r="R2844" s="2" t="str">
        <f t="shared" si="44"/>
        <v>Textual</v>
      </c>
      <c r="S2844" s="2" t="str">
        <f>IF($C2844="","",IFERROR(VLOOKUP($C2844,sources!$A$2:$N$200,9,FALSE()),"?"))</f>
        <v>Mixed</v>
      </c>
      <c r="T2844" t="s">
        <v>5692</v>
      </c>
      <c r="U2844">
        <f>IF(OR(B2844="",C2844="",T2844="Retracted",LEFT(D2844,8)="Negative"),0,IF(COUNTIFS($B$2:B2844,B2844,$C$2:C2844,C2844,$D$2:D2844,"&lt;&gt;Negative*",$T$2:T2844,"&lt;&gt;Retracted")=1,1,0))</f>
        <v>0</v>
      </c>
    </row>
    <row r="2845" spans="1:21" x14ac:dyDescent="0.2">
      <c r="A2845" t="s">
        <v>5194</v>
      </c>
      <c r="B2845" t="s">
        <v>879</v>
      </c>
      <c r="C2845" t="s">
        <v>1296</v>
      </c>
      <c r="D2845" t="s">
        <v>1613</v>
      </c>
      <c r="E2845" t="s">
        <v>4313</v>
      </c>
      <c r="F2845" t="s">
        <v>1583</v>
      </c>
      <c r="I2845" t="s">
        <v>1058</v>
      </c>
      <c r="N2845" t="s">
        <v>209</v>
      </c>
      <c r="Q2845" s="2" t="str">
        <f>IF($C2845="","",IFERROR(VLOOKUP($C2845,sources!$A$2:$N$200,2,FALSE()),"?"))</f>
        <v>Web compilation</v>
      </c>
      <c r="R2845" s="2" t="str">
        <f t="shared" si="44"/>
        <v>Textual</v>
      </c>
      <c r="S2845" s="2" t="str">
        <f>IF($C2845="","",IFERROR(VLOOKUP($C2845,sources!$A$2:$N$200,9,FALSE()),"?"))</f>
        <v>Mixed</v>
      </c>
      <c r="T2845" t="s">
        <v>5692</v>
      </c>
      <c r="U2845">
        <f>IF(OR(B2845="",C2845="",T2845="Retracted",LEFT(D2845,8)="Negative"),0,IF(COUNTIFS($B$2:B2845,B2845,$C$2:C2845,C2845,$D$2:D2845,"&lt;&gt;Negative*",$T$2:T2845,"&lt;&gt;Retracted")=1,1,0))</f>
        <v>0</v>
      </c>
    </row>
    <row r="2846" spans="1:21" x14ac:dyDescent="0.2">
      <c r="A2846" t="s">
        <v>5195</v>
      </c>
      <c r="B2846" t="s">
        <v>892</v>
      </c>
      <c r="C2846" t="s">
        <v>1296</v>
      </c>
      <c r="D2846" t="s">
        <v>1613</v>
      </c>
      <c r="E2846" t="s">
        <v>4345</v>
      </c>
      <c r="F2846" t="s">
        <v>1583</v>
      </c>
      <c r="I2846" t="s">
        <v>1058</v>
      </c>
      <c r="N2846" t="s">
        <v>209</v>
      </c>
      <c r="Q2846" s="2" t="str">
        <f>IF($C2846="","",IFERROR(VLOOKUP($C2846,sources!$A$2:$N$200,2,FALSE()),"?"))</f>
        <v>Web compilation</v>
      </c>
      <c r="R2846" s="2" t="str">
        <f t="shared" si="44"/>
        <v>Textual</v>
      </c>
      <c r="S2846" s="2" t="str">
        <f>IF($C2846="","",IFERROR(VLOOKUP($C2846,sources!$A$2:$N$200,9,FALSE()),"?"))</f>
        <v>Mixed</v>
      </c>
      <c r="T2846" t="s">
        <v>5692</v>
      </c>
      <c r="U2846">
        <f>IF(OR(B2846="",C2846="",T2846="Retracted",LEFT(D2846,8)="Negative"),0,IF(COUNTIFS($B$2:B2846,B2846,$C$2:C2846,C2846,$D$2:D2846,"&lt;&gt;Negative*",$T$2:T2846,"&lt;&gt;Retracted")=1,1,0))</f>
        <v>0</v>
      </c>
    </row>
    <row r="2847" spans="1:21" x14ac:dyDescent="0.2">
      <c r="A2847" t="s">
        <v>5196</v>
      </c>
      <c r="B2847" t="s">
        <v>906</v>
      </c>
      <c r="C2847" t="s">
        <v>1296</v>
      </c>
      <c r="D2847" t="s">
        <v>1613</v>
      </c>
      <c r="E2847" t="s">
        <v>908</v>
      </c>
      <c r="F2847" t="s">
        <v>1583</v>
      </c>
      <c r="I2847" t="s">
        <v>1058</v>
      </c>
      <c r="N2847" t="s">
        <v>209</v>
      </c>
      <c r="Q2847" s="2" t="str">
        <f>IF($C2847="","",IFERROR(VLOOKUP($C2847,sources!$A$2:$N$200,2,FALSE()),"?"))</f>
        <v>Web compilation</v>
      </c>
      <c r="R2847" s="2" t="str">
        <f t="shared" si="44"/>
        <v>Textual</v>
      </c>
      <c r="S2847" s="2" t="str">
        <f>IF($C2847="","",IFERROR(VLOOKUP($C2847,sources!$A$2:$N$200,9,FALSE()),"?"))</f>
        <v>Mixed</v>
      </c>
      <c r="T2847" t="s">
        <v>5692</v>
      </c>
      <c r="U2847">
        <f>IF(OR(B2847="",C2847="",T2847="Retracted",LEFT(D2847,8)="Negative"),0,IF(COUNTIFS($B$2:B2847,B2847,$C$2:C2847,C2847,$D$2:D2847,"&lt;&gt;Negative*",$T$2:T2847,"&lt;&gt;Retracted")=1,1,0))</f>
        <v>0</v>
      </c>
    </row>
    <row r="2848" spans="1:21" x14ac:dyDescent="0.2">
      <c r="A2848" t="s">
        <v>5197</v>
      </c>
      <c r="B2848" t="s">
        <v>910</v>
      </c>
      <c r="C2848" t="s">
        <v>1296</v>
      </c>
      <c r="D2848" t="s">
        <v>1613</v>
      </c>
      <c r="E2848" t="s">
        <v>911</v>
      </c>
      <c r="F2848" t="s">
        <v>1583</v>
      </c>
      <c r="I2848" t="s">
        <v>1058</v>
      </c>
      <c r="N2848" t="s">
        <v>209</v>
      </c>
      <c r="Q2848" s="2" t="str">
        <f>IF($C2848="","",IFERROR(VLOOKUP($C2848,sources!$A$2:$N$200,2,FALSE()),"?"))</f>
        <v>Web compilation</v>
      </c>
      <c r="R2848" s="2" t="str">
        <f t="shared" si="44"/>
        <v>Textual</v>
      </c>
      <c r="S2848" s="2" t="str">
        <f>IF($C2848="","",IFERROR(VLOOKUP($C2848,sources!$A$2:$N$200,9,FALSE()),"?"))</f>
        <v>Mixed</v>
      </c>
      <c r="T2848" t="s">
        <v>5692</v>
      </c>
      <c r="U2848">
        <f>IF(OR(B2848="",C2848="",T2848="Retracted",LEFT(D2848,8)="Negative"),0,IF(COUNTIFS($B$2:B2848,B2848,$C$2:C2848,C2848,$D$2:D2848,"&lt;&gt;Negative*",$T$2:T2848,"&lt;&gt;Retracted")=1,1,0))</f>
        <v>0</v>
      </c>
    </row>
    <row r="2849" spans="1:21" x14ac:dyDescent="0.2">
      <c r="A2849" t="s">
        <v>5198</v>
      </c>
      <c r="B2849" t="s">
        <v>914</v>
      </c>
      <c r="C2849" t="s">
        <v>1296</v>
      </c>
      <c r="D2849" t="s">
        <v>1613</v>
      </c>
      <c r="E2849" t="s">
        <v>915</v>
      </c>
      <c r="F2849" t="s">
        <v>1583</v>
      </c>
      <c r="I2849" t="s">
        <v>1058</v>
      </c>
      <c r="N2849" t="s">
        <v>209</v>
      </c>
      <c r="Q2849" s="2" t="str">
        <f>IF($C2849="","",IFERROR(VLOOKUP($C2849,sources!$A$2:$N$200,2,FALSE()),"?"))</f>
        <v>Web compilation</v>
      </c>
      <c r="R2849" s="2" t="str">
        <f t="shared" si="44"/>
        <v>Textual</v>
      </c>
      <c r="S2849" s="2" t="str">
        <f>IF($C2849="","",IFERROR(VLOOKUP($C2849,sources!$A$2:$N$200,9,FALSE()),"?"))</f>
        <v>Mixed</v>
      </c>
      <c r="T2849" t="s">
        <v>5692</v>
      </c>
      <c r="U2849">
        <f>IF(OR(B2849="",C2849="",T2849="Retracted",LEFT(D2849,8)="Negative"),0,IF(COUNTIFS($B$2:B2849,B2849,$C$2:C2849,C2849,$D$2:D2849,"&lt;&gt;Negative*",$T$2:T2849,"&lt;&gt;Retracted")=1,1,0))</f>
        <v>0</v>
      </c>
    </row>
    <row r="2850" spans="1:21" x14ac:dyDescent="0.2">
      <c r="A2850" t="s">
        <v>5199</v>
      </c>
      <c r="B2850" t="s">
        <v>917</v>
      </c>
      <c r="C2850" t="s">
        <v>1296</v>
      </c>
      <c r="D2850" t="s">
        <v>1613</v>
      </c>
      <c r="E2850" t="s">
        <v>918</v>
      </c>
      <c r="F2850" t="s">
        <v>1583</v>
      </c>
      <c r="I2850" t="s">
        <v>1058</v>
      </c>
      <c r="N2850" t="s">
        <v>203</v>
      </c>
      <c r="Q2850" s="2" t="str">
        <f>IF($C2850="","",IFERROR(VLOOKUP($C2850,sources!$A$2:$N$200,2,FALSE()),"?"))</f>
        <v>Web compilation</v>
      </c>
      <c r="R2850" s="2" t="str">
        <f t="shared" si="44"/>
        <v>Textual</v>
      </c>
      <c r="S2850" s="2" t="str">
        <f>IF($C2850="","",IFERROR(VLOOKUP($C2850,sources!$A$2:$N$200,9,FALSE()),"?"))</f>
        <v>Mixed</v>
      </c>
      <c r="T2850" t="s">
        <v>5692</v>
      </c>
      <c r="U2850">
        <f>IF(OR(B2850="",C2850="",T2850="Retracted",LEFT(D2850,8)="Negative"),0,IF(COUNTIFS($B$2:B2850,B2850,$C$2:C2850,C2850,$D$2:D2850,"&lt;&gt;Negative*",$T$2:T2850,"&lt;&gt;Retracted")=1,1,0))</f>
        <v>0</v>
      </c>
    </row>
    <row r="2851" spans="1:21" x14ac:dyDescent="0.2">
      <c r="A2851" t="s">
        <v>5200</v>
      </c>
      <c r="B2851" t="s">
        <v>920</v>
      </c>
      <c r="C2851" t="s">
        <v>1296</v>
      </c>
      <c r="D2851" t="s">
        <v>1613</v>
      </c>
      <c r="E2851" t="s">
        <v>921</v>
      </c>
      <c r="F2851" t="s">
        <v>1583</v>
      </c>
      <c r="I2851" t="s">
        <v>1058</v>
      </c>
      <c r="N2851" t="s">
        <v>203</v>
      </c>
      <c r="Q2851" s="2" t="str">
        <f>IF($C2851="","",IFERROR(VLOOKUP($C2851,sources!$A$2:$N$200,2,FALSE()),"?"))</f>
        <v>Web compilation</v>
      </c>
      <c r="R2851" s="2" t="str">
        <f t="shared" si="44"/>
        <v>Textual</v>
      </c>
      <c r="S2851" s="2" t="str">
        <f>IF($C2851="","",IFERROR(VLOOKUP($C2851,sources!$A$2:$N$200,9,FALSE()),"?"))</f>
        <v>Mixed</v>
      </c>
      <c r="T2851" t="s">
        <v>5692</v>
      </c>
      <c r="U2851">
        <f>IF(OR(B2851="",C2851="",T2851="Retracted",LEFT(D2851,8)="Negative"),0,IF(COUNTIFS($B$2:B2851,B2851,$C$2:C2851,C2851,$D$2:D2851,"&lt;&gt;Negative*",$T$2:T2851,"&lt;&gt;Retracted")=1,1,0))</f>
        <v>0</v>
      </c>
    </row>
    <row r="2852" spans="1:21" x14ac:dyDescent="0.2">
      <c r="A2852" t="s">
        <v>5201</v>
      </c>
      <c r="B2852" t="s">
        <v>955</v>
      </c>
      <c r="C2852" t="s">
        <v>1296</v>
      </c>
      <c r="D2852" t="s">
        <v>1613</v>
      </c>
      <c r="E2852" t="s">
        <v>4290</v>
      </c>
      <c r="F2852" t="s">
        <v>1583</v>
      </c>
      <c r="I2852" t="s">
        <v>1058</v>
      </c>
      <c r="N2852" t="s">
        <v>209</v>
      </c>
      <c r="Q2852" s="2" t="str">
        <f>IF($C2852="","",IFERROR(VLOOKUP($C2852,sources!$A$2:$N$200,2,FALSE()),"?"))</f>
        <v>Web compilation</v>
      </c>
      <c r="R2852" s="2" t="str">
        <f t="shared" si="44"/>
        <v>Textual</v>
      </c>
      <c r="S2852" s="2" t="str">
        <f>IF($C2852="","",IFERROR(VLOOKUP($C2852,sources!$A$2:$N$200,9,FALSE()),"?"))</f>
        <v>Mixed</v>
      </c>
      <c r="T2852" t="s">
        <v>5692</v>
      </c>
      <c r="U2852">
        <f>IF(OR(B2852="",C2852="",T2852="Retracted",LEFT(D2852,8)="Negative"),0,IF(COUNTIFS($B$2:B2852,B2852,$C$2:C2852,C2852,$D$2:D2852,"&lt;&gt;Negative*",$T$2:T2852,"&lt;&gt;Retracted")=1,1,0))</f>
        <v>0</v>
      </c>
    </row>
    <row r="2853" spans="1:21" x14ac:dyDescent="0.2">
      <c r="A2853" t="s">
        <v>5202</v>
      </c>
      <c r="B2853" t="s">
        <v>962</v>
      </c>
      <c r="C2853" t="s">
        <v>1296</v>
      </c>
      <c r="D2853" t="s">
        <v>1575</v>
      </c>
      <c r="E2853" t="s">
        <v>963</v>
      </c>
      <c r="F2853" t="s">
        <v>1583</v>
      </c>
      <c r="I2853" t="s">
        <v>1058</v>
      </c>
      <c r="N2853" t="s">
        <v>203</v>
      </c>
      <c r="Q2853" s="2" t="str">
        <f>IF($C2853="","",IFERROR(VLOOKUP($C2853,sources!$A$2:$N$200,2,FALSE()),"?"))</f>
        <v>Web compilation</v>
      </c>
      <c r="R2853" s="2" t="str">
        <f t="shared" si="44"/>
        <v>Textual</v>
      </c>
      <c r="S2853" s="2" t="str">
        <f>IF($C2853="","",IFERROR(VLOOKUP($C2853,sources!$A$2:$N$200,9,FALSE()),"?"))</f>
        <v>Mixed</v>
      </c>
      <c r="T2853" t="s">
        <v>5692</v>
      </c>
      <c r="U2853">
        <f>IF(OR(B2853="",C2853="",T2853="Retracted",LEFT(D2853,8)="Negative"),0,IF(COUNTIFS($B$2:B2853,B2853,$C$2:C2853,C2853,$D$2:D2853,"&lt;&gt;Negative*",$T$2:T2853,"&lt;&gt;Retracted")=1,1,0))</f>
        <v>1</v>
      </c>
    </row>
    <row r="2854" spans="1:21" x14ac:dyDescent="0.2">
      <c r="A2854" t="s">
        <v>5203</v>
      </c>
      <c r="B2854" t="s">
        <v>979</v>
      </c>
      <c r="C2854" t="s">
        <v>1296</v>
      </c>
      <c r="D2854" t="s">
        <v>1613</v>
      </c>
      <c r="E2854" t="s">
        <v>981</v>
      </c>
      <c r="F2854" t="s">
        <v>1583</v>
      </c>
      <c r="I2854" t="s">
        <v>1058</v>
      </c>
      <c r="N2854" t="s">
        <v>203</v>
      </c>
      <c r="Q2854" s="2" t="str">
        <f>IF($C2854="","",IFERROR(VLOOKUP($C2854,sources!$A$2:$N$200,2,FALSE()),"?"))</f>
        <v>Web compilation</v>
      </c>
      <c r="R2854" s="2" t="str">
        <f t="shared" si="44"/>
        <v>Textual</v>
      </c>
      <c r="S2854" s="2" t="str">
        <f>IF($C2854="","",IFERROR(VLOOKUP($C2854,sources!$A$2:$N$200,9,FALSE()),"?"))</f>
        <v>Mixed</v>
      </c>
      <c r="T2854" t="s">
        <v>5692</v>
      </c>
      <c r="U2854">
        <f>IF(OR(B2854="",C2854="",T2854="Retracted",LEFT(D2854,8)="Negative"),0,IF(COUNTIFS($B$2:B2854,B2854,$C$2:C2854,C2854,$D$2:D2854,"&lt;&gt;Negative*",$T$2:T2854,"&lt;&gt;Retracted")=1,1,0))</f>
        <v>0</v>
      </c>
    </row>
    <row r="2855" spans="1:21" x14ac:dyDescent="0.2">
      <c r="A2855" t="s">
        <v>5204</v>
      </c>
      <c r="B2855" t="s">
        <v>1008</v>
      </c>
      <c r="C2855" t="s">
        <v>1296</v>
      </c>
      <c r="D2855" t="s">
        <v>1613</v>
      </c>
      <c r="E2855" t="s">
        <v>4259</v>
      </c>
      <c r="F2855" t="s">
        <v>1583</v>
      </c>
      <c r="I2855" t="s">
        <v>1058</v>
      </c>
      <c r="N2855" t="s">
        <v>209</v>
      </c>
      <c r="Q2855" s="2" t="str">
        <f>IF($C2855="","",IFERROR(VLOOKUP($C2855,sources!$A$2:$N$200,2,FALSE()),"?"))</f>
        <v>Web compilation</v>
      </c>
      <c r="R2855" s="2" t="str">
        <f t="shared" si="44"/>
        <v>Textual</v>
      </c>
      <c r="S2855" s="2" t="str">
        <f>IF($C2855="","",IFERROR(VLOOKUP($C2855,sources!$A$2:$N$200,9,FALSE()),"?"))</f>
        <v>Mixed</v>
      </c>
      <c r="T2855" t="s">
        <v>5692</v>
      </c>
      <c r="U2855">
        <f>IF(OR(B2855="",C2855="",T2855="Retracted",LEFT(D2855,8)="Negative"),0,IF(COUNTIFS($B$2:B2855,B2855,$C$2:C2855,C2855,$D$2:D2855,"&lt;&gt;Negative*",$T$2:T2855,"&lt;&gt;Retracted")=1,1,0))</f>
        <v>0</v>
      </c>
    </row>
    <row r="2856" spans="1:21" x14ac:dyDescent="0.2">
      <c r="A2856" t="s">
        <v>5205</v>
      </c>
      <c r="B2856" t="s">
        <v>1012</v>
      </c>
      <c r="C2856" t="s">
        <v>1296</v>
      </c>
      <c r="D2856" t="s">
        <v>1613</v>
      </c>
      <c r="E2856" t="s">
        <v>1013</v>
      </c>
      <c r="F2856" t="s">
        <v>1583</v>
      </c>
      <c r="I2856" t="s">
        <v>1058</v>
      </c>
      <c r="N2856" t="s">
        <v>209</v>
      </c>
      <c r="Q2856" s="2" t="str">
        <f>IF($C2856="","",IFERROR(VLOOKUP($C2856,sources!$A$2:$N$200,2,FALSE()),"?"))</f>
        <v>Web compilation</v>
      </c>
      <c r="R2856" s="2" t="str">
        <f t="shared" si="44"/>
        <v>Textual</v>
      </c>
      <c r="S2856" s="2" t="str">
        <f>IF($C2856="","",IFERROR(VLOOKUP($C2856,sources!$A$2:$N$200,9,FALSE()),"?"))</f>
        <v>Mixed</v>
      </c>
      <c r="T2856" t="s">
        <v>5692</v>
      </c>
      <c r="U2856">
        <f>IF(OR(B2856="",C2856="",T2856="Retracted",LEFT(D2856,8)="Negative"),0,IF(COUNTIFS($B$2:B2856,B2856,$C$2:C2856,C2856,$D$2:D2856,"&lt;&gt;Negative*",$T$2:T2856,"&lt;&gt;Retracted")=1,1,0))</f>
        <v>0</v>
      </c>
    </row>
    <row r="2857" spans="1:21" x14ac:dyDescent="0.2">
      <c r="A2857" t="s">
        <v>5206</v>
      </c>
      <c r="B2857" t="s">
        <v>1017</v>
      </c>
      <c r="C2857" t="s">
        <v>1296</v>
      </c>
      <c r="D2857" t="s">
        <v>1613</v>
      </c>
      <c r="E2857" t="s">
        <v>1018</v>
      </c>
      <c r="F2857" t="s">
        <v>1583</v>
      </c>
      <c r="I2857" t="s">
        <v>1058</v>
      </c>
      <c r="N2857" t="s">
        <v>209</v>
      </c>
      <c r="Q2857" s="2" t="str">
        <f>IF($C2857="","",IFERROR(VLOOKUP($C2857,sources!$A$2:$N$200,2,FALSE()),"?"))</f>
        <v>Web compilation</v>
      </c>
      <c r="R2857" s="2" t="str">
        <f t="shared" si="44"/>
        <v>Textual</v>
      </c>
      <c r="S2857" s="2" t="str">
        <f>IF($C2857="","",IFERROR(VLOOKUP($C2857,sources!$A$2:$N$200,9,FALSE()),"?"))</f>
        <v>Mixed</v>
      </c>
      <c r="T2857" t="s">
        <v>5692</v>
      </c>
      <c r="U2857">
        <f>IF(OR(B2857="",C2857="",T2857="Retracted",LEFT(D2857,8)="Negative"),0,IF(COUNTIFS($B$2:B2857,B2857,$C$2:C2857,C2857,$D$2:D2857,"&lt;&gt;Negative*",$T$2:T2857,"&lt;&gt;Retracted")=1,1,0))</f>
        <v>0</v>
      </c>
    </row>
    <row r="2858" spans="1:21" x14ac:dyDescent="0.2">
      <c r="A2858" t="s">
        <v>5207</v>
      </c>
      <c r="B2858" t="s">
        <v>1021</v>
      </c>
      <c r="C2858" t="s">
        <v>1296</v>
      </c>
      <c r="D2858" t="s">
        <v>1564</v>
      </c>
      <c r="E2858" t="s">
        <v>5208</v>
      </c>
      <c r="F2858" t="s">
        <v>1583</v>
      </c>
      <c r="I2858" t="s">
        <v>1058</v>
      </c>
      <c r="K2858">
        <v>1906</v>
      </c>
      <c r="L2858">
        <v>1906</v>
      </c>
      <c r="M2858" t="s">
        <v>203</v>
      </c>
      <c r="N2858" t="s">
        <v>203</v>
      </c>
      <c r="Q2858" s="2" t="str">
        <f>IF($C2858="","",IFERROR(VLOOKUP($C2858,sources!$A$2:$N$200,2,FALSE()),"?"))</f>
        <v>Web compilation</v>
      </c>
      <c r="R2858" s="2" t="str">
        <f t="shared" si="44"/>
        <v>Textual</v>
      </c>
      <c r="S2858" s="2" t="str">
        <f>IF($C2858="","",IFERROR(VLOOKUP($C2858,sources!$A$2:$N$200,9,FALSE()),"?"))</f>
        <v>Mixed</v>
      </c>
      <c r="T2858" t="s">
        <v>5692</v>
      </c>
      <c r="U2858">
        <f>IF(OR(B2858="",C2858="",T2858="Retracted",LEFT(D2858,8)="Negative"),0,IF(COUNTIFS($B$2:B2858,B2858,$C$2:C2858,C2858,$D$2:D2858,"&lt;&gt;Negative*",$T$2:T2858,"&lt;&gt;Retracted")=1,1,0))</f>
        <v>1</v>
      </c>
    </row>
    <row r="2859" spans="1:21" x14ac:dyDescent="0.2">
      <c r="A2859" t="s">
        <v>5209</v>
      </c>
      <c r="B2859" t="s">
        <v>1026</v>
      </c>
      <c r="C2859" t="s">
        <v>1296</v>
      </c>
      <c r="D2859" t="s">
        <v>1613</v>
      </c>
      <c r="E2859" t="s">
        <v>1027</v>
      </c>
      <c r="F2859" t="s">
        <v>1583</v>
      </c>
      <c r="I2859" t="s">
        <v>1058</v>
      </c>
      <c r="N2859" t="s">
        <v>209</v>
      </c>
      <c r="Q2859" s="2" t="str">
        <f>IF($C2859="","",IFERROR(VLOOKUP($C2859,sources!$A$2:$N$200,2,FALSE()),"?"))</f>
        <v>Web compilation</v>
      </c>
      <c r="R2859" s="2" t="str">
        <f t="shared" si="44"/>
        <v>Textual</v>
      </c>
      <c r="S2859" s="2" t="str">
        <f>IF($C2859="","",IFERROR(VLOOKUP($C2859,sources!$A$2:$N$200,9,FALSE()),"?"))</f>
        <v>Mixed</v>
      </c>
      <c r="T2859" t="s">
        <v>5692</v>
      </c>
      <c r="U2859">
        <f>IF(OR(B2859="",C2859="",T2859="Retracted",LEFT(D2859,8)="Negative"),0,IF(COUNTIFS($B$2:B2859,B2859,$C$2:C2859,C2859,$D$2:D2859,"&lt;&gt;Negative*",$T$2:T2859,"&lt;&gt;Retracted")=1,1,0))</f>
        <v>0</v>
      </c>
    </row>
    <row r="2860" spans="1:21" x14ac:dyDescent="0.2">
      <c r="A2860" t="s">
        <v>5210</v>
      </c>
      <c r="B2860" t="s">
        <v>835</v>
      </c>
      <c r="C2860" t="s">
        <v>1296</v>
      </c>
      <c r="D2860" t="s">
        <v>1575</v>
      </c>
      <c r="E2860" t="s">
        <v>504</v>
      </c>
      <c r="F2860" t="s">
        <v>1583</v>
      </c>
      <c r="I2860" t="s">
        <v>1058</v>
      </c>
      <c r="N2860" t="s">
        <v>190</v>
      </c>
      <c r="Q2860" s="2" t="str">
        <f>IF($C2860="","",IFERROR(VLOOKUP($C2860,sources!$A$2:$N$200,2,FALSE()),"?"))</f>
        <v>Web compilation</v>
      </c>
      <c r="R2860" s="2" t="str">
        <f t="shared" si="44"/>
        <v>Textual</v>
      </c>
      <c r="S2860" s="2" t="str">
        <f>IF($C2860="","",IFERROR(VLOOKUP($C2860,sources!$A$2:$N$200,9,FALSE()),"?"))</f>
        <v>Mixed</v>
      </c>
      <c r="T2860" t="s">
        <v>5692</v>
      </c>
      <c r="U2860">
        <f>IF(OR(B2860="",C2860="",T2860="Retracted",LEFT(D2860,8)="Negative"),0,IF(COUNTIFS($B$2:B2860,B2860,$C$2:C2860,C2860,$D$2:D2860,"&lt;&gt;Negative*",$T$2:T2860,"&lt;&gt;Retracted")=1,1,0))</f>
        <v>1</v>
      </c>
    </row>
    <row r="2861" spans="1:21" x14ac:dyDescent="0.2">
      <c r="A2861" t="s">
        <v>5211</v>
      </c>
      <c r="B2861" t="s">
        <v>733</v>
      </c>
      <c r="C2861" t="s">
        <v>1509</v>
      </c>
      <c r="D2861" t="s">
        <v>1613</v>
      </c>
      <c r="E2861" t="s">
        <v>4973</v>
      </c>
      <c r="F2861" t="s">
        <v>1583</v>
      </c>
      <c r="I2861" t="s">
        <v>1058</v>
      </c>
      <c r="K2861">
        <v>1904</v>
      </c>
      <c r="L2861">
        <v>1904</v>
      </c>
      <c r="M2861" t="s">
        <v>209</v>
      </c>
      <c r="N2861" t="s">
        <v>209</v>
      </c>
      <c r="Q2861" s="2" t="str">
        <f>IF($C2861="","",IFERROR(VLOOKUP($C2861,sources!$A$2:$N$200,2,FALSE()),"?"))</f>
        <v>Map</v>
      </c>
      <c r="R2861" s="2" t="str">
        <f t="shared" si="44"/>
        <v>Map</v>
      </c>
      <c r="S2861" s="2" t="str">
        <f>IF($C2861="","",IFERROR(VLOOKUP($C2861,sources!$A$2:$N$200,9,FALSE()),"?"))</f>
        <v>US official</v>
      </c>
      <c r="T2861" t="s">
        <v>5692</v>
      </c>
      <c r="U2861">
        <f>IF(OR(B2861="",C2861="",T2861="Retracted",LEFT(D2861,8)="Negative"),0,IF(COUNTIFS($B$2:B2861,B2861,$C$2:C2861,C2861,$D$2:D2861,"&lt;&gt;Negative*",$T$2:T2861,"&lt;&gt;Retracted")=1,1,0))</f>
        <v>0</v>
      </c>
    </row>
    <row r="2862" spans="1:21" x14ac:dyDescent="0.2">
      <c r="A2862" t="s">
        <v>5212</v>
      </c>
      <c r="B2862" t="s">
        <v>852</v>
      </c>
      <c r="C2862" t="s">
        <v>1335</v>
      </c>
      <c r="D2862" t="s">
        <v>1613</v>
      </c>
      <c r="E2862" t="s">
        <v>853</v>
      </c>
      <c r="F2862" t="s">
        <v>1583</v>
      </c>
      <c r="I2862" t="s">
        <v>1058</v>
      </c>
      <c r="K2862">
        <v>1905</v>
      </c>
      <c r="L2862">
        <v>1906</v>
      </c>
      <c r="M2862" t="s">
        <v>209</v>
      </c>
      <c r="N2862" t="s">
        <v>209</v>
      </c>
      <c r="Q2862" s="2" t="str">
        <f>IF($C2862="","",IFERROR(VLOOKUP($C2862,sources!$A$2:$N$200,2,FALSE()),"?"))</f>
        <v>Map</v>
      </c>
      <c r="R2862" s="2" t="str">
        <f t="shared" si="44"/>
        <v>Map</v>
      </c>
      <c r="S2862" s="2" t="str">
        <f>IF($C2862="","",IFERROR(VLOOKUP($C2862,sources!$A$2:$N$200,9,FALSE()),"?"))</f>
        <v>US official</v>
      </c>
      <c r="T2862" t="s">
        <v>5692</v>
      </c>
      <c r="U2862">
        <f>IF(OR(B2862="",C2862="",T2862="Retracted",LEFT(D2862,8)="Negative"),0,IF(COUNTIFS($B$2:B2862,B2862,$C$2:C2862,C2862,$D$2:D2862,"&lt;&gt;Negative*",$T$2:T2862,"&lt;&gt;Retracted")=1,1,0))</f>
        <v>0</v>
      </c>
    </row>
    <row r="2863" spans="1:21" ht="26" x14ac:dyDescent="0.2">
      <c r="A2863" t="s">
        <v>5213</v>
      </c>
      <c r="B2863" t="s">
        <v>1030</v>
      </c>
      <c r="C2863" t="s">
        <v>1393</v>
      </c>
      <c r="D2863" t="s">
        <v>1575</v>
      </c>
      <c r="E2863" t="s">
        <v>5214</v>
      </c>
      <c r="F2863" t="s">
        <v>1583</v>
      </c>
      <c r="I2863" t="s">
        <v>1058</v>
      </c>
      <c r="N2863" t="s">
        <v>203</v>
      </c>
      <c r="Q2863" s="2" t="str">
        <f>IF($C2863="","",IFERROR(VLOOKUP($C2863,sources!$A$2:$N$200,2,FALSE()),"?"))</f>
        <v>Web compilation</v>
      </c>
      <c r="R2863" s="2" t="str">
        <f t="shared" si="44"/>
        <v>Textual</v>
      </c>
      <c r="S2863" s="2" t="str">
        <f>IF($C2863="","",IFERROR(VLOOKUP($C2863,sources!$A$2:$N$200,9,FALSE()),"?"))</f>
        <v>Caribbean community</v>
      </c>
      <c r="T2863" t="s">
        <v>5692</v>
      </c>
      <c r="U2863">
        <f>IF(OR(B2863="",C2863="",T2863="Retracted",LEFT(D2863,8)="Negative"),0,IF(COUNTIFS($B$2:B2863,B2863,$C$2:C2863,C2863,$D$2:D2863,"&lt;&gt;Negative*",$T$2:T2863,"&lt;&gt;Retracted")=1,1,0))</f>
        <v>1</v>
      </c>
    </row>
    <row r="2864" spans="1:21" x14ac:dyDescent="0.2">
      <c r="A2864" t="s">
        <v>5215</v>
      </c>
      <c r="B2864" t="s">
        <v>1030</v>
      </c>
      <c r="C2864" t="s">
        <v>1296</v>
      </c>
      <c r="D2864" t="s">
        <v>1575</v>
      </c>
      <c r="E2864" t="s">
        <v>5214</v>
      </c>
      <c r="F2864" t="s">
        <v>1583</v>
      </c>
      <c r="I2864" t="s">
        <v>1058</v>
      </c>
      <c r="K2864">
        <v>1914</v>
      </c>
      <c r="L2864">
        <v>1914</v>
      </c>
      <c r="M2864" t="s">
        <v>203</v>
      </c>
      <c r="N2864" t="s">
        <v>203</v>
      </c>
      <c r="Q2864" s="2" t="str">
        <f>IF($C2864="","",IFERROR(VLOOKUP($C2864,sources!$A$2:$N$200,2,FALSE()),"?"))</f>
        <v>Web compilation</v>
      </c>
      <c r="R2864" s="2" t="str">
        <f t="shared" si="44"/>
        <v>Textual</v>
      </c>
      <c r="S2864" s="2" t="str">
        <f>IF($C2864="","",IFERROR(VLOOKUP($C2864,sources!$A$2:$N$200,9,FALSE()),"?"))</f>
        <v>Mixed</v>
      </c>
      <c r="T2864" t="s">
        <v>5692</v>
      </c>
      <c r="U2864">
        <f>IF(OR(B2864="",C2864="",T2864="Retracted",LEFT(D2864,8)="Negative"),0,IF(COUNTIFS($B$2:B2864,B2864,$C$2:C2864,C2864,$D$2:D2864,"&lt;&gt;Negative*",$T$2:T2864,"&lt;&gt;Retracted")=1,1,0))</f>
        <v>1</v>
      </c>
    </row>
    <row r="2865" spans="1:21" ht="26" x14ac:dyDescent="0.2">
      <c r="A2865" t="s">
        <v>5216</v>
      </c>
      <c r="B2865" t="s">
        <v>1033</v>
      </c>
      <c r="C2865" t="s">
        <v>1393</v>
      </c>
      <c r="D2865" t="s">
        <v>1575</v>
      </c>
      <c r="E2865" t="s">
        <v>5217</v>
      </c>
      <c r="F2865" t="s">
        <v>1583</v>
      </c>
      <c r="I2865" t="s">
        <v>1058</v>
      </c>
      <c r="N2865" t="s">
        <v>203</v>
      </c>
      <c r="Q2865" s="2" t="str">
        <f>IF($C2865="","",IFERROR(VLOOKUP($C2865,sources!$A$2:$N$200,2,FALSE()),"?"))</f>
        <v>Web compilation</v>
      </c>
      <c r="R2865" s="2" t="str">
        <f t="shared" si="44"/>
        <v>Textual</v>
      </c>
      <c r="S2865" s="2" t="str">
        <f>IF($C2865="","",IFERROR(VLOOKUP($C2865,sources!$A$2:$N$200,9,FALSE()),"?"))</f>
        <v>Caribbean community</v>
      </c>
      <c r="T2865" t="s">
        <v>5693</v>
      </c>
      <c r="U2865">
        <f>IF(OR(B2865="",C2865="",T2865="Retracted",LEFT(D2865,8)="Negative"),0,IF(COUNTIFS($B$2:B2865,B2865,$C$2:C2865,C2865,$D$2:D2865,"&lt;&gt;Negative*",$T$2:T2865,"&lt;&gt;Retracted")=1,1,0))</f>
        <v>0</v>
      </c>
    </row>
    <row r="2866" spans="1:21" x14ac:dyDescent="0.2">
      <c r="A2866" t="s">
        <v>5218</v>
      </c>
      <c r="B2866" t="s">
        <v>1037</v>
      </c>
      <c r="C2866" t="s">
        <v>1335</v>
      </c>
      <c r="D2866" t="s">
        <v>1572</v>
      </c>
      <c r="E2866" t="s">
        <v>5219</v>
      </c>
      <c r="F2866" t="s">
        <v>1583</v>
      </c>
      <c r="G2866">
        <v>9.1137759999999997</v>
      </c>
      <c r="H2866">
        <v>-79.718427000000005</v>
      </c>
      <c r="I2866" t="s">
        <v>1573</v>
      </c>
      <c r="J2866">
        <v>200</v>
      </c>
      <c r="K2866">
        <v>1905</v>
      </c>
      <c r="L2866">
        <v>1906</v>
      </c>
      <c r="M2866" t="s">
        <v>209</v>
      </c>
      <c r="N2866" t="s">
        <v>203</v>
      </c>
      <c r="Q2866" s="2" t="str">
        <f>IF($C2866="","",IFERROR(VLOOKUP($C2866,sources!$A$2:$N$200,2,FALSE()),"?"))</f>
        <v>Map</v>
      </c>
      <c r="R2866" s="2" t="str">
        <f t="shared" si="44"/>
        <v>Map</v>
      </c>
      <c r="S2866" s="2" t="str">
        <f>IF($C2866="","",IFERROR(VLOOKUP($C2866,sources!$A$2:$N$200,9,FALSE()),"?"))</f>
        <v>US official</v>
      </c>
      <c r="T2866" t="s">
        <v>5692</v>
      </c>
      <c r="U2866">
        <f>IF(OR(B2866="",C2866="",T2866="Retracted",LEFT(D2866,8)="Negative"),0,IF(COUNTIFS($B$2:B2866,B2866,$C$2:C2866,C2866,$D$2:D2866,"&lt;&gt;Negative*",$T$2:T2866,"&lt;&gt;Retracted")=1,1,0))</f>
        <v>1</v>
      </c>
    </row>
    <row r="2867" spans="1:21" x14ac:dyDescent="0.2">
      <c r="A2867" t="s">
        <v>5220</v>
      </c>
      <c r="B2867" t="s">
        <v>1037</v>
      </c>
      <c r="C2867" t="s">
        <v>1296</v>
      </c>
      <c r="D2867" t="s">
        <v>1575</v>
      </c>
      <c r="E2867" t="s">
        <v>5221</v>
      </c>
      <c r="F2867" t="s">
        <v>1583</v>
      </c>
      <c r="I2867" t="s">
        <v>1058</v>
      </c>
      <c r="K2867">
        <v>1907</v>
      </c>
      <c r="L2867">
        <v>1907</v>
      </c>
      <c r="M2867" t="s">
        <v>203</v>
      </c>
      <c r="N2867" t="s">
        <v>203</v>
      </c>
      <c r="Q2867" s="2" t="str">
        <f>IF($C2867="","",IFERROR(VLOOKUP($C2867,sources!$A$2:$N$200,2,FALSE()),"?"))</f>
        <v>Web compilation</v>
      </c>
      <c r="R2867" s="2" t="str">
        <f t="shared" si="44"/>
        <v>Textual</v>
      </c>
      <c r="S2867" s="2" t="str">
        <f>IF($C2867="","",IFERROR(VLOOKUP($C2867,sources!$A$2:$N$200,9,FALSE()),"?"))</f>
        <v>Mixed</v>
      </c>
      <c r="T2867" t="s">
        <v>5692</v>
      </c>
      <c r="U2867">
        <f>IF(OR(B2867="",C2867="",T2867="Retracted",LEFT(D2867,8)="Negative"),0,IF(COUNTIFS($B$2:B2867,B2867,$C$2:C2867,C2867,$D$2:D2867,"&lt;&gt;Negative*",$T$2:T2867,"&lt;&gt;Retracted")=1,1,0))</f>
        <v>1</v>
      </c>
    </row>
    <row r="2868" spans="1:21" ht="26" x14ac:dyDescent="0.2">
      <c r="A2868" t="s">
        <v>5222</v>
      </c>
      <c r="B2868" t="s">
        <v>1037</v>
      </c>
      <c r="C2868" t="s">
        <v>1393</v>
      </c>
      <c r="D2868" t="s">
        <v>1575</v>
      </c>
      <c r="E2868" t="s">
        <v>5223</v>
      </c>
      <c r="F2868" t="s">
        <v>1583</v>
      </c>
      <c r="I2868" t="s">
        <v>1058</v>
      </c>
      <c r="N2868" t="s">
        <v>203</v>
      </c>
      <c r="Q2868" s="2" t="str">
        <f>IF($C2868="","",IFERROR(VLOOKUP($C2868,sources!$A$2:$N$200,2,FALSE()),"?"))</f>
        <v>Web compilation</v>
      </c>
      <c r="R2868" s="2" t="str">
        <f t="shared" si="44"/>
        <v>Textual</v>
      </c>
      <c r="S2868" s="2" t="str">
        <f>IF($C2868="","",IFERROR(VLOOKUP($C2868,sources!$A$2:$N$200,9,FALSE()),"?"))</f>
        <v>Caribbean community</v>
      </c>
      <c r="T2868" t="s">
        <v>5692</v>
      </c>
      <c r="U2868">
        <f>IF(OR(B2868="",C2868="",T2868="Retracted",LEFT(D2868,8)="Negative"),0,IF(COUNTIFS($B$2:B2868,B2868,$C$2:C2868,C2868,$D$2:D2868,"&lt;&gt;Negative*",$T$2:T2868,"&lt;&gt;Retracted")=1,1,0))</f>
        <v>1</v>
      </c>
    </row>
    <row r="2869" spans="1:21" x14ac:dyDescent="0.2">
      <c r="A2869" t="s">
        <v>5224</v>
      </c>
      <c r="B2869" t="s">
        <v>1042</v>
      </c>
      <c r="C2869" t="s">
        <v>1296</v>
      </c>
      <c r="D2869" t="s">
        <v>1575</v>
      </c>
      <c r="E2869" t="s">
        <v>1043</v>
      </c>
      <c r="F2869" t="s">
        <v>1583</v>
      </c>
      <c r="I2869" t="s">
        <v>1058</v>
      </c>
      <c r="K2869">
        <v>1913</v>
      </c>
      <c r="L2869">
        <v>1913</v>
      </c>
      <c r="M2869" t="s">
        <v>203</v>
      </c>
      <c r="N2869" t="s">
        <v>203</v>
      </c>
      <c r="Q2869" s="2" t="str">
        <f>IF($C2869="","",IFERROR(VLOOKUP($C2869,sources!$A$2:$N$200,2,FALSE()),"?"))</f>
        <v>Web compilation</v>
      </c>
      <c r="R2869" s="2" t="str">
        <f t="shared" si="44"/>
        <v>Textual</v>
      </c>
      <c r="S2869" s="2" t="str">
        <f>IF($C2869="","",IFERROR(VLOOKUP($C2869,sources!$A$2:$N$200,9,FALSE()),"?"))</f>
        <v>Mixed</v>
      </c>
      <c r="T2869" t="s">
        <v>5693</v>
      </c>
      <c r="U2869">
        <f>IF(OR(B2869="",C2869="",T2869="Retracted",LEFT(D2869,8)="Negative"),0,IF(COUNTIFS($B$2:B2869,B2869,$C$2:C2869,C2869,$D$2:D2869,"&lt;&gt;Negative*",$T$2:T2869,"&lt;&gt;Retracted")=1,1,0))</f>
        <v>0</v>
      </c>
    </row>
    <row r="2870" spans="1:21" x14ac:dyDescent="0.2">
      <c r="A2870" t="s">
        <v>5225</v>
      </c>
      <c r="B2870" t="s">
        <v>1042</v>
      </c>
      <c r="C2870" t="s">
        <v>1296</v>
      </c>
      <c r="D2870" t="s">
        <v>1577</v>
      </c>
      <c r="E2870" t="s">
        <v>1043</v>
      </c>
      <c r="F2870" t="s">
        <v>1583</v>
      </c>
      <c r="I2870" t="s">
        <v>1058</v>
      </c>
      <c r="K2870">
        <v>1913</v>
      </c>
      <c r="L2870">
        <v>1913</v>
      </c>
      <c r="M2870" t="s">
        <v>203</v>
      </c>
      <c r="N2870" t="s">
        <v>203</v>
      </c>
      <c r="Q2870" s="2" t="str">
        <f>IF($C2870="","",IFERROR(VLOOKUP($C2870,sources!$A$2:$N$200,2,FALSE()),"?"))</f>
        <v>Web compilation</v>
      </c>
      <c r="R2870" s="2" t="str">
        <f t="shared" si="44"/>
        <v>Textual</v>
      </c>
      <c r="S2870" s="2" t="str">
        <f>IF($C2870="","",IFERROR(VLOOKUP($C2870,sources!$A$2:$N$200,9,FALSE()),"?"))</f>
        <v>Mixed</v>
      </c>
      <c r="T2870" t="s">
        <v>5693</v>
      </c>
      <c r="U2870">
        <f>IF(OR(B2870="",C2870="",T2870="Retracted",LEFT(D2870,8)="Negative"),0,IF(COUNTIFS($B$2:B2870,B2870,$C$2:C2870,C2870,$D$2:D2870,"&lt;&gt;Negative*",$T$2:T2870,"&lt;&gt;Retracted")=1,1,0))</f>
        <v>0</v>
      </c>
    </row>
    <row r="2871" spans="1:21" x14ac:dyDescent="0.2">
      <c r="A2871" t="s">
        <v>5226</v>
      </c>
      <c r="B2871" t="s">
        <v>1046</v>
      </c>
      <c r="C2871" t="s">
        <v>1296</v>
      </c>
      <c r="D2871" t="s">
        <v>1575</v>
      </c>
      <c r="E2871" t="s">
        <v>1047</v>
      </c>
      <c r="F2871" t="s">
        <v>1583</v>
      </c>
      <c r="I2871" t="s">
        <v>1058</v>
      </c>
      <c r="K2871">
        <v>1913</v>
      </c>
      <c r="L2871">
        <v>1913</v>
      </c>
      <c r="M2871" t="s">
        <v>203</v>
      </c>
      <c r="N2871" t="s">
        <v>203</v>
      </c>
      <c r="Q2871" s="2" t="str">
        <f>IF($C2871="","",IFERROR(VLOOKUP($C2871,sources!$A$2:$N$200,2,FALSE()),"?"))</f>
        <v>Web compilation</v>
      </c>
      <c r="R2871" s="2" t="str">
        <f t="shared" si="44"/>
        <v>Textual</v>
      </c>
      <c r="S2871" s="2" t="str">
        <f>IF($C2871="","",IFERROR(VLOOKUP($C2871,sources!$A$2:$N$200,9,FALSE()),"?"))</f>
        <v>Mixed</v>
      </c>
      <c r="T2871" t="s">
        <v>5693</v>
      </c>
      <c r="U2871">
        <f>IF(OR(B2871="",C2871="",T2871="Retracted",LEFT(D2871,8)="Negative"),0,IF(COUNTIFS($B$2:B2871,B2871,$C$2:C2871,C2871,$D$2:D2871,"&lt;&gt;Negative*",$T$2:T2871,"&lt;&gt;Retracted")=1,1,0))</f>
        <v>0</v>
      </c>
    </row>
    <row r="2872" spans="1:21" x14ac:dyDescent="0.2">
      <c r="A2872" t="s">
        <v>5227</v>
      </c>
      <c r="B2872" t="s">
        <v>1046</v>
      </c>
      <c r="C2872" t="s">
        <v>1296</v>
      </c>
      <c r="D2872" t="s">
        <v>1577</v>
      </c>
      <c r="E2872" t="s">
        <v>1047</v>
      </c>
      <c r="F2872" t="s">
        <v>1583</v>
      </c>
      <c r="I2872" t="s">
        <v>1058</v>
      </c>
      <c r="K2872">
        <v>1913</v>
      </c>
      <c r="L2872">
        <v>1913</v>
      </c>
      <c r="M2872" t="s">
        <v>203</v>
      </c>
      <c r="N2872" t="s">
        <v>203</v>
      </c>
      <c r="Q2872" s="2" t="str">
        <f>IF($C2872="","",IFERROR(VLOOKUP($C2872,sources!$A$2:$N$200,2,FALSE()),"?"))</f>
        <v>Web compilation</v>
      </c>
      <c r="R2872" s="2" t="str">
        <f t="shared" si="44"/>
        <v>Textual</v>
      </c>
      <c r="S2872" s="2" t="str">
        <f>IF($C2872="","",IFERROR(VLOOKUP($C2872,sources!$A$2:$N$200,9,FALSE()),"?"))</f>
        <v>Mixed</v>
      </c>
      <c r="T2872" t="s">
        <v>5693</v>
      </c>
      <c r="U2872">
        <f>IF(OR(B2872="",C2872="",T2872="Retracted",LEFT(D2872,8)="Negative"),0,IF(COUNTIFS($B$2:B2872,B2872,$C$2:C2872,C2872,$D$2:D2872,"&lt;&gt;Negative*",$T$2:T2872,"&lt;&gt;Retracted")=1,1,0))</f>
        <v>0</v>
      </c>
    </row>
    <row r="2873" spans="1:21" x14ac:dyDescent="0.2">
      <c r="A2873" t="s">
        <v>5228</v>
      </c>
      <c r="B2873" t="s">
        <v>1049</v>
      </c>
      <c r="C2873" t="s">
        <v>1296</v>
      </c>
      <c r="D2873" t="s">
        <v>1575</v>
      </c>
      <c r="E2873" t="s">
        <v>1050</v>
      </c>
      <c r="F2873" t="s">
        <v>1583</v>
      </c>
      <c r="I2873" t="s">
        <v>1058</v>
      </c>
      <c r="K2873">
        <v>1913</v>
      </c>
      <c r="L2873">
        <v>1913</v>
      </c>
      <c r="M2873" t="s">
        <v>203</v>
      </c>
      <c r="N2873" t="s">
        <v>203</v>
      </c>
      <c r="Q2873" s="2" t="str">
        <f>IF($C2873="","",IFERROR(VLOOKUP($C2873,sources!$A$2:$N$200,2,FALSE()),"?"))</f>
        <v>Web compilation</v>
      </c>
      <c r="R2873" s="2" t="str">
        <f t="shared" si="44"/>
        <v>Textual</v>
      </c>
      <c r="S2873" s="2" t="str">
        <f>IF($C2873="","",IFERROR(VLOOKUP($C2873,sources!$A$2:$N$200,9,FALSE()),"?"))</f>
        <v>Mixed</v>
      </c>
      <c r="T2873" t="s">
        <v>5693</v>
      </c>
      <c r="U2873">
        <f>IF(OR(B2873="",C2873="",T2873="Retracted",LEFT(D2873,8)="Negative"),0,IF(COUNTIFS($B$2:B2873,B2873,$C$2:C2873,C2873,$D$2:D2873,"&lt;&gt;Negative*",$T$2:T2873,"&lt;&gt;Retracted")=1,1,0))</f>
        <v>0</v>
      </c>
    </row>
    <row r="2874" spans="1:21" x14ac:dyDescent="0.2">
      <c r="A2874" t="s">
        <v>5229</v>
      </c>
      <c r="B2874" t="s">
        <v>1049</v>
      </c>
      <c r="C2874" t="s">
        <v>1296</v>
      </c>
      <c r="D2874" t="s">
        <v>1577</v>
      </c>
      <c r="E2874" t="s">
        <v>1050</v>
      </c>
      <c r="F2874" t="s">
        <v>1583</v>
      </c>
      <c r="I2874" t="s">
        <v>1058</v>
      </c>
      <c r="K2874">
        <v>1913</v>
      </c>
      <c r="L2874">
        <v>1913</v>
      </c>
      <c r="M2874" t="s">
        <v>203</v>
      </c>
      <c r="N2874" t="s">
        <v>203</v>
      </c>
      <c r="Q2874" s="2" t="str">
        <f>IF($C2874="","",IFERROR(VLOOKUP($C2874,sources!$A$2:$N$200,2,FALSE()),"?"))</f>
        <v>Web compilation</v>
      </c>
      <c r="R2874" s="2" t="str">
        <f t="shared" si="44"/>
        <v>Textual</v>
      </c>
      <c r="S2874" s="2" t="str">
        <f>IF($C2874="","",IFERROR(VLOOKUP($C2874,sources!$A$2:$N$200,9,FALSE()),"?"))</f>
        <v>Mixed</v>
      </c>
      <c r="T2874" t="s">
        <v>5693</v>
      </c>
      <c r="U2874">
        <f>IF(OR(B2874="",C2874="",T2874="Retracted",LEFT(D2874,8)="Negative"),0,IF(COUNTIFS($B$2:B2874,B2874,$C$2:C2874,C2874,$D$2:D2874,"&lt;&gt;Negative*",$T$2:T2874,"&lt;&gt;Retracted")=1,1,0))</f>
        <v>0</v>
      </c>
    </row>
    <row r="2875" spans="1:21" x14ac:dyDescent="0.2">
      <c r="A2875" t="s">
        <v>5230</v>
      </c>
      <c r="B2875" t="s">
        <v>1053</v>
      </c>
      <c r="C2875" t="s">
        <v>1296</v>
      </c>
      <c r="D2875" t="s">
        <v>1575</v>
      </c>
      <c r="E2875" t="s">
        <v>1054</v>
      </c>
      <c r="F2875" t="s">
        <v>1583</v>
      </c>
      <c r="I2875" t="s">
        <v>1058</v>
      </c>
      <c r="K2875">
        <v>1913</v>
      </c>
      <c r="L2875">
        <v>1913</v>
      </c>
      <c r="M2875" t="s">
        <v>203</v>
      </c>
      <c r="N2875" t="s">
        <v>203</v>
      </c>
      <c r="Q2875" s="2" t="str">
        <f>IF($C2875="","",IFERROR(VLOOKUP($C2875,sources!$A$2:$N$200,2,FALSE()),"?"))</f>
        <v>Web compilation</v>
      </c>
      <c r="R2875" s="2" t="str">
        <f t="shared" si="44"/>
        <v>Textual</v>
      </c>
      <c r="S2875" s="2" t="str">
        <f>IF($C2875="","",IFERROR(VLOOKUP($C2875,sources!$A$2:$N$200,9,FALSE()),"?"))</f>
        <v>Mixed</v>
      </c>
      <c r="T2875" t="s">
        <v>5693</v>
      </c>
      <c r="U2875">
        <f>IF(OR(B2875="",C2875="",T2875="Retracted",LEFT(D2875,8)="Negative"),0,IF(COUNTIFS($B$2:B2875,B2875,$C$2:C2875,C2875,$D$2:D2875,"&lt;&gt;Negative*",$T$2:T2875,"&lt;&gt;Retracted")=1,1,0))</f>
        <v>0</v>
      </c>
    </row>
    <row r="2876" spans="1:21" x14ac:dyDescent="0.2">
      <c r="A2876" t="s">
        <v>5231</v>
      </c>
      <c r="B2876" t="s">
        <v>1053</v>
      </c>
      <c r="C2876" t="s">
        <v>1296</v>
      </c>
      <c r="D2876" t="s">
        <v>1577</v>
      </c>
      <c r="E2876" t="s">
        <v>1054</v>
      </c>
      <c r="F2876" t="s">
        <v>1583</v>
      </c>
      <c r="I2876" t="s">
        <v>1058</v>
      </c>
      <c r="K2876">
        <v>1913</v>
      </c>
      <c r="L2876">
        <v>1913</v>
      </c>
      <c r="M2876" t="s">
        <v>203</v>
      </c>
      <c r="N2876" t="s">
        <v>203</v>
      </c>
      <c r="Q2876" s="2" t="str">
        <f>IF($C2876="","",IFERROR(VLOOKUP($C2876,sources!$A$2:$N$200,2,FALSE()),"?"))</f>
        <v>Web compilation</v>
      </c>
      <c r="R2876" s="2" t="str">
        <f t="shared" si="44"/>
        <v>Textual</v>
      </c>
      <c r="S2876" s="2" t="str">
        <f>IF($C2876="","",IFERROR(VLOOKUP($C2876,sources!$A$2:$N$200,9,FALSE()),"?"))</f>
        <v>Mixed</v>
      </c>
      <c r="T2876" t="s">
        <v>5693</v>
      </c>
      <c r="U2876">
        <f>IF(OR(B2876="",C2876="",T2876="Retracted",LEFT(D2876,8)="Negative"),0,IF(COUNTIFS($B$2:B2876,B2876,$C$2:C2876,C2876,$D$2:D2876,"&lt;&gt;Negative*",$T$2:T2876,"&lt;&gt;Retracted")=1,1,0))</f>
        <v>0</v>
      </c>
    </row>
    <row r="2877" spans="1:21" x14ac:dyDescent="0.2">
      <c r="A2877" t="s">
        <v>5232</v>
      </c>
      <c r="B2877" t="s">
        <v>1056</v>
      </c>
      <c r="C2877" t="s">
        <v>1296</v>
      </c>
      <c r="D2877" t="s">
        <v>1564</v>
      </c>
      <c r="E2877" t="s">
        <v>1057</v>
      </c>
      <c r="F2877" t="s">
        <v>1583</v>
      </c>
      <c r="I2877" t="s">
        <v>1058</v>
      </c>
      <c r="K2877">
        <v>1919</v>
      </c>
      <c r="L2877">
        <v>1919</v>
      </c>
      <c r="M2877" t="s">
        <v>203</v>
      </c>
      <c r="N2877" t="s">
        <v>209</v>
      </c>
      <c r="Q2877" s="2" t="str">
        <f>IF($C2877="","",IFERROR(VLOOKUP($C2877,sources!$A$2:$N$200,2,FALSE()),"?"))</f>
        <v>Web compilation</v>
      </c>
      <c r="R2877" s="2" t="str">
        <f t="shared" si="44"/>
        <v>Textual</v>
      </c>
      <c r="S2877" s="2" t="str">
        <f>IF($C2877="","",IFERROR(VLOOKUP($C2877,sources!$A$2:$N$200,9,FALSE()),"?"))</f>
        <v>Mixed</v>
      </c>
      <c r="T2877" t="s">
        <v>5692</v>
      </c>
      <c r="U2877">
        <f>IF(OR(B2877="",C2877="",T2877="Retracted",LEFT(D2877,8)="Negative"),0,IF(COUNTIFS($B$2:B2877,B2877,$C$2:C2877,C2877,$D$2:D2877,"&lt;&gt;Negative*",$T$2:T2877,"&lt;&gt;Retracted")=1,1,0))</f>
        <v>1</v>
      </c>
    </row>
    <row r="2878" spans="1:21" x14ac:dyDescent="0.2">
      <c r="A2878" t="s">
        <v>5233</v>
      </c>
      <c r="B2878" t="s">
        <v>1061</v>
      </c>
      <c r="C2878" t="s">
        <v>1379</v>
      </c>
      <c r="D2878" t="s">
        <v>1575</v>
      </c>
      <c r="E2878" t="s">
        <v>5234</v>
      </c>
      <c r="F2878" t="s">
        <v>1583</v>
      </c>
      <c r="I2878" t="s">
        <v>1058</v>
      </c>
      <c r="K2878">
        <v>1950</v>
      </c>
      <c r="L2878">
        <v>1950</v>
      </c>
      <c r="M2878" t="s">
        <v>203</v>
      </c>
      <c r="N2878" t="s">
        <v>203</v>
      </c>
      <c r="Q2878" s="2" t="str">
        <f>IF($C2878="","",IFERROR(VLOOKUP($C2878,sources!$A$2:$N$200,2,FALSE()),"?"))</f>
        <v>Map</v>
      </c>
      <c r="R2878" s="2" t="str">
        <f t="shared" si="44"/>
        <v>Map</v>
      </c>
      <c r="S2878" s="2" t="str">
        <f>IF($C2878="","",IFERROR(VLOOKUP($C2878,sources!$A$2:$N$200,9,FALSE()),"?"))</f>
        <v>US official</v>
      </c>
      <c r="T2878" t="s">
        <v>5693</v>
      </c>
      <c r="U2878">
        <f>IF(OR(B2878="",C2878="",T2878="Retracted",LEFT(D2878,8)="Negative"),0,IF(COUNTIFS($B$2:B2878,B2878,$C$2:C2878,C2878,$D$2:D2878,"&lt;&gt;Negative*",$T$2:T2878,"&lt;&gt;Retracted")=1,1,0))</f>
        <v>0</v>
      </c>
    </row>
    <row r="2879" spans="1:21" x14ac:dyDescent="0.2">
      <c r="A2879" t="s">
        <v>5235</v>
      </c>
      <c r="B2879" t="s">
        <v>1065</v>
      </c>
      <c r="C2879" t="s">
        <v>1379</v>
      </c>
      <c r="D2879" t="s">
        <v>1575</v>
      </c>
      <c r="E2879" t="s">
        <v>5236</v>
      </c>
      <c r="F2879" t="s">
        <v>1583</v>
      </c>
      <c r="I2879" t="s">
        <v>1058</v>
      </c>
      <c r="K2879">
        <v>1950</v>
      </c>
      <c r="L2879">
        <v>1950</v>
      </c>
      <c r="M2879" t="s">
        <v>203</v>
      </c>
      <c r="N2879" t="s">
        <v>203</v>
      </c>
      <c r="Q2879" s="2" t="str">
        <f>IF($C2879="","",IFERROR(VLOOKUP($C2879,sources!$A$2:$N$200,2,FALSE()),"?"))</f>
        <v>Map</v>
      </c>
      <c r="R2879" s="2" t="str">
        <f t="shared" si="44"/>
        <v>Map</v>
      </c>
      <c r="S2879" s="2" t="str">
        <f>IF($C2879="","",IFERROR(VLOOKUP($C2879,sources!$A$2:$N$200,9,FALSE()),"?"))</f>
        <v>US official</v>
      </c>
      <c r="T2879" t="s">
        <v>5693</v>
      </c>
      <c r="U2879">
        <f>IF(OR(B2879="",C2879="",T2879="Retracted",LEFT(D2879,8)="Negative"),0,IF(COUNTIFS($B$2:B2879,B2879,$C$2:C2879,C2879,$D$2:D2879,"&lt;&gt;Negative*",$T$2:T2879,"&lt;&gt;Retracted")=1,1,0))</f>
        <v>0</v>
      </c>
    </row>
    <row r="2880" spans="1:21" x14ac:dyDescent="0.2">
      <c r="A2880" t="s">
        <v>5237</v>
      </c>
      <c r="B2880" t="s">
        <v>1068</v>
      </c>
      <c r="C2880" t="s">
        <v>1379</v>
      </c>
      <c r="D2880" t="s">
        <v>1575</v>
      </c>
      <c r="E2880" t="s">
        <v>5238</v>
      </c>
      <c r="F2880" t="s">
        <v>1583</v>
      </c>
      <c r="I2880" t="s">
        <v>1058</v>
      </c>
      <c r="K2880">
        <v>1950</v>
      </c>
      <c r="L2880">
        <v>1950</v>
      </c>
      <c r="M2880" t="s">
        <v>203</v>
      </c>
      <c r="N2880" t="s">
        <v>203</v>
      </c>
      <c r="Q2880" s="2" t="str">
        <f>IF($C2880="","",IFERROR(VLOOKUP($C2880,sources!$A$2:$N$200,2,FALSE()),"?"))</f>
        <v>Map</v>
      </c>
      <c r="R2880" s="2" t="str">
        <f t="shared" si="44"/>
        <v>Map</v>
      </c>
      <c r="S2880" s="2" t="str">
        <f>IF($C2880="","",IFERROR(VLOOKUP($C2880,sources!$A$2:$N$200,9,FALSE()),"?"))</f>
        <v>US official</v>
      </c>
      <c r="T2880" t="s">
        <v>5693</v>
      </c>
      <c r="U2880">
        <f>IF(OR(B2880="",C2880="",T2880="Retracted",LEFT(D2880,8)="Negative"),0,IF(COUNTIFS($B$2:B2880,B2880,$C$2:C2880,C2880,$D$2:D2880,"&lt;&gt;Negative*",$T$2:T2880,"&lt;&gt;Retracted")=1,1,0))</f>
        <v>0</v>
      </c>
    </row>
    <row r="2881" spans="1:21" x14ac:dyDescent="0.2">
      <c r="A2881" t="s">
        <v>5239</v>
      </c>
      <c r="B2881" t="s">
        <v>1072</v>
      </c>
      <c r="C2881" t="s">
        <v>1379</v>
      </c>
      <c r="D2881" t="s">
        <v>1575</v>
      </c>
      <c r="E2881" t="s">
        <v>5240</v>
      </c>
      <c r="F2881" t="s">
        <v>1583</v>
      </c>
      <c r="I2881" t="s">
        <v>1058</v>
      </c>
      <c r="K2881">
        <v>1950</v>
      </c>
      <c r="L2881">
        <v>1950</v>
      </c>
      <c r="M2881" t="s">
        <v>203</v>
      </c>
      <c r="N2881" t="s">
        <v>203</v>
      </c>
      <c r="Q2881" s="2" t="str">
        <f>IF($C2881="","",IFERROR(VLOOKUP($C2881,sources!$A$2:$N$200,2,FALSE()),"?"))</f>
        <v>Map</v>
      </c>
      <c r="R2881" s="2" t="str">
        <f t="shared" si="44"/>
        <v>Map</v>
      </c>
      <c r="S2881" s="2" t="str">
        <f>IF($C2881="","",IFERROR(VLOOKUP($C2881,sources!$A$2:$N$200,9,FALSE()),"?"))</f>
        <v>US official</v>
      </c>
      <c r="T2881" t="s">
        <v>5693</v>
      </c>
      <c r="U2881">
        <f>IF(OR(B2881="",C2881="",T2881="Retracted",LEFT(D2881,8)="Negative"),0,IF(COUNTIFS($B$2:B2881,B2881,$C$2:C2881,C2881,$D$2:D2881,"&lt;&gt;Negative*",$T$2:T2881,"&lt;&gt;Retracted")=1,1,0))</f>
        <v>0</v>
      </c>
    </row>
    <row r="2882" spans="1:21" x14ac:dyDescent="0.2">
      <c r="A2882" t="s">
        <v>5241</v>
      </c>
      <c r="B2882" t="s">
        <v>1076</v>
      </c>
      <c r="C2882" t="s">
        <v>1379</v>
      </c>
      <c r="D2882" t="s">
        <v>1575</v>
      </c>
      <c r="E2882" t="s">
        <v>5242</v>
      </c>
      <c r="F2882" t="s">
        <v>1583</v>
      </c>
      <c r="I2882" t="s">
        <v>1058</v>
      </c>
      <c r="K2882">
        <v>1950</v>
      </c>
      <c r="L2882">
        <v>1950</v>
      </c>
      <c r="M2882" t="s">
        <v>203</v>
      </c>
      <c r="N2882" t="s">
        <v>203</v>
      </c>
      <c r="Q2882" s="2" t="str">
        <f>IF($C2882="","",IFERROR(VLOOKUP($C2882,sources!$A$2:$N$200,2,FALSE()),"?"))</f>
        <v>Map</v>
      </c>
      <c r="R2882" s="2" t="str">
        <f t="shared" ref="R2882:R2945" si="45">IF($Q2882="","",IF($Q2882="Map","Map",IF(OR($Q2882="Photograph",$Q2882="Postcard"),"Image",IF(OR($Q2882="Census or roll",$Q2882="Report",$Q2882="Newspaper",$Q2882="Letter",$Q2882="Memoir",$Q2882="Administrative",$Q2882="Web compilation"),"Textual",IF($Q2882="Legal claim","Legal/admin",IF($Q2882="Secondary","Secondary","Other"))))))</f>
        <v>Map</v>
      </c>
      <c r="S2882" s="2" t="str">
        <f>IF($C2882="","",IFERROR(VLOOKUP($C2882,sources!$A$2:$N$200,9,FALSE()),"?"))</f>
        <v>US official</v>
      </c>
      <c r="T2882" t="s">
        <v>5692</v>
      </c>
      <c r="U2882">
        <f>IF(OR(B2882="",C2882="",T2882="Retracted",LEFT(D2882,8)="Negative"),0,IF(COUNTIFS($B$2:B2882,B2882,$C$2:C2882,C2882,$D$2:D2882,"&lt;&gt;Negative*",$T$2:T2882,"&lt;&gt;Retracted")=1,1,0))</f>
        <v>1</v>
      </c>
    </row>
    <row r="2883" spans="1:21" x14ac:dyDescent="0.2">
      <c r="A2883" t="s">
        <v>5243</v>
      </c>
      <c r="B2883" t="s">
        <v>1080</v>
      </c>
      <c r="C2883" t="s">
        <v>1379</v>
      </c>
      <c r="D2883" t="s">
        <v>1575</v>
      </c>
      <c r="E2883" t="s">
        <v>5244</v>
      </c>
      <c r="F2883" t="s">
        <v>1583</v>
      </c>
      <c r="I2883" t="s">
        <v>1058</v>
      </c>
      <c r="K2883">
        <v>1950</v>
      </c>
      <c r="L2883">
        <v>1950</v>
      </c>
      <c r="M2883" t="s">
        <v>203</v>
      </c>
      <c r="N2883" t="s">
        <v>203</v>
      </c>
      <c r="Q2883" s="2" t="str">
        <f>IF($C2883="","",IFERROR(VLOOKUP($C2883,sources!$A$2:$N$200,2,FALSE()),"?"))</f>
        <v>Map</v>
      </c>
      <c r="R2883" s="2" t="str">
        <f t="shared" si="45"/>
        <v>Map</v>
      </c>
      <c r="S2883" s="2" t="str">
        <f>IF($C2883="","",IFERROR(VLOOKUP($C2883,sources!$A$2:$N$200,9,FALSE()),"?"))</f>
        <v>US official</v>
      </c>
      <c r="T2883" t="s">
        <v>5692</v>
      </c>
      <c r="U2883">
        <f>IF(OR(B2883="",C2883="",T2883="Retracted",LEFT(D2883,8)="Negative"),0,IF(COUNTIFS($B$2:B2883,B2883,$C$2:C2883,C2883,$D$2:D2883,"&lt;&gt;Negative*",$T$2:T2883,"&lt;&gt;Retracted")=1,1,0))</f>
        <v>1</v>
      </c>
    </row>
    <row r="2884" spans="1:21" x14ac:dyDescent="0.2">
      <c r="A2884" t="s">
        <v>5245</v>
      </c>
      <c r="B2884" t="s">
        <v>1084</v>
      </c>
      <c r="C2884" t="s">
        <v>1379</v>
      </c>
      <c r="D2884" t="s">
        <v>1575</v>
      </c>
      <c r="E2884" t="s">
        <v>5246</v>
      </c>
      <c r="F2884" t="s">
        <v>1583</v>
      </c>
      <c r="I2884" t="s">
        <v>1058</v>
      </c>
      <c r="K2884">
        <v>1950</v>
      </c>
      <c r="L2884">
        <v>1950</v>
      </c>
      <c r="M2884" t="s">
        <v>203</v>
      </c>
      <c r="N2884" t="s">
        <v>203</v>
      </c>
      <c r="Q2884" s="2" t="str">
        <f>IF($C2884="","",IFERROR(VLOOKUP($C2884,sources!$A$2:$N$200,2,FALSE()),"?"))</f>
        <v>Map</v>
      </c>
      <c r="R2884" s="2" t="str">
        <f t="shared" si="45"/>
        <v>Map</v>
      </c>
      <c r="S2884" s="2" t="str">
        <f>IF($C2884="","",IFERROR(VLOOKUP($C2884,sources!$A$2:$N$200,9,FALSE()),"?"))</f>
        <v>US official</v>
      </c>
      <c r="T2884" t="s">
        <v>5693</v>
      </c>
      <c r="U2884">
        <f>IF(OR(B2884="",C2884="",T2884="Retracted",LEFT(D2884,8)="Negative"),0,IF(COUNTIFS($B$2:B2884,B2884,$C$2:C2884,C2884,$D$2:D2884,"&lt;&gt;Negative*",$T$2:T2884,"&lt;&gt;Retracted")=1,1,0))</f>
        <v>0</v>
      </c>
    </row>
    <row r="2885" spans="1:21" x14ac:dyDescent="0.2">
      <c r="A2885" t="s">
        <v>5247</v>
      </c>
      <c r="B2885" t="s">
        <v>1087</v>
      </c>
      <c r="C2885" t="s">
        <v>1379</v>
      </c>
      <c r="D2885" t="s">
        <v>1575</v>
      </c>
      <c r="E2885" t="s">
        <v>5248</v>
      </c>
      <c r="F2885" t="s">
        <v>1583</v>
      </c>
      <c r="I2885" t="s">
        <v>1058</v>
      </c>
      <c r="K2885">
        <v>1950</v>
      </c>
      <c r="L2885">
        <v>1950</v>
      </c>
      <c r="M2885" t="s">
        <v>203</v>
      </c>
      <c r="N2885" t="s">
        <v>203</v>
      </c>
      <c r="Q2885" s="2" t="str">
        <f>IF($C2885="","",IFERROR(VLOOKUP($C2885,sources!$A$2:$N$200,2,FALSE()),"?"))</f>
        <v>Map</v>
      </c>
      <c r="R2885" s="2" t="str">
        <f t="shared" si="45"/>
        <v>Map</v>
      </c>
      <c r="S2885" s="2" t="str">
        <f>IF($C2885="","",IFERROR(VLOOKUP($C2885,sources!$A$2:$N$200,9,FALSE()),"?"))</f>
        <v>US official</v>
      </c>
      <c r="T2885" t="s">
        <v>5693</v>
      </c>
      <c r="U2885">
        <f>IF(OR(B2885="",C2885="",T2885="Retracted",LEFT(D2885,8)="Negative"),0,IF(COUNTIFS($B$2:B2885,B2885,$C$2:C2885,C2885,$D$2:D2885,"&lt;&gt;Negative*",$T$2:T2885,"&lt;&gt;Retracted")=1,1,0))</f>
        <v>0</v>
      </c>
    </row>
    <row r="2886" spans="1:21" x14ac:dyDescent="0.2">
      <c r="A2886" t="s">
        <v>5249</v>
      </c>
      <c r="B2886" t="s">
        <v>1090</v>
      </c>
      <c r="C2886" t="s">
        <v>1379</v>
      </c>
      <c r="D2886" t="s">
        <v>1575</v>
      </c>
      <c r="E2886" t="s">
        <v>5250</v>
      </c>
      <c r="F2886" t="s">
        <v>1583</v>
      </c>
      <c r="I2886" t="s">
        <v>1058</v>
      </c>
      <c r="K2886">
        <v>1950</v>
      </c>
      <c r="L2886">
        <v>1950</v>
      </c>
      <c r="M2886" t="s">
        <v>203</v>
      </c>
      <c r="N2886" t="s">
        <v>203</v>
      </c>
      <c r="Q2886" s="2" t="str">
        <f>IF($C2886="","",IFERROR(VLOOKUP($C2886,sources!$A$2:$N$200,2,FALSE()),"?"))</f>
        <v>Map</v>
      </c>
      <c r="R2886" s="2" t="str">
        <f t="shared" si="45"/>
        <v>Map</v>
      </c>
      <c r="S2886" s="2" t="str">
        <f>IF($C2886="","",IFERROR(VLOOKUP($C2886,sources!$A$2:$N$200,9,FALSE()),"?"))</f>
        <v>US official</v>
      </c>
      <c r="T2886" t="s">
        <v>5693</v>
      </c>
      <c r="U2886">
        <f>IF(OR(B2886="",C2886="",T2886="Retracted",LEFT(D2886,8)="Negative"),0,IF(COUNTIFS($B$2:B2886,B2886,$C$2:C2886,C2886,$D$2:D2886,"&lt;&gt;Negative*",$T$2:T2886,"&lt;&gt;Retracted")=1,1,0))</f>
        <v>0</v>
      </c>
    </row>
    <row r="2887" spans="1:21" x14ac:dyDescent="0.2">
      <c r="A2887" t="s">
        <v>5251</v>
      </c>
      <c r="B2887" t="s">
        <v>1093</v>
      </c>
      <c r="C2887" t="s">
        <v>1379</v>
      </c>
      <c r="D2887" t="s">
        <v>1575</v>
      </c>
      <c r="E2887" t="s">
        <v>5252</v>
      </c>
      <c r="F2887" t="s">
        <v>1583</v>
      </c>
      <c r="I2887" t="s">
        <v>1058</v>
      </c>
      <c r="K2887">
        <v>1950</v>
      </c>
      <c r="L2887">
        <v>1950</v>
      </c>
      <c r="M2887" t="s">
        <v>203</v>
      </c>
      <c r="N2887" t="s">
        <v>203</v>
      </c>
      <c r="Q2887" s="2" t="str">
        <f>IF($C2887="","",IFERROR(VLOOKUP($C2887,sources!$A$2:$N$200,2,FALSE()),"?"))</f>
        <v>Map</v>
      </c>
      <c r="R2887" s="2" t="str">
        <f t="shared" si="45"/>
        <v>Map</v>
      </c>
      <c r="S2887" s="2" t="str">
        <f>IF($C2887="","",IFERROR(VLOOKUP($C2887,sources!$A$2:$N$200,9,FALSE()),"?"))</f>
        <v>US official</v>
      </c>
      <c r="T2887" t="s">
        <v>5693</v>
      </c>
      <c r="U2887">
        <f>IF(OR(B2887="",C2887="",T2887="Retracted",LEFT(D2887,8)="Negative"),0,IF(COUNTIFS($B$2:B2887,B2887,$C$2:C2887,C2887,$D$2:D2887,"&lt;&gt;Negative*",$T$2:T2887,"&lt;&gt;Retracted")=1,1,0))</f>
        <v>0</v>
      </c>
    </row>
    <row r="2888" spans="1:21" x14ac:dyDescent="0.2">
      <c r="A2888" t="s">
        <v>5253</v>
      </c>
      <c r="B2888" t="s">
        <v>1096</v>
      </c>
      <c r="C2888" t="s">
        <v>1379</v>
      </c>
      <c r="D2888" t="s">
        <v>1575</v>
      </c>
      <c r="E2888" t="s">
        <v>5254</v>
      </c>
      <c r="F2888" t="s">
        <v>1583</v>
      </c>
      <c r="I2888" t="s">
        <v>1058</v>
      </c>
      <c r="K2888">
        <v>1950</v>
      </c>
      <c r="L2888">
        <v>1950</v>
      </c>
      <c r="M2888" t="s">
        <v>203</v>
      </c>
      <c r="N2888" t="s">
        <v>203</v>
      </c>
      <c r="Q2888" s="2" t="str">
        <f>IF($C2888="","",IFERROR(VLOOKUP($C2888,sources!$A$2:$N$200,2,FALSE()),"?"))</f>
        <v>Map</v>
      </c>
      <c r="R2888" s="2" t="str">
        <f t="shared" si="45"/>
        <v>Map</v>
      </c>
      <c r="S2888" s="2" t="str">
        <f>IF($C2888="","",IFERROR(VLOOKUP($C2888,sources!$A$2:$N$200,9,FALSE()),"?"))</f>
        <v>US official</v>
      </c>
      <c r="T2888" t="s">
        <v>5693</v>
      </c>
      <c r="U2888">
        <f>IF(OR(B2888="",C2888="",T2888="Retracted",LEFT(D2888,8)="Negative"),0,IF(COUNTIFS($B$2:B2888,B2888,$C$2:C2888,C2888,$D$2:D2888,"&lt;&gt;Negative*",$T$2:T2888,"&lt;&gt;Retracted")=1,1,0))</f>
        <v>0</v>
      </c>
    </row>
    <row r="2889" spans="1:21" x14ac:dyDescent="0.2">
      <c r="A2889" t="s">
        <v>5255</v>
      </c>
      <c r="B2889" t="s">
        <v>1099</v>
      </c>
      <c r="C2889" t="s">
        <v>1379</v>
      </c>
      <c r="D2889" t="s">
        <v>1575</v>
      </c>
      <c r="E2889" t="s">
        <v>5256</v>
      </c>
      <c r="F2889" t="s">
        <v>1583</v>
      </c>
      <c r="I2889" t="s">
        <v>1058</v>
      </c>
      <c r="K2889">
        <v>1950</v>
      </c>
      <c r="L2889">
        <v>1950</v>
      </c>
      <c r="M2889" t="s">
        <v>203</v>
      </c>
      <c r="N2889" t="s">
        <v>203</v>
      </c>
      <c r="Q2889" s="2" t="str">
        <f>IF($C2889="","",IFERROR(VLOOKUP($C2889,sources!$A$2:$N$200,2,FALSE()),"?"))</f>
        <v>Map</v>
      </c>
      <c r="R2889" s="2" t="str">
        <f t="shared" si="45"/>
        <v>Map</v>
      </c>
      <c r="S2889" s="2" t="str">
        <f>IF($C2889="","",IFERROR(VLOOKUP($C2889,sources!$A$2:$N$200,9,FALSE()),"?"))</f>
        <v>US official</v>
      </c>
      <c r="T2889" t="s">
        <v>5693</v>
      </c>
      <c r="U2889">
        <f>IF(OR(B2889="",C2889="",T2889="Retracted",LEFT(D2889,8)="Negative"),0,IF(COUNTIFS($B$2:B2889,B2889,$C$2:C2889,C2889,$D$2:D2889,"&lt;&gt;Negative*",$T$2:T2889,"&lt;&gt;Retracted")=1,1,0))</f>
        <v>0</v>
      </c>
    </row>
    <row r="2890" spans="1:21" x14ac:dyDescent="0.2">
      <c r="A2890" t="s">
        <v>5257</v>
      </c>
      <c r="B2890" t="s">
        <v>1103</v>
      </c>
      <c r="C2890" t="s">
        <v>1296</v>
      </c>
      <c r="D2890" t="s">
        <v>1575</v>
      </c>
      <c r="E2890" t="s">
        <v>1104</v>
      </c>
      <c r="F2890" t="s">
        <v>1583</v>
      </c>
      <c r="I2890" t="s">
        <v>1058</v>
      </c>
      <c r="K2890">
        <v>1964</v>
      </c>
      <c r="L2890">
        <v>1964</v>
      </c>
      <c r="M2890" t="s">
        <v>203</v>
      </c>
      <c r="N2890" t="s">
        <v>209</v>
      </c>
      <c r="Q2890" s="2" t="str">
        <f>IF($C2890="","",IFERROR(VLOOKUP($C2890,sources!$A$2:$N$200,2,FALSE()),"?"))</f>
        <v>Web compilation</v>
      </c>
      <c r="R2890" s="2" t="str">
        <f t="shared" si="45"/>
        <v>Textual</v>
      </c>
      <c r="S2890" s="2" t="str">
        <f>IF($C2890="","",IFERROR(VLOOKUP($C2890,sources!$A$2:$N$200,9,FALSE()),"?"))</f>
        <v>Mixed</v>
      </c>
      <c r="T2890" t="s">
        <v>5693</v>
      </c>
      <c r="U2890">
        <f>IF(OR(B2890="",C2890="",T2890="Retracted",LEFT(D2890,8)="Negative"),0,IF(COUNTIFS($B$2:B2890,B2890,$C$2:C2890,C2890,$D$2:D2890,"&lt;&gt;Negative*",$T$2:T2890,"&lt;&gt;Retracted")=1,1,0))</f>
        <v>0</v>
      </c>
    </row>
    <row r="2891" spans="1:21" x14ac:dyDescent="0.2">
      <c r="A2891" t="s">
        <v>5258</v>
      </c>
      <c r="B2891" t="s">
        <v>1107</v>
      </c>
      <c r="C2891" t="s">
        <v>1296</v>
      </c>
      <c r="D2891" t="s">
        <v>1575</v>
      </c>
      <c r="E2891" t="s">
        <v>1108</v>
      </c>
      <c r="F2891" t="s">
        <v>1583</v>
      </c>
      <c r="I2891" t="s">
        <v>1058</v>
      </c>
      <c r="K2891">
        <v>1964</v>
      </c>
      <c r="L2891">
        <v>1964</v>
      </c>
      <c r="M2891" t="s">
        <v>203</v>
      </c>
      <c r="N2891" t="s">
        <v>209</v>
      </c>
      <c r="Q2891" s="2" t="str">
        <f>IF($C2891="","",IFERROR(VLOOKUP($C2891,sources!$A$2:$N$200,2,FALSE()),"?"))</f>
        <v>Web compilation</v>
      </c>
      <c r="R2891" s="2" t="str">
        <f t="shared" si="45"/>
        <v>Textual</v>
      </c>
      <c r="S2891" s="2" t="str">
        <f>IF($C2891="","",IFERROR(VLOOKUP($C2891,sources!$A$2:$N$200,9,FALSE()),"?"))</f>
        <v>Mixed</v>
      </c>
      <c r="T2891" t="s">
        <v>5693</v>
      </c>
      <c r="U2891">
        <f>IF(OR(B2891="",C2891="",T2891="Retracted",LEFT(D2891,8)="Negative"),0,IF(COUNTIFS($B$2:B2891,B2891,$C$2:C2891,C2891,$D$2:D2891,"&lt;&gt;Negative*",$T$2:T2891,"&lt;&gt;Retracted")=1,1,0))</f>
        <v>0</v>
      </c>
    </row>
    <row r="2892" spans="1:21" x14ac:dyDescent="0.2">
      <c r="A2892" t="s">
        <v>5259</v>
      </c>
      <c r="B2892" t="s">
        <v>1110</v>
      </c>
      <c r="C2892" t="s">
        <v>1296</v>
      </c>
      <c r="D2892" t="s">
        <v>1575</v>
      </c>
      <c r="E2892" t="s">
        <v>5099</v>
      </c>
      <c r="F2892" t="s">
        <v>1583</v>
      </c>
      <c r="I2892" t="s">
        <v>1058</v>
      </c>
      <c r="N2892" t="s">
        <v>203</v>
      </c>
      <c r="Q2892" s="2" t="str">
        <f>IF($C2892="","",IFERROR(VLOOKUP($C2892,sources!$A$2:$N$200,2,FALSE()),"?"))</f>
        <v>Web compilation</v>
      </c>
      <c r="R2892" s="2" t="str">
        <f t="shared" si="45"/>
        <v>Textual</v>
      </c>
      <c r="S2892" s="2" t="str">
        <f>IF($C2892="","",IFERROR(VLOOKUP($C2892,sources!$A$2:$N$200,9,FALSE()),"?"))</f>
        <v>Mixed</v>
      </c>
      <c r="T2892" t="s">
        <v>5693</v>
      </c>
      <c r="U2892">
        <f>IF(OR(B2892="",C2892="",T2892="Retracted",LEFT(D2892,8)="Negative"),0,IF(COUNTIFS($B$2:B2892,B2892,$C$2:C2892,C2892,$D$2:D2892,"&lt;&gt;Negative*",$T$2:T2892,"&lt;&gt;Retracted")=1,1,0))</f>
        <v>0</v>
      </c>
    </row>
    <row r="2893" spans="1:21" x14ac:dyDescent="0.2">
      <c r="A2893" t="s">
        <v>5260</v>
      </c>
      <c r="B2893" t="s">
        <v>902</v>
      </c>
      <c r="C2893" t="s">
        <v>1296</v>
      </c>
      <c r="D2893" t="s">
        <v>1564</v>
      </c>
      <c r="E2893" t="s">
        <v>5261</v>
      </c>
      <c r="F2893" t="s">
        <v>1583</v>
      </c>
      <c r="I2893" t="s">
        <v>1058</v>
      </c>
      <c r="N2893" t="s">
        <v>209</v>
      </c>
      <c r="Q2893" s="2" t="str">
        <f>IF($C2893="","",IFERROR(VLOOKUP($C2893,sources!$A$2:$N$200,2,FALSE()),"?"))</f>
        <v>Web compilation</v>
      </c>
      <c r="R2893" s="2" t="str">
        <f t="shared" si="45"/>
        <v>Textual</v>
      </c>
      <c r="S2893" s="2" t="str">
        <f>IF($C2893="","",IFERROR(VLOOKUP($C2893,sources!$A$2:$N$200,9,FALSE()),"?"))</f>
        <v>Mixed</v>
      </c>
      <c r="T2893" t="s">
        <v>5692</v>
      </c>
      <c r="U2893">
        <f>IF(OR(B2893="",C2893="",T2893="Retracted",LEFT(D2893,8)="Negative"),0,IF(COUNTIFS($B$2:B2893,B2893,$C$2:C2893,C2893,$D$2:D2893,"&lt;&gt;Negative*",$T$2:T2893,"&lt;&gt;Retracted")=1,1,0))</f>
        <v>0</v>
      </c>
    </row>
    <row r="2894" spans="1:21" x14ac:dyDescent="0.2">
      <c r="A2894" t="s">
        <v>5262</v>
      </c>
      <c r="B2894" t="s">
        <v>656</v>
      </c>
      <c r="C2894" t="s">
        <v>1203</v>
      </c>
      <c r="D2894" t="s">
        <v>1613</v>
      </c>
      <c r="E2894" t="s">
        <v>2869</v>
      </c>
      <c r="F2894" t="s">
        <v>1583</v>
      </c>
      <c r="I2894" t="s">
        <v>1058</v>
      </c>
      <c r="N2894" t="s">
        <v>209</v>
      </c>
      <c r="Q2894" s="2" t="str">
        <f>IF($C2894="","",IFERROR(VLOOKUP($C2894,sources!$A$2:$N$200,2,FALSE()),"?"))</f>
        <v>Newspaper</v>
      </c>
      <c r="R2894" s="2" t="str">
        <f t="shared" si="45"/>
        <v>Textual</v>
      </c>
      <c r="S2894" s="2" t="str">
        <f>IF($C2894="","",IFERROR(VLOOKUP($C2894,sources!$A$2:$N$200,9,FALSE()),"?"))</f>
        <v>US press</v>
      </c>
      <c r="T2894" t="s">
        <v>5692</v>
      </c>
      <c r="U2894">
        <f>IF(OR(B2894="",C2894="",T2894="Retracted",LEFT(D2894,8)="Negative"),0,IF(COUNTIFS($B$2:B2894,B2894,$C$2:C2894,C2894,$D$2:D2894,"&lt;&gt;Negative*",$T$2:T2894,"&lt;&gt;Retracted")=1,1,0))</f>
        <v>0</v>
      </c>
    </row>
    <row r="2895" spans="1:21" x14ac:dyDescent="0.2">
      <c r="A2895" t="s">
        <v>5263</v>
      </c>
      <c r="B2895" t="s">
        <v>670</v>
      </c>
      <c r="C2895" t="s">
        <v>1203</v>
      </c>
      <c r="D2895" t="s">
        <v>1613</v>
      </c>
      <c r="E2895" t="s">
        <v>4895</v>
      </c>
      <c r="F2895" t="s">
        <v>1583</v>
      </c>
      <c r="I2895" t="s">
        <v>1058</v>
      </c>
      <c r="N2895" t="s">
        <v>209</v>
      </c>
      <c r="Q2895" s="2" t="str">
        <f>IF($C2895="","",IFERROR(VLOOKUP($C2895,sources!$A$2:$N$200,2,FALSE()),"?"))</f>
        <v>Newspaper</v>
      </c>
      <c r="R2895" s="2" t="str">
        <f t="shared" si="45"/>
        <v>Textual</v>
      </c>
      <c r="S2895" s="2" t="str">
        <f>IF($C2895="","",IFERROR(VLOOKUP($C2895,sources!$A$2:$N$200,9,FALSE()),"?"))</f>
        <v>US press</v>
      </c>
      <c r="T2895" t="s">
        <v>5692</v>
      </c>
      <c r="U2895">
        <f>IF(OR(B2895="",C2895="",T2895="Retracted",LEFT(D2895,8)="Negative"),0,IF(COUNTIFS($B$2:B2895,B2895,$C$2:C2895,C2895,$D$2:D2895,"&lt;&gt;Negative*",$T$2:T2895,"&lt;&gt;Retracted")=1,1,0))</f>
        <v>0</v>
      </c>
    </row>
    <row r="2896" spans="1:21" x14ac:dyDescent="0.2">
      <c r="A2896" t="s">
        <v>5264</v>
      </c>
      <c r="B2896" t="s">
        <v>680</v>
      </c>
      <c r="C2896" t="s">
        <v>1203</v>
      </c>
      <c r="D2896" t="s">
        <v>1613</v>
      </c>
      <c r="E2896" t="s">
        <v>4901</v>
      </c>
      <c r="F2896" t="s">
        <v>1583</v>
      </c>
      <c r="I2896" t="s">
        <v>1058</v>
      </c>
      <c r="N2896" t="s">
        <v>209</v>
      </c>
      <c r="Q2896" s="2" t="str">
        <f>IF($C2896="","",IFERROR(VLOOKUP($C2896,sources!$A$2:$N$200,2,FALSE()),"?"))</f>
        <v>Newspaper</v>
      </c>
      <c r="R2896" s="2" t="str">
        <f t="shared" si="45"/>
        <v>Textual</v>
      </c>
      <c r="S2896" s="2" t="str">
        <f>IF($C2896="","",IFERROR(VLOOKUP($C2896,sources!$A$2:$N$200,9,FALSE()),"?"))</f>
        <v>US press</v>
      </c>
      <c r="T2896" t="s">
        <v>5692</v>
      </c>
      <c r="U2896">
        <f>IF(OR(B2896="",C2896="",T2896="Retracted",LEFT(D2896,8)="Negative"),0,IF(COUNTIFS($B$2:B2896,B2896,$C$2:C2896,C2896,$D$2:D2896,"&lt;&gt;Negative*",$T$2:T2896,"&lt;&gt;Retracted")=1,1,0))</f>
        <v>0</v>
      </c>
    </row>
    <row r="2897" spans="1:21" x14ac:dyDescent="0.2">
      <c r="A2897" t="s">
        <v>5265</v>
      </c>
      <c r="B2897" t="s">
        <v>730</v>
      </c>
      <c r="C2897" t="s">
        <v>1203</v>
      </c>
      <c r="D2897" t="s">
        <v>1613</v>
      </c>
      <c r="E2897" t="s">
        <v>4923</v>
      </c>
      <c r="F2897" t="s">
        <v>1583</v>
      </c>
      <c r="I2897" t="s">
        <v>1058</v>
      </c>
      <c r="N2897" t="s">
        <v>209</v>
      </c>
      <c r="Q2897" s="2" t="str">
        <f>IF($C2897="","",IFERROR(VLOOKUP($C2897,sources!$A$2:$N$200,2,FALSE()),"?"))</f>
        <v>Newspaper</v>
      </c>
      <c r="R2897" s="2" t="str">
        <f t="shared" si="45"/>
        <v>Textual</v>
      </c>
      <c r="S2897" s="2" t="str">
        <f>IF($C2897="","",IFERROR(VLOOKUP($C2897,sources!$A$2:$N$200,9,FALSE()),"?"))</f>
        <v>US press</v>
      </c>
      <c r="T2897" t="s">
        <v>5692</v>
      </c>
      <c r="U2897">
        <f>IF(OR(B2897="",C2897="",T2897="Retracted",LEFT(D2897,8)="Negative"),0,IF(COUNTIFS($B$2:B2897,B2897,$C$2:C2897,C2897,$D$2:D2897,"&lt;&gt;Negative*",$T$2:T2897,"&lt;&gt;Retracted")=1,1,0))</f>
        <v>0</v>
      </c>
    </row>
    <row r="2898" spans="1:21" x14ac:dyDescent="0.2">
      <c r="A2898" t="s">
        <v>5266</v>
      </c>
      <c r="B2898" t="s">
        <v>1030</v>
      </c>
      <c r="C2898" t="s">
        <v>1148</v>
      </c>
      <c r="D2898" t="s">
        <v>1575</v>
      </c>
      <c r="E2898" t="s">
        <v>5214</v>
      </c>
      <c r="F2898" t="s">
        <v>1583</v>
      </c>
      <c r="I2898" t="s">
        <v>1058</v>
      </c>
      <c r="N2898" t="s">
        <v>5267</v>
      </c>
      <c r="Q2898" s="2" t="str">
        <f>IF($C2898="","",IFERROR(VLOOKUP($C2898,sources!$A$2:$N$200,2,FALSE()),"?"))</f>
        <v>Report</v>
      </c>
      <c r="R2898" s="2" t="str">
        <f t="shared" si="45"/>
        <v>Textual</v>
      </c>
      <c r="S2898" s="2" t="str">
        <f>IF($C2898="","",IFERROR(VLOOKUP($C2898,sources!$A$2:$N$200,9,FALSE()),"?"))</f>
        <v>US official</v>
      </c>
      <c r="T2898" t="s">
        <v>5692</v>
      </c>
      <c r="U2898">
        <f>IF(OR(B2898="",C2898="",T2898="Retracted",LEFT(D2898,8)="Negative"),0,IF(COUNTIFS($B$2:B2898,B2898,$C$2:C2898,C2898,$D$2:D2898,"&lt;&gt;Negative*",$T$2:T2898,"&lt;&gt;Retracted")=1,1,0))</f>
        <v>1</v>
      </c>
    </row>
    <row r="2899" spans="1:21" ht="26" x14ac:dyDescent="0.2">
      <c r="A2899" t="s">
        <v>5268</v>
      </c>
      <c r="B2899" t="s">
        <v>1030</v>
      </c>
      <c r="C2899" t="s">
        <v>1384</v>
      </c>
      <c r="D2899" t="s">
        <v>1613</v>
      </c>
      <c r="E2899" t="s">
        <v>5214</v>
      </c>
      <c r="F2899" t="s">
        <v>1583</v>
      </c>
      <c r="I2899" t="s">
        <v>1058</v>
      </c>
      <c r="N2899" t="s">
        <v>209</v>
      </c>
      <c r="Q2899" s="2" t="str">
        <f>IF($C2899="","",IFERROR(VLOOKUP($C2899,sources!$A$2:$N$200,2,FALSE()),"?"))</f>
        <v>Newspaper</v>
      </c>
      <c r="R2899" s="2" t="str">
        <f t="shared" si="45"/>
        <v>Textual</v>
      </c>
      <c r="S2899" s="2" t="str">
        <f>IF($C2899="","",IFERROR(VLOOKUP($C2899,sources!$A$2:$N$200,9,FALSE()),"?"))</f>
        <v>Caribbean community</v>
      </c>
      <c r="T2899" t="s">
        <v>5692</v>
      </c>
      <c r="U2899">
        <f>IF(OR(B2899="",C2899="",T2899="Retracted",LEFT(D2899,8)="Negative"),0,IF(COUNTIFS($B$2:B2899,B2899,$C$2:C2899,C2899,$D$2:D2899,"&lt;&gt;Negative*",$T$2:T2899,"&lt;&gt;Retracted")=1,1,0))</f>
        <v>0</v>
      </c>
    </row>
    <row r="2900" spans="1:21" x14ac:dyDescent="0.2">
      <c r="A2900" t="s">
        <v>5269</v>
      </c>
      <c r="B2900" t="s">
        <v>1030</v>
      </c>
      <c r="C2900" t="s">
        <v>1258</v>
      </c>
      <c r="D2900" t="s">
        <v>1613</v>
      </c>
      <c r="E2900" t="s">
        <v>5214</v>
      </c>
      <c r="F2900" t="s">
        <v>1583</v>
      </c>
      <c r="I2900" t="s">
        <v>1058</v>
      </c>
      <c r="N2900" t="s">
        <v>190</v>
      </c>
      <c r="Q2900" s="2" t="str">
        <f>IF($C2900="","",IFERROR(VLOOKUP($C2900,sources!$A$2:$N$200,2,FALSE()),"?"))</f>
        <v>Administrative</v>
      </c>
      <c r="R2900" s="2" t="str">
        <f t="shared" si="45"/>
        <v>Textual</v>
      </c>
      <c r="S2900" s="2" t="str">
        <f>IF($C2900="","",IFERROR(VLOOKUP($C2900,sources!$A$2:$N$200,9,FALSE()),"?"))</f>
        <v>US official</v>
      </c>
      <c r="T2900" t="s">
        <v>5692</v>
      </c>
      <c r="U2900">
        <f>IF(OR(B2900="",C2900="",T2900="Retracted",LEFT(D2900,8)="Negative"),0,IF(COUNTIFS($B$2:B2900,B2900,$C$2:C2900,C2900,$D$2:D2900,"&lt;&gt;Negative*",$T$2:T2900,"&lt;&gt;Retracted")=1,1,0))</f>
        <v>0</v>
      </c>
    </row>
    <row r="2901" spans="1:21" x14ac:dyDescent="0.2">
      <c r="A2901" t="s">
        <v>5270</v>
      </c>
      <c r="B2901" t="s">
        <v>1033</v>
      </c>
      <c r="C2901" t="s">
        <v>1148</v>
      </c>
      <c r="D2901" t="s">
        <v>1613</v>
      </c>
      <c r="E2901" t="s">
        <v>5271</v>
      </c>
      <c r="F2901" t="s">
        <v>1583</v>
      </c>
      <c r="I2901" t="s">
        <v>1058</v>
      </c>
      <c r="N2901" t="s">
        <v>209</v>
      </c>
      <c r="Q2901" s="2" t="str">
        <f>IF($C2901="","",IFERROR(VLOOKUP($C2901,sources!$A$2:$N$200,2,FALSE()),"?"))</f>
        <v>Report</v>
      </c>
      <c r="R2901" s="2" t="str">
        <f t="shared" si="45"/>
        <v>Textual</v>
      </c>
      <c r="S2901" s="2" t="str">
        <f>IF($C2901="","",IFERROR(VLOOKUP($C2901,sources!$A$2:$N$200,9,FALSE()),"?"))</f>
        <v>US official</v>
      </c>
      <c r="T2901" t="s">
        <v>5693</v>
      </c>
      <c r="U2901">
        <f>IF(OR(B2901="",C2901="",T2901="Retracted",LEFT(D2901,8)="Negative"),0,IF(COUNTIFS($B$2:B2901,B2901,$C$2:C2901,C2901,$D$2:D2901,"&lt;&gt;Negative*",$T$2:T2901,"&lt;&gt;Retracted")=1,1,0))</f>
        <v>0</v>
      </c>
    </row>
    <row r="2902" spans="1:21" ht="26" x14ac:dyDescent="0.2">
      <c r="A2902" t="s">
        <v>5272</v>
      </c>
      <c r="B2902" t="s">
        <v>1033</v>
      </c>
      <c r="C2902" t="s">
        <v>1384</v>
      </c>
      <c r="D2902" t="s">
        <v>1613</v>
      </c>
      <c r="E2902" t="s">
        <v>5271</v>
      </c>
      <c r="F2902" t="s">
        <v>1583</v>
      </c>
      <c r="I2902" t="s">
        <v>1058</v>
      </c>
      <c r="N2902" t="s">
        <v>209</v>
      </c>
      <c r="Q2902" s="2" t="str">
        <f>IF($C2902="","",IFERROR(VLOOKUP($C2902,sources!$A$2:$N$200,2,FALSE()),"?"))</f>
        <v>Newspaper</v>
      </c>
      <c r="R2902" s="2" t="str">
        <f t="shared" si="45"/>
        <v>Textual</v>
      </c>
      <c r="S2902" s="2" t="str">
        <f>IF($C2902="","",IFERROR(VLOOKUP($C2902,sources!$A$2:$N$200,9,FALSE()),"?"))</f>
        <v>Caribbean community</v>
      </c>
      <c r="T2902" t="s">
        <v>5693</v>
      </c>
      <c r="U2902">
        <f>IF(OR(B2902="",C2902="",T2902="Retracted",LEFT(D2902,8)="Negative"),0,IF(COUNTIFS($B$2:B2902,B2902,$C$2:C2902,C2902,$D$2:D2902,"&lt;&gt;Negative*",$T$2:T2902,"&lt;&gt;Retracted")=1,1,0))</f>
        <v>0</v>
      </c>
    </row>
    <row r="2903" spans="1:21" x14ac:dyDescent="0.2">
      <c r="A2903" t="s">
        <v>5273</v>
      </c>
      <c r="B2903" t="s">
        <v>1033</v>
      </c>
      <c r="C2903" t="s">
        <v>1258</v>
      </c>
      <c r="D2903" t="s">
        <v>1613</v>
      </c>
      <c r="E2903" t="s">
        <v>5271</v>
      </c>
      <c r="F2903" t="s">
        <v>1583</v>
      </c>
      <c r="I2903" t="s">
        <v>1058</v>
      </c>
      <c r="N2903" t="s">
        <v>190</v>
      </c>
      <c r="Q2903" s="2" t="str">
        <f>IF($C2903="","",IFERROR(VLOOKUP($C2903,sources!$A$2:$N$200,2,FALSE()),"?"))</f>
        <v>Administrative</v>
      </c>
      <c r="R2903" s="2" t="str">
        <f t="shared" si="45"/>
        <v>Textual</v>
      </c>
      <c r="S2903" s="2" t="str">
        <f>IF($C2903="","",IFERROR(VLOOKUP($C2903,sources!$A$2:$N$200,9,FALSE()),"?"))</f>
        <v>US official</v>
      </c>
      <c r="T2903" t="s">
        <v>5693</v>
      </c>
      <c r="U2903">
        <f>IF(OR(B2903="",C2903="",T2903="Retracted",LEFT(D2903,8)="Negative"),0,IF(COUNTIFS($B$2:B2903,B2903,$C$2:C2903,C2903,$D$2:D2903,"&lt;&gt;Negative*",$T$2:T2903,"&lt;&gt;Retracted")=1,1,0))</f>
        <v>0</v>
      </c>
    </row>
    <row r="2904" spans="1:21" x14ac:dyDescent="0.2">
      <c r="A2904" t="s">
        <v>5274</v>
      </c>
      <c r="B2904" t="s">
        <v>1037</v>
      </c>
      <c r="C2904" t="s">
        <v>1148</v>
      </c>
      <c r="D2904" t="s">
        <v>1575</v>
      </c>
      <c r="E2904" t="s">
        <v>5221</v>
      </c>
      <c r="F2904" t="s">
        <v>1583</v>
      </c>
      <c r="I2904" t="s">
        <v>1058</v>
      </c>
      <c r="K2904">
        <v>1905</v>
      </c>
      <c r="L2904">
        <v>1913</v>
      </c>
      <c r="M2904" t="s">
        <v>203</v>
      </c>
      <c r="N2904" t="s">
        <v>203</v>
      </c>
      <c r="Q2904" s="2" t="str">
        <f>IF($C2904="","",IFERROR(VLOOKUP($C2904,sources!$A$2:$N$200,2,FALSE()),"?"))</f>
        <v>Report</v>
      </c>
      <c r="R2904" s="2" t="str">
        <f t="shared" si="45"/>
        <v>Textual</v>
      </c>
      <c r="S2904" s="2" t="str">
        <f>IF($C2904="","",IFERROR(VLOOKUP($C2904,sources!$A$2:$N$200,9,FALSE()),"?"))</f>
        <v>US official</v>
      </c>
      <c r="T2904" t="s">
        <v>5692</v>
      </c>
      <c r="U2904">
        <f>IF(OR(B2904="",C2904="",T2904="Retracted",LEFT(D2904,8)="Negative"),0,IF(COUNTIFS($B$2:B2904,B2904,$C$2:C2904,C2904,$D$2:D2904,"&lt;&gt;Negative*",$T$2:T2904,"&lt;&gt;Retracted")=1,1,0))</f>
        <v>1</v>
      </c>
    </row>
    <row r="2905" spans="1:21" ht="26" x14ac:dyDescent="0.2">
      <c r="A2905" t="s">
        <v>5275</v>
      </c>
      <c r="B2905" t="s">
        <v>1037</v>
      </c>
      <c r="C2905" t="s">
        <v>1384</v>
      </c>
      <c r="D2905" t="s">
        <v>1613</v>
      </c>
      <c r="E2905" t="s">
        <v>5221</v>
      </c>
      <c r="F2905" t="s">
        <v>1583</v>
      </c>
      <c r="I2905" t="s">
        <v>1058</v>
      </c>
      <c r="N2905" t="s">
        <v>209</v>
      </c>
      <c r="Q2905" s="2" t="str">
        <f>IF($C2905="","",IFERROR(VLOOKUP($C2905,sources!$A$2:$N$200,2,FALSE()),"?"))</f>
        <v>Newspaper</v>
      </c>
      <c r="R2905" s="2" t="str">
        <f t="shared" si="45"/>
        <v>Textual</v>
      </c>
      <c r="S2905" s="2" t="str">
        <f>IF($C2905="","",IFERROR(VLOOKUP($C2905,sources!$A$2:$N$200,9,FALSE()),"?"))</f>
        <v>Caribbean community</v>
      </c>
      <c r="T2905" t="s">
        <v>5692</v>
      </c>
      <c r="U2905">
        <f>IF(OR(B2905="",C2905="",T2905="Retracted",LEFT(D2905,8)="Negative"),0,IF(COUNTIFS($B$2:B2905,B2905,$C$2:C2905,C2905,$D$2:D2905,"&lt;&gt;Negative*",$T$2:T2905,"&lt;&gt;Retracted")=1,1,0))</f>
        <v>0</v>
      </c>
    </row>
    <row r="2906" spans="1:21" x14ac:dyDescent="0.2">
      <c r="A2906" t="s">
        <v>5276</v>
      </c>
      <c r="B2906" t="s">
        <v>1037</v>
      </c>
      <c r="C2906" t="s">
        <v>1258</v>
      </c>
      <c r="D2906" t="s">
        <v>1613</v>
      </c>
      <c r="E2906" t="s">
        <v>5221</v>
      </c>
      <c r="F2906" t="s">
        <v>1583</v>
      </c>
      <c r="I2906" t="s">
        <v>1058</v>
      </c>
      <c r="N2906" t="s">
        <v>190</v>
      </c>
      <c r="Q2906" s="2" t="str">
        <f>IF($C2906="","",IFERROR(VLOOKUP($C2906,sources!$A$2:$N$200,2,FALSE()),"?"))</f>
        <v>Administrative</v>
      </c>
      <c r="R2906" s="2" t="str">
        <f t="shared" si="45"/>
        <v>Textual</v>
      </c>
      <c r="S2906" s="2" t="str">
        <f>IF($C2906="","",IFERROR(VLOOKUP($C2906,sources!$A$2:$N$200,9,FALSE()),"?"))</f>
        <v>US official</v>
      </c>
      <c r="T2906" t="s">
        <v>5692</v>
      </c>
      <c r="U2906">
        <f>IF(OR(B2906="",C2906="",T2906="Retracted",LEFT(D2906,8)="Negative"),0,IF(COUNTIFS($B$2:B2906,B2906,$C$2:C2906,C2906,$D$2:D2906,"&lt;&gt;Negative*",$T$2:T2906,"&lt;&gt;Retracted")=1,1,0))</f>
        <v>0</v>
      </c>
    </row>
    <row r="2907" spans="1:21" x14ac:dyDescent="0.2">
      <c r="A2907" t="s">
        <v>5277</v>
      </c>
      <c r="B2907" t="s">
        <v>1042</v>
      </c>
      <c r="C2907" t="s">
        <v>1148</v>
      </c>
      <c r="D2907" t="s">
        <v>1575</v>
      </c>
      <c r="E2907" t="s">
        <v>1043</v>
      </c>
      <c r="F2907" t="s">
        <v>1583</v>
      </c>
      <c r="I2907" t="s">
        <v>1058</v>
      </c>
      <c r="K2907">
        <v>1913</v>
      </c>
      <c r="L2907">
        <v>1913</v>
      </c>
      <c r="M2907" t="s">
        <v>203</v>
      </c>
      <c r="N2907" t="s">
        <v>203</v>
      </c>
      <c r="Q2907" s="2" t="str">
        <f>IF($C2907="","",IFERROR(VLOOKUP($C2907,sources!$A$2:$N$200,2,FALSE()),"?"))</f>
        <v>Report</v>
      </c>
      <c r="R2907" s="2" t="str">
        <f t="shared" si="45"/>
        <v>Textual</v>
      </c>
      <c r="S2907" s="2" t="str">
        <f>IF($C2907="","",IFERROR(VLOOKUP($C2907,sources!$A$2:$N$200,9,FALSE()),"?"))</f>
        <v>US official</v>
      </c>
      <c r="T2907" t="s">
        <v>5693</v>
      </c>
      <c r="U2907">
        <f>IF(OR(B2907="",C2907="",T2907="Retracted",LEFT(D2907,8)="Negative"),0,IF(COUNTIFS($B$2:B2907,B2907,$C$2:C2907,C2907,$D$2:D2907,"&lt;&gt;Negative*",$T$2:T2907,"&lt;&gt;Retracted")=1,1,0))</f>
        <v>0</v>
      </c>
    </row>
    <row r="2908" spans="1:21" ht="26" x14ac:dyDescent="0.2">
      <c r="A2908" t="s">
        <v>5278</v>
      </c>
      <c r="B2908" t="s">
        <v>1042</v>
      </c>
      <c r="C2908" t="s">
        <v>1384</v>
      </c>
      <c r="D2908" t="s">
        <v>1613</v>
      </c>
      <c r="E2908" t="s">
        <v>1043</v>
      </c>
      <c r="F2908" t="s">
        <v>1583</v>
      </c>
      <c r="I2908" t="s">
        <v>1058</v>
      </c>
      <c r="N2908" t="s">
        <v>209</v>
      </c>
      <c r="Q2908" s="2" t="str">
        <f>IF($C2908="","",IFERROR(VLOOKUP($C2908,sources!$A$2:$N$200,2,FALSE()),"?"))</f>
        <v>Newspaper</v>
      </c>
      <c r="R2908" s="2" t="str">
        <f t="shared" si="45"/>
        <v>Textual</v>
      </c>
      <c r="S2908" s="2" t="str">
        <f>IF($C2908="","",IFERROR(VLOOKUP($C2908,sources!$A$2:$N$200,9,FALSE()),"?"))</f>
        <v>Caribbean community</v>
      </c>
      <c r="T2908" t="s">
        <v>5693</v>
      </c>
      <c r="U2908">
        <f>IF(OR(B2908="",C2908="",T2908="Retracted",LEFT(D2908,8)="Negative"),0,IF(COUNTIFS($B$2:B2908,B2908,$C$2:C2908,C2908,$D$2:D2908,"&lt;&gt;Negative*",$T$2:T2908,"&lt;&gt;Retracted")=1,1,0))</f>
        <v>0</v>
      </c>
    </row>
    <row r="2909" spans="1:21" ht="26" x14ac:dyDescent="0.2">
      <c r="A2909" t="s">
        <v>5279</v>
      </c>
      <c r="B2909" t="s">
        <v>1042</v>
      </c>
      <c r="C2909" t="s">
        <v>1393</v>
      </c>
      <c r="D2909" t="s">
        <v>1613</v>
      </c>
      <c r="E2909" t="s">
        <v>1043</v>
      </c>
      <c r="F2909" t="s">
        <v>1583</v>
      </c>
      <c r="I2909" t="s">
        <v>1058</v>
      </c>
      <c r="N2909" t="s">
        <v>190</v>
      </c>
      <c r="Q2909" s="2" t="str">
        <f>IF($C2909="","",IFERROR(VLOOKUP($C2909,sources!$A$2:$N$200,2,FALSE()),"?"))</f>
        <v>Web compilation</v>
      </c>
      <c r="R2909" s="2" t="str">
        <f t="shared" si="45"/>
        <v>Textual</v>
      </c>
      <c r="S2909" s="2" t="str">
        <f>IF($C2909="","",IFERROR(VLOOKUP($C2909,sources!$A$2:$N$200,9,FALSE()),"?"))</f>
        <v>Caribbean community</v>
      </c>
      <c r="T2909" t="s">
        <v>5693</v>
      </c>
      <c r="U2909">
        <f>IF(OR(B2909="",C2909="",T2909="Retracted",LEFT(D2909,8)="Negative"),0,IF(COUNTIFS($B$2:B2909,B2909,$C$2:C2909,C2909,$D$2:D2909,"&lt;&gt;Negative*",$T$2:T2909,"&lt;&gt;Retracted")=1,1,0))</f>
        <v>0</v>
      </c>
    </row>
    <row r="2910" spans="1:21" x14ac:dyDescent="0.2">
      <c r="A2910" t="s">
        <v>5280</v>
      </c>
      <c r="B2910" t="s">
        <v>1042</v>
      </c>
      <c r="C2910" t="s">
        <v>1258</v>
      </c>
      <c r="D2910" t="s">
        <v>1613</v>
      </c>
      <c r="E2910" t="s">
        <v>1043</v>
      </c>
      <c r="F2910" t="s">
        <v>1583</v>
      </c>
      <c r="I2910" t="s">
        <v>1058</v>
      </c>
      <c r="N2910" t="s">
        <v>190</v>
      </c>
      <c r="Q2910" s="2" t="str">
        <f>IF($C2910="","",IFERROR(VLOOKUP($C2910,sources!$A$2:$N$200,2,FALSE()),"?"))</f>
        <v>Administrative</v>
      </c>
      <c r="R2910" s="2" t="str">
        <f t="shared" si="45"/>
        <v>Textual</v>
      </c>
      <c r="S2910" s="2" t="str">
        <f>IF($C2910="","",IFERROR(VLOOKUP($C2910,sources!$A$2:$N$200,9,FALSE()),"?"))</f>
        <v>US official</v>
      </c>
      <c r="T2910" t="s">
        <v>5693</v>
      </c>
      <c r="U2910">
        <f>IF(OR(B2910="",C2910="",T2910="Retracted",LEFT(D2910,8)="Negative"),0,IF(COUNTIFS($B$2:B2910,B2910,$C$2:C2910,C2910,$D$2:D2910,"&lt;&gt;Negative*",$T$2:T2910,"&lt;&gt;Retracted")=1,1,0))</f>
        <v>0</v>
      </c>
    </row>
    <row r="2911" spans="1:21" x14ac:dyDescent="0.2">
      <c r="A2911" t="s">
        <v>5281</v>
      </c>
      <c r="B2911" t="s">
        <v>1046</v>
      </c>
      <c r="C2911" t="s">
        <v>1148</v>
      </c>
      <c r="D2911" t="s">
        <v>1613</v>
      </c>
      <c r="E2911" t="s">
        <v>1047</v>
      </c>
      <c r="F2911" t="s">
        <v>1583</v>
      </c>
      <c r="I2911" t="s">
        <v>1058</v>
      </c>
      <c r="N2911" t="s">
        <v>209</v>
      </c>
      <c r="Q2911" s="2" t="str">
        <f>IF($C2911="","",IFERROR(VLOOKUP($C2911,sources!$A$2:$N$200,2,FALSE()),"?"))</f>
        <v>Report</v>
      </c>
      <c r="R2911" s="2" t="str">
        <f t="shared" si="45"/>
        <v>Textual</v>
      </c>
      <c r="S2911" s="2" t="str">
        <f>IF($C2911="","",IFERROR(VLOOKUP($C2911,sources!$A$2:$N$200,9,FALSE()),"?"))</f>
        <v>US official</v>
      </c>
      <c r="T2911" t="s">
        <v>5693</v>
      </c>
      <c r="U2911">
        <f>IF(OR(B2911="",C2911="",T2911="Retracted",LEFT(D2911,8)="Negative"),0,IF(COUNTIFS($B$2:B2911,B2911,$C$2:C2911,C2911,$D$2:D2911,"&lt;&gt;Negative*",$T$2:T2911,"&lt;&gt;Retracted")=1,1,0))</f>
        <v>0</v>
      </c>
    </row>
    <row r="2912" spans="1:21" ht="26" x14ac:dyDescent="0.2">
      <c r="A2912" t="s">
        <v>5282</v>
      </c>
      <c r="B2912" t="s">
        <v>1046</v>
      </c>
      <c r="C2912" t="s">
        <v>1384</v>
      </c>
      <c r="D2912" t="s">
        <v>1613</v>
      </c>
      <c r="E2912" t="s">
        <v>1047</v>
      </c>
      <c r="F2912" t="s">
        <v>1583</v>
      </c>
      <c r="I2912" t="s">
        <v>1058</v>
      </c>
      <c r="N2912" t="s">
        <v>209</v>
      </c>
      <c r="Q2912" s="2" t="str">
        <f>IF($C2912="","",IFERROR(VLOOKUP($C2912,sources!$A$2:$N$200,2,FALSE()),"?"))</f>
        <v>Newspaper</v>
      </c>
      <c r="R2912" s="2" t="str">
        <f t="shared" si="45"/>
        <v>Textual</v>
      </c>
      <c r="S2912" s="2" t="str">
        <f>IF($C2912="","",IFERROR(VLOOKUP($C2912,sources!$A$2:$N$200,9,FALSE()),"?"))</f>
        <v>Caribbean community</v>
      </c>
      <c r="T2912" t="s">
        <v>5693</v>
      </c>
      <c r="U2912">
        <f>IF(OR(B2912="",C2912="",T2912="Retracted",LEFT(D2912,8)="Negative"),0,IF(COUNTIFS($B$2:B2912,B2912,$C$2:C2912,C2912,$D$2:D2912,"&lt;&gt;Negative*",$T$2:T2912,"&lt;&gt;Retracted")=1,1,0))</f>
        <v>0</v>
      </c>
    </row>
    <row r="2913" spans="1:21" ht="26" x14ac:dyDescent="0.2">
      <c r="A2913" t="s">
        <v>5283</v>
      </c>
      <c r="B2913" t="s">
        <v>1046</v>
      </c>
      <c r="C2913" t="s">
        <v>1393</v>
      </c>
      <c r="D2913" t="s">
        <v>1613</v>
      </c>
      <c r="E2913" t="s">
        <v>1047</v>
      </c>
      <c r="F2913" t="s">
        <v>1583</v>
      </c>
      <c r="I2913" t="s">
        <v>1058</v>
      </c>
      <c r="N2913" t="s">
        <v>190</v>
      </c>
      <c r="Q2913" s="2" t="str">
        <f>IF($C2913="","",IFERROR(VLOOKUP($C2913,sources!$A$2:$N$200,2,FALSE()),"?"))</f>
        <v>Web compilation</v>
      </c>
      <c r="R2913" s="2" t="str">
        <f t="shared" si="45"/>
        <v>Textual</v>
      </c>
      <c r="S2913" s="2" t="str">
        <f>IF($C2913="","",IFERROR(VLOOKUP($C2913,sources!$A$2:$N$200,9,FALSE()),"?"))</f>
        <v>Caribbean community</v>
      </c>
      <c r="T2913" t="s">
        <v>5693</v>
      </c>
      <c r="U2913">
        <f>IF(OR(B2913="",C2913="",T2913="Retracted",LEFT(D2913,8)="Negative"),0,IF(COUNTIFS($B$2:B2913,B2913,$C$2:C2913,C2913,$D$2:D2913,"&lt;&gt;Negative*",$T$2:T2913,"&lt;&gt;Retracted")=1,1,0))</f>
        <v>0</v>
      </c>
    </row>
    <row r="2914" spans="1:21" x14ac:dyDescent="0.2">
      <c r="A2914" t="s">
        <v>5284</v>
      </c>
      <c r="B2914" t="s">
        <v>1046</v>
      </c>
      <c r="C2914" t="s">
        <v>1258</v>
      </c>
      <c r="D2914" t="s">
        <v>1613</v>
      </c>
      <c r="E2914" t="s">
        <v>1047</v>
      </c>
      <c r="F2914" t="s">
        <v>1583</v>
      </c>
      <c r="I2914" t="s">
        <v>1058</v>
      </c>
      <c r="N2914" t="s">
        <v>190</v>
      </c>
      <c r="Q2914" s="2" t="str">
        <f>IF($C2914="","",IFERROR(VLOOKUP($C2914,sources!$A$2:$N$200,2,FALSE()),"?"))</f>
        <v>Administrative</v>
      </c>
      <c r="R2914" s="2" t="str">
        <f t="shared" si="45"/>
        <v>Textual</v>
      </c>
      <c r="S2914" s="2" t="str">
        <f>IF($C2914="","",IFERROR(VLOOKUP($C2914,sources!$A$2:$N$200,9,FALSE()),"?"))</f>
        <v>US official</v>
      </c>
      <c r="T2914" t="s">
        <v>5693</v>
      </c>
      <c r="U2914">
        <f>IF(OR(B2914="",C2914="",T2914="Retracted",LEFT(D2914,8)="Negative"),0,IF(COUNTIFS($B$2:B2914,B2914,$C$2:C2914,C2914,$D$2:D2914,"&lt;&gt;Negative*",$T$2:T2914,"&lt;&gt;Retracted")=1,1,0))</f>
        <v>0</v>
      </c>
    </row>
    <row r="2915" spans="1:21" x14ac:dyDescent="0.2">
      <c r="A2915" t="s">
        <v>5285</v>
      </c>
      <c r="B2915" t="s">
        <v>1049</v>
      </c>
      <c r="C2915" t="s">
        <v>1148</v>
      </c>
      <c r="D2915" t="s">
        <v>1613</v>
      </c>
      <c r="E2915" t="s">
        <v>1050</v>
      </c>
      <c r="F2915" t="s">
        <v>1583</v>
      </c>
      <c r="I2915" t="s">
        <v>1058</v>
      </c>
      <c r="N2915" t="s">
        <v>209</v>
      </c>
      <c r="Q2915" s="2" t="str">
        <f>IF($C2915="","",IFERROR(VLOOKUP($C2915,sources!$A$2:$N$200,2,FALSE()),"?"))</f>
        <v>Report</v>
      </c>
      <c r="R2915" s="2" t="str">
        <f t="shared" si="45"/>
        <v>Textual</v>
      </c>
      <c r="S2915" s="2" t="str">
        <f>IF($C2915="","",IFERROR(VLOOKUP($C2915,sources!$A$2:$N$200,9,FALSE()),"?"))</f>
        <v>US official</v>
      </c>
      <c r="T2915" t="s">
        <v>5693</v>
      </c>
      <c r="U2915">
        <f>IF(OR(B2915="",C2915="",T2915="Retracted",LEFT(D2915,8)="Negative"),0,IF(COUNTIFS($B$2:B2915,B2915,$C$2:C2915,C2915,$D$2:D2915,"&lt;&gt;Negative*",$T$2:T2915,"&lt;&gt;Retracted")=1,1,0))</f>
        <v>0</v>
      </c>
    </row>
    <row r="2916" spans="1:21" ht="26" x14ac:dyDescent="0.2">
      <c r="A2916" t="s">
        <v>5286</v>
      </c>
      <c r="B2916" t="s">
        <v>1049</v>
      </c>
      <c r="C2916" t="s">
        <v>1384</v>
      </c>
      <c r="D2916" t="s">
        <v>1613</v>
      </c>
      <c r="E2916" t="s">
        <v>1050</v>
      </c>
      <c r="F2916" t="s">
        <v>1583</v>
      </c>
      <c r="I2916" t="s">
        <v>1058</v>
      </c>
      <c r="N2916" t="s">
        <v>209</v>
      </c>
      <c r="Q2916" s="2" t="str">
        <f>IF($C2916="","",IFERROR(VLOOKUP($C2916,sources!$A$2:$N$200,2,FALSE()),"?"))</f>
        <v>Newspaper</v>
      </c>
      <c r="R2916" s="2" t="str">
        <f t="shared" si="45"/>
        <v>Textual</v>
      </c>
      <c r="S2916" s="2" t="str">
        <f>IF($C2916="","",IFERROR(VLOOKUP($C2916,sources!$A$2:$N$200,9,FALSE()),"?"))</f>
        <v>Caribbean community</v>
      </c>
      <c r="T2916" t="s">
        <v>5693</v>
      </c>
      <c r="U2916">
        <f>IF(OR(B2916="",C2916="",T2916="Retracted",LEFT(D2916,8)="Negative"),0,IF(COUNTIFS($B$2:B2916,B2916,$C$2:C2916,C2916,$D$2:D2916,"&lt;&gt;Negative*",$T$2:T2916,"&lt;&gt;Retracted")=1,1,0))</f>
        <v>0</v>
      </c>
    </row>
    <row r="2917" spans="1:21" ht="26" x14ac:dyDescent="0.2">
      <c r="A2917" t="s">
        <v>5287</v>
      </c>
      <c r="B2917" t="s">
        <v>1049</v>
      </c>
      <c r="C2917" t="s">
        <v>1393</v>
      </c>
      <c r="D2917" t="s">
        <v>1613</v>
      </c>
      <c r="E2917" t="s">
        <v>1050</v>
      </c>
      <c r="F2917" t="s">
        <v>1583</v>
      </c>
      <c r="I2917" t="s">
        <v>1058</v>
      </c>
      <c r="N2917" t="s">
        <v>190</v>
      </c>
      <c r="Q2917" s="2" t="str">
        <f>IF($C2917="","",IFERROR(VLOOKUP($C2917,sources!$A$2:$N$200,2,FALSE()),"?"))</f>
        <v>Web compilation</v>
      </c>
      <c r="R2917" s="2" t="str">
        <f t="shared" si="45"/>
        <v>Textual</v>
      </c>
      <c r="S2917" s="2" t="str">
        <f>IF($C2917="","",IFERROR(VLOOKUP($C2917,sources!$A$2:$N$200,9,FALSE()),"?"))</f>
        <v>Caribbean community</v>
      </c>
      <c r="T2917" t="s">
        <v>5693</v>
      </c>
      <c r="U2917">
        <f>IF(OR(B2917="",C2917="",T2917="Retracted",LEFT(D2917,8)="Negative"),0,IF(COUNTIFS($B$2:B2917,B2917,$C$2:C2917,C2917,$D$2:D2917,"&lt;&gt;Negative*",$T$2:T2917,"&lt;&gt;Retracted")=1,1,0))</f>
        <v>0</v>
      </c>
    </row>
    <row r="2918" spans="1:21" x14ac:dyDescent="0.2">
      <c r="A2918" t="s">
        <v>5288</v>
      </c>
      <c r="B2918" t="s">
        <v>1049</v>
      </c>
      <c r="C2918" t="s">
        <v>1258</v>
      </c>
      <c r="D2918" t="s">
        <v>1613</v>
      </c>
      <c r="E2918" t="s">
        <v>1050</v>
      </c>
      <c r="F2918" t="s">
        <v>1583</v>
      </c>
      <c r="I2918" t="s">
        <v>1058</v>
      </c>
      <c r="N2918" t="s">
        <v>190</v>
      </c>
      <c r="Q2918" s="2" t="str">
        <f>IF($C2918="","",IFERROR(VLOOKUP($C2918,sources!$A$2:$N$200,2,FALSE()),"?"))</f>
        <v>Administrative</v>
      </c>
      <c r="R2918" s="2" t="str">
        <f t="shared" si="45"/>
        <v>Textual</v>
      </c>
      <c r="S2918" s="2" t="str">
        <f>IF($C2918="","",IFERROR(VLOOKUP($C2918,sources!$A$2:$N$200,9,FALSE()),"?"))</f>
        <v>US official</v>
      </c>
      <c r="T2918" t="s">
        <v>5693</v>
      </c>
      <c r="U2918">
        <f>IF(OR(B2918="",C2918="",T2918="Retracted",LEFT(D2918,8)="Negative"),0,IF(COUNTIFS($B$2:B2918,B2918,$C$2:C2918,C2918,$D$2:D2918,"&lt;&gt;Negative*",$T$2:T2918,"&lt;&gt;Retracted")=1,1,0))</f>
        <v>0</v>
      </c>
    </row>
    <row r="2919" spans="1:21" x14ac:dyDescent="0.2">
      <c r="A2919" t="s">
        <v>5289</v>
      </c>
      <c r="B2919" t="s">
        <v>1053</v>
      </c>
      <c r="C2919" t="s">
        <v>1148</v>
      </c>
      <c r="D2919" t="s">
        <v>1613</v>
      </c>
      <c r="E2919" t="s">
        <v>1054</v>
      </c>
      <c r="F2919" t="s">
        <v>1583</v>
      </c>
      <c r="I2919" t="s">
        <v>1058</v>
      </c>
      <c r="N2919" t="s">
        <v>209</v>
      </c>
      <c r="Q2919" s="2" t="str">
        <f>IF($C2919="","",IFERROR(VLOOKUP($C2919,sources!$A$2:$N$200,2,FALSE()),"?"))</f>
        <v>Report</v>
      </c>
      <c r="R2919" s="2" t="str">
        <f t="shared" si="45"/>
        <v>Textual</v>
      </c>
      <c r="S2919" s="2" t="str">
        <f>IF($C2919="","",IFERROR(VLOOKUP($C2919,sources!$A$2:$N$200,9,FALSE()),"?"))</f>
        <v>US official</v>
      </c>
      <c r="T2919" t="s">
        <v>5693</v>
      </c>
      <c r="U2919">
        <f>IF(OR(B2919="",C2919="",T2919="Retracted",LEFT(D2919,8)="Negative"),0,IF(COUNTIFS($B$2:B2919,B2919,$C$2:C2919,C2919,$D$2:D2919,"&lt;&gt;Negative*",$T$2:T2919,"&lt;&gt;Retracted")=1,1,0))</f>
        <v>0</v>
      </c>
    </row>
    <row r="2920" spans="1:21" ht="26" x14ac:dyDescent="0.2">
      <c r="A2920" t="s">
        <v>5290</v>
      </c>
      <c r="B2920" t="s">
        <v>1053</v>
      </c>
      <c r="C2920" t="s">
        <v>1384</v>
      </c>
      <c r="D2920" t="s">
        <v>1613</v>
      </c>
      <c r="E2920" t="s">
        <v>1054</v>
      </c>
      <c r="F2920" t="s">
        <v>1583</v>
      </c>
      <c r="I2920" t="s">
        <v>1058</v>
      </c>
      <c r="N2920" t="s">
        <v>209</v>
      </c>
      <c r="Q2920" s="2" t="str">
        <f>IF($C2920="","",IFERROR(VLOOKUP($C2920,sources!$A$2:$N$200,2,FALSE()),"?"))</f>
        <v>Newspaper</v>
      </c>
      <c r="R2920" s="2" t="str">
        <f t="shared" si="45"/>
        <v>Textual</v>
      </c>
      <c r="S2920" s="2" t="str">
        <f>IF($C2920="","",IFERROR(VLOOKUP($C2920,sources!$A$2:$N$200,9,FALSE()),"?"))</f>
        <v>Caribbean community</v>
      </c>
      <c r="T2920" t="s">
        <v>5693</v>
      </c>
      <c r="U2920">
        <f>IF(OR(B2920="",C2920="",T2920="Retracted",LEFT(D2920,8)="Negative"),0,IF(COUNTIFS($B$2:B2920,B2920,$C$2:C2920,C2920,$D$2:D2920,"&lt;&gt;Negative*",$T$2:T2920,"&lt;&gt;Retracted")=1,1,0))</f>
        <v>0</v>
      </c>
    </row>
    <row r="2921" spans="1:21" ht="26" x14ac:dyDescent="0.2">
      <c r="A2921" t="s">
        <v>5291</v>
      </c>
      <c r="B2921" t="s">
        <v>1053</v>
      </c>
      <c r="C2921" t="s">
        <v>1393</v>
      </c>
      <c r="D2921" t="s">
        <v>1613</v>
      </c>
      <c r="E2921" t="s">
        <v>1054</v>
      </c>
      <c r="F2921" t="s">
        <v>1583</v>
      </c>
      <c r="I2921" t="s">
        <v>1058</v>
      </c>
      <c r="N2921" t="s">
        <v>190</v>
      </c>
      <c r="Q2921" s="2" t="str">
        <f>IF($C2921="","",IFERROR(VLOOKUP($C2921,sources!$A$2:$N$200,2,FALSE()),"?"))</f>
        <v>Web compilation</v>
      </c>
      <c r="R2921" s="2" t="str">
        <f t="shared" si="45"/>
        <v>Textual</v>
      </c>
      <c r="S2921" s="2" t="str">
        <f>IF($C2921="","",IFERROR(VLOOKUP($C2921,sources!$A$2:$N$200,9,FALSE()),"?"))</f>
        <v>Caribbean community</v>
      </c>
      <c r="T2921" t="s">
        <v>5693</v>
      </c>
      <c r="U2921">
        <f>IF(OR(B2921="",C2921="",T2921="Retracted",LEFT(D2921,8)="Negative"),0,IF(COUNTIFS($B$2:B2921,B2921,$C$2:C2921,C2921,$D$2:D2921,"&lt;&gt;Negative*",$T$2:T2921,"&lt;&gt;Retracted")=1,1,0))</f>
        <v>0</v>
      </c>
    </row>
    <row r="2922" spans="1:21" x14ac:dyDescent="0.2">
      <c r="A2922" t="s">
        <v>5292</v>
      </c>
      <c r="B2922" t="s">
        <v>1053</v>
      </c>
      <c r="C2922" t="s">
        <v>1258</v>
      </c>
      <c r="D2922" t="s">
        <v>1613</v>
      </c>
      <c r="E2922" t="s">
        <v>1054</v>
      </c>
      <c r="F2922" t="s">
        <v>1583</v>
      </c>
      <c r="I2922" t="s">
        <v>1058</v>
      </c>
      <c r="N2922" t="s">
        <v>190</v>
      </c>
      <c r="Q2922" s="2" t="str">
        <f>IF($C2922="","",IFERROR(VLOOKUP($C2922,sources!$A$2:$N$200,2,FALSE()),"?"))</f>
        <v>Administrative</v>
      </c>
      <c r="R2922" s="2" t="str">
        <f t="shared" si="45"/>
        <v>Textual</v>
      </c>
      <c r="S2922" s="2" t="str">
        <f>IF($C2922="","",IFERROR(VLOOKUP($C2922,sources!$A$2:$N$200,9,FALSE()),"?"))</f>
        <v>US official</v>
      </c>
      <c r="T2922" t="s">
        <v>5693</v>
      </c>
      <c r="U2922">
        <f>IF(OR(B2922="",C2922="",T2922="Retracted",LEFT(D2922,8)="Negative"),0,IF(COUNTIFS($B$2:B2922,B2922,$C$2:C2922,C2922,$D$2:D2922,"&lt;&gt;Negative*",$T$2:T2922,"&lt;&gt;Retracted")=1,1,0))</f>
        <v>0</v>
      </c>
    </row>
    <row r="2923" spans="1:21" x14ac:dyDescent="0.2">
      <c r="A2923" t="s">
        <v>5293</v>
      </c>
      <c r="B2923" t="s">
        <v>1056</v>
      </c>
      <c r="C2923" t="s">
        <v>1148</v>
      </c>
      <c r="D2923" t="s">
        <v>1575</v>
      </c>
      <c r="E2923" t="s">
        <v>5294</v>
      </c>
      <c r="F2923" t="s">
        <v>1583</v>
      </c>
      <c r="I2923" t="s">
        <v>1058</v>
      </c>
      <c r="N2923" t="s">
        <v>5267</v>
      </c>
      <c r="Q2923" s="2" t="str">
        <f>IF($C2923="","",IFERROR(VLOOKUP($C2923,sources!$A$2:$N$200,2,FALSE()),"?"))</f>
        <v>Report</v>
      </c>
      <c r="R2923" s="2" t="str">
        <f t="shared" si="45"/>
        <v>Textual</v>
      </c>
      <c r="S2923" s="2" t="str">
        <f>IF($C2923="","",IFERROR(VLOOKUP($C2923,sources!$A$2:$N$200,9,FALSE()),"?"))</f>
        <v>US official</v>
      </c>
      <c r="T2923" t="s">
        <v>5692</v>
      </c>
      <c r="U2923">
        <f>IF(OR(B2923="",C2923="",T2923="Retracted",LEFT(D2923,8)="Negative"),0,IF(COUNTIFS($B$2:B2923,B2923,$C$2:C2923,C2923,$D$2:D2923,"&lt;&gt;Negative*",$T$2:T2923,"&lt;&gt;Retracted")=1,1,0))</f>
        <v>1</v>
      </c>
    </row>
    <row r="2924" spans="1:21" ht="26" x14ac:dyDescent="0.2">
      <c r="A2924" t="s">
        <v>5295</v>
      </c>
      <c r="B2924" t="s">
        <v>1056</v>
      </c>
      <c r="C2924" t="s">
        <v>1384</v>
      </c>
      <c r="D2924" t="s">
        <v>1613</v>
      </c>
      <c r="E2924" t="s">
        <v>1057</v>
      </c>
      <c r="F2924" t="s">
        <v>1583</v>
      </c>
      <c r="I2924" t="s">
        <v>1058</v>
      </c>
      <c r="N2924" t="s">
        <v>209</v>
      </c>
      <c r="Q2924" s="2" t="str">
        <f>IF($C2924="","",IFERROR(VLOOKUP($C2924,sources!$A$2:$N$200,2,FALSE()),"?"))</f>
        <v>Newspaper</v>
      </c>
      <c r="R2924" s="2" t="str">
        <f t="shared" si="45"/>
        <v>Textual</v>
      </c>
      <c r="S2924" s="2" t="str">
        <f>IF($C2924="","",IFERROR(VLOOKUP($C2924,sources!$A$2:$N$200,9,FALSE()),"?"))</f>
        <v>Caribbean community</v>
      </c>
      <c r="T2924" t="s">
        <v>5692</v>
      </c>
      <c r="U2924">
        <f>IF(OR(B2924="",C2924="",T2924="Retracted",LEFT(D2924,8)="Negative"),0,IF(COUNTIFS($B$2:B2924,B2924,$C$2:C2924,C2924,$D$2:D2924,"&lt;&gt;Negative*",$T$2:T2924,"&lt;&gt;Retracted")=1,1,0))</f>
        <v>0</v>
      </c>
    </row>
    <row r="2925" spans="1:21" ht="26" x14ac:dyDescent="0.2">
      <c r="A2925" t="s">
        <v>5296</v>
      </c>
      <c r="B2925" t="s">
        <v>1056</v>
      </c>
      <c r="C2925" t="s">
        <v>1393</v>
      </c>
      <c r="D2925" t="s">
        <v>1613</v>
      </c>
      <c r="E2925" t="s">
        <v>1057</v>
      </c>
      <c r="F2925" t="s">
        <v>1583</v>
      </c>
      <c r="I2925" t="s">
        <v>1058</v>
      </c>
      <c r="N2925" t="s">
        <v>190</v>
      </c>
      <c r="Q2925" s="2" t="str">
        <f>IF($C2925="","",IFERROR(VLOOKUP($C2925,sources!$A$2:$N$200,2,FALSE()),"?"))</f>
        <v>Web compilation</v>
      </c>
      <c r="R2925" s="2" t="str">
        <f t="shared" si="45"/>
        <v>Textual</v>
      </c>
      <c r="S2925" s="2" t="str">
        <f>IF($C2925="","",IFERROR(VLOOKUP($C2925,sources!$A$2:$N$200,9,FALSE()),"?"))</f>
        <v>Caribbean community</v>
      </c>
      <c r="T2925" t="s">
        <v>5692</v>
      </c>
      <c r="U2925">
        <f>IF(OR(B2925="",C2925="",T2925="Retracted",LEFT(D2925,8)="Negative"),0,IF(COUNTIFS($B$2:B2925,B2925,$C$2:C2925,C2925,$D$2:D2925,"&lt;&gt;Negative*",$T$2:T2925,"&lt;&gt;Retracted")=1,1,0))</f>
        <v>0</v>
      </c>
    </row>
    <row r="2926" spans="1:21" x14ac:dyDescent="0.2">
      <c r="A2926" t="s">
        <v>5297</v>
      </c>
      <c r="B2926" t="s">
        <v>1056</v>
      </c>
      <c r="C2926" t="s">
        <v>1258</v>
      </c>
      <c r="D2926" t="s">
        <v>1613</v>
      </c>
      <c r="E2926" t="s">
        <v>1057</v>
      </c>
      <c r="F2926" t="s">
        <v>1583</v>
      </c>
      <c r="I2926" t="s">
        <v>1058</v>
      </c>
      <c r="N2926" t="s">
        <v>190</v>
      </c>
      <c r="Q2926" s="2" t="str">
        <f>IF($C2926="","",IFERROR(VLOOKUP($C2926,sources!$A$2:$N$200,2,FALSE()),"?"))</f>
        <v>Administrative</v>
      </c>
      <c r="R2926" s="2" t="str">
        <f t="shared" si="45"/>
        <v>Textual</v>
      </c>
      <c r="S2926" s="2" t="str">
        <f>IF($C2926="","",IFERROR(VLOOKUP($C2926,sources!$A$2:$N$200,9,FALSE()),"?"))</f>
        <v>US official</v>
      </c>
      <c r="T2926" t="s">
        <v>5692</v>
      </c>
      <c r="U2926">
        <f>IF(OR(B2926="",C2926="",T2926="Retracted",LEFT(D2926,8)="Negative"),0,IF(COUNTIFS($B$2:B2926,B2926,$C$2:C2926,C2926,$D$2:D2926,"&lt;&gt;Negative*",$T$2:T2926,"&lt;&gt;Retracted")=1,1,0))</f>
        <v>0</v>
      </c>
    </row>
    <row r="2927" spans="1:21" x14ac:dyDescent="0.2">
      <c r="A2927" t="s">
        <v>5298</v>
      </c>
      <c r="B2927" t="s">
        <v>1068</v>
      </c>
      <c r="C2927" t="s">
        <v>1148</v>
      </c>
      <c r="D2927" t="s">
        <v>1613</v>
      </c>
      <c r="E2927" t="s">
        <v>1069</v>
      </c>
      <c r="F2927" t="s">
        <v>1583</v>
      </c>
      <c r="I2927" t="s">
        <v>1058</v>
      </c>
      <c r="N2927" t="s">
        <v>190</v>
      </c>
      <c r="Q2927" s="2" t="str">
        <f>IF($C2927="","",IFERROR(VLOOKUP($C2927,sources!$A$2:$N$200,2,FALSE()),"?"))</f>
        <v>Report</v>
      </c>
      <c r="R2927" s="2" t="str">
        <f t="shared" si="45"/>
        <v>Textual</v>
      </c>
      <c r="S2927" s="2" t="str">
        <f>IF($C2927="","",IFERROR(VLOOKUP($C2927,sources!$A$2:$N$200,9,FALSE()),"?"))</f>
        <v>US official</v>
      </c>
      <c r="T2927" t="s">
        <v>5693</v>
      </c>
      <c r="U2927">
        <f>IF(OR(B2927="",C2927="",T2927="Retracted",LEFT(D2927,8)="Negative"),0,IF(COUNTIFS($B$2:B2927,B2927,$C$2:C2927,C2927,$D$2:D2927,"&lt;&gt;Negative*",$T$2:T2927,"&lt;&gt;Retracted")=1,1,0))</f>
        <v>0</v>
      </c>
    </row>
    <row r="2928" spans="1:21" ht="26" x14ac:dyDescent="0.2">
      <c r="A2928" t="s">
        <v>5299</v>
      </c>
      <c r="B2928" t="s">
        <v>1068</v>
      </c>
      <c r="C2928" t="s">
        <v>1384</v>
      </c>
      <c r="D2928" t="s">
        <v>1613</v>
      </c>
      <c r="E2928" t="s">
        <v>1069</v>
      </c>
      <c r="F2928" t="s">
        <v>1583</v>
      </c>
      <c r="I2928" t="s">
        <v>1058</v>
      </c>
      <c r="N2928" t="s">
        <v>209</v>
      </c>
      <c r="Q2928" s="2" t="str">
        <f>IF($C2928="","",IFERROR(VLOOKUP($C2928,sources!$A$2:$N$200,2,FALSE()),"?"))</f>
        <v>Newspaper</v>
      </c>
      <c r="R2928" s="2" t="str">
        <f t="shared" si="45"/>
        <v>Textual</v>
      </c>
      <c r="S2928" s="2" t="str">
        <f>IF($C2928="","",IFERROR(VLOOKUP($C2928,sources!$A$2:$N$200,9,FALSE()),"?"))</f>
        <v>Caribbean community</v>
      </c>
      <c r="T2928" t="s">
        <v>5693</v>
      </c>
      <c r="U2928">
        <f>IF(OR(B2928="",C2928="",T2928="Retracted",LEFT(D2928,8)="Negative"),0,IF(COUNTIFS($B$2:B2928,B2928,$C$2:C2928,C2928,$D$2:D2928,"&lt;&gt;Negative*",$T$2:T2928,"&lt;&gt;Retracted")=1,1,0))</f>
        <v>0</v>
      </c>
    </row>
    <row r="2929" spans="1:21" ht="26" x14ac:dyDescent="0.2">
      <c r="A2929" t="s">
        <v>5300</v>
      </c>
      <c r="B2929" t="s">
        <v>1068</v>
      </c>
      <c r="C2929" t="s">
        <v>1393</v>
      </c>
      <c r="D2929" t="s">
        <v>1613</v>
      </c>
      <c r="E2929" t="s">
        <v>1069</v>
      </c>
      <c r="F2929" t="s">
        <v>1583</v>
      </c>
      <c r="I2929" t="s">
        <v>1058</v>
      </c>
      <c r="N2929" t="s">
        <v>190</v>
      </c>
      <c r="Q2929" s="2" t="str">
        <f>IF($C2929="","",IFERROR(VLOOKUP($C2929,sources!$A$2:$N$200,2,FALSE()),"?"))</f>
        <v>Web compilation</v>
      </c>
      <c r="R2929" s="2" t="str">
        <f t="shared" si="45"/>
        <v>Textual</v>
      </c>
      <c r="S2929" s="2" t="str">
        <f>IF($C2929="","",IFERROR(VLOOKUP($C2929,sources!$A$2:$N$200,9,FALSE()),"?"))</f>
        <v>Caribbean community</v>
      </c>
      <c r="T2929" t="s">
        <v>5693</v>
      </c>
      <c r="U2929">
        <f>IF(OR(B2929="",C2929="",T2929="Retracted",LEFT(D2929,8)="Negative"),0,IF(COUNTIFS($B$2:B2929,B2929,$C$2:C2929,C2929,$D$2:D2929,"&lt;&gt;Negative*",$T$2:T2929,"&lt;&gt;Retracted")=1,1,0))</f>
        <v>0</v>
      </c>
    </row>
    <row r="2930" spans="1:21" x14ac:dyDescent="0.2">
      <c r="A2930" t="s">
        <v>5301</v>
      </c>
      <c r="B2930" t="s">
        <v>1068</v>
      </c>
      <c r="C2930" t="s">
        <v>1258</v>
      </c>
      <c r="D2930" t="s">
        <v>1613</v>
      </c>
      <c r="E2930" t="s">
        <v>1069</v>
      </c>
      <c r="F2930" t="s">
        <v>1583</v>
      </c>
      <c r="I2930" t="s">
        <v>1058</v>
      </c>
      <c r="N2930" t="s">
        <v>190</v>
      </c>
      <c r="Q2930" s="2" t="str">
        <f>IF($C2930="","",IFERROR(VLOOKUP($C2930,sources!$A$2:$N$200,2,FALSE()),"?"))</f>
        <v>Administrative</v>
      </c>
      <c r="R2930" s="2" t="str">
        <f t="shared" si="45"/>
        <v>Textual</v>
      </c>
      <c r="S2930" s="2" t="str">
        <f>IF($C2930="","",IFERROR(VLOOKUP($C2930,sources!$A$2:$N$200,9,FALSE()),"?"))</f>
        <v>US official</v>
      </c>
      <c r="T2930" t="s">
        <v>5693</v>
      </c>
      <c r="U2930">
        <f>IF(OR(B2930="",C2930="",T2930="Retracted",LEFT(D2930,8)="Negative"),0,IF(COUNTIFS($B$2:B2930,B2930,$C$2:C2930,C2930,$D$2:D2930,"&lt;&gt;Negative*",$T$2:T2930,"&lt;&gt;Retracted")=1,1,0))</f>
        <v>0</v>
      </c>
    </row>
    <row r="2931" spans="1:21" x14ac:dyDescent="0.2">
      <c r="A2931" t="s">
        <v>5302</v>
      </c>
      <c r="B2931" t="s">
        <v>1072</v>
      </c>
      <c r="C2931" t="s">
        <v>1148</v>
      </c>
      <c r="D2931" t="s">
        <v>1613</v>
      </c>
      <c r="E2931" t="s">
        <v>1073</v>
      </c>
      <c r="F2931" t="s">
        <v>1583</v>
      </c>
      <c r="I2931" t="s">
        <v>1058</v>
      </c>
      <c r="N2931" t="s">
        <v>209</v>
      </c>
      <c r="Q2931" s="2" t="str">
        <f>IF($C2931="","",IFERROR(VLOOKUP($C2931,sources!$A$2:$N$200,2,FALSE()),"?"))</f>
        <v>Report</v>
      </c>
      <c r="R2931" s="2" t="str">
        <f t="shared" si="45"/>
        <v>Textual</v>
      </c>
      <c r="S2931" s="2" t="str">
        <f>IF($C2931="","",IFERROR(VLOOKUP($C2931,sources!$A$2:$N$200,9,FALSE()),"?"))</f>
        <v>US official</v>
      </c>
      <c r="T2931" t="s">
        <v>5693</v>
      </c>
      <c r="U2931">
        <f>IF(OR(B2931="",C2931="",T2931="Retracted",LEFT(D2931,8)="Negative"),0,IF(COUNTIFS($B$2:B2931,B2931,$C$2:C2931,C2931,$D$2:D2931,"&lt;&gt;Negative*",$T$2:T2931,"&lt;&gt;Retracted")=1,1,0))</f>
        <v>0</v>
      </c>
    </row>
    <row r="2932" spans="1:21" ht="26" x14ac:dyDescent="0.2">
      <c r="A2932" t="s">
        <v>5303</v>
      </c>
      <c r="B2932" t="s">
        <v>1072</v>
      </c>
      <c r="C2932" t="s">
        <v>1384</v>
      </c>
      <c r="D2932" t="s">
        <v>1613</v>
      </c>
      <c r="E2932" t="s">
        <v>1073</v>
      </c>
      <c r="F2932" t="s">
        <v>1583</v>
      </c>
      <c r="I2932" t="s">
        <v>1058</v>
      </c>
      <c r="N2932" t="s">
        <v>209</v>
      </c>
      <c r="Q2932" s="2" t="str">
        <f>IF($C2932="","",IFERROR(VLOOKUP($C2932,sources!$A$2:$N$200,2,FALSE()),"?"))</f>
        <v>Newspaper</v>
      </c>
      <c r="R2932" s="2" t="str">
        <f t="shared" si="45"/>
        <v>Textual</v>
      </c>
      <c r="S2932" s="2" t="str">
        <f>IF($C2932="","",IFERROR(VLOOKUP($C2932,sources!$A$2:$N$200,9,FALSE()),"?"))</f>
        <v>Caribbean community</v>
      </c>
      <c r="T2932" t="s">
        <v>5693</v>
      </c>
      <c r="U2932">
        <f>IF(OR(B2932="",C2932="",T2932="Retracted",LEFT(D2932,8)="Negative"),0,IF(COUNTIFS($B$2:B2932,B2932,$C$2:C2932,C2932,$D$2:D2932,"&lt;&gt;Negative*",$T$2:T2932,"&lt;&gt;Retracted")=1,1,0))</f>
        <v>0</v>
      </c>
    </row>
    <row r="2933" spans="1:21" ht="26" x14ac:dyDescent="0.2">
      <c r="A2933" t="s">
        <v>5304</v>
      </c>
      <c r="B2933" t="s">
        <v>1072</v>
      </c>
      <c r="C2933" t="s">
        <v>1393</v>
      </c>
      <c r="D2933" t="s">
        <v>1613</v>
      </c>
      <c r="E2933" t="s">
        <v>1073</v>
      </c>
      <c r="F2933" t="s">
        <v>1583</v>
      </c>
      <c r="I2933" t="s">
        <v>1058</v>
      </c>
      <c r="N2933" t="s">
        <v>190</v>
      </c>
      <c r="Q2933" s="2" t="str">
        <f>IF($C2933="","",IFERROR(VLOOKUP($C2933,sources!$A$2:$N$200,2,FALSE()),"?"))</f>
        <v>Web compilation</v>
      </c>
      <c r="R2933" s="2" t="str">
        <f t="shared" si="45"/>
        <v>Textual</v>
      </c>
      <c r="S2933" s="2" t="str">
        <f>IF($C2933="","",IFERROR(VLOOKUP($C2933,sources!$A$2:$N$200,9,FALSE()),"?"))</f>
        <v>Caribbean community</v>
      </c>
      <c r="T2933" t="s">
        <v>5693</v>
      </c>
      <c r="U2933">
        <f>IF(OR(B2933="",C2933="",T2933="Retracted",LEFT(D2933,8)="Negative"),0,IF(COUNTIFS($B$2:B2933,B2933,$C$2:C2933,C2933,$D$2:D2933,"&lt;&gt;Negative*",$T$2:T2933,"&lt;&gt;Retracted")=1,1,0))</f>
        <v>0</v>
      </c>
    </row>
    <row r="2934" spans="1:21" x14ac:dyDescent="0.2">
      <c r="A2934" t="s">
        <v>5305</v>
      </c>
      <c r="B2934" t="s">
        <v>1072</v>
      </c>
      <c r="C2934" t="s">
        <v>1258</v>
      </c>
      <c r="D2934" t="s">
        <v>1613</v>
      </c>
      <c r="E2934" t="s">
        <v>1073</v>
      </c>
      <c r="F2934" t="s">
        <v>1583</v>
      </c>
      <c r="I2934" t="s">
        <v>1058</v>
      </c>
      <c r="N2934" t="s">
        <v>190</v>
      </c>
      <c r="Q2934" s="2" t="str">
        <f>IF($C2934="","",IFERROR(VLOOKUP($C2934,sources!$A$2:$N$200,2,FALSE()),"?"))</f>
        <v>Administrative</v>
      </c>
      <c r="R2934" s="2" t="str">
        <f t="shared" si="45"/>
        <v>Textual</v>
      </c>
      <c r="S2934" s="2" t="str">
        <f>IF($C2934="","",IFERROR(VLOOKUP($C2934,sources!$A$2:$N$200,9,FALSE()),"?"))</f>
        <v>US official</v>
      </c>
      <c r="T2934" t="s">
        <v>5693</v>
      </c>
      <c r="U2934">
        <f>IF(OR(B2934="",C2934="",T2934="Retracted",LEFT(D2934,8)="Negative"),0,IF(COUNTIFS($B$2:B2934,B2934,$C$2:C2934,C2934,$D$2:D2934,"&lt;&gt;Negative*",$T$2:T2934,"&lt;&gt;Retracted")=1,1,0))</f>
        <v>0</v>
      </c>
    </row>
    <row r="2935" spans="1:21" x14ac:dyDescent="0.2">
      <c r="A2935" t="s">
        <v>5306</v>
      </c>
      <c r="B2935" t="s">
        <v>1076</v>
      </c>
      <c r="C2935" t="s">
        <v>1148</v>
      </c>
      <c r="D2935" t="s">
        <v>1613</v>
      </c>
      <c r="E2935" t="s">
        <v>1077</v>
      </c>
      <c r="F2935" t="s">
        <v>1583</v>
      </c>
      <c r="I2935" t="s">
        <v>1058</v>
      </c>
      <c r="N2935" t="s">
        <v>190</v>
      </c>
      <c r="Q2935" s="2" t="str">
        <f>IF($C2935="","",IFERROR(VLOOKUP($C2935,sources!$A$2:$N$200,2,FALSE()),"?"))</f>
        <v>Report</v>
      </c>
      <c r="R2935" s="2" t="str">
        <f t="shared" si="45"/>
        <v>Textual</v>
      </c>
      <c r="S2935" s="2" t="str">
        <f>IF($C2935="","",IFERROR(VLOOKUP($C2935,sources!$A$2:$N$200,9,FALSE()),"?"))</f>
        <v>US official</v>
      </c>
      <c r="T2935" t="s">
        <v>5692</v>
      </c>
      <c r="U2935">
        <f>IF(OR(B2935="",C2935="",T2935="Retracted",LEFT(D2935,8)="Negative"),0,IF(COUNTIFS($B$2:B2935,B2935,$C$2:C2935,C2935,$D$2:D2935,"&lt;&gt;Negative*",$T$2:T2935,"&lt;&gt;Retracted")=1,1,0))</f>
        <v>0</v>
      </c>
    </row>
    <row r="2936" spans="1:21" ht="26" x14ac:dyDescent="0.2">
      <c r="A2936" t="s">
        <v>5307</v>
      </c>
      <c r="B2936" t="s">
        <v>1076</v>
      </c>
      <c r="C2936" t="s">
        <v>1384</v>
      </c>
      <c r="D2936" t="s">
        <v>1613</v>
      </c>
      <c r="E2936" t="s">
        <v>1077</v>
      </c>
      <c r="F2936" t="s">
        <v>1583</v>
      </c>
      <c r="I2936" t="s">
        <v>1058</v>
      </c>
      <c r="N2936" t="s">
        <v>190</v>
      </c>
      <c r="Q2936" s="2" t="str">
        <f>IF($C2936="","",IFERROR(VLOOKUP($C2936,sources!$A$2:$N$200,2,FALSE()),"?"))</f>
        <v>Newspaper</v>
      </c>
      <c r="R2936" s="2" t="str">
        <f t="shared" si="45"/>
        <v>Textual</v>
      </c>
      <c r="S2936" s="2" t="str">
        <f>IF($C2936="","",IFERROR(VLOOKUP($C2936,sources!$A$2:$N$200,9,FALSE()),"?"))</f>
        <v>Caribbean community</v>
      </c>
      <c r="T2936" t="s">
        <v>5692</v>
      </c>
      <c r="U2936">
        <f>IF(OR(B2936="",C2936="",T2936="Retracted",LEFT(D2936,8)="Negative"),0,IF(COUNTIFS($B$2:B2936,B2936,$C$2:C2936,C2936,$D$2:D2936,"&lt;&gt;Negative*",$T$2:T2936,"&lt;&gt;Retracted")=1,1,0))</f>
        <v>0</v>
      </c>
    </row>
    <row r="2937" spans="1:21" ht="26" x14ac:dyDescent="0.2">
      <c r="A2937" t="s">
        <v>5308</v>
      </c>
      <c r="B2937" t="s">
        <v>1076</v>
      </c>
      <c r="C2937" t="s">
        <v>1393</v>
      </c>
      <c r="D2937" t="s">
        <v>1613</v>
      </c>
      <c r="E2937" t="s">
        <v>1077</v>
      </c>
      <c r="F2937" t="s">
        <v>1583</v>
      </c>
      <c r="I2937" t="s">
        <v>1058</v>
      </c>
      <c r="N2937" t="s">
        <v>190</v>
      </c>
      <c r="Q2937" s="2" t="str">
        <f>IF($C2937="","",IFERROR(VLOOKUP($C2937,sources!$A$2:$N$200,2,FALSE()),"?"))</f>
        <v>Web compilation</v>
      </c>
      <c r="R2937" s="2" t="str">
        <f t="shared" si="45"/>
        <v>Textual</v>
      </c>
      <c r="S2937" s="2" t="str">
        <f>IF($C2937="","",IFERROR(VLOOKUP($C2937,sources!$A$2:$N$200,9,FALSE()),"?"))</f>
        <v>Caribbean community</v>
      </c>
      <c r="T2937" t="s">
        <v>5692</v>
      </c>
      <c r="U2937">
        <f>IF(OR(B2937="",C2937="",T2937="Retracted",LEFT(D2937,8)="Negative"),0,IF(COUNTIFS($B$2:B2937,B2937,$C$2:C2937,C2937,$D$2:D2937,"&lt;&gt;Negative*",$T$2:T2937,"&lt;&gt;Retracted")=1,1,0))</f>
        <v>0</v>
      </c>
    </row>
    <row r="2938" spans="1:21" x14ac:dyDescent="0.2">
      <c r="A2938" t="s">
        <v>5309</v>
      </c>
      <c r="B2938" t="s">
        <v>1076</v>
      </c>
      <c r="C2938" t="s">
        <v>1258</v>
      </c>
      <c r="D2938" t="s">
        <v>1575</v>
      </c>
      <c r="E2938" t="s">
        <v>5310</v>
      </c>
      <c r="F2938" t="s">
        <v>1583</v>
      </c>
      <c r="I2938" t="s">
        <v>1058</v>
      </c>
      <c r="N2938" t="s">
        <v>5311</v>
      </c>
      <c r="Q2938" s="2" t="str">
        <f>IF($C2938="","",IFERROR(VLOOKUP($C2938,sources!$A$2:$N$200,2,FALSE()),"?"))</f>
        <v>Administrative</v>
      </c>
      <c r="R2938" s="2" t="str">
        <f t="shared" si="45"/>
        <v>Textual</v>
      </c>
      <c r="S2938" s="2" t="str">
        <f>IF($C2938="","",IFERROR(VLOOKUP($C2938,sources!$A$2:$N$200,9,FALSE()),"?"))</f>
        <v>US official</v>
      </c>
      <c r="T2938" t="s">
        <v>5692</v>
      </c>
      <c r="U2938">
        <f>IF(OR(B2938="",C2938="",T2938="Retracted",LEFT(D2938,8)="Negative"),0,IF(COUNTIFS($B$2:B2938,B2938,$C$2:C2938,C2938,$D$2:D2938,"&lt;&gt;Negative*",$T$2:T2938,"&lt;&gt;Retracted")=1,1,0))</f>
        <v>1</v>
      </c>
    </row>
    <row r="2939" spans="1:21" x14ac:dyDescent="0.2">
      <c r="A2939" t="s">
        <v>5312</v>
      </c>
      <c r="B2939" t="s">
        <v>1080</v>
      </c>
      <c r="C2939" t="s">
        <v>1148</v>
      </c>
      <c r="D2939" t="s">
        <v>1613</v>
      </c>
      <c r="E2939" t="s">
        <v>1081</v>
      </c>
      <c r="F2939" t="s">
        <v>1583</v>
      </c>
      <c r="I2939" t="s">
        <v>1058</v>
      </c>
      <c r="N2939" t="s">
        <v>190</v>
      </c>
      <c r="Q2939" s="2" t="str">
        <f>IF($C2939="","",IFERROR(VLOOKUP($C2939,sources!$A$2:$N$200,2,FALSE()),"?"))</f>
        <v>Report</v>
      </c>
      <c r="R2939" s="2" t="str">
        <f t="shared" si="45"/>
        <v>Textual</v>
      </c>
      <c r="S2939" s="2" t="str">
        <f>IF($C2939="","",IFERROR(VLOOKUP($C2939,sources!$A$2:$N$200,9,FALSE()),"?"))</f>
        <v>US official</v>
      </c>
      <c r="T2939" t="s">
        <v>5692</v>
      </c>
      <c r="U2939">
        <f>IF(OR(B2939="",C2939="",T2939="Retracted",LEFT(D2939,8)="Negative"),0,IF(COUNTIFS($B$2:B2939,B2939,$C$2:C2939,C2939,$D$2:D2939,"&lt;&gt;Negative*",$T$2:T2939,"&lt;&gt;Retracted")=1,1,0))</f>
        <v>0</v>
      </c>
    </row>
    <row r="2940" spans="1:21" ht="26" x14ac:dyDescent="0.2">
      <c r="A2940" t="s">
        <v>5313</v>
      </c>
      <c r="B2940" t="s">
        <v>1080</v>
      </c>
      <c r="C2940" t="s">
        <v>1384</v>
      </c>
      <c r="D2940" t="s">
        <v>1613</v>
      </c>
      <c r="E2940" t="s">
        <v>1081</v>
      </c>
      <c r="F2940" t="s">
        <v>1583</v>
      </c>
      <c r="I2940" t="s">
        <v>1058</v>
      </c>
      <c r="N2940" t="s">
        <v>209</v>
      </c>
      <c r="Q2940" s="2" t="str">
        <f>IF($C2940="","",IFERROR(VLOOKUP($C2940,sources!$A$2:$N$200,2,FALSE()),"?"))</f>
        <v>Newspaper</v>
      </c>
      <c r="R2940" s="2" t="str">
        <f t="shared" si="45"/>
        <v>Textual</v>
      </c>
      <c r="S2940" s="2" t="str">
        <f>IF($C2940="","",IFERROR(VLOOKUP($C2940,sources!$A$2:$N$200,9,FALSE()),"?"))</f>
        <v>Caribbean community</v>
      </c>
      <c r="T2940" t="s">
        <v>5692</v>
      </c>
      <c r="U2940">
        <f>IF(OR(B2940="",C2940="",T2940="Retracted",LEFT(D2940,8)="Negative"),0,IF(COUNTIFS($B$2:B2940,B2940,$C$2:C2940,C2940,$D$2:D2940,"&lt;&gt;Negative*",$T$2:T2940,"&lt;&gt;Retracted")=1,1,0))</f>
        <v>0</v>
      </c>
    </row>
    <row r="2941" spans="1:21" ht="26" x14ac:dyDescent="0.2">
      <c r="A2941" t="s">
        <v>5314</v>
      </c>
      <c r="B2941" t="s">
        <v>1080</v>
      </c>
      <c r="C2941" t="s">
        <v>1393</v>
      </c>
      <c r="D2941" t="s">
        <v>1575</v>
      </c>
      <c r="E2941" t="s">
        <v>1081</v>
      </c>
      <c r="F2941" t="s">
        <v>1583</v>
      </c>
      <c r="I2941" t="s">
        <v>1058</v>
      </c>
      <c r="K2941">
        <v>1963</v>
      </c>
      <c r="L2941">
        <v>1963</v>
      </c>
      <c r="M2941" t="s">
        <v>203</v>
      </c>
      <c r="N2941" t="s">
        <v>203</v>
      </c>
      <c r="Q2941" s="2" t="str">
        <f>IF($C2941="","",IFERROR(VLOOKUP($C2941,sources!$A$2:$N$200,2,FALSE()),"?"))</f>
        <v>Web compilation</v>
      </c>
      <c r="R2941" s="2" t="str">
        <f t="shared" si="45"/>
        <v>Textual</v>
      </c>
      <c r="S2941" s="2" t="str">
        <f>IF($C2941="","",IFERROR(VLOOKUP($C2941,sources!$A$2:$N$200,9,FALSE()),"?"))</f>
        <v>Caribbean community</v>
      </c>
      <c r="T2941" t="s">
        <v>5692</v>
      </c>
      <c r="U2941">
        <f>IF(OR(B2941="",C2941="",T2941="Retracted",LEFT(D2941,8)="Negative"),0,IF(COUNTIFS($B$2:B2941,B2941,$C$2:C2941,C2941,$D$2:D2941,"&lt;&gt;Negative*",$T$2:T2941,"&lt;&gt;Retracted")=1,1,0))</f>
        <v>1</v>
      </c>
    </row>
    <row r="2942" spans="1:21" x14ac:dyDescent="0.2">
      <c r="A2942" t="s">
        <v>5315</v>
      </c>
      <c r="B2942" t="s">
        <v>1080</v>
      </c>
      <c r="C2942" t="s">
        <v>1258</v>
      </c>
      <c r="D2942" t="s">
        <v>1575</v>
      </c>
      <c r="E2942" t="s">
        <v>1081</v>
      </c>
      <c r="F2942" t="s">
        <v>1583</v>
      </c>
      <c r="I2942" t="s">
        <v>1058</v>
      </c>
      <c r="N2942" t="s">
        <v>5311</v>
      </c>
      <c r="Q2942" s="2" t="str">
        <f>IF($C2942="","",IFERROR(VLOOKUP($C2942,sources!$A$2:$N$200,2,FALSE()),"?"))</f>
        <v>Administrative</v>
      </c>
      <c r="R2942" s="2" t="str">
        <f t="shared" si="45"/>
        <v>Textual</v>
      </c>
      <c r="S2942" s="2" t="str">
        <f>IF($C2942="","",IFERROR(VLOOKUP($C2942,sources!$A$2:$N$200,9,FALSE()),"?"))</f>
        <v>US official</v>
      </c>
      <c r="T2942" t="s">
        <v>5692</v>
      </c>
      <c r="U2942">
        <f>IF(OR(B2942="",C2942="",T2942="Retracted",LEFT(D2942,8)="Negative"),0,IF(COUNTIFS($B$2:B2942,B2942,$C$2:C2942,C2942,$D$2:D2942,"&lt;&gt;Negative*",$T$2:T2942,"&lt;&gt;Retracted")=1,1,0))</f>
        <v>1</v>
      </c>
    </row>
    <row r="2943" spans="1:21" x14ac:dyDescent="0.2">
      <c r="A2943" t="s">
        <v>5316</v>
      </c>
      <c r="B2943" t="s">
        <v>1110</v>
      </c>
      <c r="C2943" t="s">
        <v>1148</v>
      </c>
      <c r="D2943" t="s">
        <v>1613</v>
      </c>
      <c r="E2943" t="s">
        <v>5317</v>
      </c>
      <c r="F2943" t="s">
        <v>1583</v>
      </c>
      <c r="I2943" t="s">
        <v>1058</v>
      </c>
      <c r="N2943" t="s">
        <v>209</v>
      </c>
      <c r="Q2943" s="2" t="str">
        <f>IF($C2943="","",IFERROR(VLOOKUP($C2943,sources!$A$2:$N$200,2,FALSE()),"?"))</f>
        <v>Report</v>
      </c>
      <c r="R2943" s="2" t="str">
        <f t="shared" si="45"/>
        <v>Textual</v>
      </c>
      <c r="S2943" s="2" t="str">
        <f>IF($C2943="","",IFERROR(VLOOKUP($C2943,sources!$A$2:$N$200,9,FALSE()),"?"))</f>
        <v>US official</v>
      </c>
      <c r="T2943" t="s">
        <v>5693</v>
      </c>
      <c r="U2943">
        <f>IF(OR(B2943="",C2943="",T2943="Retracted",LEFT(D2943,8)="Negative"),0,IF(COUNTIFS($B$2:B2943,B2943,$C$2:C2943,C2943,$D$2:D2943,"&lt;&gt;Negative*",$T$2:T2943,"&lt;&gt;Retracted")=1,1,0))</f>
        <v>0</v>
      </c>
    </row>
    <row r="2944" spans="1:21" ht="26" x14ac:dyDescent="0.2">
      <c r="A2944" t="s">
        <v>5318</v>
      </c>
      <c r="B2944" t="s">
        <v>1110</v>
      </c>
      <c r="C2944" t="s">
        <v>1384</v>
      </c>
      <c r="D2944" t="s">
        <v>1613</v>
      </c>
      <c r="E2944" t="s">
        <v>5317</v>
      </c>
      <c r="F2944" t="s">
        <v>1583</v>
      </c>
      <c r="I2944" t="s">
        <v>1058</v>
      </c>
      <c r="N2944" t="s">
        <v>209</v>
      </c>
      <c r="Q2944" s="2" t="str">
        <f>IF($C2944="","",IFERROR(VLOOKUP($C2944,sources!$A$2:$N$200,2,FALSE()),"?"))</f>
        <v>Newspaper</v>
      </c>
      <c r="R2944" s="2" t="str">
        <f t="shared" si="45"/>
        <v>Textual</v>
      </c>
      <c r="S2944" s="2" t="str">
        <f>IF($C2944="","",IFERROR(VLOOKUP($C2944,sources!$A$2:$N$200,9,FALSE()),"?"))</f>
        <v>Caribbean community</v>
      </c>
      <c r="T2944" t="s">
        <v>5693</v>
      </c>
      <c r="U2944">
        <f>IF(OR(B2944="",C2944="",T2944="Retracted",LEFT(D2944,8)="Negative"),0,IF(COUNTIFS($B$2:B2944,B2944,$C$2:C2944,C2944,$D$2:D2944,"&lt;&gt;Negative*",$T$2:T2944,"&lt;&gt;Retracted")=1,1,0))</f>
        <v>0</v>
      </c>
    </row>
    <row r="2945" spans="1:21" ht="26" x14ac:dyDescent="0.2">
      <c r="A2945" t="s">
        <v>5319</v>
      </c>
      <c r="B2945" t="s">
        <v>1110</v>
      </c>
      <c r="C2945" t="s">
        <v>1393</v>
      </c>
      <c r="D2945" t="s">
        <v>1613</v>
      </c>
      <c r="E2945" t="s">
        <v>5317</v>
      </c>
      <c r="F2945" t="s">
        <v>1583</v>
      </c>
      <c r="I2945" t="s">
        <v>1058</v>
      </c>
      <c r="N2945" t="s">
        <v>190</v>
      </c>
      <c r="Q2945" s="2" t="str">
        <f>IF($C2945="","",IFERROR(VLOOKUP($C2945,sources!$A$2:$N$200,2,FALSE()),"?"))</f>
        <v>Web compilation</v>
      </c>
      <c r="R2945" s="2" t="str">
        <f t="shared" si="45"/>
        <v>Textual</v>
      </c>
      <c r="S2945" s="2" t="str">
        <f>IF($C2945="","",IFERROR(VLOOKUP($C2945,sources!$A$2:$N$200,9,FALSE()),"?"))</f>
        <v>Caribbean community</v>
      </c>
      <c r="T2945" t="s">
        <v>5693</v>
      </c>
      <c r="U2945">
        <f>IF(OR(B2945="",C2945="",T2945="Retracted",LEFT(D2945,8)="Negative"),0,IF(COUNTIFS($B$2:B2945,B2945,$C$2:C2945,C2945,$D$2:D2945,"&lt;&gt;Negative*",$T$2:T2945,"&lt;&gt;Retracted")=1,1,0))</f>
        <v>0</v>
      </c>
    </row>
    <row r="2946" spans="1:21" x14ac:dyDescent="0.2">
      <c r="A2946" t="s">
        <v>5320</v>
      </c>
      <c r="B2946" t="s">
        <v>1110</v>
      </c>
      <c r="C2946" t="s">
        <v>1258</v>
      </c>
      <c r="D2946" t="s">
        <v>1613</v>
      </c>
      <c r="E2946" t="s">
        <v>5317</v>
      </c>
      <c r="F2946" t="s">
        <v>1583</v>
      </c>
      <c r="I2946" t="s">
        <v>1058</v>
      </c>
      <c r="N2946" t="s">
        <v>190</v>
      </c>
      <c r="Q2946" s="2" t="str">
        <f>IF($C2946="","",IFERROR(VLOOKUP($C2946,sources!$A$2:$N$200,2,FALSE()),"?"))</f>
        <v>Administrative</v>
      </c>
      <c r="R2946" s="2" t="str">
        <f t="shared" ref="R2946:R3009" si="46">IF($Q2946="","",IF($Q2946="Map","Map",IF(OR($Q2946="Photograph",$Q2946="Postcard"),"Image",IF(OR($Q2946="Census or roll",$Q2946="Report",$Q2946="Newspaper",$Q2946="Letter",$Q2946="Memoir",$Q2946="Administrative",$Q2946="Web compilation"),"Textual",IF($Q2946="Legal claim","Legal/admin",IF($Q2946="Secondary","Secondary","Other"))))))</f>
        <v>Textual</v>
      </c>
      <c r="S2946" s="2" t="str">
        <f>IF($C2946="","",IFERROR(VLOOKUP($C2946,sources!$A$2:$N$200,9,FALSE()),"?"))</f>
        <v>US official</v>
      </c>
      <c r="T2946" t="s">
        <v>5693</v>
      </c>
      <c r="U2946">
        <f>IF(OR(B2946="",C2946="",T2946="Retracted",LEFT(D2946,8)="Negative"),0,IF(COUNTIFS($B$2:B2946,B2946,$C$2:C2946,C2946,$D$2:D2946,"&lt;&gt;Negative*",$T$2:T2946,"&lt;&gt;Retracted")=1,1,0))</f>
        <v>0</v>
      </c>
    </row>
    <row r="2947" spans="1:21" x14ac:dyDescent="0.2">
      <c r="A2947" t="s">
        <v>5321</v>
      </c>
      <c r="B2947" t="s">
        <v>847</v>
      </c>
      <c r="C2947" t="s">
        <v>1370</v>
      </c>
      <c r="D2947" t="s">
        <v>1572</v>
      </c>
      <c r="E2947" t="s">
        <v>5322</v>
      </c>
      <c r="F2947" t="s">
        <v>1583</v>
      </c>
      <c r="G2947">
        <v>9.1755999999999993</v>
      </c>
      <c r="H2947">
        <v>-79.801329999999993</v>
      </c>
      <c r="I2947" t="s">
        <v>3312</v>
      </c>
      <c r="J2947">
        <v>300</v>
      </c>
      <c r="K2947">
        <v>1940</v>
      </c>
      <c r="L2947">
        <v>1940</v>
      </c>
      <c r="M2947" t="s">
        <v>203</v>
      </c>
      <c r="N2947" t="s">
        <v>203</v>
      </c>
      <c r="Q2947" s="2" t="str">
        <f>IF($C2947="","",IFERROR(VLOOKUP($C2947,sources!$A$2:$N$200,2,FALSE()),"?"))</f>
        <v>Map</v>
      </c>
      <c r="R2947" s="2" t="str">
        <f t="shared" si="46"/>
        <v>Map</v>
      </c>
      <c r="S2947" s="2" t="str">
        <f>IF($C2947="","",IFERROR(VLOOKUP($C2947,sources!$A$2:$N$200,9,FALSE()),"?"))</f>
        <v>US official</v>
      </c>
      <c r="T2947" t="s">
        <v>5692</v>
      </c>
      <c r="U2947">
        <f>IF(OR(B2947="",C2947="",T2947="Retracted",LEFT(D2947,8)="Negative"),0,IF(COUNTIFS($B$2:B2947,B2947,$C$2:C2947,C2947,$D$2:D2947,"&lt;&gt;Negative*",$T$2:T2947,"&lt;&gt;Retracted")=1,1,0))</f>
        <v>0</v>
      </c>
    </row>
    <row r="2948" spans="1:21" x14ac:dyDescent="0.2">
      <c r="A2948" t="s">
        <v>5323</v>
      </c>
      <c r="B2948" t="s">
        <v>530</v>
      </c>
      <c r="C2948" t="s">
        <v>1370</v>
      </c>
      <c r="D2948" t="s">
        <v>1572</v>
      </c>
      <c r="E2948" t="s">
        <v>5324</v>
      </c>
      <c r="F2948" t="s">
        <v>1583</v>
      </c>
      <c r="G2948">
        <v>9.2956009999999996</v>
      </c>
      <c r="H2948">
        <v>-79.892565000000005</v>
      </c>
      <c r="I2948" t="s">
        <v>3312</v>
      </c>
      <c r="J2948">
        <v>400</v>
      </c>
      <c r="K2948">
        <v>1940</v>
      </c>
      <c r="L2948">
        <v>1940</v>
      </c>
      <c r="M2948" t="s">
        <v>203</v>
      </c>
      <c r="N2948" t="s">
        <v>209</v>
      </c>
      <c r="Q2948" s="2" t="str">
        <f>IF($C2948="","",IFERROR(VLOOKUP($C2948,sources!$A$2:$N$200,2,FALSE()),"?"))</f>
        <v>Map</v>
      </c>
      <c r="R2948" s="2" t="str">
        <f t="shared" si="46"/>
        <v>Map</v>
      </c>
      <c r="S2948" s="2" t="str">
        <f>IF($C2948="","",IFERROR(VLOOKUP($C2948,sources!$A$2:$N$200,9,FALSE()),"?"))</f>
        <v>US official</v>
      </c>
      <c r="T2948" t="s">
        <v>5692</v>
      </c>
      <c r="U2948">
        <f>IF(OR(B2948="",C2948="",T2948="Retracted",LEFT(D2948,8)="Negative"),0,IF(COUNTIFS($B$2:B2948,B2948,$C$2:C2948,C2948,$D$2:D2948,"&lt;&gt;Negative*",$T$2:T2948,"&lt;&gt;Retracted")=1,1,0))</f>
        <v>0</v>
      </c>
    </row>
    <row r="2949" spans="1:21" x14ac:dyDescent="0.2">
      <c r="A2949" t="s">
        <v>5325</v>
      </c>
      <c r="B2949" t="s">
        <v>1030</v>
      </c>
      <c r="C2949" t="s">
        <v>1241</v>
      </c>
      <c r="D2949" t="s">
        <v>1613</v>
      </c>
      <c r="E2949" t="s">
        <v>5214</v>
      </c>
      <c r="F2949" t="s">
        <v>1583</v>
      </c>
      <c r="I2949" t="s">
        <v>1058</v>
      </c>
      <c r="N2949" t="s">
        <v>209</v>
      </c>
      <c r="Q2949" s="2" t="str">
        <f>IF($C2949="","",IFERROR(VLOOKUP($C2949,sources!$A$2:$N$200,2,FALSE()),"?"))</f>
        <v>Photograph</v>
      </c>
      <c r="R2949" s="2" t="str">
        <f t="shared" si="46"/>
        <v>Image</v>
      </c>
      <c r="S2949" s="2" t="str">
        <f>IF($C2949="","",IFERROR(VLOOKUP($C2949,sources!$A$2:$N$200,9,FALSE()),"?"))</f>
        <v>US official</v>
      </c>
      <c r="T2949" t="s">
        <v>5692</v>
      </c>
      <c r="U2949">
        <f>IF(OR(B2949="",C2949="",T2949="Retracted",LEFT(D2949,8)="Negative"),0,IF(COUNTIFS($B$2:B2949,B2949,$C$2:C2949,C2949,$D$2:D2949,"&lt;&gt;Negative*",$T$2:T2949,"&lt;&gt;Retracted")=1,1,0))</f>
        <v>0</v>
      </c>
    </row>
    <row r="2950" spans="1:21" x14ac:dyDescent="0.2">
      <c r="A2950" t="s">
        <v>5326</v>
      </c>
      <c r="B2950" t="s">
        <v>1033</v>
      </c>
      <c r="C2950" t="s">
        <v>1241</v>
      </c>
      <c r="D2950" t="s">
        <v>1613</v>
      </c>
      <c r="E2950" t="s">
        <v>5271</v>
      </c>
      <c r="F2950" t="s">
        <v>1583</v>
      </c>
      <c r="I2950" t="s">
        <v>1058</v>
      </c>
      <c r="N2950" t="s">
        <v>209</v>
      </c>
      <c r="Q2950" s="2" t="str">
        <f>IF($C2950="","",IFERROR(VLOOKUP($C2950,sources!$A$2:$N$200,2,FALSE()),"?"))</f>
        <v>Photograph</v>
      </c>
      <c r="R2950" s="2" t="str">
        <f t="shared" si="46"/>
        <v>Image</v>
      </c>
      <c r="S2950" s="2" t="str">
        <f>IF($C2950="","",IFERROR(VLOOKUP($C2950,sources!$A$2:$N$200,9,FALSE()),"?"))</f>
        <v>US official</v>
      </c>
      <c r="T2950" t="s">
        <v>5693</v>
      </c>
      <c r="U2950">
        <f>IF(OR(B2950="",C2950="",T2950="Retracted",LEFT(D2950,8)="Negative"),0,IF(COUNTIFS($B$2:B2950,B2950,$C$2:C2950,C2950,$D$2:D2950,"&lt;&gt;Negative*",$T$2:T2950,"&lt;&gt;Retracted")=1,1,0))</f>
        <v>0</v>
      </c>
    </row>
    <row r="2951" spans="1:21" x14ac:dyDescent="0.2">
      <c r="A2951" t="s">
        <v>5327</v>
      </c>
      <c r="B2951" t="s">
        <v>1037</v>
      </c>
      <c r="C2951" t="s">
        <v>1241</v>
      </c>
      <c r="D2951" t="s">
        <v>1575</v>
      </c>
      <c r="E2951" t="s">
        <v>1039</v>
      </c>
      <c r="F2951" t="s">
        <v>1583</v>
      </c>
      <c r="I2951" t="s">
        <v>1058</v>
      </c>
      <c r="N2951" t="s">
        <v>203</v>
      </c>
      <c r="Q2951" s="2" t="str">
        <f>IF($C2951="","",IFERROR(VLOOKUP($C2951,sources!$A$2:$N$200,2,FALSE()),"?"))</f>
        <v>Photograph</v>
      </c>
      <c r="R2951" s="2" t="str">
        <f t="shared" si="46"/>
        <v>Image</v>
      </c>
      <c r="S2951" s="2" t="str">
        <f>IF($C2951="","",IFERROR(VLOOKUP($C2951,sources!$A$2:$N$200,9,FALSE()),"?"))</f>
        <v>US official</v>
      </c>
      <c r="T2951" t="s">
        <v>5692</v>
      </c>
      <c r="U2951">
        <f>IF(OR(B2951="",C2951="",T2951="Retracted",LEFT(D2951,8)="Negative"),0,IF(COUNTIFS($B$2:B2951,B2951,$C$2:C2951,C2951,$D$2:D2951,"&lt;&gt;Negative*",$T$2:T2951,"&lt;&gt;Retracted")=1,1,0))</f>
        <v>1</v>
      </c>
    </row>
    <row r="2952" spans="1:21" x14ac:dyDescent="0.2">
      <c r="A2952" t="s">
        <v>5328</v>
      </c>
      <c r="B2952" t="s">
        <v>1042</v>
      </c>
      <c r="C2952" t="s">
        <v>1241</v>
      </c>
      <c r="D2952" t="s">
        <v>1613</v>
      </c>
      <c r="E2952" t="s">
        <v>1043</v>
      </c>
      <c r="F2952" t="s">
        <v>1583</v>
      </c>
      <c r="I2952" t="s">
        <v>1058</v>
      </c>
      <c r="N2952" t="s">
        <v>209</v>
      </c>
      <c r="Q2952" s="2" t="str">
        <f>IF($C2952="","",IFERROR(VLOOKUP($C2952,sources!$A$2:$N$200,2,FALSE()),"?"))</f>
        <v>Photograph</v>
      </c>
      <c r="R2952" s="2" t="str">
        <f t="shared" si="46"/>
        <v>Image</v>
      </c>
      <c r="S2952" s="2" t="str">
        <f>IF($C2952="","",IFERROR(VLOOKUP($C2952,sources!$A$2:$N$200,9,FALSE()),"?"))</f>
        <v>US official</v>
      </c>
      <c r="T2952" t="s">
        <v>5693</v>
      </c>
      <c r="U2952">
        <f>IF(OR(B2952="",C2952="",T2952="Retracted",LEFT(D2952,8)="Negative"),0,IF(COUNTIFS($B$2:B2952,B2952,$C$2:C2952,C2952,$D$2:D2952,"&lt;&gt;Negative*",$T$2:T2952,"&lt;&gt;Retracted")=1,1,0))</f>
        <v>0</v>
      </c>
    </row>
    <row r="2953" spans="1:21" x14ac:dyDescent="0.2">
      <c r="A2953" t="s">
        <v>5329</v>
      </c>
      <c r="B2953" t="s">
        <v>1046</v>
      </c>
      <c r="C2953" t="s">
        <v>1241</v>
      </c>
      <c r="D2953" t="s">
        <v>1613</v>
      </c>
      <c r="E2953" t="s">
        <v>1047</v>
      </c>
      <c r="F2953" t="s">
        <v>1583</v>
      </c>
      <c r="I2953" t="s">
        <v>1058</v>
      </c>
      <c r="N2953" t="s">
        <v>209</v>
      </c>
      <c r="Q2953" s="2" t="str">
        <f>IF($C2953="","",IFERROR(VLOOKUP($C2953,sources!$A$2:$N$200,2,FALSE()),"?"))</f>
        <v>Photograph</v>
      </c>
      <c r="R2953" s="2" t="str">
        <f t="shared" si="46"/>
        <v>Image</v>
      </c>
      <c r="S2953" s="2" t="str">
        <f>IF($C2953="","",IFERROR(VLOOKUP($C2953,sources!$A$2:$N$200,9,FALSE()),"?"))</f>
        <v>US official</v>
      </c>
      <c r="T2953" t="s">
        <v>5693</v>
      </c>
      <c r="U2953">
        <f>IF(OR(B2953="",C2953="",T2953="Retracted",LEFT(D2953,8)="Negative"),0,IF(COUNTIFS($B$2:B2953,B2953,$C$2:C2953,C2953,$D$2:D2953,"&lt;&gt;Negative*",$T$2:T2953,"&lt;&gt;Retracted")=1,1,0))</f>
        <v>0</v>
      </c>
    </row>
    <row r="2954" spans="1:21" x14ac:dyDescent="0.2">
      <c r="A2954" t="s">
        <v>5330</v>
      </c>
      <c r="B2954" t="s">
        <v>1049</v>
      </c>
      <c r="C2954" t="s">
        <v>1241</v>
      </c>
      <c r="D2954" t="s">
        <v>1613</v>
      </c>
      <c r="E2954" t="s">
        <v>1050</v>
      </c>
      <c r="F2954" t="s">
        <v>1583</v>
      </c>
      <c r="I2954" t="s">
        <v>1058</v>
      </c>
      <c r="N2954" t="s">
        <v>190</v>
      </c>
      <c r="Q2954" s="2" t="str">
        <f>IF($C2954="","",IFERROR(VLOOKUP($C2954,sources!$A$2:$N$200,2,FALSE()),"?"))</f>
        <v>Photograph</v>
      </c>
      <c r="R2954" s="2" t="str">
        <f t="shared" si="46"/>
        <v>Image</v>
      </c>
      <c r="S2954" s="2" t="str">
        <f>IF($C2954="","",IFERROR(VLOOKUP($C2954,sources!$A$2:$N$200,9,FALSE()),"?"))</f>
        <v>US official</v>
      </c>
      <c r="T2954" t="s">
        <v>5693</v>
      </c>
      <c r="U2954">
        <f>IF(OR(B2954="",C2954="",T2954="Retracted",LEFT(D2954,8)="Negative"),0,IF(COUNTIFS($B$2:B2954,B2954,$C$2:C2954,C2954,$D$2:D2954,"&lt;&gt;Negative*",$T$2:T2954,"&lt;&gt;Retracted")=1,1,0))</f>
        <v>0</v>
      </c>
    </row>
    <row r="2955" spans="1:21" x14ac:dyDescent="0.2">
      <c r="A2955" t="s">
        <v>5331</v>
      </c>
      <c r="B2955" t="s">
        <v>1053</v>
      </c>
      <c r="C2955" t="s">
        <v>1241</v>
      </c>
      <c r="D2955" t="s">
        <v>1613</v>
      </c>
      <c r="E2955" t="s">
        <v>1054</v>
      </c>
      <c r="F2955" t="s">
        <v>1583</v>
      </c>
      <c r="I2955" t="s">
        <v>1058</v>
      </c>
      <c r="N2955" t="s">
        <v>203</v>
      </c>
      <c r="Q2955" s="2" t="str">
        <f>IF($C2955="","",IFERROR(VLOOKUP($C2955,sources!$A$2:$N$200,2,FALSE()),"?"))</f>
        <v>Photograph</v>
      </c>
      <c r="R2955" s="2" t="str">
        <f t="shared" si="46"/>
        <v>Image</v>
      </c>
      <c r="S2955" s="2" t="str">
        <f>IF($C2955="","",IFERROR(VLOOKUP($C2955,sources!$A$2:$N$200,9,FALSE()),"?"))</f>
        <v>US official</v>
      </c>
      <c r="T2955" t="s">
        <v>5693</v>
      </c>
      <c r="U2955">
        <f>IF(OR(B2955="",C2955="",T2955="Retracted",LEFT(D2955,8)="Negative"),0,IF(COUNTIFS($B$2:B2955,B2955,$C$2:C2955,C2955,$D$2:D2955,"&lt;&gt;Negative*",$T$2:T2955,"&lt;&gt;Retracted")=1,1,0))</f>
        <v>0</v>
      </c>
    </row>
    <row r="2956" spans="1:21" x14ac:dyDescent="0.2">
      <c r="A2956" t="s">
        <v>5332</v>
      </c>
      <c r="B2956" t="s">
        <v>1056</v>
      </c>
      <c r="C2956" t="s">
        <v>1241</v>
      </c>
      <c r="D2956" t="s">
        <v>1613</v>
      </c>
      <c r="E2956" t="s">
        <v>1057</v>
      </c>
      <c r="F2956" t="s">
        <v>1583</v>
      </c>
      <c r="I2956" t="s">
        <v>1058</v>
      </c>
      <c r="N2956" t="s">
        <v>203</v>
      </c>
      <c r="Q2956" s="2" t="str">
        <f>IF($C2956="","",IFERROR(VLOOKUP($C2956,sources!$A$2:$N$200,2,FALSE()),"?"))</f>
        <v>Photograph</v>
      </c>
      <c r="R2956" s="2" t="str">
        <f t="shared" si="46"/>
        <v>Image</v>
      </c>
      <c r="S2956" s="2" t="str">
        <f>IF($C2956="","",IFERROR(VLOOKUP($C2956,sources!$A$2:$N$200,9,FALSE()),"?"))</f>
        <v>US official</v>
      </c>
      <c r="T2956" t="s">
        <v>5692</v>
      </c>
      <c r="U2956">
        <f>IF(OR(B2956="",C2956="",T2956="Retracted",LEFT(D2956,8)="Negative"),0,IF(COUNTIFS($B$2:B2956,B2956,$C$2:C2956,C2956,$D$2:D2956,"&lt;&gt;Negative*",$T$2:T2956,"&lt;&gt;Retracted")=1,1,0))</f>
        <v>0</v>
      </c>
    </row>
    <row r="2957" spans="1:21" x14ac:dyDescent="0.2">
      <c r="A2957" t="s">
        <v>5333</v>
      </c>
      <c r="B2957" t="s">
        <v>1068</v>
      </c>
      <c r="C2957" t="s">
        <v>1241</v>
      </c>
      <c r="D2957" t="s">
        <v>1613</v>
      </c>
      <c r="E2957" t="s">
        <v>1069</v>
      </c>
      <c r="F2957" t="s">
        <v>1583</v>
      </c>
      <c r="I2957" t="s">
        <v>1058</v>
      </c>
      <c r="N2957" t="s">
        <v>190</v>
      </c>
      <c r="Q2957" s="2" t="str">
        <f>IF($C2957="","",IFERROR(VLOOKUP($C2957,sources!$A$2:$N$200,2,FALSE()),"?"))</f>
        <v>Photograph</v>
      </c>
      <c r="R2957" s="2" t="str">
        <f t="shared" si="46"/>
        <v>Image</v>
      </c>
      <c r="S2957" s="2" t="str">
        <f>IF($C2957="","",IFERROR(VLOOKUP($C2957,sources!$A$2:$N$200,9,FALSE()),"?"))</f>
        <v>US official</v>
      </c>
      <c r="T2957" t="s">
        <v>5693</v>
      </c>
      <c r="U2957">
        <f>IF(OR(B2957="",C2957="",T2957="Retracted",LEFT(D2957,8)="Negative"),0,IF(COUNTIFS($B$2:B2957,B2957,$C$2:C2957,C2957,$D$2:D2957,"&lt;&gt;Negative*",$T$2:T2957,"&lt;&gt;Retracted")=1,1,0))</f>
        <v>0</v>
      </c>
    </row>
    <row r="2958" spans="1:21" x14ac:dyDescent="0.2">
      <c r="A2958" t="s">
        <v>5334</v>
      </c>
      <c r="B2958" t="s">
        <v>1072</v>
      </c>
      <c r="C2958" t="s">
        <v>1241</v>
      </c>
      <c r="D2958" t="s">
        <v>1613</v>
      </c>
      <c r="E2958" t="s">
        <v>1073</v>
      </c>
      <c r="F2958" t="s">
        <v>1583</v>
      </c>
      <c r="I2958" t="s">
        <v>1058</v>
      </c>
      <c r="N2958" t="s">
        <v>209</v>
      </c>
      <c r="Q2958" s="2" t="str">
        <f>IF($C2958="","",IFERROR(VLOOKUP($C2958,sources!$A$2:$N$200,2,FALSE()),"?"))</f>
        <v>Photograph</v>
      </c>
      <c r="R2958" s="2" t="str">
        <f t="shared" si="46"/>
        <v>Image</v>
      </c>
      <c r="S2958" s="2" t="str">
        <f>IF($C2958="","",IFERROR(VLOOKUP($C2958,sources!$A$2:$N$200,9,FALSE()),"?"))</f>
        <v>US official</v>
      </c>
      <c r="T2958" t="s">
        <v>5693</v>
      </c>
      <c r="U2958">
        <f>IF(OR(B2958="",C2958="",T2958="Retracted",LEFT(D2958,8)="Negative"),0,IF(COUNTIFS($B$2:B2958,B2958,$C$2:C2958,C2958,$D$2:D2958,"&lt;&gt;Negative*",$T$2:T2958,"&lt;&gt;Retracted")=1,1,0))</f>
        <v>0</v>
      </c>
    </row>
    <row r="2959" spans="1:21" x14ac:dyDescent="0.2">
      <c r="A2959" t="s">
        <v>5335</v>
      </c>
      <c r="B2959" t="s">
        <v>1076</v>
      </c>
      <c r="C2959" t="s">
        <v>1241</v>
      </c>
      <c r="D2959" t="s">
        <v>1613</v>
      </c>
      <c r="E2959" t="s">
        <v>5310</v>
      </c>
      <c r="F2959" t="s">
        <v>1583</v>
      </c>
      <c r="I2959" t="s">
        <v>1058</v>
      </c>
      <c r="N2959" t="s">
        <v>190</v>
      </c>
      <c r="Q2959" s="2" t="str">
        <f>IF($C2959="","",IFERROR(VLOOKUP($C2959,sources!$A$2:$N$200,2,FALSE()),"?"))</f>
        <v>Photograph</v>
      </c>
      <c r="R2959" s="2" t="str">
        <f t="shared" si="46"/>
        <v>Image</v>
      </c>
      <c r="S2959" s="2" t="str">
        <f>IF($C2959="","",IFERROR(VLOOKUP($C2959,sources!$A$2:$N$200,9,FALSE()),"?"))</f>
        <v>US official</v>
      </c>
      <c r="T2959" t="s">
        <v>5692</v>
      </c>
      <c r="U2959">
        <f>IF(OR(B2959="",C2959="",T2959="Retracted",LEFT(D2959,8)="Negative"),0,IF(COUNTIFS($B$2:B2959,B2959,$C$2:C2959,C2959,$D$2:D2959,"&lt;&gt;Negative*",$T$2:T2959,"&lt;&gt;Retracted")=1,1,0))</f>
        <v>0</v>
      </c>
    </row>
    <row r="2960" spans="1:21" x14ac:dyDescent="0.2">
      <c r="A2960" t="s">
        <v>5336</v>
      </c>
      <c r="B2960" t="s">
        <v>1080</v>
      </c>
      <c r="C2960" t="s">
        <v>1241</v>
      </c>
      <c r="D2960" t="s">
        <v>1613</v>
      </c>
      <c r="E2960" t="s">
        <v>1081</v>
      </c>
      <c r="F2960" t="s">
        <v>1583</v>
      </c>
      <c r="I2960" t="s">
        <v>1058</v>
      </c>
      <c r="N2960" t="s">
        <v>190</v>
      </c>
      <c r="Q2960" s="2" t="str">
        <f>IF($C2960="","",IFERROR(VLOOKUP($C2960,sources!$A$2:$N$200,2,FALSE()),"?"))</f>
        <v>Photograph</v>
      </c>
      <c r="R2960" s="2" t="str">
        <f t="shared" si="46"/>
        <v>Image</v>
      </c>
      <c r="S2960" s="2" t="str">
        <f>IF($C2960="","",IFERROR(VLOOKUP($C2960,sources!$A$2:$N$200,9,FALSE()),"?"))</f>
        <v>US official</v>
      </c>
      <c r="T2960" t="s">
        <v>5692</v>
      </c>
      <c r="U2960">
        <f>IF(OR(B2960="",C2960="",T2960="Retracted",LEFT(D2960,8)="Negative"),0,IF(COUNTIFS($B$2:B2960,B2960,$C$2:C2960,C2960,$D$2:D2960,"&lt;&gt;Negative*",$T$2:T2960,"&lt;&gt;Retracted")=1,1,0))</f>
        <v>0</v>
      </c>
    </row>
    <row r="2961" spans="1:21" x14ac:dyDescent="0.2">
      <c r="A2961" t="s">
        <v>5337</v>
      </c>
      <c r="B2961" t="s">
        <v>1110</v>
      </c>
      <c r="C2961" t="s">
        <v>1241</v>
      </c>
      <c r="D2961" t="s">
        <v>1613</v>
      </c>
      <c r="E2961" t="s">
        <v>5317</v>
      </c>
      <c r="F2961" t="s">
        <v>1583</v>
      </c>
      <c r="I2961" t="s">
        <v>1058</v>
      </c>
      <c r="N2961" t="s">
        <v>190</v>
      </c>
      <c r="Q2961" s="2" t="str">
        <f>IF($C2961="","",IFERROR(VLOOKUP($C2961,sources!$A$2:$N$200,2,FALSE()),"?"))</f>
        <v>Photograph</v>
      </c>
      <c r="R2961" s="2" t="str">
        <f t="shared" si="46"/>
        <v>Image</v>
      </c>
      <c r="S2961" s="2" t="str">
        <f>IF($C2961="","",IFERROR(VLOOKUP($C2961,sources!$A$2:$N$200,9,FALSE()),"?"))</f>
        <v>US official</v>
      </c>
      <c r="T2961" t="s">
        <v>5693</v>
      </c>
      <c r="U2961">
        <f>IF(OR(B2961="",C2961="",T2961="Retracted",LEFT(D2961,8)="Negative"),0,IF(COUNTIFS($B$2:B2961,B2961,$C$2:C2961,C2961,$D$2:D2961,"&lt;&gt;Negative*",$T$2:T2961,"&lt;&gt;Retracted")=1,1,0))</f>
        <v>0</v>
      </c>
    </row>
    <row r="2962" spans="1:21" x14ac:dyDescent="0.2">
      <c r="A2962" t="s">
        <v>5338</v>
      </c>
      <c r="B2962" t="s">
        <v>683</v>
      </c>
      <c r="C2962" t="s">
        <v>1203</v>
      </c>
      <c r="D2962" t="s">
        <v>1613</v>
      </c>
      <c r="E2962" t="s">
        <v>2885</v>
      </c>
      <c r="F2962" t="s">
        <v>1583</v>
      </c>
      <c r="I2962" t="s">
        <v>1058</v>
      </c>
      <c r="N2962" t="s">
        <v>209</v>
      </c>
      <c r="Q2962" s="2" t="str">
        <f>IF($C2962="","",IFERROR(VLOOKUP($C2962,sources!$A$2:$N$200,2,FALSE()),"?"))</f>
        <v>Newspaper</v>
      </c>
      <c r="R2962" s="2" t="str">
        <f t="shared" si="46"/>
        <v>Textual</v>
      </c>
      <c r="S2962" s="2" t="str">
        <f>IF($C2962="","",IFERROR(VLOOKUP($C2962,sources!$A$2:$N$200,9,FALSE()),"?"))</f>
        <v>US press</v>
      </c>
      <c r="T2962" t="s">
        <v>5692</v>
      </c>
      <c r="U2962">
        <f>IF(OR(B2962="",C2962="",T2962="Retracted",LEFT(D2962,8)="Negative"),0,IF(COUNTIFS($B$2:B2962,B2962,$C$2:C2962,C2962,$D$2:D2962,"&lt;&gt;Negative*",$T$2:T2962,"&lt;&gt;Retracted")=1,1,0))</f>
        <v>0</v>
      </c>
    </row>
    <row r="2963" spans="1:21" x14ac:dyDescent="0.2">
      <c r="A2963" t="s">
        <v>5339</v>
      </c>
      <c r="B2963" t="s">
        <v>701</v>
      </c>
      <c r="C2963" t="s">
        <v>1203</v>
      </c>
      <c r="D2963" t="s">
        <v>1613</v>
      </c>
      <c r="E2963" t="s">
        <v>4910</v>
      </c>
      <c r="F2963" t="s">
        <v>1583</v>
      </c>
      <c r="I2963" t="s">
        <v>1058</v>
      </c>
      <c r="N2963" t="s">
        <v>209</v>
      </c>
      <c r="Q2963" s="2" t="str">
        <f>IF($C2963="","",IFERROR(VLOOKUP($C2963,sources!$A$2:$N$200,2,FALSE()),"?"))</f>
        <v>Newspaper</v>
      </c>
      <c r="R2963" s="2" t="str">
        <f t="shared" si="46"/>
        <v>Textual</v>
      </c>
      <c r="S2963" s="2" t="str">
        <f>IF($C2963="","",IFERROR(VLOOKUP($C2963,sources!$A$2:$N$200,9,FALSE()),"?"))</f>
        <v>US press</v>
      </c>
      <c r="T2963" t="s">
        <v>5692</v>
      </c>
      <c r="U2963">
        <f>IF(OR(B2963="",C2963="",T2963="Retracted",LEFT(D2963,8)="Negative"),0,IF(COUNTIFS($B$2:B2963,B2963,$C$2:C2963,C2963,$D$2:D2963,"&lt;&gt;Negative*",$T$2:T2963,"&lt;&gt;Retracted")=1,1,0))</f>
        <v>0</v>
      </c>
    </row>
    <row r="2964" spans="1:21" x14ac:dyDescent="0.2">
      <c r="A2964" t="s">
        <v>5340</v>
      </c>
      <c r="B2964" t="s">
        <v>733</v>
      </c>
      <c r="C2964" t="s">
        <v>1203</v>
      </c>
      <c r="D2964" t="s">
        <v>1613</v>
      </c>
      <c r="E2964" t="s">
        <v>4973</v>
      </c>
      <c r="F2964" t="s">
        <v>1583</v>
      </c>
      <c r="I2964" t="s">
        <v>1058</v>
      </c>
      <c r="N2964" t="s">
        <v>209</v>
      </c>
      <c r="Q2964" s="2" t="str">
        <f>IF($C2964="","",IFERROR(VLOOKUP($C2964,sources!$A$2:$N$200,2,FALSE()),"?"))</f>
        <v>Newspaper</v>
      </c>
      <c r="R2964" s="2" t="str">
        <f t="shared" si="46"/>
        <v>Textual</v>
      </c>
      <c r="S2964" s="2" t="str">
        <f>IF($C2964="","",IFERROR(VLOOKUP($C2964,sources!$A$2:$N$200,9,FALSE()),"?"))</f>
        <v>US press</v>
      </c>
      <c r="T2964" t="s">
        <v>5692</v>
      </c>
      <c r="U2964">
        <f>IF(OR(B2964="",C2964="",T2964="Retracted",LEFT(D2964,8)="Negative"),0,IF(COUNTIFS($B$2:B2964,B2964,$C$2:C2964,C2964,$D$2:D2964,"&lt;&gt;Negative*",$T$2:T2964,"&lt;&gt;Retracted")=1,1,0))</f>
        <v>0</v>
      </c>
    </row>
    <row r="2965" spans="1:21" x14ac:dyDescent="0.2">
      <c r="A2965" t="s">
        <v>5341</v>
      </c>
      <c r="B2965" t="s">
        <v>737</v>
      </c>
      <c r="C2965" t="s">
        <v>1203</v>
      </c>
      <c r="D2965" t="s">
        <v>1613</v>
      </c>
      <c r="E2965" t="s">
        <v>4927</v>
      </c>
      <c r="F2965" t="s">
        <v>1583</v>
      </c>
      <c r="I2965" t="s">
        <v>1058</v>
      </c>
      <c r="N2965" t="s">
        <v>209</v>
      </c>
      <c r="Q2965" s="2" t="str">
        <f>IF($C2965="","",IFERROR(VLOOKUP($C2965,sources!$A$2:$N$200,2,FALSE()),"?"))</f>
        <v>Newspaper</v>
      </c>
      <c r="R2965" s="2" t="str">
        <f t="shared" si="46"/>
        <v>Textual</v>
      </c>
      <c r="S2965" s="2" t="str">
        <f>IF($C2965="","",IFERROR(VLOOKUP($C2965,sources!$A$2:$N$200,9,FALSE()),"?"))</f>
        <v>US press</v>
      </c>
      <c r="T2965" t="s">
        <v>5692</v>
      </c>
      <c r="U2965">
        <f>IF(OR(B2965="",C2965="",T2965="Retracted",LEFT(D2965,8)="Negative"),0,IF(COUNTIFS($B$2:B2965,B2965,$C$2:C2965,C2965,$D$2:D2965,"&lt;&gt;Negative*",$T$2:T2965,"&lt;&gt;Retracted")=1,1,0))</f>
        <v>0</v>
      </c>
    </row>
    <row r="2966" spans="1:21" x14ac:dyDescent="0.2">
      <c r="A2966" t="s">
        <v>5342</v>
      </c>
      <c r="B2966" t="s">
        <v>740</v>
      </c>
      <c r="C2966" t="s">
        <v>1203</v>
      </c>
      <c r="D2966" t="s">
        <v>1613</v>
      </c>
      <c r="E2966" t="s">
        <v>4929</v>
      </c>
      <c r="F2966" t="s">
        <v>1583</v>
      </c>
      <c r="I2966" t="s">
        <v>1058</v>
      </c>
      <c r="N2966" t="s">
        <v>209</v>
      </c>
      <c r="Q2966" s="2" t="str">
        <f>IF($C2966="","",IFERROR(VLOOKUP($C2966,sources!$A$2:$N$200,2,FALSE()),"?"))</f>
        <v>Newspaper</v>
      </c>
      <c r="R2966" s="2" t="str">
        <f t="shared" si="46"/>
        <v>Textual</v>
      </c>
      <c r="S2966" s="2" t="str">
        <f>IF($C2966="","",IFERROR(VLOOKUP($C2966,sources!$A$2:$N$200,9,FALSE()),"?"))</f>
        <v>US press</v>
      </c>
      <c r="T2966" t="s">
        <v>5692</v>
      </c>
      <c r="U2966">
        <f>IF(OR(B2966="",C2966="",T2966="Retracted",LEFT(D2966,8)="Negative"),0,IF(COUNTIFS($B$2:B2966,B2966,$C$2:C2966,C2966,$D$2:D2966,"&lt;&gt;Negative*",$T$2:T2966,"&lt;&gt;Retracted")=1,1,0))</f>
        <v>0</v>
      </c>
    </row>
    <row r="2967" spans="1:21" x14ac:dyDescent="0.2">
      <c r="A2967" t="s">
        <v>5343</v>
      </c>
      <c r="B2967" t="s">
        <v>743</v>
      </c>
      <c r="C2967" t="s">
        <v>1203</v>
      </c>
      <c r="D2967" t="s">
        <v>1613</v>
      </c>
      <c r="E2967" t="s">
        <v>4977</v>
      </c>
      <c r="F2967" t="s">
        <v>1583</v>
      </c>
      <c r="I2967" t="s">
        <v>1058</v>
      </c>
      <c r="N2967" t="s">
        <v>209</v>
      </c>
      <c r="Q2967" s="2" t="str">
        <f>IF($C2967="","",IFERROR(VLOOKUP($C2967,sources!$A$2:$N$200,2,FALSE()),"?"))</f>
        <v>Newspaper</v>
      </c>
      <c r="R2967" s="2" t="str">
        <f t="shared" si="46"/>
        <v>Textual</v>
      </c>
      <c r="S2967" s="2" t="str">
        <f>IF($C2967="","",IFERROR(VLOOKUP($C2967,sources!$A$2:$N$200,9,FALSE()),"?"))</f>
        <v>US press</v>
      </c>
      <c r="T2967" t="s">
        <v>5692</v>
      </c>
      <c r="U2967">
        <f>IF(OR(B2967="",C2967="",T2967="Retracted",LEFT(D2967,8)="Negative"),0,IF(COUNTIFS($B$2:B2967,B2967,$C$2:C2967,C2967,$D$2:D2967,"&lt;&gt;Negative*",$T$2:T2967,"&lt;&gt;Retracted")=1,1,0))</f>
        <v>0</v>
      </c>
    </row>
    <row r="2968" spans="1:21" x14ac:dyDescent="0.2">
      <c r="A2968" t="s">
        <v>5344</v>
      </c>
      <c r="B2968" t="s">
        <v>749</v>
      </c>
      <c r="C2968" t="s">
        <v>1203</v>
      </c>
      <c r="D2968" t="s">
        <v>1613</v>
      </c>
      <c r="E2968" t="s">
        <v>4935</v>
      </c>
      <c r="F2968" t="s">
        <v>1583</v>
      </c>
      <c r="I2968" t="s">
        <v>1058</v>
      </c>
      <c r="N2968" t="s">
        <v>209</v>
      </c>
      <c r="Q2968" s="2" t="str">
        <f>IF($C2968="","",IFERROR(VLOOKUP($C2968,sources!$A$2:$N$200,2,FALSE()),"?"))</f>
        <v>Newspaper</v>
      </c>
      <c r="R2968" s="2" t="str">
        <f t="shared" si="46"/>
        <v>Textual</v>
      </c>
      <c r="S2968" s="2" t="str">
        <f>IF($C2968="","",IFERROR(VLOOKUP($C2968,sources!$A$2:$N$200,9,FALSE()),"?"))</f>
        <v>US press</v>
      </c>
      <c r="T2968" t="s">
        <v>5692</v>
      </c>
      <c r="U2968">
        <f>IF(OR(B2968="",C2968="",T2968="Retracted",LEFT(D2968,8)="Negative"),0,IF(COUNTIFS($B$2:B2968,B2968,$C$2:C2968,C2968,$D$2:D2968,"&lt;&gt;Negative*",$T$2:T2968,"&lt;&gt;Retracted")=1,1,0))</f>
        <v>0</v>
      </c>
    </row>
    <row r="2969" spans="1:21" x14ac:dyDescent="0.2">
      <c r="A2969" t="s">
        <v>5345</v>
      </c>
      <c r="B2969" t="s">
        <v>752</v>
      </c>
      <c r="C2969" t="s">
        <v>1203</v>
      </c>
      <c r="D2969" t="s">
        <v>1613</v>
      </c>
      <c r="E2969" t="s">
        <v>4937</v>
      </c>
      <c r="F2969" t="s">
        <v>1583</v>
      </c>
      <c r="I2969" t="s">
        <v>1058</v>
      </c>
      <c r="N2969" t="s">
        <v>209</v>
      </c>
      <c r="Q2969" s="2" t="str">
        <f>IF($C2969="","",IFERROR(VLOOKUP($C2969,sources!$A$2:$N$200,2,FALSE()),"?"))</f>
        <v>Newspaper</v>
      </c>
      <c r="R2969" s="2" t="str">
        <f t="shared" si="46"/>
        <v>Textual</v>
      </c>
      <c r="S2969" s="2" t="str">
        <f>IF($C2969="","",IFERROR(VLOOKUP($C2969,sources!$A$2:$N$200,9,FALSE()),"?"))</f>
        <v>US press</v>
      </c>
      <c r="T2969" t="s">
        <v>5692</v>
      </c>
      <c r="U2969">
        <f>IF(OR(B2969="",C2969="",T2969="Retracted",LEFT(D2969,8)="Negative"),0,IF(COUNTIFS($B$2:B2969,B2969,$C$2:C2969,C2969,$D$2:D2969,"&lt;&gt;Negative*",$T$2:T2969,"&lt;&gt;Retracted")=1,1,0))</f>
        <v>0</v>
      </c>
    </row>
    <row r="2970" spans="1:21" x14ac:dyDescent="0.2">
      <c r="A2970" t="s">
        <v>5346</v>
      </c>
      <c r="B2970" t="s">
        <v>755</v>
      </c>
      <c r="C2970" t="s">
        <v>1203</v>
      </c>
      <c r="D2970" t="s">
        <v>1613</v>
      </c>
      <c r="E2970" t="s">
        <v>4939</v>
      </c>
      <c r="F2970" t="s">
        <v>1583</v>
      </c>
      <c r="I2970" t="s">
        <v>1058</v>
      </c>
      <c r="N2970" t="s">
        <v>209</v>
      </c>
      <c r="Q2970" s="2" t="str">
        <f>IF($C2970="","",IFERROR(VLOOKUP($C2970,sources!$A$2:$N$200,2,FALSE()),"?"))</f>
        <v>Newspaper</v>
      </c>
      <c r="R2970" s="2" t="str">
        <f t="shared" si="46"/>
        <v>Textual</v>
      </c>
      <c r="S2970" s="2" t="str">
        <f>IF($C2970="","",IFERROR(VLOOKUP($C2970,sources!$A$2:$N$200,9,FALSE()),"?"))</f>
        <v>US press</v>
      </c>
      <c r="T2970" t="s">
        <v>5692</v>
      </c>
      <c r="U2970">
        <f>IF(OR(B2970="",C2970="",T2970="Retracted",LEFT(D2970,8)="Negative"),0,IF(COUNTIFS($B$2:B2970,B2970,$C$2:C2970,C2970,$D$2:D2970,"&lt;&gt;Negative*",$T$2:T2970,"&lt;&gt;Retracted")=1,1,0))</f>
        <v>0</v>
      </c>
    </row>
    <row r="2971" spans="1:21" x14ac:dyDescent="0.2">
      <c r="A2971" t="s">
        <v>5347</v>
      </c>
      <c r="B2971" t="s">
        <v>761</v>
      </c>
      <c r="C2971" t="s">
        <v>1203</v>
      </c>
      <c r="D2971" t="s">
        <v>1575</v>
      </c>
      <c r="E2971" t="s">
        <v>4984</v>
      </c>
      <c r="F2971" t="s">
        <v>1583</v>
      </c>
      <c r="I2971" t="s">
        <v>1058</v>
      </c>
      <c r="K2971">
        <v>1906</v>
      </c>
      <c r="L2971">
        <v>1906</v>
      </c>
      <c r="M2971" t="s">
        <v>203</v>
      </c>
      <c r="N2971" t="s">
        <v>203</v>
      </c>
      <c r="Q2971" s="2" t="str">
        <f>IF($C2971="","",IFERROR(VLOOKUP($C2971,sources!$A$2:$N$200,2,FALSE()),"?"))</f>
        <v>Newspaper</v>
      </c>
      <c r="R2971" s="2" t="str">
        <f t="shared" si="46"/>
        <v>Textual</v>
      </c>
      <c r="S2971" s="2" t="str">
        <f>IF($C2971="","",IFERROR(VLOOKUP($C2971,sources!$A$2:$N$200,9,FALSE()),"?"))</f>
        <v>US press</v>
      </c>
      <c r="T2971" t="s">
        <v>5692</v>
      </c>
      <c r="U2971">
        <f>IF(OR(B2971="",C2971="",T2971="Retracted",LEFT(D2971,8)="Negative"),0,IF(COUNTIFS($B$2:B2971,B2971,$C$2:C2971,C2971,$D$2:D2971,"&lt;&gt;Negative*",$T$2:T2971,"&lt;&gt;Retracted")=1,1,0))</f>
        <v>1</v>
      </c>
    </row>
    <row r="2972" spans="1:21" x14ac:dyDescent="0.2">
      <c r="A2972" t="s">
        <v>5348</v>
      </c>
      <c r="B2972" t="s">
        <v>770</v>
      </c>
      <c r="C2972" t="s">
        <v>1203</v>
      </c>
      <c r="D2972" t="s">
        <v>1613</v>
      </c>
      <c r="E2972" t="s">
        <v>4946</v>
      </c>
      <c r="F2972" t="s">
        <v>1583</v>
      </c>
      <c r="I2972" t="s">
        <v>1058</v>
      </c>
      <c r="N2972" t="s">
        <v>209</v>
      </c>
      <c r="Q2972" s="2" t="str">
        <f>IF($C2972="","",IFERROR(VLOOKUP($C2972,sources!$A$2:$N$200,2,FALSE()),"?"))</f>
        <v>Newspaper</v>
      </c>
      <c r="R2972" s="2" t="str">
        <f t="shared" si="46"/>
        <v>Textual</v>
      </c>
      <c r="S2972" s="2" t="str">
        <f>IF($C2972="","",IFERROR(VLOOKUP($C2972,sources!$A$2:$N$200,9,FALSE()),"?"))</f>
        <v>US press</v>
      </c>
      <c r="T2972" t="s">
        <v>5692</v>
      </c>
      <c r="U2972">
        <f>IF(OR(B2972="",C2972="",T2972="Retracted",LEFT(D2972,8)="Negative"),0,IF(COUNTIFS($B$2:B2972,B2972,$C$2:C2972,C2972,$D$2:D2972,"&lt;&gt;Negative*",$T$2:T2972,"&lt;&gt;Retracted")=1,1,0))</f>
        <v>0</v>
      </c>
    </row>
    <row r="2973" spans="1:21" x14ac:dyDescent="0.2">
      <c r="A2973" t="s">
        <v>5349</v>
      </c>
      <c r="B2973" t="s">
        <v>1030</v>
      </c>
      <c r="C2973" t="s">
        <v>1203</v>
      </c>
      <c r="D2973" t="s">
        <v>1613</v>
      </c>
      <c r="E2973" t="s">
        <v>5214</v>
      </c>
      <c r="F2973" t="s">
        <v>1583</v>
      </c>
      <c r="I2973" t="s">
        <v>1058</v>
      </c>
      <c r="N2973" t="s">
        <v>209</v>
      </c>
      <c r="Q2973" s="2" t="str">
        <f>IF($C2973="","",IFERROR(VLOOKUP($C2973,sources!$A$2:$N$200,2,FALSE()),"?"))</f>
        <v>Newspaper</v>
      </c>
      <c r="R2973" s="2" t="str">
        <f t="shared" si="46"/>
        <v>Textual</v>
      </c>
      <c r="S2973" s="2" t="str">
        <f>IF($C2973="","",IFERROR(VLOOKUP($C2973,sources!$A$2:$N$200,9,FALSE()),"?"))</f>
        <v>US press</v>
      </c>
      <c r="T2973" t="s">
        <v>5692</v>
      </c>
      <c r="U2973">
        <f>IF(OR(B2973="",C2973="",T2973="Retracted",LEFT(D2973,8)="Negative"),0,IF(COUNTIFS($B$2:B2973,B2973,$C$2:C2973,C2973,$D$2:D2973,"&lt;&gt;Negative*",$T$2:T2973,"&lt;&gt;Retracted")=1,1,0))</f>
        <v>0</v>
      </c>
    </row>
    <row r="2974" spans="1:21" x14ac:dyDescent="0.2">
      <c r="A2974" t="s">
        <v>5350</v>
      </c>
      <c r="B2974" t="s">
        <v>1037</v>
      </c>
      <c r="C2974" t="s">
        <v>1203</v>
      </c>
      <c r="D2974" t="s">
        <v>1575</v>
      </c>
      <c r="E2974" t="s">
        <v>5221</v>
      </c>
      <c r="F2974" t="s">
        <v>1583</v>
      </c>
      <c r="I2974" t="s">
        <v>1058</v>
      </c>
      <c r="K2974">
        <v>1908</v>
      </c>
      <c r="L2974">
        <v>1909</v>
      </c>
      <c r="M2974" t="s">
        <v>203</v>
      </c>
      <c r="N2974" t="s">
        <v>203</v>
      </c>
      <c r="Q2974" s="2" t="str">
        <f>IF($C2974="","",IFERROR(VLOOKUP($C2974,sources!$A$2:$N$200,2,FALSE()),"?"))</f>
        <v>Newspaper</v>
      </c>
      <c r="R2974" s="2" t="str">
        <f t="shared" si="46"/>
        <v>Textual</v>
      </c>
      <c r="S2974" s="2" t="str">
        <f>IF($C2974="","",IFERROR(VLOOKUP($C2974,sources!$A$2:$N$200,9,FALSE()),"?"))</f>
        <v>US press</v>
      </c>
      <c r="T2974" t="s">
        <v>5692</v>
      </c>
      <c r="U2974">
        <f>IF(OR(B2974="",C2974="",T2974="Retracted",LEFT(D2974,8)="Negative"),0,IF(COUNTIFS($B$2:B2974,B2974,$C$2:C2974,C2974,$D$2:D2974,"&lt;&gt;Negative*",$T$2:T2974,"&lt;&gt;Retracted")=1,1,0))</f>
        <v>1</v>
      </c>
    </row>
    <row r="2975" spans="1:21" x14ac:dyDescent="0.2">
      <c r="A2975" t="s">
        <v>5351</v>
      </c>
      <c r="B2975" t="s">
        <v>1056</v>
      </c>
      <c r="C2975" t="s">
        <v>1203</v>
      </c>
      <c r="D2975" t="s">
        <v>1613</v>
      </c>
      <c r="E2975" t="s">
        <v>1057</v>
      </c>
      <c r="F2975" t="s">
        <v>1583</v>
      </c>
      <c r="I2975" t="s">
        <v>1058</v>
      </c>
      <c r="N2975" t="s">
        <v>203</v>
      </c>
      <c r="Q2975" s="2" t="str">
        <f>IF($C2975="","",IFERROR(VLOOKUP($C2975,sources!$A$2:$N$200,2,FALSE()),"?"))</f>
        <v>Newspaper</v>
      </c>
      <c r="R2975" s="2" t="str">
        <f t="shared" si="46"/>
        <v>Textual</v>
      </c>
      <c r="S2975" s="2" t="str">
        <f>IF($C2975="","",IFERROR(VLOOKUP($C2975,sources!$A$2:$N$200,9,FALSE()),"?"))</f>
        <v>US press</v>
      </c>
      <c r="T2975" t="s">
        <v>5692</v>
      </c>
      <c r="U2975">
        <f>IF(OR(B2975="",C2975="",T2975="Retracted",LEFT(D2975,8)="Negative"),0,IF(COUNTIFS($B$2:B2975,B2975,$C$2:C2975,C2975,$D$2:D2975,"&lt;&gt;Negative*",$T$2:T2975,"&lt;&gt;Retracted")=1,1,0))</f>
        <v>0</v>
      </c>
    </row>
    <row r="2976" spans="1:21" x14ac:dyDescent="0.2">
      <c r="A2976" t="s">
        <v>5352</v>
      </c>
      <c r="B2976" t="s">
        <v>1076</v>
      </c>
      <c r="C2976" t="s">
        <v>1203</v>
      </c>
      <c r="D2976" t="s">
        <v>1613</v>
      </c>
      <c r="E2976" t="s">
        <v>5310</v>
      </c>
      <c r="F2976" t="s">
        <v>1583</v>
      </c>
      <c r="I2976" t="s">
        <v>1058</v>
      </c>
      <c r="N2976" t="s">
        <v>190</v>
      </c>
      <c r="Q2976" s="2" t="str">
        <f>IF($C2976="","",IFERROR(VLOOKUP($C2976,sources!$A$2:$N$200,2,FALSE()),"?"))</f>
        <v>Newspaper</v>
      </c>
      <c r="R2976" s="2" t="str">
        <f t="shared" si="46"/>
        <v>Textual</v>
      </c>
      <c r="S2976" s="2" t="str">
        <f>IF($C2976="","",IFERROR(VLOOKUP($C2976,sources!$A$2:$N$200,9,FALSE()),"?"))</f>
        <v>US press</v>
      </c>
      <c r="T2976" t="s">
        <v>5692</v>
      </c>
      <c r="U2976">
        <f>IF(OR(B2976="",C2976="",T2976="Retracted",LEFT(D2976,8)="Negative"),0,IF(COUNTIFS($B$2:B2976,B2976,$C$2:C2976,C2976,$D$2:D2976,"&lt;&gt;Negative*",$T$2:T2976,"&lt;&gt;Retracted")=1,1,0))</f>
        <v>0</v>
      </c>
    </row>
    <row r="2977" spans="1:21" x14ac:dyDescent="0.2">
      <c r="A2977" t="s">
        <v>5353</v>
      </c>
      <c r="B2977" t="s">
        <v>1080</v>
      </c>
      <c r="C2977" t="s">
        <v>1203</v>
      </c>
      <c r="D2977" t="s">
        <v>1613</v>
      </c>
      <c r="E2977" t="s">
        <v>1081</v>
      </c>
      <c r="F2977" t="s">
        <v>1583</v>
      </c>
      <c r="I2977" t="s">
        <v>1058</v>
      </c>
      <c r="N2977" t="s">
        <v>190</v>
      </c>
      <c r="Q2977" s="2" t="str">
        <f>IF($C2977="","",IFERROR(VLOOKUP($C2977,sources!$A$2:$N$200,2,FALSE()),"?"))</f>
        <v>Newspaper</v>
      </c>
      <c r="R2977" s="2" t="str">
        <f t="shared" si="46"/>
        <v>Textual</v>
      </c>
      <c r="S2977" s="2" t="str">
        <f>IF($C2977="","",IFERROR(VLOOKUP($C2977,sources!$A$2:$N$200,9,FALSE()),"?"))</f>
        <v>US press</v>
      </c>
      <c r="T2977" t="s">
        <v>5692</v>
      </c>
      <c r="U2977">
        <f>IF(OR(B2977="",C2977="",T2977="Retracted",LEFT(D2977,8)="Negative"),0,IF(COUNTIFS($B$2:B2977,B2977,$C$2:C2977,C2977,$D$2:D2977,"&lt;&gt;Negative*",$T$2:T2977,"&lt;&gt;Retracted")=1,1,0))</f>
        <v>0</v>
      </c>
    </row>
    <row r="2978" spans="1:21" x14ac:dyDescent="0.2">
      <c r="A2978" t="s">
        <v>5354</v>
      </c>
      <c r="B2978" t="s">
        <v>994</v>
      </c>
      <c r="C2978" t="s">
        <v>1379</v>
      </c>
      <c r="D2978" t="s">
        <v>1575</v>
      </c>
      <c r="E2978" t="s">
        <v>5355</v>
      </c>
      <c r="F2978" t="s">
        <v>1583</v>
      </c>
      <c r="I2978" t="s">
        <v>1058</v>
      </c>
      <c r="K2978">
        <v>1950</v>
      </c>
      <c r="L2978">
        <v>1950</v>
      </c>
      <c r="M2978" t="s">
        <v>203</v>
      </c>
      <c r="N2978" t="s">
        <v>203</v>
      </c>
      <c r="Q2978" s="2" t="str">
        <f>IF($C2978="","",IFERROR(VLOOKUP($C2978,sources!$A$2:$N$200,2,FALSE()),"?"))</f>
        <v>Map</v>
      </c>
      <c r="R2978" s="2" t="str">
        <f t="shared" si="46"/>
        <v>Map</v>
      </c>
      <c r="S2978" s="2" t="str">
        <f>IF($C2978="","",IFERROR(VLOOKUP($C2978,sources!$A$2:$N$200,9,FALSE()),"?"))</f>
        <v>US official</v>
      </c>
      <c r="T2978" t="s">
        <v>5692</v>
      </c>
      <c r="U2978">
        <f>IF(OR(B2978="",C2978="",T2978="Retracted",LEFT(D2978,8)="Negative"),0,IF(COUNTIFS($B$2:B2978,B2978,$C$2:C2978,C2978,$D$2:D2978,"&lt;&gt;Negative*",$T$2:T2978,"&lt;&gt;Retracted")=1,1,0))</f>
        <v>1</v>
      </c>
    </row>
    <row r="2979" spans="1:21" x14ac:dyDescent="0.2">
      <c r="A2979" t="s">
        <v>5356</v>
      </c>
      <c r="B2979" t="s">
        <v>403</v>
      </c>
      <c r="C2979" t="s">
        <v>1379</v>
      </c>
      <c r="D2979" t="s">
        <v>1575</v>
      </c>
      <c r="E2979" t="s">
        <v>5357</v>
      </c>
      <c r="F2979" t="s">
        <v>1583</v>
      </c>
      <c r="I2979" t="s">
        <v>1058</v>
      </c>
      <c r="K2979">
        <v>1950</v>
      </c>
      <c r="L2979">
        <v>1950</v>
      </c>
      <c r="M2979" t="s">
        <v>203</v>
      </c>
      <c r="N2979" t="s">
        <v>203</v>
      </c>
      <c r="Q2979" s="2" t="str">
        <f>IF($C2979="","",IFERROR(VLOOKUP($C2979,sources!$A$2:$N$200,2,FALSE()),"?"))</f>
        <v>Map</v>
      </c>
      <c r="R2979" s="2" t="str">
        <f t="shared" si="46"/>
        <v>Map</v>
      </c>
      <c r="S2979" s="2" t="str">
        <f>IF($C2979="","",IFERROR(VLOOKUP($C2979,sources!$A$2:$N$200,9,FALSE()),"?"))</f>
        <v>US official</v>
      </c>
      <c r="T2979" t="s">
        <v>5692</v>
      </c>
      <c r="U2979">
        <f>IF(OR(B2979="",C2979="",T2979="Retracted",LEFT(D2979,8)="Negative"),0,IF(COUNTIFS($B$2:B2979,B2979,$C$2:C2979,C2979,$D$2:D2979,"&lt;&gt;Negative*",$T$2:T2979,"&lt;&gt;Retracted")=1,1,0))</f>
        <v>1</v>
      </c>
    </row>
    <row r="2980" spans="1:21" x14ac:dyDescent="0.2">
      <c r="A2980" t="s">
        <v>5358</v>
      </c>
      <c r="B2980" t="s">
        <v>786</v>
      </c>
      <c r="C2980" t="s">
        <v>1379</v>
      </c>
      <c r="D2980" t="s">
        <v>1575</v>
      </c>
      <c r="E2980" t="s">
        <v>5359</v>
      </c>
      <c r="F2980" t="s">
        <v>1583</v>
      </c>
      <c r="I2980" t="s">
        <v>1058</v>
      </c>
      <c r="K2980">
        <v>1950</v>
      </c>
      <c r="L2980">
        <v>1950</v>
      </c>
      <c r="M2980" t="s">
        <v>203</v>
      </c>
      <c r="N2980" t="s">
        <v>203</v>
      </c>
      <c r="Q2980" s="2" t="str">
        <f>IF($C2980="","",IFERROR(VLOOKUP($C2980,sources!$A$2:$N$200,2,FALSE()),"?"))</f>
        <v>Map</v>
      </c>
      <c r="R2980" s="2" t="str">
        <f t="shared" si="46"/>
        <v>Map</v>
      </c>
      <c r="S2980" s="2" t="str">
        <f>IF($C2980="","",IFERROR(VLOOKUP($C2980,sources!$A$2:$N$200,9,FALSE()),"?"))</f>
        <v>US official</v>
      </c>
      <c r="T2980" t="s">
        <v>5692</v>
      </c>
      <c r="U2980">
        <f>IF(OR(B2980="",C2980="",T2980="Retracted",LEFT(D2980,8)="Negative"),0,IF(COUNTIFS($B$2:B2980,B2980,$C$2:C2980,C2980,$D$2:D2980,"&lt;&gt;Negative*",$T$2:T2980,"&lt;&gt;Retracted")=1,1,0))</f>
        <v>1</v>
      </c>
    </row>
    <row r="2981" spans="1:21" x14ac:dyDescent="0.2">
      <c r="A2981" t="s">
        <v>5360</v>
      </c>
      <c r="B2981" t="s">
        <v>847</v>
      </c>
      <c r="C2981" t="s">
        <v>1379</v>
      </c>
      <c r="D2981" t="s">
        <v>1575</v>
      </c>
      <c r="E2981" t="s">
        <v>5361</v>
      </c>
      <c r="F2981" t="s">
        <v>1583</v>
      </c>
      <c r="I2981" t="s">
        <v>1058</v>
      </c>
      <c r="K2981">
        <v>1950</v>
      </c>
      <c r="L2981">
        <v>1950</v>
      </c>
      <c r="M2981" t="s">
        <v>203</v>
      </c>
      <c r="N2981" t="s">
        <v>203</v>
      </c>
      <c r="Q2981" s="2" t="str">
        <f>IF($C2981="","",IFERROR(VLOOKUP($C2981,sources!$A$2:$N$200,2,FALSE()),"?"))</f>
        <v>Map</v>
      </c>
      <c r="R2981" s="2" t="str">
        <f t="shared" si="46"/>
        <v>Map</v>
      </c>
      <c r="S2981" s="2" t="str">
        <f>IF($C2981="","",IFERROR(VLOOKUP($C2981,sources!$A$2:$N$200,9,FALSE()),"?"))</f>
        <v>US official</v>
      </c>
      <c r="T2981" t="s">
        <v>5692</v>
      </c>
      <c r="U2981">
        <f>IF(OR(B2981="",C2981="",T2981="Retracted",LEFT(D2981,8)="Negative"),0,IF(COUNTIFS($B$2:B2981,B2981,$C$2:C2981,C2981,$D$2:D2981,"&lt;&gt;Negative*",$T$2:T2981,"&lt;&gt;Retracted")=1,1,0))</f>
        <v>1</v>
      </c>
    </row>
    <row r="2982" spans="1:21" x14ac:dyDescent="0.2">
      <c r="A2982" t="s">
        <v>5362</v>
      </c>
      <c r="B2982" t="s">
        <v>456</v>
      </c>
      <c r="C2982" t="s">
        <v>1379</v>
      </c>
      <c r="D2982" t="s">
        <v>1575</v>
      </c>
      <c r="E2982" t="s">
        <v>5363</v>
      </c>
      <c r="F2982" t="s">
        <v>1583</v>
      </c>
      <c r="I2982" t="s">
        <v>1058</v>
      </c>
      <c r="K2982">
        <v>1950</v>
      </c>
      <c r="L2982">
        <v>1950</v>
      </c>
      <c r="M2982" t="s">
        <v>203</v>
      </c>
      <c r="N2982" t="s">
        <v>203</v>
      </c>
      <c r="Q2982" s="2" t="str">
        <f>IF($C2982="","",IFERROR(VLOOKUP($C2982,sources!$A$2:$N$200,2,FALSE()),"?"))</f>
        <v>Map</v>
      </c>
      <c r="R2982" s="2" t="str">
        <f t="shared" si="46"/>
        <v>Map</v>
      </c>
      <c r="S2982" s="2" t="str">
        <f>IF($C2982="","",IFERROR(VLOOKUP($C2982,sources!$A$2:$N$200,9,FALSE()),"?"))</f>
        <v>US official</v>
      </c>
      <c r="T2982" t="s">
        <v>5692</v>
      </c>
      <c r="U2982">
        <f>IF(OR(B2982="",C2982="",T2982="Retracted",LEFT(D2982,8)="Negative"),0,IF(COUNTIFS($B$2:B2982,B2982,$C$2:C2982,C2982,$D$2:D2982,"&lt;&gt;Negative*",$T$2:T2982,"&lt;&gt;Retracted")=1,1,0))</f>
        <v>1</v>
      </c>
    </row>
    <row r="2983" spans="1:21" x14ac:dyDescent="0.2">
      <c r="A2983" t="s">
        <v>5364</v>
      </c>
      <c r="B2983" t="s">
        <v>447</v>
      </c>
      <c r="C2983" t="s">
        <v>1379</v>
      </c>
      <c r="D2983" t="s">
        <v>1575</v>
      </c>
      <c r="E2983" t="s">
        <v>5365</v>
      </c>
      <c r="F2983" t="s">
        <v>1583</v>
      </c>
      <c r="I2983" t="s">
        <v>1058</v>
      </c>
      <c r="K2983">
        <v>1950</v>
      </c>
      <c r="L2983">
        <v>1950</v>
      </c>
      <c r="M2983" t="s">
        <v>203</v>
      </c>
      <c r="N2983" t="s">
        <v>203</v>
      </c>
      <c r="Q2983" s="2" t="str">
        <f>IF($C2983="","",IFERROR(VLOOKUP($C2983,sources!$A$2:$N$200,2,FALSE()),"?"))</f>
        <v>Map</v>
      </c>
      <c r="R2983" s="2" t="str">
        <f t="shared" si="46"/>
        <v>Map</v>
      </c>
      <c r="S2983" s="2" t="str">
        <f>IF($C2983="","",IFERROR(VLOOKUP($C2983,sources!$A$2:$N$200,9,FALSE()),"?"))</f>
        <v>US official</v>
      </c>
      <c r="T2983" t="s">
        <v>5692</v>
      </c>
      <c r="U2983">
        <f>IF(OR(B2983="",C2983="",T2983="Retracted",LEFT(D2983,8)="Negative"),0,IF(COUNTIFS($B$2:B2983,B2983,$C$2:C2983,C2983,$D$2:D2983,"&lt;&gt;Negative*",$T$2:T2983,"&lt;&gt;Retracted")=1,1,0))</f>
        <v>1</v>
      </c>
    </row>
    <row r="2984" spans="1:21" x14ac:dyDescent="0.2">
      <c r="A2984" t="s">
        <v>5366</v>
      </c>
      <c r="B2984" t="s">
        <v>357</v>
      </c>
      <c r="C2984" t="s">
        <v>1379</v>
      </c>
      <c r="D2984" t="s">
        <v>1575</v>
      </c>
      <c r="E2984" t="s">
        <v>5367</v>
      </c>
      <c r="F2984" t="s">
        <v>1583</v>
      </c>
      <c r="I2984" t="s">
        <v>1058</v>
      </c>
      <c r="K2984">
        <v>1950</v>
      </c>
      <c r="L2984">
        <v>1950</v>
      </c>
      <c r="M2984" t="s">
        <v>203</v>
      </c>
      <c r="N2984" t="s">
        <v>203</v>
      </c>
      <c r="Q2984" s="2" t="str">
        <f>IF($C2984="","",IFERROR(VLOOKUP($C2984,sources!$A$2:$N$200,2,FALSE()),"?"))</f>
        <v>Map</v>
      </c>
      <c r="R2984" s="2" t="str">
        <f t="shared" si="46"/>
        <v>Map</v>
      </c>
      <c r="S2984" s="2" t="str">
        <f>IF($C2984="","",IFERROR(VLOOKUP($C2984,sources!$A$2:$N$200,9,FALSE()),"?"))</f>
        <v>US official</v>
      </c>
      <c r="T2984" t="s">
        <v>5692</v>
      </c>
      <c r="U2984">
        <f>IF(OR(B2984="",C2984="",T2984="Retracted",LEFT(D2984,8)="Negative"),0,IF(COUNTIFS($B$2:B2984,B2984,$C$2:C2984,C2984,$D$2:D2984,"&lt;&gt;Negative*",$T$2:T2984,"&lt;&gt;Retracted")=1,1,0))</f>
        <v>1</v>
      </c>
    </row>
    <row r="2985" spans="1:21" x14ac:dyDescent="0.2">
      <c r="A2985" t="s">
        <v>5368</v>
      </c>
      <c r="B2985" t="s">
        <v>844</v>
      </c>
      <c r="C2985" t="s">
        <v>1379</v>
      </c>
      <c r="D2985" t="s">
        <v>1575</v>
      </c>
      <c r="E2985" t="s">
        <v>5369</v>
      </c>
      <c r="F2985" t="s">
        <v>1583</v>
      </c>
      <c r="I2985" t="s">
        <v>1058</v>
      </c>
      <c r="K2985">
        <v>1950</v>
      </c>
      <c r="L2985">
        <v>1950</v>
      </c>
      <c r="M2985" t="s">
        <v>203</v>
      </c>
      <c r="N2985" t="s">
        <v>203</v>
      </c>
      <c r="Q2985" s="2" t="str">
        <f>IF($C2985="","",IFERROR(VLOOKUP($C2985,sources!$A$2:$N$200,2,FALSE()),"?"))</f>
        <v>Map</v>
      </c>
      <c r="R2985" s="2" t="str">
        <f t="shared" si="46"/>
        <v>Map</v>
      </c>
      <c r="S2985" s="2" t="str">
        <f>IF($C2985="","",IFERROR(VLOOKUP($C2985,sources!$A$2:$N$200,9,FALSE()),"?"))</f>
        <v>US official</v>
      </c>
      <c r="T2985" t="s">
        <v>5693</v>
      </c>
      <c r="U2985">
        <f>IF(OR(B2985="",C2985="",T2985="Retracted",LEFT(D2985,8)="Negative"),0,IF(COUNTIFS($B$2:B2985,B2985,$C$2:C2985,C2985,$D$2:D2985,"&lt;&gt;Negative*",$T$2:T2985,"&lt;&gt;Retracted")=1,1,0))</f>
        <v>0</v>
      </c>
    </row>
    <row r="2986" spans="1:21" x14ac:dyDescent="0.2">
      <c r="A2986" t="s">
        <v>5370</v>
      </c>
      <c r="B2986" t="s">
        <v>461</v>
      </c>
      <c r="C2986" t="s">
        <v>1379</v>
      </c>
      <c r="D2986" t="s">
        <v>1575</v>
      </c>
      <c r="E2986" t="s">
        <v>5371</v>
      </c>
      <c r="F2986" t="s">
        <v>1583</v>
      </c>
      <c r="I2986" t="s">
        <v>1058</v>
      </c>
      <c r="K2986">
        <v>1950</v>
      </c>
      <c r="L2986">
        <v>1950</v>
      </c>
      <c r="M2986" t="s">
        <v>203</v>
      </c>
      <c r="N2986" t="s">
        <v>203</v>
      </c>
      <c r="Q2986" s="2" t="str">
        <f>IF($C2986="","",IFERROR(VLOOKUP($C2986,sources!$A$2:$N$200,2,FALSE()),"?"))</f>
        <v>Map</v>
      </c>
      <c r="R2986" s="2" t="str">
        <f t="shared" si="46"/>
        <v>Map</v>
      </c>
      <c r="S2986" s="2" t="str">
        <f>IF($C2986="","",IFERROR(VLOOKUP($C2986,sources!$A$2:$N$200,9,FALSE()),"?"))</f>
        <v>US official</v>
      </c>
      <c r="T2986" t="s">
        <v>5692</v>
      </c>
      <c r="U2986">
        <f>IF(OR(B2986="",C2986="",T2986="Retracted",LEFT(D2986,8)="Negative"),0,IF(COUNTIFS($B$2:B2986,B2986,$C$2:C2986,C2986,$D$2:D2986,"&lt;&gt;Negative*",$T$2:T2986,"&lt;&gt;Retracted")=1,1,0))</f>
        <v>1</v>
      </c>
    </row>
    <row r="2987" spans="1:21" x14ac:dyDescent="0.2">
      <c r="A2987" t="s">
        <v>5372</v>
      </c>
      <c r="B2987" t="s">
        <v>261</v>
      </c>
      <c r="C2987" t="s">
        <v>1379</v>
      </c>
      <c r="D2987" t="s">
        <v>1575</v>
      </c>
      <c r="E2987" t="s">
        <v>5373</v>
      </c>
      <c r="F2987" t="s">
        <v>1583</v>
      </c>
      <c r="I2987" t="s">
        <v>1058</v>
      </c>
      <c r="K2987">
        <v>1950</v>
      </c>
      <c r="L2987">
        <v>1950</v>
      </c>
      <c r="M2987" t="s">
        <v>203</v>
      </c>
      <c r="N2987" t="s">
        <v>209</v>
      </c>
      <c r="Q2987" s="2" t="str">
        <f>IF($C2987="","",IFERROR(VLOOKUP($C2987,sources!$A$2:$N$200,2,FALSE()),"?"))</f>
        <v>Map</v>
      </c>
      <c r="R2987" s="2" t="str">
        <f t="shared" si="46"/>
        <v>Map</v>
      </c>
      <c r="S2987" s="2" t="str">
        <f>IF($C2987="","",IFERROR(VLOOKUP($C2987,sources!$A$2:$N$200,9,FALSE()),"?"))</f>
        <v>US official</v>
      </c>
      <c r="T2987" t="s">
        <v>5692</v>
      </c>
      <c r="U2987">
        <f>IF(OR(B2987="",C2987="",T2987="Retracted",LEFT(D2987,8)="Negative"),0,IF(COUNTIFS($B$2:B2987,B2987,$C$2:C2987,C2987,$D$2:D2987,"&lt;&gt;Negative*",$T$2:T2987,"&lt;&gt;Retracted")=1,1,0))</f>
        <v>1</v>
      </c>
    </row>
    <row r="2988" spans="1:21" x14ac:dyDescent="0.2">
      <c r="A2988" t="s">
        <v>5374</v>
      </c>
      <c r="B2988" t="s">
        <v>369</v>
      </c>
      <c r="C2988" t="s">
        <v>1379</v>
      </c>
      <c r="D2988" t="s">
        <v>1575</v>
      </c>
      <c r="E2988" t="s">
        <v>5375</v>
      </c>
      <c r="F2988" t="s">
        <v>1583</v>
      </c>
      <c r="I2988" t="s">
        <v>1058</v>
      </c>
      <c r="K2988">
        <v>1950</v>
      </c>
      <c r="L2988">
        <v>1950</v>
      </c>
      <c r="M2988" t="s">
        <v>203</v>
      </c>
      <c r="N2988" t="s">
        <v>203</v>
      </c>
      <c r="Q2988" s="2" t="str">
        <f>IF($C2988="","",IFERROR(VLOOKUP($C2988,sources!$A$2:$N$200,2,FALSE()),"?"))</f>
        <v>Map</v>
      </c>
      <c r="R2988" s="2" t="str">
        <f t="shared" si="46"/>
        <v>Map</v>
      </c>
      <c r="S2988" s="2" t="str">
        <f>IF($C2988="","",IFERROR(VLOOKUP($C2988,sources!$A$2:$N$200,9,FALSE()),"?"))</f>
        <v>US official</v>
      </c>
      <c r="T2988" t="s">
        <v>5692</v>
      </c>
      <c r="U2988">
        <f>IF(OR(B2988="",C2988="",T2988="Retracted",LEFT(D2988,8)="Negative"),0,IF(COUNTIFS($B$2:B2988,B2988,$C$2:C2988,C2988,$D$2:D2988,"&lt;&gt;Negative*",$T$2:T2988,"&lt;&gt;Retracted")=1,1,0))</f>
        <v>1</v>
      </c>
    </row>
    <row r="2989" spans="1:21" x14ac:dyDescent="0.2">
      <c r="A2989" t="s">
        <v>5376</v>
      </c>
      <c r="B2989" t="s">
        <v>415</v>
      </c>
      <c r="C2989" t="s">
        <v>1379</v>
      </c>
      <c r="D2989" t="s">
        <v>1575</v>
      </c>
      <c r="E2989" t="s">
        <v>5377</v>
      </c>
      <c r="F2989" t="s">
        <v>1583</v>
      </c>
      <c r="I2989" t="s">
        <v>1058</v>
      </c>
      <c r="K2989">
        <v>1950</v>
      </c>
      <c r="L2989">
        <v>1950</v>
      </c>
      <c r="M2989" t="s">
        <v>203</v>
      </c>
      <c r="N2989" t="s">
        <v>203</v>
      </c>
      <c r="Q2989" s="2" t="str">
        <f>IF($C2989="","",IFERROR(VLOOKUP($C2989,sources!$A$2:$N$200,2,FALSE()),"?"))</f>
        <v>Map</v>
      </c>
      <c r="R2989" s="2" t="str">
        <f t="shared" si="46"/>
        <v>Map</v>
      </c>
      <c r="S2989" s="2" t="str">
        <f>IF($C2989="","",IFERROR(VLOOKUP($C2989,sources!$A$2:$N$200,9,FALSE()),"?"))</f>
        <v>US official</v>
      </c>
      <c r="T2989" t="s">
        <v>5692</v>
      </c>
      <c r="U2989">
        <f>IF(OR(B2989="",C2989="",T2989="Retracted",LEFT(D2989,8)="Negative"),0,IF(COUNTIFS($B$2:B2989,B2989,$C$2:C2989,C2989,$D$2:D2989,"&lt;&gt;Negative*",$T$2:T2989,"&lt;&gt;Retracted")=1,1,0))</f>
        <v>1</v>
      </c>
    </row>
    <row r="2990" spans="1:21" x14ac:dyDescent="0.2">
      <c r="A2990" t="s">
        <v>5378</v>
      </c>
      <c r="B2990" t="s">
        <v>515</v>
      </c>
      <c r="C2990" t="s">
        <v>1379</v>
      </c>
      <c r="D2990" t="s">
        <v>1575</v>
      </c>
      <c r="E2990" t="s">
        <v>5379</v>
      </c>
      <c r="F2990" t="s">
        <v>1583</v>
      </c>
      <c r="I2990" t="s">
        <v>1058</v>
      </c>
      <c r="K2990">
        <v>1950</v>
      </c>
      <c r="L2990">
        <v>1950</v>
      </c>
      <c r="M2990" t="s">
        <v>203</v>
      </c>
      <c r="N2990" t="s">
        <v>203</v>
      </c>
      <c r="Q2990" s="2" t="str">
        <f>IF($C2990="","",IFERROR(VLOOKUP($C2990,sources!$A$2:$N$200,2,FALSE()),"?"))</f>
        <v>Map</v>
      </c>
      <c r="R2990" s="2" t="str">
        <f t="shared" si="46"/>
        <v>Map</v>
      </c>
      <c r="S2990" s="2" t="str">
        <f>IF($C2990="","",IFERROR(VLOOKUP($C2990,sources!$A$2:$N$200,9,FALSE()),"?"))</f>
        <v>US official</v>
      </c>
      <c r="T2990" t="s">
        <v>5692</v>
      </c>
      <c r="U2990">
        <f>IF(OR(B2990="",C2990="",T2990="Retracted",LEFT(D2990,8)="Negative"),0,IF(COUNTIFS($B$2:B2990,B2990,$C$2:C2990,C2990,$D$2:D2990,"&lt;&gt;Negative*",$T$2:T2990,"&lt;&gt;Retracted")=1,1,0))</f>
        <v>1</v>
      </c>
    </row>
    <row r="2991" spans="1:21" x14ac:dyDescent="0.2">
      <c r="A2991" t="s">
        <v>5380</v>
      </c>
      <c r="B2991" t="s">
        <v>1002</v>
      </c>
      <c r="C2991" t="s">
        <v>1379</v>
      </c>
      <c r="D2991" t="s">
        <v>1613</v>
      </c>
      <c r="E2991" t="s">
        <v>5381</v>
      </c>
      <c r="F2991" t="s">
        <v>1583</v>
      </c>
      <c r="I2991" t="s">
        <v>1058</v>
      </c>
      <c r="K2991">
        <v>1950</v>
      </c>
      <c r="L2991">
        <v>1950</v>
      </c>
      <c r="M2991" t="s">
        <v>203</v>
      </c>
      <c r="N2991" t="s">
        <v>190</v>
      </c>
      <c r="Q2991" s="2" t="str">
        <f>IF($C2991="","",IFERROR(VLOOKUP($C2991,sources!$A$2:$N$200,2,FALSE()),"?"))</f>
        <v>Map</v>
      </c>
      <c r="R2991" s="2" t="str">
        <f t="shared" si="46"/>
        <v>Map</v>
      </c>
      <c r="S2991" s="2" t="str">
        <f>IF($C2991="","",IFERROR(VLOOKUP($C2991,sources!$A$2:$N$200,9,FALSE()),"?"))</f>
        <v>US official</v>
      </c>
      <c r="T2991" t="s">
        <v>5692</v>
      </c>
      <c r="U2991">
        <f>IF(OR(B2991="",C2991="",T2991="Retracted",LEFT(D2991,8)="Negative"),0,IF(COUNTIFS($B$2:B2991,B2991,$C$2:C2991,C2991,$D$2:D2991,"&lt;&gt;Negative*",$T$2:T2991,"&lt;&gt;Retracted")=1,1,0))</f>
        <v>0</v>
      </c>
    </row>
    <row r="2992" spans="1:21" x14ac:dyDescent="0.2">
      <c r="A2992" t="s">
        <v>5382</v>
      </c>
      <c r="B2992" t="s">
        <v>472</v>
      </c>
      <c r="C2992" t="s">
        <v>1379</v>
      </c>
      <c r="D2992" t="s">
        <v>1564</v>
      </c>
      <c r="E2992" t="s">
        <v>5383</v>
      </c>
      <c r="F2992" t="s">
        <v>1566</v>
      </c>
      <c r="G2992">
        <v>9.2207380000000008</v>
      </c>
      <c r="H2992">
        <v>-79.608003999999994</v>
      </c>
      <c r="I2992" t="s">
        <v>3312</v>
      </c>
      <c r="J2992">
        <v>400</v>
      </c>
      <c r="M2992" t="s">
        <v>190</v>
      </c>
      <c r="N2992" t="s">
        <v>203</v>
      </c>
      <c r="Q2992" s="2" t="str">
        <f>IF($C2992="","",IFERROR(VLOOKUP($C2992,sources!$A$2:$N$200,2,FALSE()),"?"))</f>
        <v>Map</v>
      </c>
      <c r="R2992" s="2" t="str">
        <f t="shared" si="46"/>
        <v>Map</v>
      </c>
      <c r="S2992" s="2" t="str">
        <f>IF($C2992="","",IFERROR(VLOOKUP($C2992,sources!$A$2:$N$200,9,FALSE()),"?"))</f>
        <v>US official</v>
      </c>
      <c r="T2992" t="s">
        <v>5692</v>
      </c>
      <c r="U2992">
        <f>IF(OR(B2992="",C2992="",T2992="Retracted",LEFT(D2992,8)="Negative"),0,IF(COUNTIFS($B$2:B2992,B2992,$C$2:C2992,C2992,$D$2:D2992,"&lt;&gt;Negative*",$T$2:T2992,"&lt;&gt;Retracted")=1,1,0))</f>
        <v>1</v>
      </c>
    </row>
    <row r="2993" spans="1:21" x14ac:dyDescent="0.2">
      <c r="A2993" t="s">
        <v>5384</v>
      </c>
      <c r="B2993" t="s">
        <v>649</v>
      </c>
      <c r="C2993" t="s">
        <v>1379</v>
      </c>
      <c r="D2993" t="s">
        <v>1564</v>
      </c>
      <c r="E2993" t="s">
        <v>5385</v>
      </c>
      <c r="F2993" t="s">
        <v>1566</v>
      </c>
      <c r="G2993">
        <v>9.2249739999999996</v>
      </c>
      <c r="H2993">
        <v>-79.626154999999997</v>
      </c>
      <c r="I2993" t="s">
        <v>3312</v>
      </c>
      <c r="J2993">
        <v>400</v>
      </c>
      <c r="M2993" t="s">
        <v>190</v>
      </c>
      <c r="N2993" t="s">
        <v>203</v>
      </c>
      <c r="Q2993" s="2" t="str">
        <f>IF($C2993="","",IFERROR(VLOOKUP($C2993,sources!$A$2:$N$200,2,FALSE()),"?"))</f>
        <v>Map</v>
      </c>
      <c r="R2993" s="2" t="str">
        <f t="shared" si="46"/>
        <v>Map</v>
      </c>
      <c r="S2993" s="2" t="str">
        <f>IF($C2993="","",IFERROR(VLOOKUP($C2993,sources!$A$2:$N$200,9,FALSE()),"?"))</f>
        <v>US official</v>
      </c>
      <c r="T2993" t="s">
        <v>5692</v>
      </c>
      <c r="U2993">
        <f>IF(OR(B2993="",C2993="",T2993="Retracted",LEFT(D2993,8)="Negative"),0,IF(COUNTIFS($B$2:B2993,B2993,$C$2:C2993,C2993,$D$2:D2993,"&lt;&gt;Negative*",$T$2:T2993,"&lt;&gt;Retracted")=1,1,0))</f>
        <v>1</v>
      </c>
    </row>
    <row r="2994" spans="1:21" x14ac:dyDescent="0.2">
      <c r="A2994" t="s">
        <v>5386</v>
      </c>
      <c r="B2994" t="s">
        <v>639</v>
      </c>
      <c r="C2994" t="s">
        <v>1379</v>
      </c>
      <c r="D2994" t="s">
        <v>1564</v>
      </c>
      <c r="E2994" t="s">
        <v>5387</v>
      </c>
      <c r="F2994" t="s">
        <v>1583</v>
      </c>
      <c r="G2994">
        <v>9.2224079999999997</v>
      </c>
      <c r="H2994">
        <v>-79.658541999999997</v>
      </c>
      <c r="I2994" t="s">
        <v>3312</v>
      </c>
      <c r="J2994">
        <v>500</v>
      </c>
      <c r="M2994" t="s">
        <v>190</v>
      </c>
      <c r="N2994" t="s">
        <v>203</v>
      </c>
      <c r="Q2994" s="2" t="str">
        <f>IF($C2994="","",IFERROR(VLOOKUP($C2994,sources!$A$2:$N$200,2,FALSE()),"?"))</f>
        <v>Map</v>
      </c>
      <c r="R2994" s="2" t="str">
        <f t="shared" si="46"/>
        <v>Map</v>
      </c>
      <c r="S2994" s="2" t="str">
        <f>IF($C2994="","",IFERROR(VLOOKUP($C2994,sources!$A$2:$N$200,9,FALSE()),"?"))</f>
        <v>US official</v>
      </c>
      <c r="T2994" t="s">
        <v>5692</v>
      </c>
      <c r="U2994">
        <f>IF(OR(B2994="",C2994="",T2994="Retracted",LEFT(D2994,8)="Negative"),0,IF(COUNTIFS($B$2:B2994,B2994,$C$2:C2994,C2994,$D$2:D2994,"&lt;&gt;Negative*",$T$2:T2994,"&lt;&gt;Retracted")=1,1,0))</f>
        <v>1</v>
      </c>
    </row>
    <row r="2995" spans="1:21" x14ac:dyDescent="0.2">
      <c r="A2995" t="s">
        <v>5388</v>
      </c>
      <c r="B2995" t="s">
        <v>484</v>
      </c>
      <c r="C2995" t="s">
        <v>1379</v>
      </c>
      <c r="D2995" t="s">
        <v>1572</v>
      </c>
      <c r="E2995" t="s">
        <v>485</v>
      </c>
      <c r="F2995" t="s">
        <v>1566</v>
      </c>
      <c r="G2995">
        <v>9.1690059999999995</v>
      </c>
      <c r="H2995">
        <v>-79.661468999999997</v>
      </c>
      <c r="I2995" t="s">
        <v>3312</v>
      </c>
      <c r="J2995">
        <v>400</v>
      </c>
      <c r="K2995">
        <v>1950</v>
      </c>
      <c r="L2995">
        <v>1950</v>
      </c>
      <c r="M2995" t="s">
        <v>203</v>
      </c>
      <c r="N2995" t="s">
        <v>203</v>
      </c>
      <c r="Q2995" s="2" t="str">
        <f>IF($C2995="","",IFERROR(VLOOKUP($C2995,sources!$A$2:$N$200,2,FALSE()),"?"))</f>
        <v>Map</v>
      </c>
      <c r="R2995" s="2" t="str">
        <f t="shared" si="46"/>
        <v>Map</v>
      </c>
      <c r="S2995" s="2" t="str">
        <f>IF($C2995="","",IFERROR(VLOOKUP($C2995,sources!$A$2:$N$200,9,FALSE()),"?"))</f>
        <v>US official</v>
      </c>
      <c r="T2995" t="s">
        <v>5692</v>
      </c>
      <c r="U2995">
        <f>IF(OR(B2995="",C2995="",T2995="Retracted",LEFT(D2995,8)="Negative"),0,IF(COUNTIFS($B$2:B2995,B2995,$C$2:C2995,C2995,$D$2:D2995,"&lt;&gt;Negative*",$T$2:T2995,"&lt;&gt;Retracted")=1,1,0))</f>
        <v>1</v>
      </c>
    </row>
    <row r="2996" spans="1:21" x14ac:dyDescent="0.2">
      <c r="A2996" t="s">
        <v>5389</v>
      </c>
      <c r="B2996" t="s">
        <v>226</v>
      </c>
      <c r="C2996" t="s">
        <v>1379</v>
      </c>
      <c r="D2996" t="s">
        <v>1575</v>
      </c>
      <c r="E2996" t="s">
        <v>5390</v>
      </c>
      <c r="F2996" t="s">
        <v>1583</v>
      </c>
      <c r="I2996" t="s">
        <v>1058</v>
      </c>
      <c r="K2996">
        <v>1950</v>
      </c>
      <c r="L2996">
        <v>1950</v>
      </c>
      <c r="M2996" t="s">
        <v>203</v>
      </c>
      <c r="N2996" t="s">
        <v>203</v>
      </c>
      <c r="Q2996" s="2" t="str">
        <f>IF($C2996="","",IFERROR(VLOOKUP($C2996,sources!$A$2:$N$200,2,FALSE()),"?"))</f>
        <v>Map</v>
      </c>
      <c r="R2996" s="2" t="str">
        <f t="shared" si="46"/>
        <v>Map</v>
      </c>
      <c r="S2996" s="2" t="str">
        <f>IF($C2996="","",IFERROR(VLOOKUP($C2996,sources!$A$2:$N$200,9,FALSE()),"?"))</f>
        <v>US official</v>
      </c>
      <c r="T2996" t="s">
        <v>5692</v>
      </c>
      <c r="U2996">
        <f>IF(OR(B2996="",C2996="",T2996="Retracted",LEFT(D2996,8)="Negative"),0,IF(COUNTIFS($B$2:B2996,B2996,$C$2:C2996,C2996,$D$2:D2996,"&lt;&gt;Negative*",$T$2:T2996,"&lt;&gt;Retracted")=1,1,0))</f>
        <v>1</v>
      </c>
    </row>
    <row r="2997" spans="1:21" x14ac:dyDescent="0.2">
      <c r="A2997" t="s">
        <v>5391</v>
      </c>
      <c r="B2997" t="s">
        <v>330</v>
      </c>
      <c r="C2997" t="s">
        <v>1379</v>
      </c>
      <c r="D2997" t="s">
        <v>1575</v>
      </c>
      <c r="E2997" t="s">
        <v>5392</v>
      </c>
      <c r="F2997" t="s">
        <v>1583</v>
      </c>
      <c r="I2997" t="s">
        <v>1058</v>
      </c>
      <c r="K2997">
        <v>1950</v>
      </c>
      <c r="L2997">
        <v>1950</v>
      </c>
      <c r="M2997" t="s">
        <v>203</v>
      </c>
      <c r="N2997" t="s">
        <v>203</v>
      </c>
      <c r="Q2997" s="2" t="str">
        <f>IF($C2997="","",IFERROR(VLOOKUP($C2997,sources!$A$2:$N$200,2,FALSE()),"?"))</f>
        <v>Map</v>
      </c>
      <c r="R2997" s="2" t="str">
        <f t="shared" si="46"/>
        <v>Map</v>
      </c>
      <c r="S2997" s="2" t="str">
        <f>IF($C2997="","",IFERROR(VLOOKUP($C2997,sources!$A$2:$N$200,9,FALSE()),"?"))</f>
        <v>US official</v>
      </c>
      <c r="T2997" t="s">
        <v>5692</v>
      </c>
      <c r="U2997">
        <f>IF(OR(B2997="",C2997="",T2997="Retracted",LEFT(D2997,8)="Negative"),0,IF(COUNTIFS($B$2:B2997,B2997,$C$2:C2997,C2997,$D$2:D2997,"&lt;&gt;Negative*",$T$2:T2997,"&lt;&gt;Retracted")=1,1,0))</f>
        <v>1</v>
      </c>
    </row>
    <row r="2998" spans="1:21" x14ac:dyDescent="0.2">
      <c r="A2998" t="s">
        <v>5393</v>
      </c>
      <c r="B2998" t="s">
        <v>335</v>
      </c>
      <c r="C2998" t="s">
        <v>1379</v>
      </c>
      <c r="D2998" t="s">
        <v>1575</v>
      </c>
      <c r="E2998" t="s">
        <v>5394</v>
      </c>
      <c r="F2998" t="s">
        <v>1583</v>
      </c>
      <c r="I2998" t="s">
        <v>1058</v>
      </c>
      <c r="K2998">
        <v>1950</v>
      </c>
      <c r="L2998">
        <v>1950</v>
      </c>
      <c r="M2998" t="s">
        <v>203</v>
      </c>
      <c r="N2998" t="s">
        <v>203</v>
      </c>
      <c r="Q2998" s="2" t="str">
        <f>IF($C2998="","",IFERROR(VLOOKUP($C2998,sources!$A$2:$N$200,2,FALSE()),"?"))</f>
        <v>Map</v>
      </c>
      <c r="R2998" s="2" t="str">
        <f t="shared" si="46"/>
        <v>Map</v>
      </c>
      <c r="S2998" s="2" t="str">
        <f>IF($C2998="","",IFERROR(VLOOKUP($C2998,sources!$A$2:$N$200,9,FALSE()),"?"))</f>
        <v>US official</v>
      </c>
      <c r="T2998" t="s">
        <v>5692</v>
      </c>
      <c r="U2998">
        <f>IF(OR(B2998="",C2998="",T2998="Retracted",LEFT(D2998,8)="Negative"),0,IF(COUNTIFS($B$2:B2998,B2998,$C$2:C2998,C2998,$D$2:D2998,"&lt;&gt;Negative*",$T$2:T2998,"&lt;&gt;Retracted")=1,1,0))</f>
        <v>1</v>
      </c>
    </row>
    <row r="2999" spans="1:21" x14ac:dyDescent="0.2">
      <c r="A2999" t="s">
        <v>5395</v>
      </c>
      <c r="B2999" t="s">
        <v>348</v>
      </c>
      <c r="C2999" t="s">
        <v>1379</v>
      </c>
      <c r="D2999" t="s">
        <v>1575</v>
      </c>
      <c r="E2999" t="s">
        <v>5396</v>
      </c>
      <c r="F2999" t="s">
        <v>1583</v>
      </c>
      <c r="I2999" t="s">
        <v>1058</v>
      </c>
      <c r="K2999">
        <v>1950</v>
      </c>
      <c r="L2999">
        <v>1950</v>
      </c>
      <c r="M2999" t="s">
        <v>203</v>
      </c>
      <c r="N2999" t="s">
        <v>203</v>
      </c>
      <c r="Q2999" s="2" t="str">
        <f>IF($C2999="","",IFERROR(VLOOKUP($C2999,sources!$A$2:$N$200,2,FALSE()),"?"))</f>
        <v>Map</v>
      </c>
      <c r="R2999" s="2" t="str">
        <f t="shared" si="46"/>
        <v>Map</v>
      </c>
      <c r="S2999" s="2" t="str">
        <f>IF($C2999="","",IFERROR(VLOOKUP($C2999,sources!$A$2:$N$200,9,FALSE()),"?"))</f>
        <v>US official</v>
      </c>
      <c r="T2999" t="s">
        <v>5692</v>
      </c>
      <c r="U2999">
        <f>IF(OR(B2999="",C2999="",T2999="Retracted",LEFT(D2999,8)="Negative"),0,IF(COUNTIFS($B$2:B2999,B2999,$C$2:C2999,C2999,$D$2:D2999,"&lt;&gt;Negative*",$T$2:T2999,"&lt;&gt;Retracted")=1,1,0))</f>
        <v>1</v>
      </c>
    </row>
    <row r="3000" spans="1:21" x14ac:dyDescent="0.2">
      <c r="A3000" t="s">
        <v>5397</v>
      </c>
      <c r="B3000" t="s">
        <v>351</v>
      </c>
      <c r="C3000" t="s">
        <v>1379</v>
      </c>
      <c r="D3000" t="s">
        <v>1575</v>
      </c>
      <c r="E3000" t="s">
        <v>5398</v>
      </c>
      <c r="F3000" t="s">
        <v>1583</v>
      </c>
      <c r="I3000" t="s">
        <v>1058</v>
      </c>
      <c r="K3000">
        <v>1950</v>
      </c>
      <c r="L3000">
        <v>1950</v>
      </c>
      <c r="M3000" t="s">
        <v>203</v>
      </c>
      <c r="N3000" t="s">
        <v>203</v>
      </c>
      <c r="Q3000" s="2" t="str">
        <f>IF($C3000="","",IFERROR(VLOOKUP($C3000,sources!$A$2:$N$200,2,FALSE()),"?"))</f>
        <v>Map</v>
      </c>
      <c r="R3000" s="2" t="str">
        <f t="shared" si="46"/>
        <v>Map</v>
      </c>
      <c r="S3000" s="2" t="str">
        <f>IF($C3000="","",IFERROR(VLOOKUP($C3000,sources!$A$2:$N$200,9,FALSE()),"?"))</f>
        <v>US official</v>
      </c>
      <c r="T3000" t="s">
        <v>5692</v>
      </c>
      <c r="U3000">
        <f>IF(OR(B3000="",C3000="",T3000="Retracted",LEFT(D3000,8)="Negative"),0,IF(COUNTIFS($B$2:B3000,B3000,$C$2:C3000,C3000,$D$2:D3000,"&lt;&gt;Negative*",$T$2:T3000,"&lt;&gt;Retracted")=1,1,0))</f>
        <v>1</v>
      </c>
    </row>
    <row r="3001" spans="1:21" x14ac:dyDescent="0.2">
      <c r="A3001" t="s">
        <v>5399</v>
      </c>
      <c r="B3001" t="s">
        <v>383</v>
      </c>
      <c r="C3001" t="s">
        <v>1379</v>
      </c>
      <c r="D3001" t="s">
        <v>1575</v>
      </c>
      <c r="E3001" t="s">
        <v>5400</v>
      </c>
      <c r="F3001" t="s">
        <v>1583</v>
      </c>
      <c r="I3001" t="s">
        <v>1058</v>
      </c>
      <c r="K3001">
        <v>1950</v>
      </c>
      <c r="L3001">
        <v>1950</v>
      </c>
      <c r="M3001" t="s">
        <v>203</v>
      </c>
      <c r="N3001" t="s">
        <v>203</v>
      </c>
      <c r="Q3001" s="2" t="str">
        <f>IF($C3001="","",IFERROR(VLOOKUP($C3001,sources!$A$2:$N$200,2,FALSE()),"?"))</f>
        <v>Map</v>
      </c>
      <c r="R3001" s="2" t="str">
        <f t="shared" si="46"/>
        <v>Map</v>
      </c>
      <c r="S3001" s="2" t="str">
        <f>IF($C3001="","",IFERROR(VLOOKUP($C3001,sources!$A$2:$N$200,9,FALSE()),"?"))</f>
        <v>US official</v>
      </c>
      <c r="T3001" t="s">
        <v>5692</v>
      </c>
      <c r="U3001">
        <f>IF(OR(B3001="",C3001="",T3001="Retracted",LEFT(D3001,8)="Negative"),0,IF(COUNTIFS($B$2:B3001,B3001,$C$2:C3001,C3001,$D$2:D3001,"&lt;&gt;Negative*",$T$2:T3001,"&lt;&gt;Retracted")=1,1,0))</f>
        <v>1</v>
      </c>
    </row>
    <row r="3002" spans="1:21" x14ac:dyDescent="0.2">
      <c r="A3002" t="s">
        <v>5401</v>
      </c>
      <c r="B3002" t="s">
        <v>407</v>
      </c>
      <c r="C3002" t="s">
        <v>1379</v>
      </c>
      <c r="D3002" t="s">
        <v>1575</v>
      </c>
      <c r="E3002" t="s">
        <v>5402</v>
      </c>
      <c r="F3002" t="s">
        <v>1583</v>
      </c>
      <c r="I3002" t="s">
        <v>1058</v>
      </c>
      <c r="K3002">
        <v>1950</v>
      </c>
      <c r="L3002">
        <v>1950</v>
      </c>
      <c r="M3002" t="s">
        <v>203</v>
      </c>
      <c r="N3002" t="s">
        <v>203</v>
      </c>
      <c r="Q3002" s="2" t="str">
        <f>IF($C3002="","",IFERROR(VLOOKUP($C3002,sources!$A$2:$N$200,2,FALSE()),"?"))</f>
        <v>Map</v>
      </c>
      <c r="R3002" s="2" t="str">
        <f t="shared" si="46"/>
        <v>Map</v>
      </c>
      <c r="S3002" s="2" t="str">
        <f>IF($C3002="","",IFERROR(VLOOKUP($C3002,sources!$A$2:$N$200,9,FALSE()),"?"))</f>
        <v>US official</v>
      </c>
      <c r="T3002" t="s">
        <v>5692</v>
      </c>
      <c r="U3002">
        <f>IF(OR(B3002="",C3002="",T3002="Retracted",LEFT(D3002,8)="Negative"),0,IF(COUNTIFS($B$2:B3002,B3002,$C$2:C3002,C3002,$D$2:D3002,"&lt;&gt;Negative*",$T$2:T3002,"&lt;&gt;Retracted")=1,1,0))</f>
        <v>1</v>
      </c>
    </row>
    <row r="3003" spans="1:21" x14ac:dyDescent="0.2">
      <c r="A3003" t="s">
        <v>5403</v>
      </c>
      <c r="B3003" t="s">
        <v>411</v>
      </c>
      <c r="C3003" t="s">
        <v>1379</v>
      </c>
      <c r="D3003" t="s">
        <v>1575</v>
      </c>
      <c r="E3003" t="s">
        <v>5404</v>
      </c>
      <c r="F3003" t="s">
        <v>1583</v>
      </c>
      <c r="I3003" t="s">
        <v>1058</v>
      </c>
      <c r="K3003">
        <v>1950</v>
      </c>
      <c r="L3003">
        <v>1950</v>
      </c>
      <c r="M3003" t="s">
        <v>203</v>
      </c>
      <c r="N3003" t="s">
        <v>203</v>
      </c>
      <c r="Q3003" s="2" t="str">
        <f>IF($C3003="","",IFERROR(VLOOKUP($C3003,sources!$A$2:$N$200,2,FALSE()),"?"))</f>
        <v>Map</v>
      </c>
      <c r="R3003" s="2" t="str">
        <f t="shared" si="46"/>
        <v>Map</v>
      </c>
      <c r="S3003" s="2" t="str">
        <f>IF($C3003="","",IFERROR(VLOOKUP($C3003,sources!$A$2:$N$200,9,FALSE()),"?"))</f>
        <v>US official</v>
      </c>
      <c r="T3003" t="s">
        <v>5692</v>
      </c>
      <c r="U3003">
        <f>IF(OR(B3003="",C3003="",T3003="Retracted",LEFT(D3003,8)="Negative"),0,IF(COUNTIFS($B$2:B3003,B3003,$C$2:C3003,C3003,$D$2:D3003,"&lt;&gt;Negative*",$T$2:T3003,"&lt;&gt;Retracted")=1,1,0))</f>
        <v>1</v>
      </c>
    </row>
    <row r="3004" spans="1:21" x14ac:dyDescent="0.2">
      <c r="A3004" t="s">
        <v>5405</v>
      </c>
      <c r="B3004" t="s">
        <v>439</v>
      </c>
      <c r="C3004" t="s">
        <v>1379</v>
      </c>
      <c r="D3004" t="s">
        <v>1575</v>
      </c>
      <c r="E3004" t="s">
        <v>5406</v>
      </c>
      <c r="F3004" t="s">
        <v>1583</v>
      </c>
      <c r="I3004" t="s">
        <v>1058</v>
      </c>
      <c r="K3004">
        <v>1950</v>
      </c>
      <c r="L3004">
        <v>1950</v>
      </c>
      <c r="M3004" t="s">
        <v>203</v>
      </c>
      <c r="N3004" t="s">
        <v>203</v>
      </c>
      <c r="Q3004" s="2" t="str">
        <f>IF($C3004="","",IFERROR(VLOOKUP($C3004,sources!$A$2:$N$200,2,FALSE()),"?"))</f>
        <v>Map</v>
      </c>
      <c r="R3004" s="2" t="str">
        <f t="shared" si="46"/>
        <v>Map</v>
      </c>
      <c r="S3004" s="2" t="str">
        <f>IF($C3004="","",IFERROR(VLOOKUP($C3004,sources!$A$2:$N$200,9,FALSE()),"?"))</f>
        <v>US official</v>
      </c>
      <c r="T3004" t="s">
        <v>5692</v>
      </c>
      <c r="U3004">
        <f>IF(OR(B3004="",C3004="",T3004="Retracted",LEFT(D3004,8)="Negative"),0,IF(COUNTIFS($B$2:B3004,B3004,$C$2:C3004,C3004,$D$2:D3004,"&lt;&gt;Negative*",$T$2:T3004,"&lt;&gt;Retracted")=1,1,0))</f>
        <v>1</v>
      </c>
    </row>
    <row r="3005" spans="1:21" x14ac:dyDescent="0.2">
      <c r="A3005" t="s">
        <v>5407</v>
      </c>
      <c r="B3005" t="s">
        <v>468</v>
      </c>
      <c r="C3005" t="s">
        <v>1379</v>
      </c>
      <c r="D3005" t="s">
        <v>1575</v>
      </c>
      <c r="E3005" t="s">
        <v>5408</v>
      </c>
      <c r="F3005" t="s">
        <v>1583</v>
      </c>
      <c r="I3005" t="s">
        <v>1058</v>
      </c>
      <c r="K3005">
        <v>1950</v>
      </c>
      <c r="L3005">
        <v>1950</v>
      </c>
      <c r="M3005" t="s">
        <v>203</v>
      </c>
      <c r="N3005" t="s">
        <v>203</v>
      </c>
      <c r="Q3005" s="2" t="str">
        <f>IF($C3005="","",IFERROR(VLOOKUP($C3005,sources!$A$2:$N$200,2,FALSE()),"?"))</f>
        <v>Map</v>
      </c>
      <c r="R3005" s="2" t="str">
        <f t="shared" si="46"/>
        <v>Map</v>
      </c>
      <c r="S3005" s="2" t="str">
        <f>IF($C3005="","",IFERROR(VLOOKUP($C3005,sources!$A$2:$N$200,9,FALSE()),"?"))</f>
        <v>US official</v>
      </c>
      <c r="T3005" t="s">
        <v>5692</v>
      </c>
      <c r="U3005">
        <f>IF(OR(B3005="",C3005="",T3005="Retracted",LEFT(D3005,8)="Negative"),0,IF(COUNTIFS($B$2:B3005,B3005,$C$2:C3005,C3005,$D$2:D3005,"&lt;&gt;Negative*",$T$2:T3005,"&lt;&gt;Retracted")=1,1,0))</f>
        <v>1</v>
      </c>
    </row>
    <row r="3006" spans="1:21" x14ac:dyDescent="0.2">
      <c r="A3006" t="s">
        <v>5409</v>
      </c>
      <c r="B3006" t="s">
        <v>510</v>
      </c>
      <c r="C3006" t="s">
        <v>1379</v>
      </c>
      <c r="D3006" t="s">
        <v>1575</v>
      </c>
      <c r="E3006" t="s">
        <v>5410</v>
      </c>
      <c r="F3006" t="s">
        <v>1583</v>
      </c>
      <c r="I3006" t="s">
        <v>1058</v>
      </c>
      <c r="K3006">
        <v>1950</v>
      </c>
      <c r="L3006">
        <v>1950</v>
      </c>
      <c r="M3006" t="s">
        <v>203</v>
      </c>
      <c r="N3006" t="s">
        <v>203</v>
      </c>
      <c r="Q3006" s="2" t="str">
        <f>IF($C3006="","",IFERROR(VLOOKUP($C3006,sources!$A$2:$N$200,2,FALSE()),"?"))</f>
        <v>Map</v>
      </c>
      <c r="R3006" s="2" t="str">
        <f t="shared" si="46"/>
        <v>Map</v>
      </c>
      <c r="S3006" s="2" t="str">
        <f>IF($C3006="","",IFERROR(VLOOKUP($C3006,sources!$A$2:$N$200,9,FALSE()),"?"))</f>
        <v>US official</v>
      </c>
      <c r="T3006" t="s">
        <v>5692</v>
      </c>
      <c r="U3006">
        <f>IF(OR(B3006="",C3006="",T3006="Retracted",LEFT(D3006,8)="Negative"),0,IF(COUNTIFS($B$2:B3006,B3006,$C$2:C3006,C3006,$D$2:D3006,"&lt;&gt;Negative*",$T$2:T3006,"&lt;&gt;Retracted")=1,1,0))</f>
        <v>1</v>
      </c>
    </row>
    <row r="3007" spans="1:21" x14ac:dyDescent="0.2">
      <c r="A3007" t="s">
        <v>5411</v>
      </c>
      <c r="B3007" t="s">
        <v>520</v>
      </c>
      <c r="C3007" t="s">
        <v>1379</v>
      </c>
      <c r="D3007" t="s">
        <v>1575</v>
      </c>
      <c r="E3007" t="s">
        <v>5412</v>
      </c>
      <c r="F3007" t="s">
        <v>1583</v>
      </c>
      <c r="I3007" t="s">
        <v>1058</v>
      </c>
      <c r="K3007">
        <v>1950</v>
      </c>
      <c r="L3007">
        <v>1950</v>
      </c>
      <c r="M3007" t="s">
        <v>203</v>
      </c>
      <c r="N3007" t="s">
        <v>203</v>
      </c>
      <c r="Q3007" s="2" t="str">
        <f>IF($C3007="","",IFERROR(VLOOKUP($C3007,sources!$A$2:$N$200,2,FALSE()),"?"))</f>
        <v>Map</v>
      </c>
      <c r="R3007" s="2" t="str">
        <f t="shared" si="46"/>
        <v>Map</v>
      </c>
      <c r="S3007" s="2" t="str">
        <f>IF($C3007="","",IFERROR(VLOOKUP($C3007,sources!$A$2:$N$200,9,FALSE()),"?"))</f>
        <v>US official</v>
      </c>
      <c r="T3007" t="s">
        <v>5692</v>
      </c>
      <c r="U3007">
        <f>IF(OR(B3007="",C3007="",T3007="Retracted",LEFT(D3007,8)="Negative"),0,IF(COUNTIFS($B$2:B3007,B3007,$C$2:C3007,C3007,$D$2:D3007,"&lt;&gt;Negative*",$T$2:T3007,"&lt;&gt;Retracted")=1,1,0))</f>
        <v>1</v>
      </c>
    </row>
    <row r="3008" spans="1:21" x14ac:dyDescent="0.2">
      <c r="A3008" t="s">
        <v>5413</v>
      </c>
      <c r="B3008" t="s">
        <v>525</v>
      </c>
      <c r="C3008" t="s">
        <v>1379</v>
      </c>
      <c r="D3008" t="s">
        <v>1575</v>
      </c>
      <c r="E3008" t="s">
        <v>5414</v>
      </c>
      <c r="F3008" t="s">
        <v>1583</v>
      </c>
      <c r="I3008" t="s">
        <v>1058</v>
      </c>
      <c r="K3008">
        <v>1950</v>
      </c>
      <c r="L3008">
        <v>1950</v>
      </c>
      <c r="M3008" t="s">
        <v>203</v>
      </c>
      <c r="N3008" t="s">
        <v>203</v>
      </c>
      <c r="Q3008" s="2" t="str">
        <f>IF($C3008="","",IFERROR(VLOOKUP($C3008,sources!$A$2:$N$200,2,FALSE()),"?"))</f>
        <v>Map</v>
      </c>
      <c r="R3008" s="2" t="str">
        <f t="shared" si="46"/>
        <v>Map</v>
      </c>
      <c r="S3008" s="2" t="str">
        <f>IF($C3008="","",IFERROR(VLOOKUP($C3008,sources!$A$2:$N$200,9,FALSE()),"?"))</f>
        <v>US official</v>
      </c>
      <c r="T3008" t="s">
        <v>5692</v>
      </c>
      <c r="U3008">
        <f>IF(OR(B3008="",C3008="",T3008="Retracted",LEFT(D3008,8)="Negative"),0,IF(COUNTIFS($B$2:B3008,B3008,$C$2:C3008,C3008,$D$2:D3008,"&lt;&gt;Negative*",$T$2:T3008,"&lt;&gt;Retracted")=1,1,0))</f>
        <v>1</v>
      </c>
    </row>
    <row r="3009" spans="1:21" x14ac:dyDescent="0.2">
      <c r="A3009" t="s">
        <v>5415</v>
      </c>
      <c r="B3009" t="s">
        <v>530</v>
      </c>
      <c r="C3009" t="s">
        <v>1379</v>
      </c>
      <c r="D3009" t="s">
        <v>1575</v>
      </c>
      <c r="E3009" t="s">
        <v>5416</v>
      </c>
      <c r="F3009" t="s">
        <v>1583</v>
      </c>
      <c r="I3009" t="s">
        <v>1058</v>
      </c>
      <c r="K3009">
        <v>1950</v>
      </c>
      <c r="L3009">
        <v>1950</v>
      </c>
      <c r="M3009" t="s">
        <v>203</v>
      </c>
      <c r="N3009" t="s">
        <v>203</v>
      </c>
      <c r="Q3009" s="2" t="str">
        <f>IF($C3009="","",IFERROR(VLOOKUP($C3009,sources!$A$2:$N$200,2,FALSE()),"?"))</f>
        <v>Map</v>
      </c>
      <c r="R3009" s="2" t="str">
        <f t="shared" si="46"/>
        <v>Map</v>
      </c>
      <c r="S3009" s="2" t="str">
        <f>IF($C3009="","",IFERROR(VLOOKUP($C3009,sources!$A$2:$N$200,9,FALSE()),"?"))</f>
        <v>US official</v>
      </c>
      <c r="T3009" t="s">
        <v>5692</v>
      </c>
      <c r="U3009">
        <f>IF(OR(B3009="",C3009="",T3009="Retracted",LEFT(D3009,8)="Negative"),0,IF(COUNTIFS($B$2:B3009,B3009,$C$2:C3009,C3009,$D$2:D3009,"&lt;&gt;Negative*",$T$2:T3009,"&lt;&gt;Retracted")=1,1,0))</f>
        <v>1</v>
      </c>
    </row>
    <row r="3010" spans="1:21" x14ac:dyDescent="0.2">
      <c r="A3010" t="s">
        <v>5417</v>
      </c>
      <c r="B3010" t="s">
        <v>534</v>
      </c>
      <c r="C3010" t="s">
        <v>1379</v>
      </c>
      <c r="D3010" t="s">
        <v>1575</v>
      </c>
      <c r="E3010" t="s">
        <v>5418</v>
      </c>
      <c r="F3010" t="s">
        <v>1583</v>
      </c>
      <c r="I3010" t="s">
        <v>1058</v>
      </c>
      <c r="K3010">
        <v>1950</v>
      </c>
      <c r="L3010">
        <v>1950</v>
      </c>
      <c r="M3010" t="s">
        <v>203</v>
      </c>
      <c r="N3010" t="s">
        <v>203</v>
      </c>
      <c r="Q3010" s="2" t="str">
        <f>IF($C3010="","",IFERROR(VLOOKUP($C3010,sources!$A$2:$N$200,2,FALSE()),"?"))</f>
        <v>Map</v>
      </c>
      <c r="R3010" s="2" t="str">
        <f t="shared" ref="R3010:R3029" si="47">IF($Q3010="","",IF($Q3010="Map","Map",IF(OR($Q3010="Photograph",$Q3010="Postcard"),"Image",IF(OR($Q3010="Census or roll",$Q3010="Report",$Q3010="Newspaper",$Q3010="Letter",$Q3010="Memoir",$Q3010="Administrative",$Q3010="Web compilation"),"Textual",IF($Q3010="Legal claim","Legal/admin",IF($Q3010="Secondary","Secondary","Other"))))))</f>
        <v>Map</v>
      </c>
      <c r="S3010" s="2" t="str">
        <f>IF($C3010="","",IFERROR(VLOOKUP($C3010,sources!$A$2:$N$200,9,FALSE()),"?"))</f>
        <v>US official</v>
      </c>
      <c r="T3010" t="s">
        <v>5692</v>
      </c>
      <c r="U3010">
        <f>IF(OR(B3010="",C3010="",T3010="Retracted",LEFT(D3010,8)="Negative"),0,IF(COUNTIFS($B$2:B3010,B3010,$C$2:C3010,C3010,$D$2:D3010,"&lt;&gt;Negative*",$T$2:T3010,"&lt;&gt;Retracted")=1,1,0))</f>
        <v>1</v>
      </c>
    </row>
    <row r="3011" spans="1:21" x14ac:dyDescent="0.2">
      <c r="A3011" t="s">
        <v>5419</v>
      </c>
      <c r="B3011" t="s">
        <v>538</v>
      </c>
      <c r="C3011" t="s">
        <v>1379</v>
      </c>
      <c r="D3011" t="s">
        <v>1575</v>
      </c>
      <c r="E3011" t="s">
        <v>5420</v>
      </c>
      <c r="F3011" t="s">
        <v>1583</v>
      </c>
      <c r="I3011" t="s">
        <v>1058</v>
      </c>
      <c r="K3011">
        <v>1950</v>
      </c>
      <c r="L3011">
        <v>1950</v>
      </c>
      <c r="M3011" t="s">
        <v>203</v>
      </c>
      <c r="N3011" t="s">
        <v>203</v>
      </c>
      <c r="Q3011" s="2" t="str">
        <f>IF($C3011="","",IFERROR(VLOOKUP($C3011,sources!$A$2:$N$200,2,FALSE()),"?"))</f>
        <v>Map</v>
      </c>
      <c r="R3011" s="2" t="str">
        <f t="shared" si="47"/>
        <v>Map</v>
      </c>
      <c r="S3011" s="2" t="str">
        <f>IF($C3011="","",IFERROR(VLOOKUP($C3011,sources!$A$2:$N$200,9,FALSE()),"?"))</f>
        <v>US official</v>
      </c>
      <c r="T3011" t="s">
        <v>5692</v>
      </c>
      <c r="U3011">
        <f>IF(OR(B3011="",C3011="",T3011="Retracted",LEFT(D3011,8)="Negative"),0,IF(COUNTIFS($B$2:B3011,B3011,$C$2:C3011,C3011,$D$2:D3011,"&lt;&gt;Negative*",$T$2:T3011,"&lt;&gt;Retracted")=1,1,0))</f>
        <v>1</v>
      </c>
    </row>
    <row r="3012" spans="1:21" x14ac:dyDescent="0.2">
      <c r="A3012" t="s">
        <v>5421</v>
      </c>
      <c r="B3012" t="s">
        <v>542</v>
      </c>
      <c r="C3012" t="s">
        <v>1379</v>
      </c>
      <c r="D3012" t="s">
        <v>1575</v>
      </c>
      <c r="E3012" t="s">
        <v>5422</v>
      </c>
      <c r="F3012" t="s">
        <v>1583</v>
      </c>
      <c r="I3012" t="s">
        <v>1058</v>
      </c>
      <c r="K3012">
        <v>1950</v>
      </c>
      <c r="L3012">
        <v>1950</v>
      </c>
      <c r="M3012" t="s">
        <v>203</v>
      </c>
      <c r="N3012" t="s">
        <v>203</v>
      </c>
      <c r="Q3012" s="2" t="str">
        <f>IF($C3012="","",IFERROR(VLOOKUP($C3012,sources!$A$2:$N$200,2,FALSE()),"?"))</f>
        <v>Map</v>
      </c>
      <c r="R3012" s="2" t="str">
        <f t="shared" si="47"/>
        <v>Map</v>
      </c>
      <c r="S3012" s="2" t="str">
        <f>IF($C3012="","",IFERROR(VLOOKUP($C3012,sources!$A$2:$N$200,9,FALSE()),"?"))</f>
        <v>US official</v>
      </c>
      <c r="T3012" t="s">
        <v>5692</v>
      </c>
      <c r="U3012">
        <f>IF(OR(B3012="",C3012="",T3012="Retracted",LEFT(D3012,8)="Negative"),0,IF(COUNTIFS($B$2:B3012,B3012,$C$2:C3012,C3012,$D$2:D3012,"&lt;&gt;Negative*",$T$2:T3012,"&lt;&gt;Retracted")=1,1,0))</f>
        <v>1</v>
      </c>
    </row>
    <row r="3013" spans="1:21" x14ac:dyDescent="0.2">
      <c r="A3013" t="s">
        <v>5423</v>
      </c>
      <c r="B3013" t="s">
        <v>547</v>
      </c>
      <c r="C3013" t="s">
        <v>1379</v>
      </c>
      <c r="D3013" t="s">
        <v>1575</v>
      </c>
      <c r="E3013" t="s">
        <v>5424</v>
      </c>
      <c r="F3013" t="s">
        <v>1583</v>
      </c>
      <c r="I3013" t="s">
        <v>1058</v>
      </c>
      <c r="K3013">
        <v>1950</v>
      </c>
      <c r="L3013">
        <v>1950</v>
      </c>
      <c r="M3013" t="s">
        <v>203</v>
      </c>
      <c r="N3013" t="s">
        <v>203</v>
      </c>
      <c r="Q3013" s="2" t="str">
        <f>IF($C3013="","",IFERROR(VLOOKUP($C3013,sources!$A$2:$N$200,2,FALSE()),"?"))</f>
        <v>Map</v>
      </c>
      <c r="R3013" s="2" t="str">
        <f t="shared" si="47"/>
        <v>Map</v>
      </c>
      <c r="S3013" s="2" t="str">
        <f>IF($C3013="","",IFERROR(VLOOKUP($C3013,sources!$A$2:$N$200,9,FALSE()),"?"))</f>
        <v>US official</v>
      </c>
      <c r="T3013" t="s">
        <v>5692</v>
      </c>
      <c r="U3013">
        <f>IF(OR(B3013="",C3013="",T3013="Retracted",LEFT(D3013,8)="Negative"),0,IF(COUNTIFS($B$2:B3013,B3013,$C$2:C3013,C3013,$D$2:D3013,"&lt;&gt;Negative*",$T$2:T3013,"&lt;&gt;Retracted")=1,1,0))</f>
        <v>1</v>
      </c>
    </row>
    <row r="3014" spans="1:21" x14ac:dyDescent="0.2">
      <c r="A3014" t="s">
        <v>5425</v>
      </c>
      <c r="B3014" t="s">
        <v>552</v>
      </c>
      <c r="C3014" t="s">
        <v>1379</v>
      </c>
      <c r="D3014" t="s">
        <v>1575</v>
      </c>
      <c r="E3014" t="s">
        <v>5426</v>
      </c>
      <c r="F3014" t="s">
        <v>1583</v>
      </c>
      <c r="I3014" t="s">
        <v>1058</v>
      </c>
      <c r="K3014">
        <v>1950</v>
      </c>
      <c r="L3014">
        <v>1950</v>
      </c>
      <c r="M3014" t="s">
        <v>203</v>
      </c>
      <c r="N3014" t="s">
        <v>203</v>
      </c>
      <c r="Q3014" s="2" t="str">
        <f>IF($C3014="","",IFERROR(VLOOKUP($C3014,sources!$A$2:$N$200,2,FALSE()),"?"))</f>
        <v>Map</v>
      </c>
      <c r="R3014" s="2" t="str">
        <f t="shared" si="47"/>
        <v>Map</v>
      </c>
      <c r="S3014" s="2" t="str">
        <f>IF($C3014="","",IFERROR(VLOOKUP($C3014,sources!$A$2:$N$200,9,FALSE()),"?"))</f>
        <v>US official</v>
      </c>
      <c r="T3014" t="s">
        <v>5692</v>
      </c>
      <c r="U3014">
        <f>IF(OR(B3014="",C3014="",T3014="Retracted",LEFT(D3014,8)="Negative"),0,IF(COUNTIFS($B$2:B3014,B3014,$C$2:C3014,C3014,$D$2:D3014,"&lt;&gt;Negative*",$T$2:T3014,"&lt;&gt;Retracted")=1,1,0))</f>
        <v>1</v>
      </c>
    </row>
    <row r="3015" spans="1:21" x14ac:dyDescent="0.2">
      <c r="A3015" t="s">
        <v>5427</v>
      </c>
      <c r="B3015" t="s">
        <v>429</v>
      </c>
      <c r="C3015" t="s">
        <v>1379</v>
      </c>
      <c r="D3015" t="s">
        <v>1613</v>
      </c>
      <c r="E3015" t="s">
        <v>430</v>
      </c>
      <c r="F3015" t="s">
        <v>1583</v>
      </c>
      <c r="I3015" t="s">
        <v>1058</v>
      </c>
      <c r="K3015">
        <v>1950</v>
      </c>
      <c r="L3015">
        <v>1950</v>
      </c>
      <c r="M3015" t="s">
        <v>203</v>
      </c>
      <c r="N3015" t="s">
        <v>209</v>
      </c>
      <c r="Q3015" s="2" t="str">
        <f>IF($C3015="","",IFERROR(VLOOKUP($C3015,sources!$A$2:$N$200,2,FALSE()),"?"))</f>
        <v>Map</v>
      </c>
      <c r="R3015" s="2" t="str">
        <f t="shared" si="47"/>
        <v>Map</v>
      </c>
      <c r="S3015" s="2" t="str">
        <f>IF($C3015="","",IFERROR(VLOOKUP($C3015,sources!$A$2:$N$200,9,FALSE()),"?"))</f>
        <v>US official</v>
      </c>
      <c r="T3015" t="s">
        <v>5692</v>
      </c>
      <c r="U3015">
        <f>IF(OR(B3015="",C3015="",T3015="Retracted",LEFT(D3015,8)="Negative"),0,IF(COUNTIFS($B$2:B3015,B3015,$C$2:C3015,C3015,$D$2:D3015,"&lt;&gt;Negative*",$T$2:T3015,"&lt;&gt;Retracted")=1,1,0))</f>
        <v>0</v>
      </c>
    </row>
    <row r="3016" spans="1:21" x14ac:dyDescent="0.2">
      <c r="A3016" t="s">
        <v>5428</v>
      </c>
      <c r="B3016" t="s">
        <v>465</v>
      </c>
      <c r="C3016" t="s">
        <v>1379</v>
      </c>
      <c r="D3016" t="s">
        <v>1613</v>
      </c>
      <c r="E3016" t="s">
        <v>466</v>
      </c>
      <c r="F3016" t="s">
        <v>1583</v>
      </c>
      <c r="I3016" t="s">
        <v>1058</v>
      </c>
      <c r="K3016">
        <v>1950</v>
      </c>
      <c r="L3016">
        <v>1950</v>
      </c>
      <c r="M3016" t="s">
        <v>203</v>
      </c>
      <c r="N3016" t="s">
        <v>203</v>
      </c>
      <c r="Q3016" s="2" t="str">
        <f>IF($C3016="","",IFERROR(VLOOKUP($C3016,sources!$A$2:$N$200,2,FALSE()),"?"))</f>
        <v>Map</v>
      </c>
      <c r="R3016" s="2" t="str">
        <f t="shared" si="47"/>
        <v>Map</v>
      </c>
      <c r="S3016" s="2" t="str">
        <f>IF($C3016="","",IFERROR(VLOOKUP($C3016,sources!$A$2:$N$200,9,FALSE()),"?"))</f>
        <v>US official</v>
      </c>
      <c r="T3016" t="s">
        <v>5692</v>
      </c>
      <c r="U3016">
        <f>IF(OR(B3016="",C3016="",T3016="Retracted",LEFT(D3016,8)="Negative"),0,IF(COUNTIFS($B$2:B3016,B3016,$C$2:C3016,C3016,$D$2:D3016,"&lt;&gt;Negative*",$T$2:T3016,"&lt;&gt;Retracted")=1,1,0))</f>
        <v>0</v>
      </c>
    </row>
    <row r="3017" spans="1:21" x14ac:dyDescent="0.2">
      <c r="A3017" t="s">
        <v>5429</v>
      </c>
      <c r="B3017" t="s">
        <v>452</v>
      </c>
      <c r="C3017" t="s">
        <v>1379</v>
      </c>
      <c r="D3017" t="s">
        <v>1613</v>
      </c>
      <c r="E3017" t="s">
        <v>5430</v>
      </c>
      <c r="F3017" t="s">
        <v>1583</v>
      </c>
      <c r="I3017" t="s">
        <v>1058</v>
      </c>
      <c r="K3017">
        <v>1950</v>
      </c>
      <c r="L3017">
        <v>1950</v>
      </c>
      <c r="M3017" t="s">
        <v>203</v>
      </c>
      <c r="N3017" t="s">
        <v>190</v>
      </c>
      <c r="Q3017" s="2" t="str">
        <f>IF($C3017="","",IFERROR(VLOOKUP($C3017,sources!$A$2:$N$200,2,FALSE()),"?"))</f>
        <v>Map</v>
      </c>
      <c r="R3017" s="2" t="str">
        <f t="shared" si="47"/>
        <v>Map</v>
      </c>
      <c r="S3017" s="2" t="str">
        <f>IF($C3017="","",IFERROR(VLOOKUP($C3017,sources!$A$2:$N$200,9,FALSE()),"?"))</f>
        <v>US official</v>
      </c>
      <c r="T3017" t="s">
        <v>5692</v>
      </c>
      <c r="U3017">
        <f>IF(OR(B3017="",C3017="",T3017="Retracted",LEFT(D3017,8)="Negative"),0,IF(COUNTIFS($B$2:B3017,B3017,$C$2:C3017,C3017,$D$2:D3017,"&lt;&gt;Negative*",$T$2:T3017,"&lt;&gt;Retracted")=1,1,0))</f>
        <v>0</v>
      </c>
    </row>
    <row r="3018" spans="1:21" x14ac:dyDescent="0.2">
      <c r="A3018" t="s">
        <v>5431</v>
      </c>
      <c r="B3018" t="s">
        <v>265</v>
      </c>
      <c r="C3018" t="s">
        <v>1379</v>
      </c>
      <c r="D3018" t="s">
        <v>1613</v>
      </c>
      <c r="E3018" t="s">
        <v>266</v>
      </c>
      <c r="F3018" t="s">
        <v>1583</v>
      </c>
      <c r="I3018" t="s">
        <v>1058</v>
      </c>
      <c r="M3018" t="s">
        <v>190</v>
      </c>
      <c r="N3018" t="s">
        <v>209</v>
      </c>
      <c r="Q3018" s="2" t="str">
        <f>IF($C3018="","",IFERROR(VLOOKUP($C3018,sources!$A$2:$N$200,2,FALSE()),"?"))</f>
        <v>Map</v>
      </c>
      <c r="R3018" s="2" t="str">
        <f t="shared" si="47"/>
        <v>Map</v>
      </c>
      <c r="S3018" s="2" t="str">
        <f>IF($C3018="","",IFERROR(VLOOKUP($C3018,sources!$A$2:$N$200,9,FALSE()),"?"))</f>
        <v>US official</v>
      </c>
      <c r="T3018" t="s">
        <v>5692</v>
      </c>
      <c r="U3018">
        <f>IF(OR(B3018="",C3018="",T3018="Retracted",LEFT(D3018,8)="Negative"),0,IF(COUNTIFS($B$2:B3018,B3018,$C$2:C3018,C3018,$D$2:D3018,"&lt;&gt;Negative*",$T$2:T3018,"&lt;&gt;Retracted")=1,1,0))</f>
        <v>0</v>
      </c>
    </row>
    <row r="3019" spans="1:21" x14ac:dyDescent="0.2">
      <c r="A3019" t="s">
        <v>5432</v>
      </c>
      <c r="B3019" t="s">
        <v>253</v>
      </c>
      <c r="C3019" t="s">
        <v>1379</v>
      </c>
      <c r="D3019" t="s">
        <v>1613</v>
      </c>
      <c r="E3019" t="s">
        <v>254</v>
      </c>
      <c r="F3019" t="s">
        <v>1583</v>
      </c>
      <c r="I3019" t="s">
        <v>1058</v>
      </c>
      <c r="M3019" t="s">
        <v>190</v>
      </c>
      <c r="N3019" t="s">
        <v>190</v>
      </c>
      <c r="Q3019" s="2" t="str">
        <f>IF($C3019="","",IFERROR(VLOOKUP($C3019,sources!$A$2:$N$200,2,FALSE()),"?"))</f>
        <v>Map</v>
      </c>
      <c r="R3019" s="2" t="str">
        <f t="shared" si="47"/>
        <v>Map</v>
      </c>
      <c r="S3019" s="2" t="str">
        <f>IF($C3019="","",IFERROR(VLOOKUP($C3019,sources!$A$2:$N$200,9,FALSE()),"?"))</f>
        <v>US official</v>
      </c>
      <c r="T3019" t="s">
        <v>5692</v>
      </c>
      <c r="U3019">
        <f>IF(OR(B3019="",C3019="",T3019="Retracted",LEFT(D3019,8)="Negative"),0,IF(COUNTIFS($B$2:B3019,B3019,$C$2:C3019,C3019,$D$2:D3019,"&lt;&gt;Negative*",$T$2:T3019,"&lt;&gt;Retracted")=1,1,0))</f>
        <v>0</v>
      </c>
    </row>
    <row r="3020" spans="1:21" x14ac:dyDescent="0.2">
      <c r="A3020" t="s">
        <v>5433</v>
      </c>
      <c r="B3020" t="s">
        <v>487</v>
      </c>
      <c r="C3020" t="s">
        <v>1379</v>
      </c>
      <c r="D3020" t="s">
        <v>1613</v>
      </c>
      <c r="E3020" t="s">
        <v>488</v>
      </c>
      <c r="F3020" t="s">
        <v>1583</v>
      </c>
      <c r="I3020" t="s">
        <v>1058</v>
      </c>
      <c r="K3020">
        <v>1950</v>
      </c>
      <c r="L3020">
        <v>1950</v>
      </c>
      <c r="M3020" t="s">
        <v>203</v>
      </c>
      <c r="N3020" t="s">
        <v>209</v>
      </c>
      <c r="Q3020" s="2" t="str">
        <f>IF($C3020="","",IFERROR(VLOOKUP($C3020,sources!$A$2:$N$200,2,FALSE()),"?"))</f>
        <v>Map</v>
      </c>
      <c r="R3020" s="2" t="str">
        <f t="shared" si="47"/>
        <v>Map</v>
      </c>
      <c r="S3020" s="2" t="str">
        <f>IF($C3020="","",IFERROR(VLOOKUP($C3020,sources!$A$2:$N$200,9,FALSE()),"?"))</f>
        <v>US official</v>
      </c>
      <c r="T3020" t="s">
        <v>5692</v>
      </c>
      <c r="U3020">
        <f>IF(OR(B3020="",C3020="",T3020="Retracted",LEFT(D3020,8)="Negative"),0,IF(COUNTIFS($B$2:B3020,B3020,$C$2:C3020,C3020,$D$2:D3020,"&lt;&gt;Negative*",$T$2:T3020,"&lt;&gt;Retracted")=1,1,0))</f>
        <v>0</v>
      </c>
    </row>
    <row r="3021" spans="1:21" x14ac:dyDescent="0.2">
      <c r="A3021" t="s">
        <v>5434</v>
      </c>
      <c r="B3021" t="s">
        <v>490</v>
      </c>
      <c r="C3021" t="s">
        <v>1379</v>
      </c>
      <c r="D3021" t="s">
        <v>1613</v>
      </c>
      <c r="E3021" t="s">
        <v>491</v>
      </c>
      <c r="F3021" t="s">
        <v>1583</v>
      </c>
      <c r="I3021" t="s">
        <v>1058</v>
      </c>
      <c r="K3021">
        <v>1950</v>
      </c>
      <c r="L3021">
        <v>1950</v>
      </c>
      <c r="M3021" t="s">
        <v>203</v>
      </c>
      <c r="N3021" t="s">
        <v>209</v>
      </c>
      <c r="Q3021" s="2" t="str">
        <f>IF($C3021="","",IFERROR(VLOOKUP($C3021,sources!$A$2:$N$200,2,FALSE()),"?"))</f>
        <v>Map</v>
      </c>
      <c r="R3021" s="2" t="str">
        <f t="shared" si="47"/>
        <v>Map</v>
      </c>
      <c r="S3021" s="2" t="str">
        <f>IF($C3021="","",IFERROR(VLOOKUP($C3021,sources!$A$2:$N$200,9,FALSE()),"?"))</f>
        <v>US official</v>
      </c>
      <c r="T3021" t="s">
        <v>5692</v>
      </c>
      <c r="U3021">
        <f>IF(OR(B3021="",C3021="",T3021="Retracted",LEFT(D3021,8)="Negative"),0,IF(COUNTIFS($B$2:B3021,B3021,$C$2:C3021,C3021,$D$2:D3021,"&lt;&gt;Negative*",$T$2:T3021,"&lt;&gt;Retracted")=1,1,0))</f>
        <v>0</v>
      </c>
    </row>
    <row r="3022" spans="1:21" x14ac:dyDescent="0.2">
      <c r="A3022" t="s">
        <v>5435</v>
      </c>
      <c r="B3022" t="s">
        <v>630</v>
      </c>
      <c r="C3022" t="s">
        <v>1379</v>
      </c>
      <c r="D3022" t="s">
        <v>1613</v>
      </c>
      <c r="E3022" t="s">
        <v>631</v>
      </c>
      <c r="F3022" t="s">
        <v>1583</v>
      </c>
      <c r="I3022" t="s">
        <v>1058</v>
      </c>
      <c r="K3022">
        <v>1950</v>
      </c>
      <c r="L3022">
        <v>1950</v>
      </c>
      <c r="M3022" t="s">
        <v>203</v>
      </c>
      <c r="N3022" t="s">
        <v>209</v>
      </c>
      <c r="Q3022" s="2" t="str">
        <f>IF($C3022="","",IFERROR(VLOOKUP($C3022,sources!$A$2:$N$200,2,FALSE()),"?"))</f>
        <v>Map</v>
      </c>
      <c r="R3022" s="2" t="str">
        <f t="shared" si="47"/>
        <v>Map</v>
      </c>
      <c r="S3022" s="2" t="str">
        <f>IF($C3022="","",IFERROR(VLOOKUP($C3022,sources!$A$2:$N$200,9,FALSE()),"?"))</f>
        <v>US official</v>
      </c>
      <c r="T3022" t="s">
        <v>5692</v>
      </c>
      <c r="U3022">
        <f>IF(OR(B3022="",C3022="",T3022="Retracted",LEFT(D3022,8)="Negative"),0,IF(COUNTIFS($B$2:B3022,B3022,$C$2:C3022,C3022,$D$2:D3022,"&lt;&gt;Negative*",$T$2:T3022,"&lt;&gt;Retracted")=1,1,0))</f>
        <v>0</v>
      </c>
    </row>
    <row r="3023" spans="1:21" x14ac:dyDescent="0.2">
      <c r="A3023" t="s">
        <v>5436</v>
      </c>
      <c r="B3023" t="s">
        <v>1056</v>
      </c>
      <c r="C3023" t="s">
        <v>1379</v>
      </c>
      <c r="D3023" t="s">
        <v>1613</v>
      </c>
      <c r="E3023" t="s">
        <v>1057</v>
      </c>
      <c r="F3023" t="s">
        <v>1583</v>
      </c>
      <c r="I3023" t="s">
        <v>1058</v>
      </c>
      <c r="K3023">
        <v>1950</v>
      </c>
      <c r="L3023">
        <v>1950</v>
      </c>
      <c r="M3023" t="s">
        <v>203</v>
      </c>
      <c r="N3023" t="s">
        <v>190</v>
      </c>
      <c r="Q3023" s="2" t="str">
        <f>IF($C3023="","",IFERROR(VLOOKUP($C3023,sources!$A$2:$N$200,2,FALSE()),"?"))</f>
        <v>Map</v>
      </c>
      <c r="R3023" s="2" t="str">
        <f t="shared" si="47"/>
        <v>Map</v>
      </c>
      <c r="S3023" s="2" t="str">
        <f>IF($C3023="","",IFERROR(VLOOKUP($C3023,sources!$A$2:$N$200,9,FALSE()),"?"))</f>
        <v>US official</v>
      </c>
      <c r="T3023" t="s">
        <v>5692</v>
      </c>
      <c r="U3023">
        <f>IF(OR(B3023="",C3023="",T3023="Retracted",LEFT(D3023,8)="Negative"),0,IF(COUNTIFS($B$2:B3023,B3023,$C$2:C3023,C3023,$D$2:D3023,"&lt;&gt;Negative*",$T$2:T3023,"&lt;&gt;Retracted")=1,1,0))</f>
        <v>0</v>
      </c>
    </row>
    <row r="3024" spans="1:21" x14ac:dyDescent="0.2">
      <c r="A3024" t="s">
        <v>5437</v>
      </c>
      <c r="B3024" t="s">
        <v>635</v>
      </c>
      <c r="C3024" t="s">
        <v>1379</v>
      </c>
      <c r="D3024" t="s">
        <v>1613</v>
      </c>
      <c r="E3024" t="s">
        <v>5438</v>
      </c>
      <c r="F3024" t="s">
        <v>1583</v>
      </c>
      <c r="I3024" t="s">
        <v>1058</v>
      </c>
      <c r="M3024" t="s">
        <v>190</v>
      </c>
      <c r="N3024" t="s">
        <v>203</v>
      </c>
      <c r="Q3024" s="2" t="str">
        <f>IF($C3024="","",IFERROR(VLOOKUP($C3024,sources!$A$2:$N$200,2,FALSE()),"?"))</f>
        <v>Map</v>
      </c>
      <c r="R3024" s="2" t="str">
        <f t="shared" si="47"/>
        <v>Map</v>
      </c>
      <c r="S3024" s="2" t="str">
        <f>IF($C3024="","",IFERROR(VLOOKUP($C3024,sources!$A$2:$N$200,9,FALSE()),"?"))</f>
        <v>US official</v>
      </c>
      <c r="T3024" t="s">
        <v>5692</v>
      </c>
      <c r="U3024">
        <f>IF(OR(B3024="",C3024="",T3024="Retracted",LEFT(D3024,8)="Negative"),0,IF(COUNTIFS($B$2:B3024,B3024,$C$2:C3024,C3024,$D$2:D3024,"&lt;&gt;Negative*",$T$2:T3024,"&lt;&gt;Retracted")=1,1,0))</f>
        <v>0</v>
      </c>
    </row>
    <row r="3025" spans="1:21" x14ac:dyDescent="0.2">
      <c r="A3025" t="s">
        <v>5439</v>
      </c>
      <c r="B3025" t="s">
        <v>643</v>
      </c>
      <c r="C3025" t="s">
        <v>1379</v>
      </c>
      <c r="D3025" t="s">
        <v>1613</v>
      </c>
      <c r="E3025" t="s">
        <v>5440</v>
      </c>
      <c r="F3025" t="s">
        <v>1583</v>
      </c>
      <c r="I3025" t="s">
        <v>1058</v>
      </c>
      <c r="M3025" t="s">
        <v>190</v>
      </c>
      <c r="N3025" t="s">
        <v>203</v>
      </c>
      <c r="Q3025" s="2" t="str">
        <f>IF($C3025="","",IFERROR(VLOOKUP($C3025,sources!$A$2:$N$200,2,FALSE()),"?"))</f>
        <v>Map</v>
      </c>
      <c r="R3025" s="2" t="str">
        <f t="shared" si="47"/>
        <v>Map</v>
      </c>
      <c r="S3025" s="2" t="str">
        <f>IF($C3025="","",IFERROR(VLOOKUP($C3025,sources!$A$2:$N$200,9,FALSE()),"?"))</f>
        <v>US official</v>
      </c>
      <c r="T3025" t="s">
        <v>5692</v>
      </c>
      <c r="U3025">
        <f>IF(OR(B3025="",C3025="",T3025="Retracted",LEFT(D3025,8)="Negative"),0,IF(COUNTIFS($B$2:B3025,B3025,$C$2:C3025,C3025,$D$2:D3025,"&lt;&gt;Negative*",$T$2:T3025,"&lt;&gt;Retracted")=1,1,0))</f>
        <v>0</v>
      </c>
    </row>
    <row r="3026" spans="1:21" x14ac:dyDescent="0.2">
      <c r="A3026" t="s">
        <v>5441</v>
      </c>
      <c r="B3026" t="s">
        <v>646</v>
      </c>
      <c r="C3026" t="s">
        <v>1379</v>
      </c>
      <c r="D3026" t="s">
        <v>1613</v>
      </c>
      <c r="E3026" t="s">
        <v>5442</v>
      </c>
      <c r="F3026" t="s">
        <v>1583</v>
      </c>
      <c r="I3026" t="s">
        <v>1058</v>
      </c>
      <c r="M3026" t="s">
        <v>190</v>
      </c>
      <c r="N3026" t="s">
        <v>203</v>
      </c>
      <c r="Q3026" s="2" t="str">
        <f>IF($C3026="","",IFERROR(VLOOKUP($C3026,sources!$A$2:$N$200,2,FALSE()),"?"))</f>
        <v>Map</v>
      </c>
      <c r="R3026" s="2" t="str">
        <f t="shared" si="47"/>
        <v>Map</v>
      </c>
      <c r="S3026" s="2" t="str">
        <f>IF($C3026="","",IFERROR(VLOOKUP($C3026,sources!$A$2:$N$200,9,FALSE()),"?"))</f>
        <v>US official</v>
      </c>
      <c r="T3026" t="s">
        <v>5692</v>
      </c>
      <c r="U3026">
        <f>IF(OR(B3026="",C3026="",T3026="Retracted",LEFT(D3026,8)="Negative"),0,IF(COUNTIFS($B$2:B3026,B3026,$C$2:C3026,C3026,$D$2:D3026,"&lt;&gt;Negative*",$T$2:T3026,"&lt;&gt;Retracted")=1,1,0))</f>
        <v>0</v>
      </c>
    </row>
    <row r="3027" spans="1:21" x14ac:dyDescent="0.2">
      <c r="A3027" t="s">
        <v>5443</v>
      </c>
      <c r="B3027" t="s">
        <v>472</v>
      </c>
      <c r="C3027" t="s">
        <v>1379</v>
      </c>
      <c r="D3027" t="s">
        <v>1613</v>
      </c>
      <c r="E3027" t="s">
        <v>5444</v>
      </c>
      <c r="F3027" t="s">
        <v>1583</v>
      </c>
      <c r="I3027" t="s">
        <v>1058</v>
      </c>
      <c r="M3027" t="s">
        <v>190</v>
      </c>
      <c r="N3027" t="s">
        <v>203</v>
      </c>
      <c r="Q3027" s="2" t="str">
        <f>IF($C3027="","",IFERROR(VLOOKUP($C3027,sources!$A$2:$N$200,2,FALSE()),"?"))</f>
        <v>Map</v>
      </c>
      <c r="R3027" s="2" t="str">
        <f t="shared" si="47"/>
        <v>Map</v>
      </c>
      <c r="S3027" s="2" t="str">
        <f>IF($C3027="","",IFERROR(VLOOKUP($C3027,sources!$A$2:$N$200,9,FALSE()),"?"))</f>
        <v>US official</v>
      </c>
      <c r="T3027" t="s">
        <v>5692</v>
      </c>
      <c r="U3027">
        <f>IF(OR(B3027="",C3027="",T3027="Retracted",LEFT(D3027,8)="Negative"),0,IF(COUNTIFS($B$2:B3027,B3027,$C$2:C3027,C3027,$D$2:D3027,"&lt;&gt;Negative*",$T$2:T3027,"&lt;&gt;Retracted")=1,1,0))</f>
        <v>0</v>
      </c>
    </row>
    <row r="3028" spans="1:21" x14ac:dyDescent="0.2">
      <c r="A3028" t="s">
        <v>5445</v>
      </c>
      <c r="B3028" t="s">
        <v>649</v>
      </c>
      <c r="C3028" t="s">
        <v>1379</v>
      </c>
      <c r="D3028" t="s">
        <v>1613</v>
      </c>
      <c r="E3028" t="s">
        <v>5446</v>
      </c>
      <c r="F3028" t="s">
        <v>1583</v>
      </c>
      <c r="I3028" t="s">
        <v>1058</v>
      </c>
      <c r="M3028" t="s">
        <v>190</v>
      </c>
      <c r="N3028" t="s">
        <v>203</v>
      </c>
      <c r="Q3028" s="2" t="str">
        <f>IF($C3028="","",IFERROR(VLOOKUP($C3028,sources!$A$2:$N$200,2,FALSE()),"?"))</f>
        <v>Map</v>
      </c>
      <c r="R3028" s="2" t="str">
        <f t="shared" si="47"/>
        <v>Map</v>
      </c>
      <c r="S3028" s="2" t="str">
        <f>IF($C3028="","",IFERROR(VLOOKUP($C3028,sources!$A$2:$N$200,9,FALSE()),"?"))</f>
        <v>US official</v>
      </c>
      <c r="T3028" t="s">
        <v>5692</v>
      </c>
      <c r="U3028">
        <f>IF(OR(B3028="",C3028="",T3028="Retracted",LEFT(D3028,8)="Negative"),0,IF(COUNTIFS($B$2:B3028,B3028,$C$2:C3028,C3028,$D$2:D3028,"&lt;&gt;Negative*",$T$2:T3028,"&lt;&gt;Retracted")=1,1,0))</f>
        <v>0</v>
      </c>
    </row>
    <row r="3029" spans="1:21" x14ac:dyDescent="0.2">
      <c r="A3029" t="s">
        <v>5447</v>
      </c>
      <c r="B3029" t="s">
        <v>639</v>
      </c>
      <c r="C3029" t="s">
        <v>1379</v>
      </c>
      <c r="D3029" t="s">
        <v>1613</v>
      </c>
      <c r="E3029" t="s">
        <v>5448</v>
      </c>
      <c r="F3029" t="s">
        <v>1583</v>
      </c>
      <c r="I3029" t="s">
        <v>1058</v>
      </c>
      <c r="M3029" t="s">
        <v>190</v>
      </c>
      <c r="N3029" t="s">
        <v>203</v>
      </c>
      <c r="Q3029" s="2" t="str">
        <f>IF($C3029="","",IFERROR(VLOOKUP($C3029,sources!$A$2:$N$200,2,FALSE()),"?"))</f>
        <v>Map</v>
      </c>
      <c r="R3029" s="2" t="str">
        <f t="shared" si="47"/>
        <v>Map</v>
      </c>
      <c r="S3029" s="2" t="str">
        <f>IF($C3029="","",IFERROR(VLOOKUP($C3029,sources!$A$2:$N$200,9,FALSE()),"?"))</f>
        <v>US official</v>
      </c>
      <c r="T3029" t="s">
        <v>5692</v>
      </c>
      <c r="U3029">
        <f>IF(OR(B3029="",C3029="",T3029="Retracted",LEFT(D3029,8)="Negative"),0,IF(COUNTIFS($B$2:B3029,B3029,$C$2:C3029,C3029,$D$2:D3029,"&lt;&gt;Negative*",$T$2:T3029,"&lt;&gt;Retracted")=1,1,0))</f>
        <v>0</v>
      </c>
    </row>
  </sheetData>
  <dataValidations count="3">
    <dataValidation type="list" allowBlank="1" prompt="Select" sqref="D2:D600" xr:uid="{00000000-0002-0000-0400-000000000000}">
      <formula1>"Name,Geometry (Setting),Existence / mention,Type,Relation,Erasure event,Implied / inferred,Negative (searched-absent)"</formula1>
      <formula2>0</formula2>
    </dataValidation>
    <dataValidation type="list" allowBlank="1" prompt="Select" sqref="I2:I600" xr:uid="{00000000-0002-0000-0400-000001000000}">
      <formula1>"Georeferenced map GCP,Relative to landmark,Stated coordinate,Modern inference,None"</formula1>
      <formula2>0</formula2>
    </dataValidation>
    <dataValidation type="list" allowBlank="1" prompt="Select" sqref="M2:N600" xr:uid="{00000000-0002-0000-0400-000002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
  <sheetViews>
    <sheetView zoomScaleNormal="100" workbookViewId="0">
      <selection activeCell="F40" sqref="F40"/>
    </sheetView>
  </sheetViews>
  <sheetFormatPr baseColWidth="10" defaultColWidth="8.6640625" defaultRowHeight="15" x14ac:dyDescent="0.2"/>
  <cols>
    <col min="1" max="1" width="26" customWidth="1"/>
    <col min="2" max="6" width="12" customWidth="1"/>
  </cols>
  <sheetData>
    <row r="1" spans="1:7" ht="26.25" customHeight="1" x14ac:dyDescent="0.2">
      <c r="A1" s="23" t="s">
        <v>5696</v>
      </c>
      <c r="B1" s="24"/>
      <c r="C1" s="24"/>
      <c r="D1" s="24"/>
      <c r="E1" s="24"/>
      <c r="F1" s="24"/>
      <c r="G1" s="25"/>
    </row>
    <row r="3" spans="1:7" ht="15" customHeight="1" x14ac:dyDescent="0.2">
      <c r="A3" s="1" t="s">
        <v>5449</v>
      </c>
      <c r="B3" s="1" t="s">
        <v>203</v>
      </c>
      <c r="C3" s="1" t="s">
        <v>209</v>
      </c>
      <c r="D3" s="1" t="s">
        <v>190</v>
      </c>
      <c r="E3" s="1" t="s">
        <v>1058</v>
      </c>
      <c r="F3" s="5" t="s">
        <v>5450</v>
      </c>
    </row>
    <row r="4" spans="1:7" ht="15" customHeight="1" x14ac:dyDescent="0.2">
      <c r="A4" s="6" t="s">
        <v>183</v>
      </c>
      <c r="B4" s="7">
        <f>COUNTIFS(places!$E$2:$E$500,$A4,places!$T$2:$T$500,B$3,places!$V$2:$V$500,"&lt;&gt;Duplicate",places!$V$2:$V$500,"&lt;&gt;Declined")</f>
        <v>18</v>
      </c>
      <c r="C4" s="7">
        <f>COUNTIFS(places!$E$2:$E$500,$A4,places!$T$2:$T$500,C$3,places!$V$2:$V$500,"&lt;&gt;Duplicate",places!$V$2:$V$500,"&lt;&gt;Declined")</f>
        <v>15</v>
      </c>
      <c r="D4" s="7">
        <f>COUNTIFS(places!$E$2:$E$500,$A4,places!$T$2:$T$500,D$3,places!$V$2:$V$500,"&lt;&gt;Duplicate",places!$V$2:$V$500,"&lt;&gt;Declined")</f>
        <v>1</v>
      </c>
      <c r="E4" s="7">
        <f>COUNTIFS(places!$E$2:$E$500,$A4,places!$T$2:$T$500,E$3,places!$V$2:$V$500,"&lt;&gt;Duplicate",places!$V$2:$V$500,"&lt;&gt;Declined")</f>
        <v>0</v>
      </c>
      <c r="F4" s="8">
        <f t="shared" ref="F4:F10" si="0">SUM(B4:E4)</f>
        <v>34</v>
      </c>
    </row>
    <row r="5" spans="1:7" ht="15" customHeight="1" x14ac:dyDescent="0.2">
      <c r="A5" s="6" t="s">
        <v>236</v>
      </c>
      <c r="B5" s="7">
        <f>COUNTIFS(places!$E$2:$E$500,$A5,places!$T$2:$T$500,B$3,places!$V$2:$V$500,"&lt;&gt;Duplicate",places!$V$2:$V$500,"&lt;&gt;Declined")</f>
        <v>13</v>
      </c>
      <c r="C5" s="7">
        <f>COUNTIFS(places!$E$2:$E$500,$A5,places!$T$2:$T$500,C$3,places!$V$2:$V$500,"&lt;&gt;Duplicate",places!$V$2:$V$500,"&lt;&gt;Declined")</f>
        <v>47</v>
      </c>
      <c r="D5" s="7">
        <f>COUNTIFS(places!$E$2:$E$500,$A5,places!$T$2:$T$500,D$3,places!$V$2:$V$500,"&lt;&gt;Duplicate",places!$V$2:$V$500,"&lt;&gt;Declined")</f>
        <v>14</v>
      </c>
      <c r="E5" s="7">
        <f>COUNTIFS(places!$E$2:$E$500,$A5,places!$T$2:$T$500,E$3,places!$V$2:$V$500,"&lt;&gt;Duplicate",places!$V$2:$V$500,"&lt;&gt;Declined")</f>
        <v>0</v>
      </c>
      <c r="F5" s="8">
        <f t="shared" si="0"/>
        <v>74</v>
      </c>
    </row>
    <row r="6" spans="1:7" ht="15" customHeight="1" x14ac:dyDescent="0.2">
      <c r="A6" s="6" t="s">
        <v>229</v>
      </c>
      <c r="B6" s="7">
        <f>COUNTIFS(places!$E$2:$E$500,$A6,places!$T$2:$T$500,B$3,places!$V$2:$V$500,"&lt;&gt;Duplicate",places!$V$2:$V$500,"&lt;&gt;Declined")</f>
        <v>2</v>
      </c>
      <c r="C6" s="7">
        <f>COUNTIFS(places!$E$2:$E$500,$A6,places!$T$2:$T$500,C$3,places!$V$2:$V$500,"&lt;&gt;Duplicate",places!$V$2:$V$500,"&lt;&gt;Declined")</f>
        <v>0</v>
      </c>
      <c r="D6" s="7">
        <f>COUNTIFS(places!$E$2:$E$500,$A6,places!$T$2:$T$500,D$3,places!$V$2:$V$500,"&lt;&gt;Duplicate",places!$V$2:$V$500,"&lt;&gt;Declined")</f>
        <v>0</v>
      </c>
      <c r="E6" s="7">
        <f>COUNTIFS(places!$E$2:$E$500,$A6,places!$T$2:$T$500,E$3,places!$V$2:$V$500,"&lt;&gt;Duplicate",places!$V$2:$V$500,"&lt;&gt;Declined")</f>
        <v>0</v>
      </c>
      <c r="F6" s="8">
        <f t="shared" si="0"/>
        <v>2</v>
      </c>
    </row>
    <row r="7" spans="1:7" ht="15" customHeight="1" x14ac:dyDescent="0.2">
      <c r="A7" s="6" t="s">
        <v>5451</v>
      </c>
      <c r="B7" s="7">
        <f>COUNTIFS(places!$E$2:$E$500,$A7,places!$T$2:$T$500,B$3,places!$V$2:$V$500,"&lt;&gt;Duplicate",places!$V$2:$V$500,"&lt;&gt;Declined")</f>
        <v>0</v>
      </c>
      <c r="C7" s="7">
        <f>COUNTIFS(places!$E$2:$E$500,$A7,places!$T$2:$T$500,C$3,places!$V$2:$V$500,"&lt;&gt;Duplicate",places!$V$2:$V$500,"&lt;&gt;Declined")</f>
        <v>0</v>
      </c>
      <c r="D7" s="7">
        <f>COUNTIFS(places!$E$2:$E$500,$A7,places!$T$2:$T$500,D$3,places!$V$2:$V$500,"&lt;&gt;Duplicate",places!$V$2:$V$500,"&lt;&gt;Declined")</f>
        <v>0</v>
      </c>
      <c r="E7" s="7">
        <f>COUNTIFS(places!$E$2:$E$500,$A7,places!$T$2:$T$500,E$3,places!$V$2:$V$500,"&lt;&gt;Duplicate",places!$V$2:$V$500,"&lt;&gt;Declined")</f>
        <v>0</v>
      </c>
      <c r="F7" s="8">
        <f t="shared" si="0"/>
        <v>0</v>
      </c>
    </row>
    <row r="8" spans="1:7" ht="15" customHeight="1" x14ac:dyDescent="0.2">
      <c r="A8" s="6" t="s">
        <v>307</v>
      </c>
      <c r="B8" s="7">
        <f>COUNTIFS(places!$E$2:$E$500,$A8,places!$T$2:$T$500,B$3,places!$V$2:$V$500,"&lt;&gt;Duplicate",places!$V$2:$V$500,"&lt;&gt;Declined")</f>
        <v>26</v>
      </c>
      <c r="C8" s="7">
        <f>COUNTIFS(places!$E$2:$E$500,$A8,places!$T$2:$T$500,C$3,places!$V$2:$V$500,"&lt;&gt;Duplicate",places!$V$2:$V$500,"&lt;&gt;Declined")</f>
        <v>9</v>
      </c>
      <c r="D8" s="7">
        <f>COUNTIFS(places!$E$2:$E$500,$A8,places!$T$2:$T$500,D$3,places!$V$2:$V$500,"&lt;&gt;Duplicate",places!$V$2:$V$500,"&lt;&gt;Declined")</f>
        <v>2</v>
      </c>
      <c r="E8" s="7">
        <f>COUNTIFS(places!$E$2:$E$500,$A8,places!$T$2:$T$500,E$3,places!$V$2:$V$500,"&lt;&gt;Duplicate",places!$V$2:$V$500,"&lt;&gt;Declined")</f>
        <v>0</v>
      </c>
      <c r="F8" s="8">
        <f t="shared" si="0"/>
        <v>37</v>
      </c>
    </row>
    <row r="9" spans="1:7" ht="15" customHeight="1" x14ac:dyDescent="0.2">
      <c r="A9" s="6" t="s">
        <v>208</v>
      </c>
      <c r="B9" s="7">
        <f>COUNTIFS(places!$E$2:$E$500,$A9,places!$T$2:$T$500,B$3,places!$V$2:$V$500,"&lt;&gt;Duplicate",places!$V$2:$V$500,"&lt;&gt;Declined")</f>
        <v>17</v>
      </c>
      <c r="C9" s="7">
        <f>COUNTIFS(places!$E$2:$E$500,$A9,places!$T$2:$T$500,C$3,places!$V$2:$V$500,"&lt;&gt;Duplicate",places!$V$2:$V$500,"&lt;&gt;Declined")</f>
        <v>30</v>
      </c>
      <c r="D9" s="7">
        <f>COUNTIFS(places!$E$2:$E$500,$A9,places!$T$2:$T$500,D$3,places!$V$2:$V$500,"&lt;&gt;Duplicate",places!$V$2:$V$500,"&lt;&gt;Declined")</f>
        <v>7</v>
      </c>
      <c r="E9" s="7">
        <f>COUNTIFS(places!$E$2:$E$500,$A9,places!$T$2:$T$500,E$3,places!$V$2:$V$500,"&lt;&gt;Duplicate",places!$V$2:$V$500,"&lt;&gt;Declined")</f>
        <v>0</v>
      </c>
      <c r="F9" s="8">
        <f t="shared" si="0"/>
        <v>54</v>
      </c>
    </row>
    <row r="10" spans="1:7" ht="15" customHeight="1" x14ac:dyDescent="0.2">
      <c r="A10" s="9" t="s">
        <v>5450</v>
      </c>
      <c r="B10" s="8">
        <f>SUM(B4:B9)</f>
        <v>76</v>
      </c>
      <c r="C10" s="8">
        <f>SUM(C4:C9)</f>
        <v>101</v>
      </c>
      <c r="D10" s="8">
        <f>SUM(D4:D9)</f>
        <v>24</v>
      </c>
      <c r="E10" s="8">
        <f>SUM(E4:E9)</f>
        <v>0</v>
      </c>
      <c r="F10" s="8">
        <f t="shared" si="0"/>
        <v>201</v>
      </c>
    </row>
    <row r="12" spans="1:7" ht="15" customHeight="1" x14ac:dyDescent="0.2"/>
    <row r="13" spans="1:7" ht="15" customHeight="1" x14ac:dyDescent="0.2"/>
    <row r="14" spans="1:7" ht="15" customHeight="1" x14ac:dyDescent="0.2"/>
    <row r="15" spans="1:7" ht="15" customHeight="1" x14ac:dyDescent="0.2"/>
    <row r="16" spans="1:7" ht="15" customHeight="1" x14ac:dyDescent="0.2"/>
  </sheetData>
  <mergeCells count="1">
    <mergeCell ref="A1:G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3"/>
  <sheetViews>
    <sheetView zoomScaleNormal="100" workbookViewId="0">
      <pane xSplit="2" ySplit="3" topLeftCell="C4" activePane="bottomRight" state="frozen"/>
      <selection pane="topRight" activeCell="C1" sqref="C1"/>
      <selection pane="bottomLeft" activeCell="A4" sqref="A4"/>
      <selection pane="bottomRight" sqref="A1:K1"/>
    </sheetView>
  </sheetViews>
  <sheetFormatPr baseColWidth="10" defaultColWidth="8.6640625" defaultRowHeight="15" x14ac:dyDescent="0.2"/>
  <cols>
    <col min="1" max="1" width="11" customWidth="1"/>
    <col min="2" max="2" width="16" customWidth="1"/>
    <col min="3" max="4" width="13" customWidth="1"/>
    <col min="5" max="5" width="12" customWidth="1"/>
    <col min="6" max="6" width="11" customWidth="1"/>
    <col min="7" max="7" width="28" customWidth="1"/>
    <col min="8" max="10" width="8" customWidth="1"/>
    <col min="11" max="11" width="7" customWidth="1"/>
  </cols>
  <sheetData>
    <row r="1" spans="1:11" ht="15" customHeight="1" x14ac:dyDescent="0.2">
      <c r="A1" s="26" t="s">
        <v>5452</v>
      </c>
      <c r="B1" s="27"/>
      <c r="C1" s="27"/>
      <c r="D1" s="27"/>
      <c r="E1" s="27"/>
      <c r="F1" s="27"/>
      <c r="G1" s="27"/>
      <c r="H1" s="27"/>
      <c r="I1" s="27"/>
      <c r="J1" s="27"/>
      <c r="K1" s="28"/>
    </row>
    <row r="3" spans="1:11" ht="23.25" customHeight="1" x14ac:dyDescent="0.2">
      <c r="A3" s="1" t="s">
        <v>0</v>
      </c>
      <c r="B3" s="1" t="s">
        <v>154</v>
      </c>
      <c r="C3" s="1" t="s">
        <v>5453</v>
      </c>
      <c r="D3" s="1" t="s">
        <v>5454</v>
      </c>
      <c r="E3" s="1" t="s">
        <v>5455</v>
      </c>
      <c r="F3" s="1" t="s">
        <v>5456</v>
      </c>
      <c r="G3" s="1" t="s">
        <v>5457</v>
      </c>
      <c r="H3" s="1" t="s">
        <v>5458</v>
      </c>
      <c r="I3" s="1" t="s">
        <v>5459</v>
      </c>
      <c r="J3" s="1" t="s">
        <v>5460</v>
      </c>
      <c r="K3" s="1" t="s">
        <v>5461</v>
      </c>
    </row>
    <row r="4" spans="1:11" ht="15" customHeight="1" x14ac:dyDescent="0.2">
      <c r="A4" s="7" t="str">
        <f>IF(places!$A2="","",places!$A2)</f>
        <v>CZ-001</v>
      </c>
      <c r="B4" s="4" t="str">
        <f>IF(places!$A2="","",places!$B2)</f>
        <v>Matachin</v>
      </c>
      <c r="C4" s="7" t="str">
        <f>IF(places!$A2="","",places!$L2)</f>
        <v>Low</v>
      </c>
      <c r="D4" s="7" t="str">
        <f>IF(places!$A2="","",places!$K2)</f>
        <v>Approximate</v>
      </c>
      <c r="E4" s="2">
        <f>IF(places!$A2="","",COUNTIFS(attestations!$B$2:$B$2000,places!$A2,attestations!$D$2:$D$2000,"Type"))</f>
        <v>0</v>
      </c>
      <c r="F4" s="2">
        <f>IF(places!$A2="","",COUNTIFS(attestations!$B$2:$B$2000,places!$A2,attestations!$D$2:$D$2000,"Name"))</f>
        <v>4</v>
      </c>
      <c r="G4" s="10" t="str">
        <f>IF(places!$A2="","",IF($K4=0,"Unattested",IF(AND($H4&gt;0,$I4&gt;0),"Cross-attested",IF($H4&gt;0,"Administratively visible",IF($I4&gt;0,"Locally remembered / archivally thin","Secondary / implied only")))))</f>
        <v>Cross-attested</v>
      </c>
      <c r="H4" s="2">
        <f>IF(places!$A2="","",COUNTIFS(attestations!$B$2:$B$2000,places!$A2,attestations!$S$2:$S$2000,"US official"))</f>
        <v>12</v>
      </c>
      <c r="I4" s="2">
        <f>IF(places!$A2="","",COUNTIFS(attestations!$B$2:$B$2000,places!$A2,attestations!$S$2:$S$2000,"Panamanian")+COUNTIFS(attestations!$B$2:$B$2000,places!$A2,attestations!$S$2:$S$2000,"Caribbean community"))</f>
        <v>4</v>
      </c>
      <c r="J4" s="2">
        <f>IF(places!$A2="","",COUNTIFS(attestations!$B$2:$B$2000,places!$A2,attestations!$D$2:$D$2000,"Implied / inferred"))</f>
        <v>0</v>
      </c>
      <c r="K4" s="2">
        <f>IF(places!$A2="","",COUNTIF(attestations!$B$2:$B$2000,places!$A2))</f>
        <v>30</v>
      </c>
    </row>
    <row r="5" spans="1:11" ht="15" customHeight="1" x14ac:dyDescent="0.2">
      <c r="A5" s="7" t="str">
        <f>IF(places!$A3="","",places!$A3)</f>
        <v>CZ-002</v>
      </c>
      <c r="B5" s="4" t="str">
        <f>IF(places!$A3="","",places!$B3)</f>
        <v>Barbacoas</v>
      </c>
      <c r="C5" s="7" t="str">
        <f>IF(places!$A3="","",places!$L3)</f>
        <v>Low</v>
      </c>
      <c r="D5" s="7" t="str">
        <f>IF(places!$A3="","",places!$K3)</f>
        <v>Approximate</v>
      </c>
      <c r="E5" s="2">
        <f>IF(places!$A3="","",COUNTIFS(attestations!$B$2:$B$2000,places!$A3,attestations!$D$2:$D$2000,"Type"))</f>
        <v>0</v>
      </c>
      <c r="F5" s="2">
        <f>IF(places!$A3="","",COUNTIFS(attestations!$B$2:$B$2000,places!$A3,attestations!$D$2:$D$2000,"Name"))</f>
        <v>1</v>
      </c>
      <c r="G5" s="10" t="str">
        <f>IF(places!$A3="","",IF($K5=0,"Unattested",IF(AND($H5&gt;0,$I5&gt;0),"Cross-attested",IF($H5&gt;0,"Administratively visible",IF($I5&gt;0,"Locally remembered / archivally thin","Secondary / implied only")))))</f>
        <v>Cross-attested</v>
      </c>
      <c r="H5" s="2">
        <f>IF(places!$A3="","",COUNTIFS(attestations!$B$2:$B$2000,places!$A3,attestations!$S$2:$S$2000,"US official"))</f>
        <v>9</v>
      </c>
      <c r="I5" s="2">
        <f>IF(places!$A3="","",COUNTIFS(attestations!$B$2:$B$2000,places!$A3,attestations!$S$2:$S$2000,"Panamanian")+COUNTIFS(attestations!$B$2:$B$2000,places!$A3,attestations!$S$2:$S$2000,"Caribbean community"))</f>
        <v>2</v>
      </c>
      <c r="J5" s="2">
        <f>IF(places!$A3="","",COUNTIFS(attestations!$B$2:$B$2000,places!$A3,attestations!$D$2:$D$2000,"Implied / inferred"))</f>
        <v>0</v>
      </c>
      <c r="K5" s="2">
        <f>IF(places!$A3="","",COUNTIF(attestations!$B$2:$B$2000,places!$A3))</f>
        <v>19</v>
      </c>
    </row>
    <row r="6" spans="1:11" ht="15" customHeight="1" x14ac:dyDescent="0.2">
      <c r="A6" s="7" t="str">
        <f>IF(places!$A4="","",places!$A4)</f>
        <v>CZ-003</v>
      </c>
      <c r="B6" s="4" t="str">
        <f>IF(places!$A4="","",places!$B4)</f>
        <v>Cruces</v>
      </c>
      <c r="C6" s="7" t="str">
        <f>IF(places!$A4="","",places!$L4)</f>
        <v>Low</v>
      </c>
      <c r="D6" s="7" t="str">
        <f>IF(places!$A4="","",places!$K4)</f>
        <v>Approximate</v>
      </c>
      <c r="E6" s="2">
        <f>IF(places!$A4="","",COUNTIFS(attestations!$B$2:$B$2000,places!$A4,attestations!$D$2:$D$2000,"Type"))</f>
        <v>0</v>
      </c>
      <c r="F6" s="2">
        <f>IF(places!$A4="","",COUNTIFS(attestations!$B$2:$B$2000,places!$A4,attestations!$D$2:$D$2000,"Name"))</f>
        <v>3</v>
      </c>
      <c r="G6" s="10" t="str">
        <f>IF(places!$A4="","",IF($K6=0,"Unattested",IF(AND($H6&gt;0,$I6&gt;0),"Cross-attested",IF($H6&gt;0,"Administratively visible",IF($I6&gt;0,"Locally remembered / archivally thin","Secondary / implied only")))))</f>
        <v>Cross-attested</v>
      </c>
      <c r="H6" s="2">
        <f>IF(places!$A4="","",COUNTIFS(attestations!$B$2:$B$2000,places!$A4,attestations!$S$2:$S$2000,"US official"))</f>
        <v>12</v>
      </c>
      <c r="I6" s="2">
        <f>IF(places!$A4="","",COUNTIFS(attestations!$B$2:$B$2000,places!$A4,attestations!$S$2:$S$2000,"Panamanian")+COUNTIFS(attestations!$B$2:$B$2000,places!$A4,attestations!$S$2:$S$2000,"Caribbean community"))</f>
        <v>3</v>
      </c>
      <c r="J6" s="2">
        <f>IF(places!$A4="","",COUNTIFS(attestations!$B$2:$B$2000,places!$A4,attestations!$D$2:$D$2000,"Implied / inferred"))</f>
        <v>0</v>
      </c>
      <c r="K6" s="2">
        <f>IF(places!$A4="","",COUNTIF(attestations!$B$2:$B$2000,places!$A4))</f>
        <v>27</v>
      </c>
    </row>
    <row r="7" spans="1:11" ht="15" customHeight="1" x14ac:dyDescent="0.2">
      <c r="A7" s="7" t="str">
        <f>IF(places!$A5="","",places!$A5)</f>
        <v>CZ-004</v>
      </c>
      <c r="B7" s="4" t="str">
        <f>IF(places!$A5="","",places!$B5)</f>
        <v>Ahorca Lagarto</v>
      </c>
      <c r="C7" s="7" t="str">
        <f>IF(places!$A5="","",places!$L5)</f>
        <v>Medium</v>
      </c>
      <c r="D7" s="7" t="str">
        <f>IF(places!$A5="","",places!$K5)</f>
        <v>Unknown</v>
      </c>
      <c r="E7" s="2">
        <f>IF(places!$A5="","",COUNTIFS(attestations!$B$2:$B$2000,places!$A5,attestations!$D$2:$D$2000,"Type"))</f>
        <v>0</v>
      </c>
      <c r="F7" s="2">
        <f>IF(places!$A5="","",COUNTIFS(attestations!$B$2:$B$2000,places!$A5,attestations!$D$2:$D$2000,"Name"))</f>
        <v>2</v>
      </c>
      <c r="G7" s="10" t="str">
        <f>IF(places!$A5="","",IF($K7=0,"Unattested",IF(AND($H7&gt;0,$I7&gt;0),"Cross-attested",IF($H7&gt;0,"Administratively visible",IF($I7&gt;0,"Locally remembered / archivally thin","Secondary / implied only")))))</f>
        <v>Cross-attested</v>
      </c>
      <c r="H7" s="2">
        <f>IF(places!$A5="","",COUNTIFS(attestations!$B$2:$B$2000,places!$A5,attestations!$S$2:$S$2000,"US official"))</f>
        <v>7</v>
      </c>
      <c r="I7" s="2">
        <f>IF(places!$A5="","",COUNTIFS(attestations!$B$2:$B$2000,places!$A5,attestations!$S$2:$S$2000,"Panamanian")+COUNTIFS(attestations!$B$2:$B$2000,places!$A5,attestations!$S$2:$S$2000,"Caribbean community"))</f>
        <v>3</v>
      </c>
      <c r="J7" s="2">
        <f>IF(places!$A5="","",COUNTIFS(attestations!$B$2:$B$2000,places!$A5,attestations!$D$2:$D$2000,"Implied / inferred"))</f>
        <v>0</v>
      </c>
      <c r="K7" s="2">
        <f>IF(places!$A5="","",COUNTIF(attestations!$B$2:$B$2000,places!$A5))</f>
        <v>17</v>
      </c>
    </row>
    <row r="8" spans="1:11" ht="15" customHeight="1" x14ac:dyDescent="0.2">
      <c r="A8" s="7" t="str">
        <f>IF(places!$A6="","",places!$A6)</f>
        <v>CZ-005</v>
      </c>
      <c r="B8" s="4" t="str">
        <f>IF(places!$A6="","",places!$B6)</f>
        <v>Caimito</v>
      </c>
      <c r="C8" s="7" t="str">
        <f>IF(places!$A6="","",places!$L6)</f>
        <v>Low</v>
      </c>
      <c r="D8" s="7" t="str">
        <f>IF(places!$A6="","",places!$K6)</f>
        <v>Unknown</v>
      </c>
      <c r="E8" s="2">
        <f>IF(places!$A6="","",COUNTIFS(attestations!$B$2:$B$2000,places!$A6,attestations!$D$2:$D$2000,"Type"))</f>
        <v>0</v>
      </c>
      <c r="F8" s="2">
        <f>IF(places!$A6="","",COUNTIFS(attestations!$B$2:$B$2000,places!$A6,attestations!$D$2:$D$2000,"Name"))</f>
        <v>2</v>
      </c>
      <c r="G8" s="10" t="str">
        <f>IF(places!$A6="","",IF($K8=0,"Unattested",IF(AND($H8&gt;0,$I8&gt;0),"Cross-attested",IF($H8&gt;0,"Administratively visible",IF($I8&gt;0,"Locally remembered / archivally thin","Secondary / implied only")))))</f>
        <v>Cross-attested</v>
      </c>
      <c r="H8" s="2">
        <f>IF(places!$A6="","",COUNTIFS(attestations!$B$2:$B$2000,places!$A6,attestations!$S$2:$S$2000,"US official"))</f>
        <v>9</v>
      </c>
      <c r="I8" s="2">
        <f>IF(places!$A6="","",COUNTIFS(attestations!$B$2:$B$2000,places!$A6,attestations!$S$2:$S$2000,"Panamanian")+COUNTIFS(attestations!$B$2:$B$2000,places!$A6,attestations!$S$2:$S$2000,"Caribbean community"))</f>
        <v>2</v>
      </c>
      <c r="J8" s="2">
        <f>IF(places!$A6="","",COUNTIFS(attestations!$B$2:$B$2000,places!$A6,attestations!$D$2:$D$2000,"Implied / inferred"))</f>
        <v>0</v>
      </c>
      <c r="K8" s="2">
        <f>IF(places!$A6="","",COUNTIF(attestations!$B$2:$B$2000,places!$A6))</f>
        <v>16</v>
      </c>
    </row>
    <row r="9" spans="1:11" ht="15" customHeight="1" x14ac:dyDescent="0.2">
      <c r="A9" s="7" t="str">
        <f>IF(places!$A7="","",places!$A7)</f>
        <v>CZ-006</v>
      </c>
      <c r="B9" s="4" t="str">
        <f>IF(places!$A7="","",places!$B7)</f>
        <v>Santa Cruz</v>
      </c>
      <c r="C9" s="7" t="str">
        <f>IF(places!$A7="","",places!$L7)</f>
        <v>Low</v>
      </c>
      <c r="D9" s="7" t="str">
        <f>IF(places!$A7="","",places!$K7)</f>
        <v>Unknown</v>
      </c>
      <c r="E9" s="2">
        <f>IF(places!$A7="","",COUNTIFS(attestations!$B$2:$B$2000,places!$A7,attestations!$D$2:$D$2000,"Type"))</f>
        <v>0</v>
      </c>
      <c r="F9" s="2">
        <f>IF(places!$A7="","",COUNTIFS(attestations!$B$2:$B$2000,places!$A7,attestations!$D$2:$D$2000,"Name"))</f>
        <v>2</v>
      </c>
      <c r="G9" s="10" t="str">
        <f>IF(places!$A7="","",IF($K9=0,"Unattested",IF(AND($H9&gt;0,$I9&gt;0),"Cross-attested",IF($H9&gt;0,"Administratively visible",IF($I9&gt;0,"Locally remembered / archivally thin","Secondary / implied only")))))</f>
        <v>Cross-attested</v>
      </c>
      <c r="H9" s="2">
        <f>IF(places!$A7="","",COUNTIFS(attestations!$B$2:$B$2000,places!$A7,attestations!$S$2:$S$2000,"US official"))</f>
        <v>10</v>
      </c>
      <c r="I9" s="2">
        <f>IF(places!$A7="","",COUNTIFS(attestations!$B$2:$B$2000,places!$A7,attestations!$S$2:$S$2000,"Panamanian")+COUNTIFS(attestations!$B$2:$B$2000,places!$A7,attestations!$S$2:$S$2000,"Caribbean community"))</f>
        <v>3</v>
      </c>
      <c r="J9" s="2">
        <f>IF(places!$A7="","",COUNTIFS(attestations!$B$2:$B$2000,places!$A7,attestations!$D$2:$D$2000,"Implied / inferred"))</f>
        <v>0</v>
      </c>
      <c r="K9" s="2">
        <f>IF(places!$A7="","",COUNTIF(attestations!$B$2:$B$2000,places!$A7))</f>
        <v>18</v>
      </c>
    </row>
    <row r="10" spans="1:11" ht="15" customHeight="1" x14ac:dyDescent="0.2">
      <c r="A10" s="7" t="str">
        <f>IF(places!$A8="","",places!$A8)</f>
        <v>CZ-007</v>
      </c>
      <c r="B10" s="4" t="str">
        <f>IF(places!$A8="","",places!$B8)</f>
        <v>Bailamonos</v>
      </c>
      <c r="C10" s="7" t="str">
        <f>IF(places!$A8="","",places!$L8)</f>
        <v>Low</v>
      </c>
      <c r="D10" s="7" t="str">
        <f>IF(places!$A8="","",places!$K8)</f>
        <v>Unknown</v>
      </c>
      <c r="E10" s="2">
        <f>IF(places!$A8="","",COUNTIFS(attestations!$B$2:$B$2000,places!$A8,attestations!$D$2:$D$2000,"Type"))</f>
        <v>0</v>
      </c>
      <c r="F10" s="2">
        <f>IF(places!$A8="","",COUNTIFS(attestations!$B$2:$B$2000,places!$A8,attestations!$D$2:$D$2000,"Name"))</f>
        <v>3</v>
      </c>
      <c r="G10" s="10" t="str">
        <f>IF(places!$A8="","",IF($K10=0,"Unattested",IF(AND($H10&gt;0,$I10&gt;0),"Cross-attested",IF($H10&gt;0,"Administratively visible",IF($I10&gt;0,"Locally remembered / archivally thin","Secondary / implied only")))))</f>
        <v>Cross-attested</v>
      </c>
      <c r="H10" s="2">
        <f>IF(places!$A8="","",COUNTIFS(attestations!$B$2:$B$2000,places!$A8,attestations!$S$2:$S$2000,"US official"))</f>
        <v>8</v>
      </c>
      <c r="I10" s="2">
        <f>IF(places!$A8="","",COUNTIFS(attestations!$B$2:$B$2000,places!$A8,attestations!$S$2:$S$2000,"Panamanian")+COUNTIFS(attestations!$B$2:$B$2000,places!$A8,attestations!$S$2:$S$2000,"Caribbean community"))</f>
        <v>3</v>
      </c>
      <c r="J10" s="2">
        <f>IF(places!$A8="","",COUNTIFS(attestations!$B$2:$B$2000,places!$A8,attestations!$D$2:$D$2000,"Implied / inferred"))</f>
        <v>0</v>
      </c>
      <c r="K10" s="2">
        <f>IF(places!$A8="","",COUNTIF(attestations!$B$2:$B$2000,places!$A8))</f>
        <v>20</v>
      </c>
    </row>
    <row r="11" spans="1:11" ht="23.25" customHeight="1" x14ac:dyDescent="0.2">
      <c r="A11" s="7" t="str">
        <f>IF(places!$A9="","",places!$A9)</f>
        <v>CZ-008</v>
      </c>
      <c r="B11" s="4" t="str">
        <f>IF(places!$A9="","",places!$B9)</f>
        <v>Cruz de Juan Gallego</v>
      </c>
      <c r="C11" s="7" t="str">
        <f>IF(places!$A9="","",places!$L9)</f>
        <v>Low</v>
      </c>
      <c r="D11" s="7" t="str">
        <f>IF(places!$A9="","",places!$K9)</f>
        <v>Unknown</v>
      </c>
      <c r="E11" s="2">
        <f>IF(places!$A9="","",COUNTIFS(attestations!$B$2:$B$2000,places!$A9,attestations!$D$2:$D$2000,"Type"))</f>
        <v>0</v>
      </c>
      <c r="F11" s="2">
        <f>IF(places!$A9="","",COUNTIFS(attestations!$B$2:$B$2000,places!$A9,attestations!$D$2:$D$2000,"Name"))</f>
        <v>3</v>
      </c>
      <c r="G11" s="10" t="str">
        <f>IF(places!$A9="","",IF($K11=0,"Unattested",IF(AND($H11&gt;0,$I11&gt;0),"Cross-attested",IF($H11&gt;0,"Administratively visible",IF($I11&gt;0,"Locally remembered / archivally thin","Secondary / implied only")))))</f>
        <v>Cross-attested</v>
      </c>
      <c r="H11" s="2">
        <f>IF(places!$A9="","",COUNTIFS(attestations!$B$2:$B$2000,places!$A9,attestations!$S$2:$S$2000,"US official"))</f>
        <v>8</v>
      </c>
      <c r="I11" s="2">
        <f>IF(places!$A9="","",COUNTIFS(attestations!$B$2:$B$2000,places!$A9,attestations!$S$2:$S$2000,"Panamanian")+COUNTIFS(attestations!$B$2:$B$2000,places!$A9,attestations!$S$2:$S$2000,"Caribbean community"))</f>
        <v>3</v>
      </c>
      <c r="J11" s="2">
        <f>IF(places!$A9="","",COUNTIFS(attestations!$B$2:$B$2000,places!$A9,attestations!$D$2:$D$2000,"Implied / inferred"))</f>
        <v>0</v>
      </c>
      <c r="K11" s="2">
        <f>IF(places!$A9="","",COUNTIF(attestations!$B$2:$B$2000,places!$A9))</f>
        <v>15</v>
      </c>
    </row>
    <row r="12" spans="1:11" ht="15" customHeight="1" x14ac:dyDescent="0.2">
      <c r="A12" s="7" t="str">
        <f>IF(places!$A10="","",places!$A10)</f>
        <v>CZ-009</v>
      </c>
      <c r="B12" s="4" t="str">
        <f>IF(places!$A10="","",places!$B10)</f>
        <v>Old Gatun</v>
      </c>
      <c r="C12" s="7" t="str">
        <f>IF(places!$A10="","",places!$L10)</f>
        <v>Low</v>
      </c>
      <c r="D12" s="7" t="str">
        <f>IF(places!$A10="","",places!$K10)</f>
        <v>Approximate</v>
      </c>
      <c r="E12" s="2">
        <f>IF(places!$A10="","",COUNTIFS(attestations!$B$2:$B$2000,places!$A10,attestations!$D$2:$D$2000,"Type"))</f>
        <v>0</v>
      </c>
      <c r="F12" s="2">
        <f>IF(places!$A10="","",COUNTIFS(attestations!$B$2:$B$2000,places!$A10,attestations!$D$2:$D$2000,"Name"))</f>
        <v>0</v>
      </c>
      <c r="G12" s="10" t="str">
        <f>IF(places!$A10="","",IF($K12=0,"Unattested",IF(AND($H12&gt;0,$I12&gt;0),"Cross-attested",IF($H12&gt;0,"Administratively visible",IF($I12&gt;0,"Locally remembered / archivally thin","Secondary / implied only")))))</f>
        <v>Cross-attested</v>
      </c>
      <c r="H12" s="2">
        <f>IF(places!$A10="","",COUNTIFS(attestations!$B$2:$B$2000,places!$A10,attestations!$S$2:$S$2000,"US official"))</f>
        <v>12</v>
      </c>
      <c r="I12" s="2">
        <f>IF(places!$A10="","",COUNTIFS(attestations!$B$2:$B$2000,places!$A10,attestations!$S$2:$S$2000,"Panamanian")+COUNTIFS(attestations!$B$2:$B$2000,places!$A10,attestations!$S$2:$S$2000,"Caribbean community"))</f>
        <v>1</v>
      </c>
      <c r="J12" s="2">
        <f>IF(places!$A10="","",COUNTIFS(attestations!$B$2:$B$2000,places!$A10,attestations!$D$2:$D$2000,"Implied / inferred"))</f>
        <v>0</v>
      </c>
      <c r="K12" s="2">
        <f>IF(places!$A10="","",COUNTIF(attestations!$B$2:$B$2000,places!$A10))</f>
        <v>28</v>
      </c>
    </row>
    <row r="13" spans="1:11" ht="15" customHeight="1" x14ac:dyDescent="0.2">
      <c r="A13" s="7" t="str">
        <f>IF(places!$A11="","",places!$A11)</f>
        <v>CZ-010</v>
      </c>
      <c r="B13" s="4" t="str">
        <f>IF(places!$A11="","",places!$B11)</f>
        <v>New Gatun</v>
      </c>
      <c r="C13" s="7" t="str">
        <f>IF(places!$A11="","",places!$L11)</f>
        <v>Medium</v>
      </c>
      <c r="D13" s="7" t="str">
        <f>IF(places!$A11="","",places!$K11)</f>
        <v>Approximate</v>
      </c>
      <c r="E13" s="2">
        <f>IF(places!$A11="","",COUNTIFS(attestations!$B$2:$B$2000,places!$A11,attestations!$D$2:$D$2000,"Type"))</f>
        <v>0</v>
      </c>
      <c r="F13" s="2">
        <f>IF(places!$A11="","",COUNTIFS(attestations!$B$2:$B$2000,places!$A11,attestations!$D$2:$D$2000,"Name"))</f>
        <v>0</v>
      </c>
      <c r="G13" s="10" t="str">
        <f>IF(places!$A11="","",IF($K13=0,"Unattested",IF(AND($H13&gt;0,$I13&gt;0),"Cross-attested",IF($H13&gt;0,"Administratively visible",IF($I13&gt;0,"Locally remembered / archivally thin","Secondary / implied only")))))</f>
        <v>Cross-attested</v>
      </c>
      <c r="H13" s="2">
        <f>IF(places!$A11="","",COUNTIFS(attestations!$B$2:$B$2000,places!$A11,attestations!$S$2:$S$2000,"US official"))</f>
        <v>12</v>
      </c>
      <c r="I13" s="2">
        <f>IF(places!$A11="","",COUNTIFS(attestations!$B$2:$B$2000,places!$A11,attestations!$S$2:$S$2000,"Panamanian")+COUNTIFS(attestations!$B$2:$B$2000,places!$A11,attestations!$S$2:$S$2000,"Caribbean community"))</f>
        <v>3</v>
      </c>
      <c r="J13" s="2">
        <f>IF(places!$A11="","",COUNTIFS(attestations!$B$2:$B$2000,places!$A11,attestations!$D$2:$D$2000,"Implied / inferred"))</f>
        <v>0</v>
      </c>
      <c r="K13" s="2">
        <f>IF(places!$A11="","",COUNTIF(attestations!$B$2:$B$2000,places!$A11))</f>
        <v>17</v>
      </c>
    </row>
    <row r="14" spans="1:11" ht="15" customHeight="1" x14ac:dyDescent="0.2">
      <c r="A14" s="7" t="str">
        <f>IF(places!$A12="","",places!$A12)</f>
        <v>CZ-011</v>
      </c>
      <c r="B14" s="4" t="str">
        <f>IF(places!$A12="","",places!$B12)</f>
        <v>Empire</v>
      </c>
      <c r="C14" s="7" t="str">
        <f>IF(places!$A12="","",places!$L12)</f>
        <v>Medium</v>
      </c>
      <c r="D14" s="7" t="str">
        <f>IF(places!$A12="","",places!$K12)</f>
        <v>Approximate</v>
      </c>
      <c r="E14" s="2">
        <f>IF(places!$A12="","",COUNTIFS(attestations!$B$2:$B$2000,places!$A12,attestations!$D$2:$D$2000,"Type"))</f>
        <v>0</v>
      </c>
      <c r="F14" s="2">
        <f>IF(places!$A12="","",COUNTIFS(attestations!$B$2:$B$2000,places!$A12,attestations!$D$2:$D$2000,"Name"))</f>
        <v>3</v>
      </c>
      <c r="G14" s="10" t="str">
        <f>IF(places!$A12="","",IF($K14=0,"Unattested",IF(AND($H14&gt;0,$I14&gt;0),"Cross-attested",IF($H14&gt;0,"Administratively visible",IF($I14&gt;0,"Locally remembered / archivally thin","Secondary / implied only")))))</f>
        <v>Cross-attested</v>
      </c>
      <c r="H14" s="2">
        <f>IF(places!$A12="","",COUNTIFS(attestations!$B$2:$B$2000,places!$A12,attestations!$S$2:$S$2000,"US official"))</f>
        <v>16</v>
      </c>
      <c r="I14" s="2">
        <f>IF(places!$A12="","",COUNTIFS(attestations!$B$2:$B$2000,places!$A12,attestations!$S$2:$S$2000,"Panamanian")+COUNTIFS(attestations!$B$2:$B$2000,places!$A12,attestations!$S$2:$S$2000,"Caribbean community"))</f>
        <v>6</v>
      </c>
      <c r="J14" s="2">
        <f>IF(places!$A12="","",COUNTIFS(attestations!$B$2:$B$2000,places!$A12,attestations!$D$2:$D$2000,"Implied / inferred"))</f>
        <v>0</v>
      </c>
      <c r="K14" s="2">
        <f>IF(places!$A12="","",COUNTIF(attestations!$B$2:$B$2000,places!$A12))</f>
        <v>35</v>
      </c>
    </row>
    <row r="15" spans="1:11" ht="15" customHeight="1" x14ac:dyDescent="0.2">
      <c r="A15" s="7" t="str">
        <f>IF(places!$A13="","",places!$A13)</f>
        <v>CZ-012</v>
      </c>
      <c r="B15" s="4" t="str">
        <f>IF(places!$A13="","",places!$B13)</f>
        <v>Gorgona</v>
      </c>
      <c r="C15" s="7" t="str">
        <f>IF(places!$A13="","",places!$L13)</f>
        <v>Medium</v>
      </c>
      <c r="D15" s="7" t="str">
        <f>IF(places!$A13="","",places!$K13)</f>
        <v>Approximate</v>
      </c>
      <c r="E15" s="2">
        <f>IF(places!$A13="","",COUNTIFS(attestations!$B$2:$B$2000,places!$A13,attestations!$D$2:$D$2000,"Type"))</f>
        <v>2</v>
      </c>
      <c r="F15" s="2">
        <f>IF(places!$A13="","",COUNTIFS(attestations!$B$2:$B$2000,places!$A13,attestations!$D$2:$D$2000,"Name"))</f>
        <v>2</v>
      </c>
      <c r="G15" s="10" t="str">
        <f>IF(places!$A13="","",IF($K15=0,"Unattested",IF(AND($H15&gt;0,$I15&gt;0),"Cross-attested",IF($H15&gt;0,"Administratively visible",IF($I15&gt;0,"Locally remembered / archivally thin","Secondary / implied only")))))</f>
        <v>Cross-attested</v>
      </c>
      <c r="H15" s="2">
        <f>IF(places!$A13="","",COUNTIFS(attestations!$B$2:$B$2000,places!$A13,attestations!$S$2:$S$2000,"US official"))</f>
        <v>14</v>
      </c>
      <c r="I15" s="2">
        <f>IF(places!$A13="","",COUNTIFS(attestations!$B$2:$B$2000,places!$A13,attestations!$S$2:$S$2000,"Panamanian")+COUNTIFS(attestations!$B$2:$B$2000,places!$A13,attestations!$S$2:$S$2000,"Caribbean community"))</f>
        <v>4</v>
      </c>
      <c r="J15" s="2">
        <f>IF(places!$A13="","",COUNTIFS(attestations!$B$2:$B$2000,places!$A13,attestations!$D$2:$D$2000,"Implied / inferred"))</f>
        <v>0</v>
      </c>
      <c r="K15" s="2">
        <f>IF(places!$A13="","",COUNTIF(attestations!$B$2:$B$2000,places!$A13))</f>
        <v>34</v>
      </c>
    </row>
    <row r="16" spans="1:11" ht="15" customHeight="1" x14ac:dyDescent="0.2">
      <c r="A16" s="7" t="str">
        <f>IF(places!$A14="","",places!$A14)</f>
        <v>CZ-013</v>
      </c>
      <c r="B16" s="4" t="str">
        <f>IF(places!$A14="","",places!$B14)</f>
        <v>Culebra</v>
      </c>
      <c r="C16" s="7" t="str">
        <f>IF(places!$A14="","",places!$L14)</f>
        <v>Medium</v>
      </c>
      <c r="D16" s="7" t="str">
        <f>IF(places!$A14="","",places!$K14)</f>
        <v>Approximate</v>
      </c>
      <c r="E16" s="2">
        <f>IF(places!$A14="","",COUNTIFS(attestations!$B$2:$B$2000,places!$A14,attestations!$D$2:$D$2000,"Type"))</f>
        <v>0</v>
      </c>
      <c r="F16" s="2">
        <f>IF(places!$A14="","",COUNTIFS(attestations!$B$2:$B$2000,places!$A14,attestations!$D$2:$D$2000,"Name"))</f>
        <v>5</v>
      </c>
      <c r="G16" s="10" t="str">
        <f>IF(places!$A14="","",IF($K16=0,"Unattested",IF(AND($H16&gt;0,$I16&gt;0),"Cross-attested",IF($H16&gt;0,"Administratively visible",IF($I16&gt;0,"Locally remembered / archivally thin","Secondary / implied only")))))</f>
        <v>Cross-attested</v>
      </c>
      <c r="H16" s="2">
        <f>IF(places!$A14="","",COUNTIFS(attestations!$B$2:$B$2000,places!$A14,attestations!$S$2:$S$2000,"US official"))</f>
        <v>17</v>
      </c>
      <c r="I16" s="2">
        <f>IF(places!$A14="","",COUNTIFS(attestations!$B$2:$B$2000,places!$A14,attestations!$S$2:$S$2000,"Panamanian")+COUNTIFS(attestations!$B$2:$B$2000,places!$A14,attestations!$S$2:$S$2000,"Caribbean community"))</f>
        <v>3</v>
      </c>
      <c r="J16" s="2">
        <f>IF(places!$A14="","",COUNTIFS(attestations!$B$2:$B$2000,places!$A14,attestations!$D$2:$D$2000,"Implied / inferred"))</f>
        <v>0</v>
      </c>
      <c r="K16" s="2">
        <f>IF(places!$A14="","",COUNTIF(attestations!$B$2:$B$2000,places!$A14))</f>
        <v>29</v>
      </c>
    </row>
    <row r="17" spans="1:11" ht="15" customHeight="1" x14ac:dyDescent="0.2">
      <c r="A17" s="7" t="str">
        <f>IF(places!$A15="","",places!$A15)</f>
        <v>CZ-014</v>
      </c>
      <c r="B17" s="4" t="str">
        <f>IF(places!$A15="","",places!$B15)</f>
        <v>Bas Obispo</v>
      </c>
      <c r="C17" s="7" t="str">
        <f>IF(places!$A15="","",places!$L15)</f>
        <v>Low</v>
      </c>
      <c r="D17" s="7" t="str">
        <f>IF(places!$A15="","",places!$K15)</f>
        <v>Inferred</v>
      </c>
      <c r="E17" s="2">
        <f>IF(places!$A15="","",COUNTIFS(attestations!$B$2:$B$2000,places!$A15,attestations!$D$2:$D$2000,"Type"))</f>
        <v>0</v>
      </c>
      <c r="F17" s="2">
        <f>IF(places!$A15="","",COUNTIFS(attestations!$B$2:$B$2000,places!$A15,attestations!$D$2:$D$2000,"Name"))</f>
        <v>0</v>
      </c>
      <c r="G17" s="10" t="str">
        <f>IF(places!$A15="","",IF($K17=0,"Unattested",IF(AND($H17&gt;0,$I17&gt;0),"Cross-attested",IF($H17&gt;0,"Administratively visible",IF($I17&gt;0,"Locally remembered / archivally thin","Secondary / implied only")))))</f>
        <v>Cross-attested</v>
      </c>
      <c r="H17" s="2">
        <f>IF(places!$A15="","",COUNTIFS(attestations!$B$2:$B$2000,places!$A15,attestations!$S$2:$S$2000,"US official"))</f>
        <v>14</v>
      </c>
      <c r="I17" s="2">
        <f>IF(places!$A15="","",COUNTIFS(attestations!$B$2:$B$2000,places!$A15,attestations!$S$2:$S$2000,"Panamanian")+COUNTIFS(attestations!$B$2:$B$2000,places!$A15,attestations!$S$2:$S$2000,"Caribbean community"))</f>
        <v>3</v>
      </c>
      <c r="J17" s="2">
        <f>IF(places!$A15="","",COUNTIFS(attestations!$B$2:$B$2000,places!$A15,attestations!$D$2:$D$2000,"Implied / inferred"))</f>
        <v>1</v>
      </c>
      <c r="K17" s="2">
        <f>IF(places!$A15="","",COUNTIF(attestations!$B$2:$B$2000,places!$A15))</f>
        <v>29</v>
      </c>
    </row>
    <row r="18" spans="1:11" ht="15" customHeight="1" x14ac:dyDescent="0.2">
      <c r="A18" s="7" t="str">
        <f>IF(places!$A16="","",places!$A16)</f>
        <v>CZ-015</v>
      </c>
      <c r="B18" s="4" t="str">
        <f>IF(places!$A16="","",places!$B16)</f>
        <v>Las Cascadas</v>
      </c>
      <c r="C18" s="7" t="str">
        <f>IF(places!$A16="","",places!$L16)</f>
        <v>Low</v>
      </c>
      <c r="D18" s="7" t="str">
        <f>IF(places!$A16="","",places!$K16)</f>
        <v>Inferred</v>
      </c>
      <c r="E18" s="2">
        <f>IF(places!$A16="","",COUNTIFS(attestations!$B$2:$B$2000,places!$A16,attestations!$D$2:$D$2000,"Type"))</f>
        <v>0</v>
      </c>
      <c r="F18" s="2">
        <f>IF(places!$A16="","",COUNTIFS(attestations!$B$2:$B$2000,places!$A16,attestations!$D$2:$D$2000,"Name"))</f>
        <v>2</v>
      </c>
      <c r="G18" s="10" t="str">
        <f>IF(places!$A16="","",IF($K18=0,"Unattested",IF(AND($H18&gt;0,$I18&gt;0),"Cross-attested",IF($H18&gt;0,"Administratively visible",IF($I18&gt;0,"Locally remembered / archivally thin","Secondary / implied only")))))</f>
        <v>Cross-attested</v>
      </c>
      <c r="H18" s="2">
        <f>IF(places!$A16="","",COUNTIFS(attestations!$B$2:$B$2000,places!$A16,attestations!$S$2:$S$2000,"US official"))</f>
        <v>13</v>
      </c>
      <c r="I18" s="2">
        <f>IF(places!$A16="","",COUNTIFS(attestations!$B$2:$B$2000,places!$A16,attestations!$S$2:$S$2000,"Panamanian")+COUNTIFS(attestations!$B$2:$B$2000,places!$A16,attestations!$S$2:$S$2000,"Caribbean community"))</f>
        <v>3</v>
      </c>
      <c r="J18" s="2">
        <f>IF(places!$A16="","",COUNTIFS(attestations!$B$2:$B$2000,places!$A16,attestations!$D$2:$D$2000,"Implied / inferred"))</f>
        <v>0</v>
      </c>
      <c r="K18" s="2">
        <f>IF(places!$A16="","",COUNTIF(attestations!$B$2:$B$2000,places!$A16))</f>
        <v>21</v>
      </c>
    </row>
    <row r="19" spans="1:11" ht="15" customHeight="1" x14ac:dyDescent="0.2">
      <c r="A19" s="7" t="str">
        <f>IF(places!$A17="","",places!$A17)</f>
        <v>CZ-016</v>
      </c>
      <c r="B19" s="4" t="str">
        <f>IF(places!$A17="","",places!$B17)</f>
        <v>Bohio</v>
      </c>
      <c r="C19" s="7" t="str">
        <f>IF(places!$A17="","",places!$L17)</f>
        <v>Low</v>
      </c>
      <c r="D19" s="7" t="str">
        <f>IF(places!$A17="","",places!$K17)</f>
        <v>Inferred</v>
      </c>
      <c r="E19" s="2">
        <f>IF(places!$A17="","",COUNTIFS(attestations!$B$2:$B$2000,places!$A17,attestations!$D$2:$D$2000,"Type"))</f>
        <v>0</v>
      </c>
      <c r="F19" s="2">
        <f>IF(places!$A17="","",COUNTIFS(attestations!$B$2:$B$2000,places!$A17,attestations!$D$2:$D$2000,"Name"))</f>
        <v>3</v>
      </c>
      <c r="G19" s="10" t="str">
        <f>IF(places!$A17="","",IF($K19=0,"Unattested",IF(AND($H19&gt;0,$I19&gt;0),"Cross-attested",IF($H19&gt;0,"Administratively visible",IF($I19&gt;0,"Locally remembered / archivally thin","Secondary / implied only")))))</f>
        <v>Cross-attested</v>
      </c>
      <c r="H19" s="2">
        <f>IF(places!$A17="","",COUNTIFS(attestations!$B$2:$B$2000,places!$A17,attestations!$S$2:$S$2000,"US official"))</f>
        <v>11</v>
      </c>
      <c r="I19" s="2">
        <f>IF(places!$A17="","",COUNTIFS(attestations!$B$2:$B$2000,places!$A17,attestations!$S$2:$S$2000,"Panamanian")+COUNTIFS(attestations!$B$2:$B$2000,places!$A17,attestations!$S$2:$S$2000,"Caribbean community"))</f>
        <v>3</v>
      </c>
      <c r="J19" s="2">
        <f>IF(places!$A17="","",COUNTIFS(attestations!$B$2:$B$2000,places!$A17,attestations!$D$2:$D$2000,"Implied / inferred"))</f>
        <v>0</v>
      </c>
      <c r="K19" s="2">
        <f>IF(places!$A17="","",COUNTIF(attestations!$B$2:$B$2000,places!$A17))</f>
        <v>27</v>
      </c>
    </row>
    <row r="21" spans="1:11" ht="15" customHeight="1" x14ac:dyDescent="0.2">
      <c r="A21" s="29" t="s">
        <v>5462</v>
      </c>
      <c r="B21" s="30"/>
      <c r="C21" s="30"/>
      <c r="D21" s="30"/>
      <c r="E21" s="30"/>
      <c r="F21" s="30"/>
      <c r="G21" s="30"/>
      <c r="H21" s="30"/>
      <c r="I21" s="30"/>
      <c r="J21" s="30"/>
      <c r="K21" s="31"/>
    </row>
    <row r="22" spans="1:11" ht="15" customHeight="1" x14ac:dyDescent="0.2">
      <c r="A22" s="32"/>
      <c r="B22" s="33"/>
      <c r="C22" s="33"/>
      <c r="D22" s="33"/>
      <c r="E22" s="33"/>
      <c r="F22" s="33"/>
      <c r="G22" s="33"/>
      <c r="H22" s="33"/>
      <c r="I22" s="33"/>
      <c r="J22" s="33"/>
      <c r="K22" s="34"/>
    </row>
    <row r="23" spans="1:11" ht="15" customHeight="1" x14ac:dyDescent="0.2">
      <c r="A23" s="35"/>
      <c r="B23" s="36"/>
      <c r="C23" s="36"/>
      <c r="D23" s="36"/>
      <c r="E23" s="36"/>
      <c r="F23" s="36"/>
      <c r="G23" s="36"/>
      <c r="H23" s="36"/>
      <c r="I23" s="36"/>
      <c r="J23" s="36"/>
      <c r="K23" s="37"/>
    </row>
  </sheetData>
  <mergeCells count="2">
    <mergeCell ref="A1:K1"/>
    <mergeCell ref="A21:K2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D7D31"/>
  </sheetPr>
  <dimension ref="A1:L23"/>
  <sheetViews>
    <sheetView zoomScaleNormal="100" workbookViewId="0">
      <pane xSplit="1" ySplit="3" topLeftCell="B4" activePane="bottomRight" state="frozen"/>
      <selection pane="topRight" activeCell="B1" sqref="B1"/>
      <selection pane="bottomLeft" activeCell="A4" sqref="A4"/>
      <selection pane="bottomRight" activeCell="C34" sqref="C34"/>
    </sheetView>
  </sheetViews>
  <sheetFormatPr baseColWidth="10" defaultColWidth="8.6640625" defaultRowHeight="15" x14ac:dyDescent="0.2"/>
  <cols>
    <col min="1" max="1" width="11" customWidth="1"/>
    <col min="2" max="2" width="30" customWidth="1"/>
    <col min="3" max="3" width="24" customWidth="1"/>
    <col min="4" max="4" width="16" customWidth="1"/>
    <col min="5" max="5" width="15" customWidth="1"/>
    <col min="6" max="6" width="20" customWidth="1"/>
    <col min="7" max="7" width="16" customWidth="1"/>
    <col min="8" max="8" width="14" customWidth="1"/>
    <col min="9" max="9" width="30" customWidth="1"/>
  </cols>
  <sheetData>
    <row r="1" spans="1:12" ht="15" customHeight="1" x14ac:dyDescent="0.2">
      <c r="A1" s="26"/>
      <c r="B1" s="27"/>
      <c r="C1" s="27"/>
      <c r="D1" s="27"/>
      <c r="E1" s="27"/>
      <c r="F1" s="27"/>
      <c r="G1" s="27"/>
      <c r="H1" s="27"/>
      <c r="I1" s="28"/>
    </row>
    <row r="3" spans="1:12" ht="15" customHeight="1" x14ac:dyDescent="0.2">
      <c r="A3" s="1" t="s">
        <v>1127</v>
      </c>
      <c r="B3" s="1" t="s">
        <v>1</v>
      </c>
      <c r="C3" s="1" t="s">
        <v>1119</v>
      </c>
      <c r="D3" s="1" t="s">
        <v>5463</v>
      </c>
      <c r="E3" s="1" t="s">
        <v>5464</v>
      </c>
      <c r="F3" s="1" t="s">
        <v>5465</v>
      </c>
      <c r="G3" s="1" t="s">
        <v>5466</v>
      </c>
      <c r="H3" s="1" t="s">
        <v>5467</v>
      </c>
      <c r="I3" s="1" t="s">
        <v>176</v>
      </c>
      <c r="J3" t="s">
        <v>5468</v>
      </c>
      <c r="K3" t="s">
        <v>5469</v>
      </c>
      <c r="L3" t="s">
        <v>5470</v>
      </c>
    </row>
    <row r="4" spans="1:12" ht="23.25" customHeight="1" x14ac:dyDescent="0.2">
      <c r="A4" s="4" t="s">
        <v>1167</v>
      </c>
      <c r="B4" s="4" t="s">
        <v>1160</v>
      </c>
      <c r="C4" s="4" t="s">
        <v>5471</v>
      </c>
      <c r="D4" s="4" t="s">
        <v>5472</v>
      </c>
      <c r="E4" s="4" t="s">
        <v>1162</v>
      </c>
      <c r="F4" s="4" t="s">
        <v>5473</v>
      </c>
      <c r="G4" s="4" t="s">
        <v>5474</v>
      </c>
      <c r="H4" s="4" t="s">
        <v>5475</v>
      </c>
      <c r="I4" s="4" t="s">
        <v>5476</v>
      </c>
      <c r="J4" t="s">
        <v>5477</v>
      </c>
      <c r="K4" t="s">
        <v>5478</v>
      </c>
      <c r="L4" t="s">
        <v>5479</v>
      </c>
    </row>
    <row r="5" spans="1:12" ht="23.25" customHeight="1" x14ac:dyDescent="0.2">
      <c r="A5" s="4" t="s">
        <v>1178</v>
      </c>
      <c r="B5" s="4" t="s">
        <v>5480</v>
      </c>
      <c r="C5" s="4" t="s">
        <v>5481</v>
      </c>
      <c r="D5" s="4" t="s">
        <v>5472</v>
      </c>
      <c r="E5" s="4" t="s">
        <v>5482</v>
      </c>
      <c r="F5" s="4" t="s">
        <v>5483</v>
      </c>
      <c r="G5" s="4" t="s">
        <v>5484</v>
      </c>
      <c r="H5" s="4" t="s">
        <v>5475</v>
      </c>
      <c r="I5" s="4" t="s">
        <v>5485</v>
      </c>
      <c r="J5" t="s">
        <v>5477</v>
      </c>
      <c r="K5" t="s">
        <v>5486</v>
      </c>
      <c r="L5" t="s">
        <v>1208</v>
      </c>
    </row>
    <row r="6" spans="1:12" ht="23.25" customHeight="1" x14ac:dyDescent="0.2">
      <c r="A6" s="4" t="s">
        <v>1157</v>
      </c>
      <c r="B6" s="4" t="s">
        <v>5487</v>
      </c>
      <c r="C6" s="4" t="s">
        <v>5488</v>
      </c>
      <c r="D6" s="4" t="s">
        <v>5472</v>
      </c>
      <c r="E6" s="4" t="s">
        <v>1152</v>
      </c>
      <c r="F6" s="4" t="s">
        <v>5489</v>
      </c>
      <c r="G6" s="4" t="s">
        <v>5490</v>
      </c>
      <c r="H6" s="4" t="s">
        <v>5491</v>
      </c>
      <c r="I6" s="4" t="s">
        <v>5492</v>
      </c>
      <c r="J6" t="s">
        <v>5493</v>
      </c>
      <c r="K6" t="s">
        <v>5494</v>
      </c>
      <c r="L6" t="s">
        <v>5495</v>
      </c>
    </row>
    <row r="7" spans="1:12" ht="23.25" customHeight="1" x14ac:dyDescent="0.2">
      <c r="A7" s="4" t="s">
        <v>1193</v>
      </c>
      <c r="B7" s="4" t="s">
        <v>5496</v>
      </c>
      <c r="C7" s="4" t="s">
        <v>5497</v>
      </c>
      <c r="D7" s="4" t="s">
        <v>5498</v>
      </c>
      <c r="E7" s="4" t="s">
        <v>1187</v>
      </c>
      <c r="F7" s="4" t="s">
        <v>5499</v>
      </c>
      <c r="G7" s="4" t="s">
        <v>5500</v>
      </c>
      <c r="H7" s="4" t="s">
        <v>5501</v>
      </c>
      <c r="I7" s="4" t="s">
        <v>5502</v>
      </c>
      <c r="J7" t="s">
        <v>1191</v>
      </c>
      <c r="K7" t="s">
        <v>5503</v>
      </c>
      <c r="L7" t="s">
        <v>1186</v>
      </c>
    </row>
    <row r="8" spans="1:12" ht="23.25" customHeight="1" x14ac:dyDescent="0.2">
      <c r="A8" s="4" t="s">
        <v>1202</v>
      </c>
      <c r="B8" s="4" t="s">
        <v>5504</v>
      </c>
      <c r="C8" s="4" t="s">
        <v>5505</v>
      </c>
      <c r="D8" s="4" t="s">
        <v>5498</v>
      </c>
      <c r="E8" s="4" t="s">
        <v>1197</v>
      </c>
      <c r="F8" s="4" t="s">
        <v>5506</v>
      </c>
      <c r="G8" s="4" t="s">
        <v>5507</v>
      </c>
      <c r="H8" s="4" t="s">
        <v>5508</v>
      </c>
      <c r="I8" s="4" t="s">
        <v>5509</v>
      </c>
      <c r="J8" t="s">
        <v>5510</v>
      </c>
      <c r="K8" t="s">
        <v>5511</v>
      </c>
      <c r="L8" t="s">
        <v>5512</v>
      </c>
    </row>
    <row r="9" spans="1:12" ht="23.25" customHeight="1" x14ac:dyDescent="0.2">
      <c r="A9" s="4" t="s">
        <v>1138</v>
      </c>
      <c r="B9" s="4" t="s">
        <v>5513</v>
      </c>
      <c r="C9" s="4" t="s">
        <v>1133</v>
      </c>
      <c r="D9" s="4" t="s">
        <v>5514</v>
      </c>
      <c r="E9" s="4" t="s">
        <v>1132</v>
      </c>
      <c r="F9" s="4" t="s">
        <v>1129</v>
      </c>
      <c r="G9" s="4" t="s">
        <v>5515</v>
      </c>
      <c r="H9" s="4" t="s">
        <v>5491</v>
      </c>
      <c r="I9" s="4" t="s">
        <v>5516</v>
      </c>
      <c r="J9" t="s">
        <v>5517</v>
      </c>
      <c r="K9" t="s">
        <v>5518</v>
      </c>
      <c r="L9" t="s">
        <v>5519</v>
      </c>
    </row>
    <row r="10" spans="1:12" ht="23.25" customHeight="1" x14ac:dyDescent="0.2">
      <c r="A10" s="4" t="s">
        <v>5520</v>
      </c>
      <c r="B10" s="4" t="s">
        <v>5521</v>
      </c>
      <c r="C10" s="4" t="s">
        <v>5522</v>
      </c>
      <c r="D10" s="4" t="s">
        <v>5523</v>
      </c>
      <c r="E10" s="4" t="s">
        <v>5524</v>
      </c>
      <c r="F10" s="4" t="s">
        <v>5525</v>
      </c>
      <c r="G10" s="4" t="s">
        <v>5526</v>
      </c>
      <c r="H10" s="4" t="s">
        <v>5527</v>
      </c>
      <c r="I10" s="4" t="s">
        <v>5528</v>
      </c>
      <c r="J10" t="s">
        <v>5529</v>
      </c>
      <c r="K10" t="s">
        <v>5530</v>
      </c>
      <c r="L10" t="s">
        <v>5531</v>
      </c>
    </row>
    <row r="11" spans="1:12" x14ac:dyDescent="0.2">
      <c r="A11" t="s">
        <v>1266</v>
      </c>
      <c r="B11" t="s">
        <v>5532</v>
      </c>
      <c r="C11" t="s">
        <v>5533</v>
      </c>
      <c r="D11" t="s">
        <v>5534</v>
      </c>
      <c r="E11" t="s">
        <v>1261</v>
      </c>
      <c r="F11" t="s">
        <v>5535</v>
      </c>
      <c r="G11" t="s">
        <v>5536</v>
      </c>
      <c r="H11" t="s">
        <v>5475</v>
      </c>
      <c r="I11" t="s">
        <v>5537</v>
      </c>
      <c r="J11" t="s">
        <v>5538</v>
      </c>
      <c r="K11" t="s">
        <v>5539</v>
      </c>
      <c r="L11" t="s">
        <v>1262</v>
      </c>
    </row>
    <row r="12" spans="1:12" x14ac:dyDescent="0.2">
      <c r="A12" t="s">
        <v>1392</v>
      </c>
      <c r="B12" t="s">
        <v>5540</v>
      </c>
      <c r="C12" t="s">
        <v>5541</v>
      </c>
      <c r="D12" t="s">
        <v>5498</v>
      </c>
      <c r="E12" t="s">
        <v>1387</v>
      </c>
      <c r="F12" t="s">
        <v>5542</v>
      </c>
      <c r="G12" t="s">
        <v>5543</v>
      </c>
      <c r="H12" t="s">
        <v>5544</v>
      </c>
      <c r="I12" t="s">
        <v>5545</v>
      </c>
      <c r="J12" t="s">
        <v>5546</v>
      </c>
      <c r="K12" t="s">
        <v>5547</v>
      </c>
      <c r="L12" t="s">
        <v>5495</v>
      </c>
    </row>
    <row r="13" spans="1:12" x14ac:dyDescent="0.2">
      <c r="A13" t="s">
        <v>1212</v>
      </c>
      <c r="B13" t="s">
        <v>5548</v>
      </c>
      <c r="C13" t="s">
        <v>5549</v>
      </c>
      <c r="D13" t="s">
        <v>5534</v>
      </c>
      <c r="E13" t="s">
        <v>5550</v>
      </c>
      <c r="F13" t="s">
        <v>5551</v>
      </c>
      <c r="G13" t="s">
        <v>5552</v>
      </c>
      <c r="H13" t="s">
        <v>5544</v>
      </c>
      <c r="I13" t="s">
        <v>5553</v>
      </c>
      <c r="J13" t="s">
        <v>5554</v>
      </c>
      <c r="K13" t="s">
        <v>5555</v>
      </c>
      <c r="L13" t="s">
        <v>1208</v>
      </c>
    </row>
    <row r="14" spans="1:12" x14ac:dyDescent="0.2">
      <c r="A14" t="s">
        <v>1303</v>
      </c>
      <c r="B14" t="s">
        <v>5556</v>
      </c>
      <c r="C14" t="s">
        <v>5557</v>
      </c>
      <c r="D14" t="s">
        <v>5534</v>
      </c>
      <c r="E14" t="s">
        <v>5558</v>
      </c>
      <c r="F14" t="s">
        <v>5559</v>
      </c>
      <c r="G14" t="s">
        <v>5560</v>
      </c>
      <c r="H14" t="s">
        <v>5491</v>
      </c>
      <c r="I14" t="s">
        <v>5561</v>
      </c>
      <c r="J14" t="s">
        <v>5562</v>
      </c>
      <c r="K14" t="s">
        <v>5563</v>
      </c>
      <c r="L14" t="s">
        <v>1299</v>
      </c>
    </row>
    <row r="15" spans="1:12" x14ac:dyDescent="0.2">
      <c r="A15" t="s">
        <v>1291</v>
      </c>
      <c r="B15" t="s">
        <v>5564</v>
      </c>
      <c r="C15" t="s">
        <v>5565</v>
      </c>
      <c r="D15" t="s">
        <v>5534</v>
      </c>
      <c r="E15" t="s">
        <v>5566</v>
      </c>
      <c r="F15" t="s">
        <v>5567</v>
      </c>
      <c r="G15" t="s">
        <v>5560</v>
      </c>
      <c r="H15" t="s">
        <v>5491</v>
      </c>
      <c r="I15" t="s">
        <v>5568</v>
      </c>
      <c r="J15" t="s">
        <v>5569</v>
      </c>
      <c r="K15" t="s">
        <v>5570</v>
      </c>
      <c r="L15" t="s">
        <v>5571</v>
      </c>
    </row>
    <row r="16" spans="1:12" x14ac:dyDescent="0.2">
      <c r="A16" t="s">
        <v>1283</v>
      </c>
      <c r="B16" t="s">
        <v>5572</v>
      </c>
      <c r="C16" t="s">
        <v>5573</v>
      </c>
      <c r="D16" t="s">
        <v>5534</v>
      </c>
      <c r="E16" t="s">
        <v>5574</v>
      </c>
      <c r="F16" t="s">
        <v>5483</v>
      </c>
      <c r="G16" t="s">
        <v>5490</v>
      </c>
      <c r="H16" t="s">
        <v>5491</v>
      </c>
      <c r="I16" t="s">
        <v>5575</v>
      </c>
      <c r="J16" t="s">
        <v>5576</v>
      </c>
      <c r="K16" t="s">
        <v>5577</v>
      </c>
      <c r="L16" t="s">
        <v>5573</v>
      </c>
    </row>
    <row r="17" spans="1:12" x14ac:dyDescent="0.2">
      <c r="A17" t="s">
        <v>1378</v>
      </c>
      <c r="B17" t="s">
        <v>5578</v>
      </c>
      <c r="C17" t="s">
        <v>5471</v>
      </c>
      <c r="D17" t="s">
        <v>5472</v>
      </c>
      <c r="E17" t="s">
        <v>5579</v>
      </c>
      <c r="F17" t="s">
        <v>5483</v>
      </c>
      <c r="G17" t="s">
        <v>5580</v>
      </c>
      <c r="H17" t="s">
        <v>5491</v>
      </c>
      <c r="I17" t="s">
        <v>5581</v>
      </c>
      <c r="J17" t="s">
        <v>5477</v>
      </c>
      <c r="K17" t="s">
        <v>5582</v>
      </c>
      <c r="L17" t="s">
        <v>5479</v>
      </c>
    </row>
    <row r="18" spans="1:12" x14ac:dyDescent="0.2">
      <c r="A18" t="s">
        <v>5583</v>
      </c>
      <c r="B18" t="s">
        <v>5584</v>
      </c>
      <c r="C18" t="s">
        <v>5585</v>
      </c>
      <c r="D18" t="s">
        <v>5534</v>
      </c>
      <c r="E18" t="s">
        <v>5586</v>
      </c>
      <c r="F18" t="s">
        <v>5483</v>
      </c>
      <c r="G18" t="s">
        <v>5560</v>
      </c>
      <c r="H18" t="s">
        <v>5491</v>
      </c>
      <c r="I18" t="s">
        <v>5587</v>
      </c>
      <c r="J18" t="s">
        <v>5588</v>
      </c>
      <c r="K18" t="s">
        <v>5589</v>
      </c>
      <c r="L18" t="s">
        <v>5590</v>
      </c>
    </row>
    <row r="19" spans="1:12" x14ac:dyDescent="0.2">
      <c r="A19" t="s">
        <v>1489</v>
      </c>
      <c r="B19" t="s">
        <v>5591</v>
      </c>
      <c r="C19" t="s">
        <v>5592</v>
      </c>
      <c r="D19" t="s">
        <v>5534</v>
      </c>
      <c r="E19" t="s">
        <v>5593</v>
      </c>
      <c r="F19" t="s">
        <v>5483</v>
      </c>
      <c r="G19" t="s">
        <v>5560</v>
      </c>
      <c r="H19" t="s">
        <v>5491</v>
      </c>
      <c r="I19" t="s">
        <v>5594</v>
      </c>
      <c r="J19" t="s">
        <v>5595</v>
      </c>
      <c r="K19" t="s">
        <v>5596</v>
      </c>
      <c r="L19" t="s">
        <v>5597</v>
      </c>
    </row>
    <row r="20" spans="1:12" x14ac:dyDescent="0.2">
      <c r="A20" t="s">
        <v>1421</v>
      </c>
      <c r="B20" t="s">
        <v>5598</v>
      </c>
      <c r="C20" t="s">
        <v>5599</v>
      </c>
      <c r="D20" t="s">
        <v>5600</v>
      </c>
      <c r="E20" t="s">
        <v>5601</v>
      </c>
      <c r="F20" t="s">
        <v>5602</v>
      </c>
      <c r="G20" t="s">
        <v>5603</v>
      </c>
      <c r="H20" t="s">
        <v>5544</v>
      </c>
      <c r="I20" t="s">
        <v>5604</v>
      </c>
      <c r="J20" t="s">
        <v>5605</v>
      </c>
      <c r="K20" t="s">
        <v>5606</v>
      </c>
      <c r="L20" t="s">
        <v>5607</v>
      </c>
    </row>
    <row r="21" spans="1:12" x14ac:dyDescent="0.2">
      <c r="A21" t="s">
        <v>1453</v>
      </c>
      <c r="B21" t="s">
        <v>5608</v>
      </c>
      <c r="C21" t="s">
        <v>5549</v>
      </c>
      <c r="D21" t="s">
        <v>5498</v>
      </c>
      <c r="E21" t="s">
        <v>5609</v>
      </c>
      <c r="F21" t="s">
        <v>5610</v>
      </c>
      <c r="G21" t="s">
        <v>5611</v>
      </c>
      <c r="H21" t="s">
        <v>5612</v>
      </c>
      <c r="I21" t="s">
        <v>5613</v>
      </c>
      <c r="J21" t="s">
        <v>5614</v>
      </c>
      <c r="K21" t="s">
        <v>5615</v>
      </c>
      <c r="L21" t="s">
        <v>1208</v>
      </c>
    </row>
    <row r="22" spans="1:12" x14ac:dyDescent="0.2">
      <c r="A22" t="s">
        <v>1460</v>
      </c>
      <c r="B22" t="s">
        <v>5616</v>
      </c>
      <c r="C22" t="s">
        <v>5617</v>
      </c>
      <c r="D22" t="s">
        <v>5534</v>
      </c>
      <c r="E22" t="s">
        <v>5618</v>
      </c>
      <c r="F22" t="s">
        <v>5483</v>
      </c>
      <c r="G22" t="s">
        <v>5560</v>
      </c>
      <c r="H22" t="s">
        <v>5491</v>
      </c>
      <c r="I22" t="s">
        <v>5619</v>
      </c>
      <c r="J22" t="s">
        <v>5620</v>
      </c>
      <c r="K22" t="s">
        <v>5621</v>
      </c>
      <c r="L22" t="s">
        <v>5495</v>
      </c>
    </row>
    <row r="23" spans="1:12" x14ac:dyDescent="0.2">
      <c r="A23" t="s">
        <v>1147</v>
      </c>
      <c r="B23" t="s">
        <v>5622</v>
      </c>
      <c r="C23" t="s">
        <v>5623</v>
      </c>
      <c r="D23" t="s">
        <v>5624</v>
      </c>
      <c r="E23" t="s">
        <v>5625</v>
      </c>
      <c r="F23" t="s">
        <v>5626</v>
      </c>
      <c r="G23" t="s">
        <v>5627</v>
      </c>
      <c r="H23" t="s">
        <v>5628</v>
      </c>
      <c r="I23" t="s">
        <v>5629</v>
      </c>
      <c r="J23" t="s">
        <v>5630</v>
      </c>
      <c r="K23" t="s">
        <v>5631</v>
      </c>
      <c r="L23" t="s">
        <v>5632</v>
      </c>
    </row>
  </sheetData>
  <mergeCells count="1">
    <mergeCell ref="A1:I1"/>
  </mergeCells>
  <dataValidations count="3">
    <dataValidation type="list" allowBlank="1" sqref="D2:D400" xr:uid="{00000000-0002-0000-0900-000000000000}">
      <formula1>"In scope - core,In scope - counter-archive,Reference only (not authority),OUT of scope - period,OUT of scope - other"</formula1>
      <formula2>0</formula2>
    </dataValidation>
    <dataValidation type="list" allowBlank="1" sqref="G2:G400" xr:uid="{00000000-0002-0000-0900-000001000000}">
      <formula1>"Onsite + partial online,Onsite,Digitized (selected),Fully digitized,Restricted,Unknown"</formula1>
      <formula2>0</formula2>
    </dataValidation>
    <dataValidation type="list" allowBlank="1" sqref="H2:H400" xr:uid="{00000000-0002-0000-0900-000002000000}">
      <formula1>"Full,Partial,Minimal,Unknown"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7D31"/>
  </sheetPr>
  <dimension ref="A1:G22"/>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5" x14ac:dyDescent="0.2"/>
  <cols>
    <col min="1" max="2" width="12" customWidth="1"/>
    <col min="3" max="3" width="15" customWidth="1"/>
    <col min="4" max="4" width="13" customWidth="1"/>
    <col min="5" max="6" width="11" customWidth="1"/>
    <col min="7" max="7" width="34" customWidth="1"/>
  </cols>
  <sheetData>
    <row r="1" spans="1:7" ht="23.25" customHeight="1" x14ac:dyDescent="0.2">
      <c r="A1" s="1" t="s">
        <v>5633</v>
      </c>
      <c r="B1" s="1" t="s">
        <v>1547</v>
      </c>
      <c r="C1" s="1" t="s">
        <v>5634</v>
      </c>
      <c r="D1" s="1" t="s">
        <v>5635</v>
      </c>
      <c r="E1" s="1" t="s">
        <v>1556</v>
      </c>
      <c r="F1" s="1" t="s">
        <v>1557</v>
      </c>
      <c r="G1" s="1" t="s">
        <v>5636</v>
      </c>
    </row>
    <row r="2" spans="1:7" ht="15" customHeight="1" x14ac:dyDescent="0.2">
      <c r="A2" s="4" t="s">
        <v>5637</v>
      </c>
      <c r="B2" s="4" t="s">
        <v>269</v>
      </c>
      <c r="C2" s="4" t="s">
        <v>5638</v>
      </c>
      <c r="D2" s="4" t="s">
        <v>233</v>
      </c>
      <c r="E2" s="4" t="s">
        <v>272</v>
      </c>
      <c r="F2" s="4" t="s">
        <v>273</v>
      </c>
      <c r="G2" s="4" t="s">
        <v>5639</v>
      </c>
    </row>
    <row r="3" spans="1:7" ht="15" customHeight="1" x14ac:dyDescent="0.2">
      <c r="A3" s="4" t="s">
        <v>5640</v>
      </c>
      <c r="B3" s="4" t="s">
        <v>276</v>
      </c>
      <c r="C3" s="4" t="s">
        <v>5638</v>
      </c>
      <c r="D3" s="4" t="s">
        <v>233</v>
      </c>
      <c r="E3" s="4" t="s">
        <v>272</v>
      </c>
      <c r="F3" s="4" t="s">
        <v>273</v>
      </c>
      <c r="G3" s="4" t="s">
        <v>5641</v>
      </c>
    </row>
    <row r="4" spans="1:7" ht="15" customHeight="1" x14ac:dyDescent="0.2">
      <c r="A4" s="4" t="s">
        <v>5642</v>
      </c>
      <c r="B4" s="4" t="s">
        <v>677</v>
      </c>
      <c r="C4" s="4" t="s">
        <v>5638</v>
      </c>
      <c r="D4" s="4" t="s">
        <v>233</v>
      </c>
      <c r="E4" s="4" t="s">
        <v>283</v>
      </c>
      <c r="F4" s="4" t="s">
        <v>273</v>
      </c>
      <c r="G4" s="4" t="s">
        <v>5643</v>
      </c>
    </row>
    <row r="5" spans="1:7" ht="15" customHeight="1" x14ac:dyDescent="0.2">
      <c r="A5" s="4" t="s">
        <v>5644</v>
      </c>
      <c r="B5" s="4" t="s">
        <v>287</v>
      </c>
      <c r="C5" s="4" t="s">
        <v>5638</v>
      </c>
      <c r="D5" s="4" t="s">
        <v>233</v>
      </c>
      <c r="E5" s="4" t="s">
        <v>291</v>
      </c>
      <c r="F5" s="4" t="s">
        <v>273</v>
      </c>
      <c r="G5" s="4" t="s">
        <v>5645</v>
      </c>
    </row>
    <row r="6" spans="1:7" ht="15" customHeight="1" x14ac:dyDescent="0.2">
      <c r="A6" s="4" t="s">
        <v>5646</v>
      </c>
      <c r="B6" s="4" t="s">
        <v>294</v>
      </c>
      <c r="C6" s="4" t="s">
        <v>5638</v>
      </c>
      <c r="D6" s="4" t="s">
        <v>233</v>
      </c>
      <c r="E6" s="4" t="s">
        <v>291</v>
      </c>
      <c r="F6" s="4" t="s">
        <v>273</v>
      </c>
      <c r="G6" s="4" t="s">
        <v>5647</v>
      </c>
    </row>
    <row r="7" spans="1:7" ht="15" customHeight="1" x14ac:dyDescent="0.2">
      <c r="A7" s="4" t="s">
        <v>5648</v>
      </c>
      <c r="B7" s="4" t="s">
        <v>297</v>
      </c>
      <c r="C7" s="4" t="s">
        <v>5638</v>
      </c>
      <c r="D7" s="4" t="s">
        <v>233</v>
      </c>
      <c r="E7" s="4" t="s">
        <v>301</v>
      </c>
      <c r="F7" s="4" t="s">
        <v>273</v>
      </c>
      <c r="G7" s="4" t="s">
        <v>5649</v>
      </c>
    </row>
    <row r="8" spans="1:7" ht="23.25" customHeight="1" x14ac:dyDescent="0.2">
      <c r="A8" s="4"/>
      <c r="B8" s="4" t="s">
        <v>233</v>
      </c>
      <c r="C8" s="4" t="s">
        <v>5650</v>
      </c>
      <c r="D8" s="4" t="s">
        <v>303</v>
      </c>
      <c r="E8" s="4" t="s">
        <v>273</v>
      </c>
      <c r="F8" s="4" t="s">
        <v>5651</v>
      </c>
      <c r="G8" s="4" t="s">
        <v>5652</v>
      </c>
    </row>
    <row r="9" spans="1:7" ht="23.25" customHeight="1" x14ac:dyDescent="0.2">
      <c r="A9" s="4"/>
      <c r="B9" s="4" t="s">
        <v>276</v>
      </c>
      <c r="C9" s="4" t="s">
        <v>5650</v>
      </c>
      <c r="D9" s="4" t="s">
        <v>311</v>
      </c>
      <c r="E9" s="4" t="s">
        <v>273</v>
      </c>
      <c r="F9" s="4" t="s">
        <v>315</v>
      </c>
      <c r="G9" s="4" t="s">
        <v>5653</v>
      </c>
    </row>
    <row r="10" spans="1:7" ht="15" customHeight="1" x14ac:dyDescent="0.2">
      <c r="A10" s="4"/>
      <c r="B10" s="4" t="s">
        <v>303</v>
      </c>
      <c r="C10" s="4" t="s">
        <v>5654</v>
      </c>
      <c r="D10" s="4" t="s">
        <v>311</v>
      </c>
      <c r="E10" s="4" t="s">
        <v>5655</v>
      </c>
      <c r="F10" s="4" t="s">
        <v>5655</v>
      </c>
      <c r="G10" s="4" t="s">
        <v>5656</v>
      </c>
    </row>
    <row r="11" spans="1:7" x14ac:dyDescent="0.2">
      <c r="A11" t="s">
        <v>5657</v>
      </c>
      <c r="B11" t="s">
        <v>348</v>
      </c>
      <c r="C11" t="s">
        <v>5650</v>
      </c>
      <c r="D11" t="s">
        <v>411</v>
      </c>
      <c r="E11" t="s">
        <v>1721</v>
      </c>
      <c r="G11" t="s">
        <v>5658</v>
      </c>
    </row>
    <row r="12" spans="1:7" x14ac:dyDescent="0.2">
      <c r="A12" t="s">
        <v>5659</v>
      </c>
      <c r="B12" t="s">
        <v>354</v>
      </c>
      <c r="C12" t="s">
        <v>5650</v>
      </c>
      <c r="D12" t="s">
        <v>847</v>
      </c>
      <c r="E12" t="s">
        <v>1721</v>
      </c>
      <c r="F12" t="s">
        <v>1782</v>
      </c>
      <c r="G12" t="s">
        <v>5660</v>
      </c>
    </row>
    <row r="13" spans="1:7" x14ac:dyDescent="0.2">
      <c r="A13" t="s">
        <v>5661</v>
      </c>
      <c r="B13" t="s">
        <v>852</v>
      </c>
      <c r="C13" t="s">
        <v>5638</v>
      </c>
      <c r="D13" t="s">
        <v>242</v>
      </c>
      <c r="E13">
        <v>1908</v>
      </c>
      <c r="F13">
        <v>1913</v>
      </c>
      <c r="G13" t="s">
        <v>5662</v>
      </c>
    </row>
    <row r="14" spans="1:7" x14ac:dyDescent="0.2">
      <c r="A14" t="s">
        <v>5663</v>
      </c>
      <c r="B14" t="s">
        <v>856</v>
      </c>
      <c r="C14" t="s">
        <v>5638</v>
      </c>
      <c r="D14" t="s">
        <v>233</v>
      </c>
      <c r="E14">
        <v>1907</v>
      </c>
      <c r="F14">
        <v>1913</v>
      </c>
      <c r="G14" t="s">
        <v>5664</v>
      </c>
    </row>
    <row r="15" spans="1:7" x14ac:dyDescent="0.2">
      <c r="A15" t="s">
        <v>5665</v>
      </c>
      <c r="B15" t="s">
        <v>860</v>
      </c>
      <c r="C15" t="s">
        <v>5638</v>
      </c>
      <c r="D15" t="s">
        <v>335</v>
      </c>
      <c r="E15">
        <v>1906</v>
      </c>
      <c r="F15">
        <v>1913</v>
      </c>
      <c r="G15" t="s">
        <v>5666</v>
      </c>
    </row>
    <row r="16" spans="1:7" x14ac:dyDescent="0.2">
      <c r="A16" t="s">
        <v>5667</v>
      </c>
      <c r="B16" t="s">
        <v>865</v>
      </c>
      <c r="C16" t="s">
        <v>5638</v>
      </c>
      <c r="D16" t="s">
        <v>179</v>
      </c>
      <c r="E16">
        <v>1911</v>
      </c>
      <c r="F16">
        <v>1913</v>
      </c>
      <c r="G16" t="s">
        <v>5668</v>
      </c>
    </row>
    <row r="17" spans="1:7" x14ac:dyDescent="0.2">
      <c r="A17" t="s">
        <v>5669</v>
      </c>
      <c r="B17" t="s">
        <v>869</v>
      </c>
      <c r="C17" t="s">
        <v>5638</v>
      </c>
      <c r="D17" t="s">
        <v>247</v>
      </c>
      <c r="E17">
        <v>1906</v>
      </c>
      <c r="F17">
        <v>1913</v>
      </c>
      <c r="G17" t="s">
        <v>5670</v>
      </c>
    </row>
    <row r="18" spans="1:7" x14ac:dyDescent="0.2">
      <c r="A18" t="s">
        <v>5671</v>
      </c>
      <c r="B18" t="s">
        <v>475</v>
      </c>
      <c r="C18" t="s">
        <v>5650</v>
      </c>
      <c r="D18" t="s">
        <v>883</v>
      </c>
      <c r="E18" t="s">
        <v>1040</v>
      </c>
      <c r="F18" t="s">
        <v>1744</v>
      </c>
      <c r="G18" t="s">
        <v>5672</v>
      </c>
    </row>
    <row r="19" spans="1:7" x14ac:dyDescent="0.2">
      <c r="A19" t="s">
        <v>5673</v>
      </c>
      <c r="B19" t="s">
        <v>888</v>
      </c>
      <c r="C19" t="s">
        <v>5650</v>
      </c>
      <c r="D19" t="s">
        <v>552</v>
      </c>
      <c r="E19" t="s">
        <v>1172</v>
      </c>
      <c r="F19" t="s">
        <v>1782</v>
      </c>
      <c r="G19" t="s">
        <v>5674</v>
      </c>
    </row>
    <row r="20" spans="1:7" x14ac:dyDescent="0.2">
      <c r="A20" t="s">
        <v>5675</v>
      </c>
      <c r="B20" t="s">
        <v>808</v>
      </c>
      <c r="C20" t="s">
        <v>5638</v>
      </c>
      <c r="D20" t="s">
        <v>947</v>
      </c>
      <c r="E20" t="s">
        <v>1411</v>
      </c>
      <c r="G20" t="s">
        <v>5676</v>
      </c>
    </row>
    <row r="21" spans="1:7" x14ac:dyDescent="0.2">
      <c r="A21" t="s">
        <v>5677</v>
      </c>
      <c r="B21" t="s">
        <v>979</v>
      </c>
      <c r="C21" t="s">
        <v>5650</v>
      </c>
      <c r="D21" t="s">
        <v>411</v>
      </c>
      <c r="E21" t="s">
        <v>342</v>
      </c>
      <c r="G21" t="s">
        <v>5678</v>
      </c>
    </row>
    <row r="22" spans="1:7" x14ac:dyDescent="0.2">
      <c r="A22" t="s">
        <v>5679</v>
      </c>
      <c r="B22" t="s">
        <v>1008</v>
      </c>
      <c r="C22" t="s">
        <v>5638</v>
      </c>
      <c r="D22" t="s">
        <v>226</v>
      </c>
      <c r="E22">
        <v>1906</v>
      </c>
      <c r="F22">
        <v>1913</v>
      </c>
      <c r="G22" t="s">
        <v>5680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7D31"/>
  </sheetPr>
  <dimension ref="A1:C28"/>
  <sheetViews>
    <sheetView zoomScaleNormal="100" workbookViewId="0">
      <selection activeCell="A28" sqref="A28"/>
    </sheetView>
  </sheetViews>
  <sheetFormatPr baseColWidth="10" defaultColWidth="8.6640625" defaultRowHeight="15" x14ac:dyDescent="0.2"/>
  <cols>
    <col min="1" max="1" width="24" customWidth="1"/>
    <col min="2" max="2" width="18" customWidth="1"/>
    <col min="3" max="3" width="16" customWidth="1"/>
  </cols>
  <sheetData>
    <row r="1" spans="1:3" ht="15" customHeight="1" x14ac:dyDescent="0.2">
      <c r="A1" s="1" t="s">
        <v>156</v>
      </c>
      <c r="B1" s="1" t="s">
        <v>2</v>
      </c>
      <c r="C1" s="1" t="s">
        <v>5634</v>
      </c>
    </row>
    <row r="2" spans="1:3" ht="15" customHeight="1" x14ac:dyDescent="0.2">
      <c r="A2" s="4" t="s">
        <v>5681</v>
      </c>
      <c r="B2" s="4" t="s">
        <v>5682</v>
      </c>
      <c r="C2" s="4" t="s">
        <v>5638</v>
      </c>
    </row>
    <row r="3" spans="1:3" ht="15" customHeight="1" x14ac:dyDescent="0.2">
      <c r="A3" s="4" t="s">
        <v>193</v>
      </c>
      <c r="B3" s="4" t="s">
        <v>193</v>
      </c>
      <c r="C3" s="4" t="s">
        <v>5683</v>
      </c>
    </row>
    <row r="4" spans="1:3" ht="15" customHeight="1" x14ac:dyDescent="0.2">
      <c r="A4" s="4" t="s">
        <v>196</v>
      </c>
      <c r="B4" s="4" t="s">
        <v>293</v>
      </c>
      <c r="C4" s="4" t="s">
        <v>5650</v>
      </c>
    </row>
    <row r="5" spans="1:3" ht="15" customHeight="1" x14ac:dyDescent="0.2">
      <c r="A5" s="4" t="s">
        <v>207</v>
      </c>
      <c r="B5" s="4" t="s">
        <v>275</v>
      </c>
      <c r="C5" s="4" t="s">
        <v>5684</v>
      </c>
    </row>
    <row r="6" spans="1:3" ht="15" customHeight="1" x14ac:dyDescent="0.2">
      <c r="A6" s="4" t="s">
        <v>256</v>
      </c>
      <c r="B6" s="4" t="s">
        <v>286</v>
      </c>
      <c r="C6" s="4" t="s">
        <v>5685</v>
      </c>
    </row>
    <row r="7" spans="1:3" ht="15" customHeight="1" x14ac:dyDescent="0.2">
      <c r="A7" s="4" t="s">
        <v>621</v>
      </c>
      <c r="B7" s="4" t="s">
        <v>314</v>
      </c>
      <c r="C7" s="4" t="s">
        <v>5654</v>
      </c>
    </row>
    <row r="8" spans="1:3" ht="15" customHeight="1" x14ac:dyDescent="0.2">
      <c r="A8" s="4" t="s">
        <v>182</v>
      </c>
      <c r="C8" s="4" t="s">
        <v>5686</v>
      </c>
    </row>
    <row r="9" spans="1:3" ht="15" customHeight="1" x14ac:dyDescent="0.2">
      <c r="A9" s="4" t="s">
        <v>5687</v>
      </c>
    </row>
    <row r="10" spans="1:3" ht="15" customHeight="1" x14ac:dyDescent="0.2">
      <c r="A10" s="4" t="s">
        <v>324</v>
      </c>
    </row>
    <row r="11" spans="1:3" ht="15" customHeight="1" x14ac:dyDescent="0.2">
      <c r="A11" s="4" t="s">
        <v>328</v>
      </c>
    </row>
    <row r="12" spans="1:3" ht="15" customHeight="1" x14ac:dyDescent="0.2">
      <c r="A12" s="4" t="s">
        <v>271</v>
      </c>
    </row>
    <row r="13" spans="1:3" ht="15" customHeight="1" x14ac:dyDescent="0.2">
      <c r="A13" s="4" t="s">
        <v>319</v>
      </c>
    </row>
    <row r="14" spans="1:3" ht="15" customHeight="1" x14ac:dyDescent="0.2">
      <c r="A14" s="4" t="s">
        <v>299</v>
      </c>
    </row>
    <row r="15" spans="1:3" ht="15" customHeight="1" x14ac:dyDescent="0.2">
      <c r="A15" s="4" t="s">
        <v>695</v>
      </c>
    </row>
    <row r="16" spans="1:3" ht="15" customHeight="1" x14ac:dyDescent="0.2">
      <c r="A16" s="4" t="s">
        <v>282</v>
      </c>
    </row>
    <row r="17" spans="1:1" ht="15" customHeight="1" x14ac:dyDescent="0.2">
      <c r="A17" s="4" t="s">
        <v>278</v>
      </c>
    </row>
    <row r="18" spans="1:1" ht="15" customHeight="1" x14ac:dyDescent="0.2">
      <c r="A18" s="4" t="s">
        <v>400</v>
      </c>
    </row>
    <row r="19" spans="1:1" ht="15" customHeight="1" x14ac:dyDescent="0.2">
      <c r="A19" s="4" t="s">
        <v>654</v>
      </c>
    </row>
    <row r="20" spans="1:1" ht="15" customHeight="1" x14ac:dyDescent="0.2">
      <c r="A20" s="4" t="s">
        <v>289</v>
      </c>
    </row>
    <row r="21" spans="1:1" ht="15" customHeight="1" x14ac:dyDescent="0.2">
      <c r="A21" s="4" t="s">
        <v>293</v>
      </c>
    </row>
    <row r="22" spans="1:1" ht="15" customHeight="1" x14ac:dyDescent="0.2">
      <c r="A22" s="4" t="s">
        <v>658</v>
      </c>
    </row>
    <row r="23" spans="1:1" ht="15" customHeight="1" x14ac:dyDescent="0.2">
      <c r="A23" s="4" t="s">
        <v>5688</v>
      </c>
    </row>
    <row r="24" spans="1:1" ht="15" customHeight="1" x14ac:dyDescent="0.2">
      <c r="A24" s="4" t="s">
        <v>5689</v>
      </c>
    </row>
    <row r="25" spans="1:1" ht="15" customHeight="1" x14ac:dyDescent="0.2">
      <c r="A25" s="4" t="s">
        <v>306</v>
      </c>
    </row>
    <row r="26" spans="1:1" ht="15" customHeight="1" x14ac:dyDescent="0.2">
      <c r="A26" s="4" t="s">
        <v>313</v>
      </c>
    </row>
    <row r="27" spans="1:1" ht="15" customHeight="1" x14ac:dyDescent="0.2">
      <c r="A27" s="4" t="s">
        <v>5690</v>
      </c>
    </row>
    <row r="28" spans="1:1" ht="15" customHeight="1" x14ac:dyDescent="0.2">
      <c r="A28" s="4" t="s">
        <v>709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Coordinates</vt:lpstr>
      <vt:lpstr>places</vt:lpstr>
      <vt:lpstr>sources</vt:lpstr>
      <vt:lpstr>attestations</vt:lpstr>
      <vt:lpstr>Selection Matrix</vt:lpstr>
      <vt:lpstr>Uncertainty Profile</vt:lpstr>
      <vt:lpstr>Corpus</vt:lpstr>
      <vt:lpstr>relations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Morgan</cp:lastModifiedBy>
  <cp:revision>0</cp:revision>
  <dcterms:created xsi:type="dcterms:W3CDTF">2026-06-05T14:24:31Z</dcterms:created>
  <dcterms:modified xsi:type="dcterms:W3CDTF">2026-09-17T02:41:37Z</dcterms:modified>
  <dc:language>en-US</dc:language>
</cp:coreProperties>
</file>